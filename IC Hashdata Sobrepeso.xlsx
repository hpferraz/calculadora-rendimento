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/>
  <bookViews>
    <workbookView xWindow="0" yWindow="0" windowWidth="28800" windowHeight="12432"/>
  </bookViews>
  <sheets>
    <sheet name="Tabela Sobrepeso Dia" sheetId="4" r:id="rId1"/>
    <sheet name="Tabela Sobrepeso Mês" sheetId="5" r:id="rId2"/>
    <sheet name="Coleta" sheetId="1" r:id="rId3"/>
    <sheet name="SKU" sheetId="3" r:id="rId4"/>
  </sheets>
  <definedNames>
    <definedName name="_xlnm._FilterDatabase" localSheetId="3" hidden="1">SKU!$A$1:$D$85</definedName>
    <definedName name="NativeTimeline_Data_Corrigida">#N/A</definedName>
    <definedName name="SegmentaçãodeDados_Família">#N/A</definedName>
    <definedName name="SegmentaçãodeDados_Família1">#N/A</definedName>
    <definedName name="SegmentaçãodeDados_Mês">#N/A</definedName>
    <definedName name="SegmentaçãodeDados_Mês1">#N/A</definedName>
    <definedName name="SegmentaçãodeDados_Turno">#N/A</definedName>
    <definedName name="SegmentaçãodeDados_Turno1">#N/A</definedName>
  </definedNames>
  <calcPr calcId="152511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2"/>
      </x15:timelineCacheRefs>
    </ext>
  </extLst>
</workbook>
</file>

<file path=xl/calcChain.xml><?xml version="1.0" encoding="utf-8"?>
<calcChain xmlns="http://schemas.openxmlformats.org/spreadsheetml/2006/main">
  <c r="A1425" i="1" l="1"/>
  <c r="B1425" i="1" s="1"/>
  <c r="A1426" i="1"/>
  <c r="A1427" i="1"/>
  <c r="A1428" i="1"/>
  <c r="B1428" i="1" s="1"/>
  <c r="A1429" i="1"/>
  <c r="A1430" i="1"/>
  <c r="A1431" i="1"/>
  <c r="A1432" i="1"/>
  <c r="B1432" i="1" s="1"/>
  <c r="A1433" i="1"/>
  <c r="B1433" i="1" s="1"/>
  <c r="A1434" i="1"/>
  <c r="B1434" i="1" s="1"/>
  <c r="A1435" i="1"/>
  <c r="B1435" i="1" s="1"/>
  <c r="A1436" i="1"/>
  <c r="B1436" i="1" s="1"/>
  <c r="A1437" i="1"/>
  <c r="B1437" i="1" s="1"/>
  <c r="A1438" i="1"/>
  <c r="A1439" i="1"/>
  <c r="A1440" i="1"/>
  <c r="B1440" i="1" s="1"/>
  <c r="A1441" i="1"/>
  <c r="A1442" i="1"/>
  <c r="A1443" i="1"/>
  <c r="A1444" i="1"/>
  <c r="B1444" i="1" s="1"/>
  <c r="A1445" i="1"/>
  <c r="B1445" i="1" s="1"/>
  <c r="A1446" i="1"/>
  <c r="B1446" i="1" s="1"/>
  <c r="A1447" i="1"/>
  <c r="B1447" i="1" s="1"/>
  <c r="A1448" i="1"/>
  <c r="B1448" i="1" s="1"/>
  <c r="A1449" i="1"/>
  <c r="B1449" i="1" s="1"/>
  <c r="A1450" i="1"/>
  <c r="A1451" i="1"/>
  <c r="A1452" i="1"/>
  <c r="B1452" i="1" s="1"/>
  <c r="A1453" i="1"/>
  <c r="A1454" i="1"/>
  <c r="A1455" i="1"/>
  <c r="B1455" i="1" s="1"/>
  <c r="A1456" i="1"/>
  <c r="B1456" i="1" s="1"/>
  <c r="A1457" i="1"/>
  <c r="B1457" i="1" s="1"/>
  <c r="A1458" i="1"/>
  <c r="B1458" i="1" s="1"/>
  <c r="A1459" i="1"/>
  <c r="B1459" i="1" s="1"/>
  <c r="A1460" i="1"/>
  <c r="B1460" i="1" s="1"/>
  <c r="A1461" i="1"/>
  <c r="A1462" i="1"/>
  <c r="A1463" i="1"/>
  <c r="B1463" i="1" s="1"/>
  <c r="A1464" i="1"/>
  <c r="A1465" i="1"/>
  <c r="A1466" i="1"/>
  <c r="A1467" i="1"/>
  <c r="B1467" i="1" s="1"/>
  <c r="A1468" i="1"/>
  <c r="B1468" i="1" s="1"/>
  <c r="A1469" i="1"/>
  <c r="A1470" i="1"/>
  <c r="B1470" i="1" s="1"/>
  <c r="A1471" i="1"/>
  <c r="B1471" i="1" s="1"/>
  <c r="A1472" i="1"/>
  <c r="B1472" i="1" s="1"/>
  <c r="A1473" i="1"/>
  <c r="A1474" i="1"/>
  <c r="A1475" i="1"/>
  <c r="B1475" i="1" s="1"/>
  <c r="A1476" i="1"/>
  <c r="A1477" i="1"/>
  <c r="A1478" i="1"/>
  <c r="A1479" i="1"/>
  <c r="B1479" i="1" s="1"/>
  <c r="A1480" i="1"/>
  <c r="B1480" i="1" s="1"/>
  <c r="A1481" i="1"/>
  <c r="B1481" i="1" s="1"/>
  <c r="A1482" i="1"/>
  <c r="B1482" i="1" s="1"/>
  <c r="A1483" i="1"/>
  <c r="B1483" i="1" s="1"/>
  <c r="A1484" i="1"/>
  <c r="B1484" i="1" s="1"/>
  <c r="A1485" i="1"/>
  <c r="A1486" i="1"/>
  <c r="A1487" i="1"/>
  <c r="B1487" i="1" s="1"/>
  <c r="A1488" i="1"/>
  <c r="A1489" i="1"/>
  <c r="A1490" i="1"/>
  <c r="A1491" i="1"/>
  <c r="B1491" i="1" s="1"/>
  <c r="A1492" i="1"/>
  <c r="B1492" i="1" s="1"/>
  <c r="A1493" i="1"/>
  <c r="A1494" i="1"/>
  <c r="B1494" i="1" s="1"/>
  <c r="A1495" i="1"/>
  <c r="B1495" i="1" s="1"/>
  <c r="A1496" i="1"/>
  <c r="B1496" i="1" s="1"/>
  <c r="A1497" i="1"/>
  <c r="A1498" i="1"/>
  <c r="A1499" i="1"/>
  <c r="B1499" i="1" s="1"/>
  <c r="A1500" i="1"/>
  <c r="A1501" i="1"/>
  <c r="A1502" i="1"/>
  <c r="A1503" i="1"/>
  <c r="B1503" i="1" s="1"/>
  <c r="A1504" i="1"/>
  <c r="B1504" i="1" s="1"/>
  <c r="A1505" i="1"/>
  <c r="B1505" i="1" s="1"/>
  <c r="A1506" i="1"/>
  <c r="B1506" i="1" s="1"/>
  <c r="A1507" i="1"/>
  <c r="B1507" i="1" s="1"/>
  <c r="A1508" i="1"/>
  <c r="B1508" i="1" s="1"/>
  <c r="A1509" i="1"/>
  <c r="A1510" i="1"/>
  <c r="A1511" i="1"/>
  <c r="B1511" i="1" s="1"/>
  <c r="A1512" i="1"/>
  <c r="A1513" i="1"/>
  <c r="A1514" i="1"/>
  <c r="A1515" i="1"/>
  <c r="B1515" i="1" s="1"/>
  <c r="A1516" i="1"/>
  <c r="B1516" i="1" s="1"/>
  <c r="A1517" i="1"/>
  <c r="A1518" i="1"/>
  <c r="B1518" i="1" s="1"/>
  <c r="A1519" i="1"/>
  <c r="B1519" i="1" s="1"/>
  <c r="A1520" i="1"/>
  <c r="B1520" i="1" s="1"/>
  <c r="A1521" i="1"/>
  <c r="A1522" i="1"/>
  <c r="A1523" i="1"/>
  <c r="B1523" i="1" s="1"/>
  <c r="A1524" i="1"/>
  <c r="A1525" i="1"/>
  <c r="A1526" i="1"/>
  <c r="A1527" i="1"/>
  <c r="B1527" i="1" s="1"/>
  <c r="A1528" i="1"/>
  <c r="B1528" i="1" s="1"/>
  <c r="A1529" i="1"/>
  <c r="B1529" i="1" s="1"/>
  <c r="A1530" i="1"/>
  <c r="B1530" i="1" s="1"/>
  <c r="A1531" i="1"/>
  <c r="B1531" i="1" s="1"/>
  <c r="A1532" i="1"/>
  <c r="B1532" i="1" s="1"/>
  <c r="A1533" i="1"/>
  <c r="B1533" i="1" s="1"/>
  <c r="B1426" i="1"/>
  <c r="B1427" i="1"/>
  <c r="B1429" i="1"/>
  <c r="B1430" i="1"/>
  <c r="B1431" i="1"/>
  <c r="B1438" i="1"/>
  <c r="B1439" i="1"/>
  <c r="B1441" i="1"/>
  <c r="B1442" i="1"/>
  <c r="B1443" i="1"/>
  <c r="B1450" i="1"/>
  <c r="B1451" i="1"/>
  <c r="B1453" i="1"/>
  <c r="B1454" i="1"/>
  <c r="B1461" i="1"/>
  <c r="B1462" i="1"/>
  <c r="B1464" i="1"/>
  <c r="B1465" i="1"/>
  <c r="B1466" i="1"/>
  <c r="B1469" i="1"/>
  <c r="B1473" i="1"/>
  <c r="B1474" i="1"/>
  <c r="B1476" i="1"/>
  <c r="B1477" i="1"/>
  <c r="B1478" i="1"/>
  <c r="B1485" i="1"/>
  <c r="B1486" i="1"/>
  <c r="B1488" i="1"/>
  <c r="B1489" i="1"/>
  <c r="B1490" i="1"/>
  <c r="B1493" i="1"/>
  <c r="B1497" i="1"/>
  <c r="B1498" i="1"/>
  <c r="B1500" i="1"/>
  <c r="B1501" i="1"/>
  <c r="B1502" i="1"/>
  <c r="B1509" i="1"/>
  <c r="B1510" i="1"/>
  <c r="B1512" i="1"/>
  <c r="B1513" i="1"/>
  <c r="B1514" i="1"/>
  <c r="B1517" i="1"/>
  <c r="B1521" i="1"/>
  <c r="B1522" i="1"/>
  <c r="B1524" i="1"/>
  <c r="B1525" i="1"/>
  <c r="B1526" i="1"/>
  <c r="Y1425" i="1"/>
  <c r="AA1425" i="1" s="1"/>
  <c r="Y1426" i="1"/>
  <c r="Z1426" i="1" s="1"/>
  <c r="Y1427" i="1"/>
  <c r="Z1427" i="1" s="1"/>
  <c r="Y1428" i="1"/>
  <c r="Z1428" i="1" s="1"/>
  <c r="Y1429" i="1"/>
  <c r="AA1429" i="1" s="1"/>
  <c r="Y1430" i="1"/>
  <c r="Z1430" i="1" s="1"/>
  <c r="Y1431" i="1"/>
  <c r="Z1431" i="1" s="1"/>
  <c r="Y1432" i="1"/>
  <c r="Z1432" i="1" s="1"/>
  <c r="Y1433" i="1"/>
  <c r="Z1433" i="1" s="1"/>
  <c r="Y1434" i="1"/>
  <c r="Z1434" i="1" s="1"/>
  <c r="Y1435" i="1"/>
  <c r="Z1435" i="1" s="1"/>
  <c r="Y1436" i="1"/>
  <c r="Z1436" i="1" s="1"/>
  <c r="Y1437" i="1"/>
  <c r="AA1437" i="1" s="1"/>
  <c r="Y1438" i="1"/>
  <c r="Z1438" i="1" s="1"/>
  <c r="Y1439" i="1"/>
  <c r="AA1439" i="1" s="1"/>
  <c r="Y1440" i="1"/>
  <c r="Z1440" i="1" s="1"/>
  <c r="Y1441" i="1"/>
  <c r="AA1441" i="1" s="1"/>
  <c r="Y1442" i="1"/>
  <c r="Y1443" i="1"/>
  <c r="Z1443" i="1" s="1"/>
  <c r="Y1444" i="1"/>
  <c r="Z1444" i="1" s="1"/>
  <c r="Y1445" i="1"/>
  <c r="Y1446" i="1"/>
  <c r="Z1446" i="1" s="1"/>
  <c r="Y1447" i="1"/>
  <c r="AA1447" i="1" s="1"/>
  <c r="Y1448" i="1"/>
  <c r="Z1448" i="1" s="1"/>
  <c r="Y1449" i="1"/>
  <c r="AA1449" i="1" s="1"/>
  <c r="Y1450" i="1"/>
  <c r="Y1451" i="1"/>
  <c r="Z1451" i="1" s="1"/>
  <c r="Y1452" i="1"/>
  <c r="Z1452" i="1" s="1"/>
  <c r="Y1453" i="1"/>
  <c r="AA1453" i="1" s="1"/>
  <c r="Y1454" i="1"/>
  <c r="Z1454" i="1" s="1"/>
  <c r="Y1455" i="1"/>
  <c r="Z1455" i="1" s="1"/>
  <c r="Y1456" i="1"/>
  <c r="AA1456" i="1" s="1"/>
  <c r="Y1457" i="1"/>
  <c r="Y1458" i="1"/>
  <c r="Z1458" i="1" s="1"/>
  <c r="Y1459" i="1"/>
  <c r="Z1459" i="1" s="1"/>
  <c r="Y1460" i="1"/>
  <c r="Z1460" i="1" s="1"/>
  <c r="Y1461" i="1"/>
  <c r="AA1461" i="1" s="1"/>
  <c r="Y1462" i="1"/>
  <c r="AA1462" i="1" s="1"/>
  <c r="Y1463" i="1"/>
  <c r="Z1463" i="1" s="1"/>
  <c r="Y1464" i="1"/>
  <c r="AA1464" i="1" s="1"/>
  <c r="Y1465" i="1"/>
  <c r="AA1465" i="1" s="1"/>
  <c r="Y1466" i="1"/>
  <c r="Z1466" i="1" s="1"/>
  <c r="Y1467" i="1"/>
  <c r="Z1467" i="1" s="1"/>
  <c r="Y1468" i="1"/>
  <c r="AA1468" i="1" s="1"/>
  <c r="Y1469" i="1"/>
  <c r="Z1469" i="1" s="1"/>
  <c r="Y1470" i="1"/>
  <c r="Y1471" i="1"/>
  <c r="Z1471" i="1" s="1"/>
  <c r="Y1472" i="1"/>
  <c r="AA1472" i="1" s="1"/>
  <c r="Y1473" i="1"/>
  <c r="Z1473" i="1" s="1"/>
  <c r="Y1474" i="1"/>
  <c r="AA1474" i="1" s="1"/>
  <c r="Y1475" i="1"/>
  <c r="Z1475" i="1" s="1"/>
  <c r="Y1476" i="1"/>
  <c r="AA1476" i="1" s="1"/>
  <c r="Y1477" i="1"/>
  <c r="AA1477" i="1" s="1"/>
  <c r="Y1478" i="1"/>
  <c r="Z1478" i="1" s="1"/>
  <c r="Y1479" i="1"/>
  <c r="AA1479" i="1" s="1"/>
  <c r="Y1480" i="1"/>
  <c r="Z1480" i="1" s="1"/>
  <c r="Y1481" i="1"/>
  <c r="AA1481" i="1" s="1"/>
  <c r="Y1482" i="1"/>
  <c r="Y1483" i="1"/>
  <c r="Z1483" i="1" s="1"/>
  <c r="Y1484" i="1"/>
  <c r="Z1484" i="1" s="1"/>
  <c r="Y1485" i="1"/>
  <c r="Z1485" i="1" s="1"/>
  <c r="Y1486" i="1"/>
  <c r="Z1486" i="1" s="1"/>
  <c r="Y1487" i="1"/>
  <c r="Z1487" i="1" s="1"/>
  <c r="Y1488" i="1"/>
  <c r="AA1488" i="1" s="1"/>
  <c r="Y1489" i="1"/>
  <c r="Z1489" i="1" s="1"/>
  <c r="Y1490" i="1"/>
  <c r="Z1490" i="1" s="1"/>
  <c r="Y1491" i="1"/>
  <c r="Z1491" i="1" s="1"/>
  <c r="Y1492" i="1"/>
  <c r="AA1492" i="1" s="1"/>
  <c r="Y1493" i="1"/>
  <c r="AA1493" i="1" s="1"/>
  <c r="Y1494" i="1"/>
  <c r="Z1494" i="1" s="1"/>
  <c r="Y1495" i="1"/>
  <c r="Z1495" i="1" s="1"/>
  <c r="Y1496" i="1"/>
  <c r="Z1496" i="1" s="1"/>
  <c r="Y1497" i="1"/>
  <c r="AA1497" i="1" s="1"/>
  <c r="Y1498" i="1"/>
  <c r="AA1498" i="1" s="1"/>
  <c r="Y1499" i="1"/>
  <c r="Z1499" i="1" s="1"/>
  <c r="Y1500" i="1"/>
  <c r="AA1500" i="1" s="1"/>
  <c r="Y1501" i="1"/>
  <c r="AA1501" i="1" s="1"/>
  <c r="Y1502" i="1"/>
  <c r="Z1502" i="1" s="1"/>
  <c r="Y1503" i="1"/>
  <c r="Z1503" i="1" s="1"/>
  <c r="Y1504" i="1"/>
  <c r="AA1504" i="1" s="1"/>
  <c r="Y1505" i="1"/>
  <c r="Y1506" i="1"/>
  <c r="Z1506" i="1" s="1"/>
  <c r="Y1507" i="1"/>
  <c r="Z1507" i="1" s="1"/>
  <c r="Y1508" i="1"/>
  <c r="AA1508" i="1" s="1"/>
  <c r="Y1509" i="1"/>
  <c r="Z1509" i="1" s="1"/>
  <c r="Y1510" i="1"/>
  <c r="Z1510" i="1" s="1"/>
  <c r="Y1511" i="1"/>
  <c r="Z1511" i="1" s="1"/>
  <c r="Y1512" i="1"/>
  <c r="AA1512" i="1" s="1"/>
  <c r="Y1513" i="1"/>
  <c r="Z1513" i="1" s="1"/>
  <c r="Y1514" i="1"/>
  <c r="Z1514" i="1" s="1"/>
  <c r="Y1515" i="1"/>
  <c r="Z1515" i="1" s="1"/>
  <c r="Y1516" i="1"/>
  <c r="Z1516" i="1" s="1"/>
  <c r="Y1517" i="1"/>
  <c r="Z1517" i="1" s="1"/>
  <c r="Y1518" i="1"/>
  <c r="Z1518" i="1" s="1"/>
  <c r="Y1519" i="1"/>
  <c r="Z1519" i="1" s="1"/>
  <c r="Y1520" i="1"/>
  <c r="Z1520" i="1" s="1"/>
  <c r="Y1521" i="1"/>
  <c r="Z1521" i="1" s="1"/>
  <c r="Y1522" i="1"/>
  <c r="AA1522" i="1" s="1"/>
  <c r="Y1523" i="1"/>
  <c r="Z1523" i="1" s="1"/>
  <c r="Y1524" i="1"/>
  <c r="AA1524" i="1" s="1"/>
  <c r="Y1525" i="1"/>
  <c r="Z1525" i="1" s="1"/>
  <c r="Y1526" i="1"/>
  <c r="Z1526" i="1" s="1"/>
  <c r="Y1527" i="1"/>
  <c r="Z1527" i="1" s="1"/>
  <c r="Y1528" i="1"/>
  <c r="Z1528" i="1" s="1"/>
  <c r="Y1529" i="1"/>
  <c r="Z1529" i="1" s="1"/>
  <c r="Y1530" i="1"/>
  <c r="Z1530" i="1" s="1"/>
  <c r="Y1531" i="1"/>
  <c r="Z1531" i="1" s="1"/>
  <c r="Y1532" i="1"/>
  <c r="Z1532" i="1" s="1"/>
  <c r="Y1533" i="1"/>
  <c r="Z1533" i="1" s="1"/>
  <c r="Z1439" i="1"/>
  <c r="Z1442" i="1"/>
  <c r="Z1445" i="1"/>
  <c r="Z1450" i="1"/>
  <c r="Z1457" i="1"/>
  <c r="Z1470" i="1"/>
  <c r="Z1481" i="1"/>
  <c r="Z1482" i="1"/>
  <c r="Z1497" i="1"/>
  <c r="Z1505" i="1"/>
  <c r="AA1430" i="1"/>
  <c r="AA1433" i="1"/>
  <c r="AA1434" i="1"/>
  <c r="AA1435" i="1"/>
  <c r="AA1436" i="1"/>
  <c r="AA1438" i="1"/>
  <c r="AA1442" i="1"/>
  <c r="AA1445" i="1"/>
  <c r="AA1450" i="1"/>
  <c r="AA1457" i="1"/>
  <c r="AA1469" i="1"/>
  <c r="AA1470" i="1"/>
  <c r="AA1473" i="1"/>
  <c r="AA1480" i="1"/>
  <c r="AA1482" i="1"/>
  <c r="AA1487" i="1"/>
  <c r="AA1496" i="1"/>
  <c r="AA1505" i="1"/>
  <c r="AA1518" i="1"/>
  <c r="AA1519" i="1"/>
  <c r="AA1523" i="1"/>
  <c r="AA1528" i="1"/>
  <c r="AA1529" i="1"/>
  <c r="AA1531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A1475" i="1" l="1"/>
  <c r="Z1492" i="1"/>
  <c r="Z1425" i="1"/>
  <c r="Z1501" i="1"/>
  <c r="AA1511" i="1"/>
  <c r="AA1499" i="1"/>
  <c r="AA1463" i="1"/>
  <c r="AA1525" i="1"/>
  <c r="AA1460" i="1"/>
  <c r="Z1465" i="1"/>
  <c r="AA1452" i="1"/>
  <c r="AA1428" i="1"/>
  <c r="AA1440" i="1"/>
  <c r="AA1489" i="1"/>
  <c r="AA1533" i="1"/>
  <c r="AA1532" i="1"/>
  <c r="AA1530" i="1"/>
  <c r="Z1522" i="1"/>
  <c r="AA1521" i="1"/>
  <c r="AA1520" i="1"/>
  <c r="AA1517" i="1"/>
  <c r="AA1516" i="1"/>
  <c r="AA1513" i="1"/>
  <c r="AA1510" i="1"/>
  <c r="AA1509" i="1"/>
  <c r="Z1508" i="1"/>
  <c r="AA1507" i="1"/>
  <c r="AA1506" i="1"/>
  <c r="Z1504" i="1"/>
  <c r="Z1498" i="1"/>
  <c r="AA1495" i="1"/>
  <c r="AA1494" i="1"/>
  <c r="Z1493" i="1"/>
  <c r="AA1486" i="1"/>
  <c r="AA1485" i="1"/>
  <c r="AA1484" i="1"/>
  <c r="AA1483" i="1"/>
  <c r="Z1477" i="1"/>
  <c r="Z1474" i="1"/>
  <c r="Z1472" i="1"/>
  <c r="AA1471" i="1"/>
  <c r="Z1468" i="1"/>
  <c r="Z1462" i="1"/>
  <c r="Z1461" i="1"/>
  <c r="AA1459" i="1"/>
  <c r="AA1458" i="1"/>
  <c r="Z1456" i="1"/>
  <c r="AA1451" i="1"/>
  <c r="Z1449" i="1"/>
  <c r="AA1448" i="1"/>
  <c r="Z1447" i="1"/>
  <c r="AA1446" i="1"/>
  <c r="Z1437" i="1"/>
  <c r="AA1427" i="1"/>
  <c r="AA1426" i="1"/>
  <c r="Z1524" i="1"/>
  <c r="Z1512" i="1"/>
  <c r="Z1500" i="1"/>
  <c r="Z1488" i="1"/>
  <c r="Z1476" i="1"/>
  <c r="Z1464" i="1"/>
  <c r="Z1453" i="1"/>
  <c r="Z1441" i="1"/>
  <c r="Z1429" i="1"/>
  <c r="AA1527" i="1"/>
  <c r="AA1491" i="1"/>
  <c r="AA1455" i="1"/>
  <c r="AA1432" i="1"/>
  <c r="AA1515" i="1"/>
  <c r="AA1467" i="1"/>
  <c r="AA1444" i="1"/>
  <c r="AA1526" i="1"/>
  <c r="AA1514" i="1"/>
  <c r="AA1502" i="1"/>
  <c r="AA1490" i="1"/>
  <c r="AA1478" i="1"/>
  <c r="AA1466" i="1"/>
  <c r="AA1454" i="1"/>
  <c r="AA1443" i="1"/>
  <c r="AA1431" i="1"/>
  <c r="AA1503" i="1"/>
  <c r="Z1479" i="1"/>
  <c r="A1362" i="1"/>
  <c r="B1362" i="1" s="1"/>
  <c r="A1363" i="1"/>
  <c r="B1363" i="1" s="1"/>
  <c r="A1364" i="1"/>
  <c r="A1365" i="1"/>
  <c r="A1366" i="1"/>
  <c r="A1367" i="1"/>
  <c r="A1368" i="1"/>
  <c r="B1368" i="1" s="1"/>
  <c r="A1369" i="1"/>
  <c r="B1369" i="1" s="1"/>
  <c r="A1370" i="1"/>
  <c r="B1370" i="1" s="1"/>
  <c r="A1371" i="1"/>
  <c r="A1372" i="1"/>
  <c r="B1372" i="1" s="1"/>
  <c r="A1373" i="1"/>
  <c r="B1373" i="1" s="1"/>
  <c r="A1374" i="1"/>
  <c r="B1374" i="1" s="1"/>
  <c r="A1375" i="1"/>
  <c r="B1375" i="1" s="1"/>
  <c r="A1376" i="1"/>
  <c r="A1377" i="1"/>
  <c r="A1378" i="1"/>
  <c r="B1378" i="1" s="1"/>
  <c r="A1379" i="1"/>
  <c r="A1380" i="1"/>
  <c r="B1380" i="1" s="1"/>
  <c r="A1381" i="1"/>
  <c r="A1382" i="1"/>
  <c r="B1382" i="1" s="1"/>
  <c r="A1383" i="1"/>
  <c r="A1384" i="1"/>
  <c r="B1384" i="1" s="1"/>
  <c r="A1385" i="1"/>
  <c r="B1385" i="1" s="1"/>
  <c r="A1386" i="1"/>
  <c r="B1386" i="1" s="1"/>
  <c r="A1387" i="1"/>
  <c r="B1387" i="1" s="1"/>
  <c r="A1388" i="1"/>
  <c r="A1389" i="1"/>
  <c r="B1389" i="1" s="1"/>
  <c r="A1390" i="1"/>
  <c r="A1391" i="1"/>
  <c r="B1391" i="1" s="1"/>
  <c r="A1392" i="1"/>
  <c r="B1392" i="1" s="1"/>
  <c r="A1393" i="1"/>
  <c r="B1393" i="1" s="1"/>
  <c r="A1394" i="1"/>
  <c r="B1394" i="1" s="1"/>
  <c r="A1395" i="1"/>
  <c r="A1396" i="1"/>
  <c r="B1396" i="1" s="1"/>
  <c r="A1397" i="1"/>
  <c r="B1397" i="1" s="1"/>
  <c r="A1398" i="1"/>
  <c r="A1399" i="1"/>
  <c r="A1400" i="1"/>
  <c r="A1401" i="1"/>
  <c r="A1402" i="1"/>
  <c r="A1403" i="1"/>
  <c r="B1403" i="1" s="1"/>
  <c r="A1404" i="1"/>
  <c r="B1404" i="1" s="1"/>
  <c r="A1405" i="1"/>
  <c r="B1405" i="1" s="1"/>
  <c r="A1406" i="1"/>
  <c r="B1406" i="1" s="1"/>
  <c r="A1407" i="1"/>
  <c r="B1407" i="1" s="1"/>
  <c r="A1408" i="1"/>
  <c r="B1408" i="1" s="1"/>
  <c r="A1409" i="1"/>
  <c r="B1409" i="1" s="1"/>
  <c r="A1410" i="1"/>
  <c r="B1410" i="1" s="1"/>
  <c r="A1411" i="1"/>
  <c r="B1411" i="1" s="1"/>
  <c r="A1412" i="1"/>
  <c r="A1413" i="1"/>
  <c r="A1414" i="1"/>
  <c r="A1415" i="1"/>
  <c r="A1416" i="1"/>
  <c r="A1417" i="1"/>
  <c r="B1417" i="1" s="1"/>
  <c r="A1418" i="1"/>
  <c r="B1418" i="1" s="1"/>
  <c r="A1419" i="1"/>
  <c r="B1419" i="1" s="1"/>
  <c r="A1420" i="1"/>
  <c r="B1420" i="1" s="1"/>
  <c r="A1421" i="1"/>
  <c r="B1421" i="1" s="1"/>
  <c r="A1422" i="1"/>
  <c r="A1423" i="1"/>
  <c r="B1423" i="1" s="1"/>
  <c r="A1424" i="1"/>
  <c r="B1364" i="1"/>
  <c r="B1365" i="1"/>
  <c r="B1366" i="1"/>
  <c r="B1367" i="1"/>
  <c r="B1371" i="1"/>
  <c r="B1376" i="1"/>
  <c r="B1377" i="1"/>
  <c r="B1379" i="1"/>
  <c r="B1381" i="1"/>
  <c r="B1383" i="1"/>
  <c r="B1388" i="1"/>
  <c r="B1390" i="1"/>
  <c r="B1395" i="1"/>
  <c r="B1398" i="1"/>
  <c r="B1399" i="1"/>
  <c r="B1400" i="1"/>
  <c r="B1401" i="1"/>
  <c r="B1402" i="1"/>
  <c r="B1412" i="1"/>
  <c r="B1413" i="1"/>
  <c r="B1414" i="1"/>
  <c r="B1415" i="1"/>
  <c r="B1416" i="1"/>
  <c r="B1422" i="1"/>
  <c r="B1424" i="1"/>
  <c r="Y1362" i="1"/>
  <c r="Z1362" i="1" s="1"/>
  <c r="Y1363" i="1"/>
  <c r="AA1363" i="1" s="1"/>
  <c r="Y1364" i="1"/>
  <c r="AA1364" i="1" s="1"/>
  <c r="Y1365" i="1"/>
  <c r="Z1365" i="1" s="1"/>
  <c r="Y1366" i="1"/>
  <c r="Z1366" i="1" s="1"/>
  <c r="Y1367" i="1"/>
  <c r="Z1367" i="1" s="1"/>
  <c r="Y1368" i="1"/>
  <c r="AA1368" i="1" s="1"/>
  <c r="Y1369" i="1"/>
  <c r="Z1369" i="1" s="1"/>
  <c r="Y1370" i="1"/>
  <c r="AA1370" i="1" s="1"/>
  <c r="Y1371" i="1"/>
  <c r="Z1371" i="1" s="1"/>
  <c r="Y1372" i="1"/>
  <c r="Z1372" i="1" s="1"/>
  <c r="Y1373" i="1"/>
  <c r="AA1373" i="1" s="1"/>
  <c r="Y1374" i="1"/>
  <c r="Y1375" i="1"/>
  <c r="AA1375" i="1" s="1"/>
  <c r="Y1376" i="1"/>
  <c r="AA1376" i="1" s="1"/>
  <c r="Y1377" i="1"/>
  <c r="Z1377" i="1" s="1"/>
  <c r="Y1378" i="1"/>
  <c r="Z1378" i="1" s="1"/>
  <c r="Y1379" i="1"/>
  <c r="Z1379" i="1" s="1"/>
  <c r="Y1380" i="1"/>
  <c r="Z1380" i="1" s="1"/>
  <c r="Y1381" i="1"/>
  <c r="Z1381" i="1" s="1"/>
  <c r="Y1382" i="1"/>
  <c r="Z1382" i="1" s="1"/>
  <c r="Y1383" i="1"/>
  <c r="AA1383" i="1" s="1"/>
  <c r="Y1384" i="1"/>
  <c r="AA1384" i="1" s="1"/>
  <c r="Y1385" i="1"/>
  <c r="AA1385" i="1" s="1"/>
  <c r="Y1386" i="1"/>
  <c r="Z1386" i="1" s="1"/>
  <c r="Y1387" i="1"/>
  <c r="AA1387" i="1" s="1"/>
  <c r="Y1388" i="1"/>
  <c r="AA1388" i="1" s="1"/>
  <c r="Y1389" i="1"/>
  <c r="Z1389" i="1" s="1"/>
  <c r="Y1390" i="1"/>
  <c r="AA1390" i="1" s="1"/>
  <c r="Y1391" i="1"/>
  <c r="Z1391" i="1" s="1"/>
  <c r="Y1392" i="1"/>
  <c r="Z1392" i="1" s="1"/>
  <c r="Y1393" i="1"/>
  <c r="AA1393" i="1" s="1"/>
  <c r="Y1394" i="1"/>
  <c r="AA1394" i="1" s="1"/>
  <c r="Y1395" i="1"/>
  <c r="AA1395" i="1" s="1"/>
  <c r="Y1396" i="1"/>
  <c r="Z1396" i="1" s="1"/>
  <c r="Y1397" i="1"/>
  <c r="AA1397" i="1" s="1"/>
  <c r="Y1398" i="1"/>
  <c r="Y1399" i="1"/>
  <c r="AA1399" i="1" s="1"/>
  <c r="Y1400" i="1"/>
  <c r="AA1400" i="1" s="1"/>
  <c r="Y1401" i="1"/>
  <c r="Z1401" i="1" s="1"/>
  <c r="Y1402" i="1"/>
  <c r="Z1402" i="1" s="1"/>
  <c r="Y1403" i="1"/>
  <c r="Z1403" i="1" s="1"/>
  <c r="Y1404" i="1"/>
  <c r="Z1404" i="1" s="1"/>
  <c r="Y1405" i="1"/>
  <c r="AA1405" i="1" s="1"/>
  <c r="Y1406" i="1"/>
  <c r="Z1406" i="1" s="1"/>
  <c r="Y1407" i="1"/>
  <c r="Z1407" i="1" s="1"/>
  <c r="Y1408" i="1"/>
  <c r="AA1408" i="1" s="1"/>
  <c r="Y1409" i="1"/>
  <c r="AA1409" i="1" s="1"/>
  <c r="Y1410" i="1"/>
  <c r="Y1411" i="1"/>
  <c r="AA1411" i="1" s="1"/>
  <c r="Y1412" i="1"/>
  <c r="AA1412" i="1" s="1"/>
  <c r="Y1413" i="1"/>
  <c r="Z1413" i="1" s="1"/>
  <c r="Y1414" i="1"/>
  <c r="Z1414" i="1" s="1"/>
  <c r="Y1415" i="1"/>
  <c r="Z1415" i="1" s="1"/>
  <c r="Y1416" i="1"/>
  <c r="Z1416" i="1" s="1"/>
  <c r="Y1417" i="1"/>
  <c r="AA1417" i="1" s="1"/>
  <c r="Y1418" i="1"/>
  <c r="AA1418" i="1" s="1"/>
  <c r="Y1419" i="1"/>
  <c r="Z1419" i="1" s="1"/>
  <c r="Y1420" i="1"/>
  <c r="Z1420" i="1" s="1"/>
  <c r="Y1421" i="1"/>
  <c r="AA1421" i="1" s="1"/>
  <c r="Y1422" i="1"/>
  <c r="Z1422" i="1" s="1"/>
  <c r="Y1423" i="1"/>
  <c r="AA1423" i="1" s="1"/>
  <c r="Y1424" i="1"/>
  <c r="AA1424" i="1" s="1"/>
  <c r="Z1373" i="1"/>
  <c r="Z1374" i="1"/>
  <c r="Z1385" i="1"/>
  <c r="Z1387" i="1"/>
  <c r="Z1397" i="1"/>
  <c r="Z1398" i="1"/>
  <c r="Z1399" i="1"/>
  <c r="Z1409" i="1"/>
  <c r="Z1410" i="1"/>
  <c r="Z1411" i="1"/>
  <c r="Z1423" i="1"/>
  <c r="AA1374" i="1"/>
  <c r="AA1380" i="1"/>
  <c r="AA1382" i="1"/>
  <c r="AA1386" i="1"/>
  <c r="AA1398" i="1"/>
  <c r="AA1410" i="1"/>
  <c r="AA1422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A1372" i="1" l="1"/>
  <c r="Z1370" i="1"/>
  <c r="Z1384" i="1"/>
  <c r="Z1408" i="1"/>
  <c r="AA1420" i="1"/>
  <c r="AA1407" i="1"/>
  <c r="Z1368" i="1"/>
  <c r="Z1405" i="1"/>
  <c r="AA1403" i="1"/>
  <c r="Z1393" i="1"/>
  <c r="Z1395" i="1"/>
  <c r="Z1417" i="1"/>
  <c r="AA1391" i="1"/>
  <c r="Z1421" i="1"/>
  <c r="AA1419" i="1"/>
  <c r="Z1418" i="1"/>
  <c r="AA1416" i="1"/>
  <c r="AA1415" i="1"/>
  <c r="AA1406" i="1"/>
  <c r="AA1404" i="1"/>
  <c r="AA1396" i="1"/>
  <c r="Z1394" i="1"/>
  <c r="AA1392" i="1"/>
  <c r="Z1383" i="1"/>
  <c r="AA1381" i="1"/>
  <c r="AA1379" i="1"/>
  <c r="Z1375" i="1"/>
  <c r="AA1371" i="1"/>
  <c r="AA1369" i="1"/>
  <c r="AA1367" i="1"/>
  <c r="Z1363" i="1"/>
  <c r="AA1362" i="1"/>
  <c r="Z1424" i="1"/>
  <c r="Z1412" i="1"/>
  <c r="Z1400" i="1"/>
  <c r="Z1388" i="1"/>
  <c r="Z1376" i="1"/>
  <c r="Z1364" i="1"/>
  <c r="AA1402" i="1"/>
  <c r="AA1378" i="1"/>
  <c r="AA1366" i="1"/>
  <c r="AA1413" i="1"/>
  <c r="AA1401" i="1"/>
  <c r="AA1377" i="1"/>
  <c r="AA1365" i="1"/>
  <c r="AA1389" i="1"/>
  <c r="AA1414" i="1"/>
  <c r="Z1390" i="1"/>
  <c r="A1297" i="1"/>
  <c r="B1297" i="1" s="1"/>
  <c r="A1298" i="1"/>
  <c r="B1298" i="1" s="1"/>
  <c r="A1299" i="1"/>
  <c r="B1299" i="1" s="1"/>
  <c r="A1300" i="1"/>
  <c r="B1300" i="1" s="1"/>
  <c r="A1301" i="1"/>
  <c r="B1301" i="1" s="1"/>
  <c r="A1302" i="1"/>
  <c r="B1302" i="1" s="1"/>
  <c r="A1303" i="1"/>
  <c r="B1303" i="1" s="1"/>
  <c r="A1304" i="1"/>
  <c r="B1304" i="1" s="1"/>
  <c r="A1305" i="1"/>
  <c r="A1306" i="1"/>
  <c r="B1306" i="1" s="1"/>
  <c r="A1307" i="1"/>
  <c r="B1307" i="1" s="1"/>
  <c r="A1308" i="1"/>
  <c r="B1308" i="1" s="1"/>
  <c r="A1309" i="1"/>
  <c r="B1309" i="1" s="1"/>
  <c r="A1310" i="1"/>
  <c r="B1310" i="1" s="1"/>
  <c r="A1311" i="1"/>
  <c r="B1311" i="1" s="1"/>
  <c r="A1312" i="1"/>
  <c r="B1312" i="1" s="1"/>
  <c r="A1313" i="1"/>
  <c r="B1313" i="1" s="1"/>
  <c r="A1314" i="1"/>
  <c r="A1315" i="1"/>
  <c r="B1315" i="1" s="1"/>
  <c r="A1316" i="1"/>
  <c r="B1316" i="1" s="1"/>
  <c r="A1317" i="1"/>
  <c r="A1318" i="1"/>
  <c r="B1318" i="1" s="1"/>
  <c r="A1319" i="1"/>
  <c r="B1319" i="1" s="1"/>
  <c r="A1320" i="1"/>
  <c r="B1320" i="1" s="1"/>
  <c r="A1321" i="1"/>
  <c r="B1321" i="1" s="1"/>
  <c r="A1322" i="1"/>
  <c r="B1322" i="1" s="1"/>
  <c r="A1323" i="1"/>
  <c r="B1323" i="1" s="1"/>
  <c r="A1324" i="1"/>
  <c r="B1324" i="1" s="1"/>
  <c r="A1325" i="1"/>
  <c r="B1325" i="1" s="1"/>
  <c r="A1326" i="1"/>
  <c r="B1326" i="1" s="1"/>
  <c r="A1327" i="1"/>
  <c r="B1327" i="1" s="1"/>
  <c r="A1328" i="1"/>
  <c r="B1328" i="1" s="1"/>
  <c r="A1329" i="1"/>
  <c r="A1330" i="1"/>
  <c r="B1330" i="1" s="1"/>
  <c r="A1331" i="1"/>
  <c r="B1331" i="1" s="1"/>
  <c r="A1332" i="1"/>
  <c r="B1332" i="1" s="1"/>
  <c r="A1333" i="1"/>
  <c r="B1333" i="1" s="1"/>
  <c r="A1334" i="1"/>
  <c r="B1334" i="1" s="1"/>
  <c r="A1335" i="1"/>
  <c r="B1335" i="1" s="1"/>
  <c r="A1336" i="1"/>
  <c r="B1336" i="1" s="1"/>
  <c r="A1337" i="1"/>
  <c r="B1337" i="1" s="1"/>
  <c r="A1338" i="1"/>
  <c r="B1338" i="1" s="1"/>
  <c r="A1339" i="1"/>
  <c r="B1339" i="1" s="1"/>
  <c r="A1340" i="1"/>
  <c r="B1340" i="1" s="1"/>
  <c r="A1341" i="1"/>
  <c r="A1342" i="1"/>
  <c r="B1342" i="1" s="1"/>
  <c r="A1343" i="1"/>
  <c r="B1343" i="1" s="1"/>
  <c r="A1344" i="1"/>
  <c r="B1344" i="1" s="1"/>
  <c r="A1345" i="1"/>
  <c r="B1345" i="1" s="1"/>
  <c r="A1346" i="1"/>
  <c r="B1346" i="1" s="1"/>
  <c r="A1347" i="1"/>
  <c r="B1347" i="1" s="1"/>
  <c r="A1348" i="1"/>
  <c r="B1348" i="1" s="1"/>
  <c r="A1349" i="1"/>
  <c r="B1349" i="1" s="1"/>
  <c r="A1350" i="1"/>
  <c r="A1351" i="1"/>
  <c r="B1351" i="1" s="1"/>
  <c r="A1352" i="1"/>
  <c r="B1352" i="1" s="1"/>
  <c r="A1353" i="1"/>
  <c r="A1354" i="1"/>
  <c r="B1354" i="1" s="1"/>
  <c r="A1355" i="1"/>
  <c r="B1355" i="1" s="1"/>
  <c r="A1356" i="1"/>
  <c r="B1356" i="1" s="1"/>
  <c r="A1357" i="1"/>
  <c r="B1357" i="1" s="1"/>
  <c r="A1358" i="1"/>
  <c r="B1358" i="1" s="1"/>
  <c r="A1359" i="1"/>
  <c r="B1359" i="1" s="1"/>
  <c r="A1360" i="1"/>
  <c r="B1360" i="1" s="1"/>
  <c r="A1361" i="1"/>
  <c r="B1361" i="1" s="1"/>
  <c r="B1305" i="1"/>
  <c r="B1314" i="1"/>
  <c r="B1317" i="1"/>
  <c r="B1329" i="1"/>
  <c r="B1341" i="1"/>
  <c r="B1350" i="1"/>
  <c r="B1353" i="1"/>
  <c r="Y1297" i="1"/>
  <c r="Z1297" i="1" s="1"/>
  <c r="Y1298" i="1"/>
  <c r="Z1298" i="1" s="1"/>
  <c r="Y1299" i="1"/>
  <c r="AA1299" i="1" s="1"/>
  <c r="Y1300" i="1"/>
  <c r="Z1300" i="1" s="1"/>
  <c r="Y1301" i="1"/>
  <c r="AA1301" i="1" s="1"/>
  <c r="Y1302" i="1"/>
  <c r="AA1302" i="1" s="1"/>
  <c r="Y1303" i="1"/>
  <c r="Z1303" i="1" s="1"/>
  <c r="Y1304" i="1"/>
  <c r="AA1304" i="1" s="1"/>
  <c r="Y1305" i="1"/>
  <c r="AA1305" i="1" s="1"/>
  <c r="Y1306" i="1"/>
  <c r="Z1306" i="1" s="1"/>
  <c r="Y1307" i="1"/>
  <c r="Y1308" i="1"/>
  <c r="Z1308" i="1" s="1"/>
  <c r="Y1309" i="1"/>
  <c r="Z1309" i="1" s="1"/>
  <c r="Y1310" i="1"/>
  <c r="AA1310" i="1" s="1"/>
  <c r="Y1311" i="1"/>
  <c r="AA1311" i="1" s="1"/>
  <c r="Y1312" i="1"/>
  <c r="Z1312" i="1" s="1"/>
  <c r="Y1313" i="1"/>
  <c r="AA1313" i="1" s="1"/>
  <c r="Y1314" i="1"/>
  <c r="AA1314" i="1" s="1"/>
  <c r="Y1315" i="1"/>
  <c r="Z1315" i="1" s="1"/>
  <c r="Y1316" i="1"/>
  <c r="AA1316" i="1" s="1"/>
  <c r="Y1317" i="1"/>
  <c r="AA1317" i="1" s="1"/>
  <c r="Y1318" i="1"/>
  <c r="Z1318" i="1" s="1"/>
  <c r="Y1319" i="1"/>
  <c r="Y1320" i="1"/>
  <c r="Z1320" i="1" s="1"/>
  <c r="Y1321" i="1"/>
  <c r="Z1321" i="1" s="1"/>
  <c r="Y1322" i="1"/>
  <c r="Z1322" i="1" s="1"/>
  <c r="Y1323" i="1"/>
  <c r="Z1323" i="1" s="1"/>
  <c r="Y1324" i="1"/>
  <c r="Z1324" i="1" s="1"/>
  <c r="Y1325" i="1"/>
  <c r="Z1325" i="1" s="1"/>
  <c r="Y1326" i="1"/>
  <c r="Z1326" i="1" s="1"/>
  <c r="Y1327" i="1"/>
  <c r="Z1327" i="1" s="1"/>
  <c r="Y1328" i="1"/>
  <c r="AA1328" i="1" s="1"/>
  <c r="Y1329" i="1"/>
  <c r="AA1329" i="1" s="1"/>
  <c r="Y1330" i="1"/>
  <c r="Z1330" i="1" s="1"/>
  <c r="Y1331" i="1"/>
  <c r="Z1331" i="1" s="1"/>
  <c r="Y1332" i="1"/>
  <c r="Z1332" i="1" s="1"/>
  <c r="Y1333" i="1"/>
  <c r="Z1333" i="1" s="1"/>
  <c r="Y1334" i="1"/>
  <c r="Z1334" i="1" s="1"/>
  <c r="Y1335" i="1"/>
  <c r="AA1335" i="1" s="1"/>
  <c r="Y1336" i="1"/>
  <c r="Z1336" i="1" s="1"/>
  <c r="Y1337" i="1"/>
  <c r="AA1337" i="1" s="1"/>
  <c r="Y1338" i="1"/>
  <c r="Z1338" i="1" s="1"/>
  <c r="Y1339" i="1"/>
  <c r="AA1339" i="1" s="1"/>
  <c r="Y1340" i="1"/>
  <c r="AA1340" i="1" s="1"/>
  <c r="Y1341" i="1"/>
  <c r="AA1341" i="1" s="1"/>
  <c r="Y1342" i="1"/>
  <c r="Z1342" i="1" s="1"/>
  <c r="Y1343" i="1"/>
  <c r="Z1343" i="1" s="1"/>
  <c r="Y1344" i="1"/>
  <c r="AA1344" i="1" s="1"/>
  <c r="Y1345" i="1"/>
  <c r="Z1345" i="1" s="1"/>
  <c r="Y1346" i="1"/>
  <c r="AA1346" i="1" s="1"/>
  <c r="Y1347" i="1"/>
  <c r="Z1347" i="1" s="1"/>
  <c r="Y1348" i="1"/>
  <c r="Z1348" i="1" s="1"/>
  <c r="Y1349" i="1"/>
  <c r="AA1349" i="1" s="1"/>
  <c r="Y1350" i="1"/>
  <c r="Z1350" i="1" s="1"/>
  <c r="Y1351" i="1"/>
  <c r="Z1351" i="1" s="1"/>
  <c r="Y1352" i="1"/>
  <c r="AA1352" i="1" s="1"/>
  <c r="Y1353" i="1"/>
  <c r="AA1353" i="1" s="1"/>
  <c r="Y1354" i="1"/>
  <c r="Z1354" i="1" s="1"/>
  <c r="Y1355" i="1"/>
  <c r="Y1356" i="1"/>
  <c r="Z1356" i="1" s="1"/>
  <c r="Y1357" i="1"/>
  <c r="Z1357" i="1" s="1"/>
  <c r="Y1358" i="1"/>
  <c r="AA1358" i="1" s="1"/>
  <c r="Y1359" i="1"/>
  <c r="AA1359" i="1" s="1"/>
  <c r="Y1360" i="1"/>
  <c r="Z1360" i="1" s="1"/>
  <c r="Y1361" i="1"/>
  <c r="Z1361" i="1" s="1"/>
  <c r="Z1307" i="1"/>
  <c r="Z1319" i="1"/>
  <c r="Z1355" i="1"/>
  <c r="AA1307" i="1"/>
  <c r="AA1319" i="1"/>
  <c r="AA1355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Z1299" i="1" l="1"/>
  <c r="AA1336" i="1"/>
  <c r="Z1314" i="1"/>
  <c r="AA1312" i="1"/>
  <c r="AA1338" i="1"/>
  <c r="AA1361" i="1"/>
  <c r="Z1311" i="1"/>
  <c r="AA1360" i="1"/>
  <c r="Z1359" i="1"/>
  <c r="Z1353" i="1"/>
  <c r="Z1352" i="1"/>
  <c r="AA1351" i="1"/>
  <c r="AA1350" i="1"/>
  <c r="Z1349" i="1"/>
  <c r="AA1348" i="1"/>
  <c r="AA1347" i="1"/>
  <c r="AA1343" i="1"/>
  <c r="Z1341" i="1"/>
  <c r="Z1340" i="1"/>
  <c r="Z1339" i="1"/>
  <c r="Z1337" i="1"/>
  <c r="Z1335" i="1"/>
  <c r="AA1331" i="1"/>
  <c r="Z1329" i="1"/>
  <c r="Z1328" i="1"/>
  <c r="AA1327" i="1"/>
  <c r="AA1326" i="1"/>
  <c r="AA1325" i="1"/>
  <c r="AA1324" i="1"/>
  <c r="AA1323" i="1"/>
  <c r="Z1317" i="1"/>
  <c r="Z1316" i="1"/>
  <c r="AA1315" i="1"/>
  <c r="Z1313" i="1"/>
  <c r="Z1305" i="1"/>
  <c r="Z1304" i="1"/>
  <c r="AA1303" i="1"/>
  <c r="Z1302" i="1"/>
  <c r="Z1301" i="1"/>
  <c r="AA1300" i="1"/>
  <c r="AA1334" i="1"/>
  <c r="AA1298" i="1"/>
  <c r="AA1357" i="1"/>
  <c r="AA1345" i="1"/>
  <c r="AA1333" i="1"/>
  <c r="AA1321" i="1"/>
  <c r="AA1309" i="1"/>
  <c r="AA1297" i="1"/>
  <c r="AA1308" i="1"/>
  <c r="AA1322" i="1"/>
  <c r="AA1332" i="1"/>
  <c r="AA1330" i="1"/>
  <c r="Z1358" i="1"/>
  <c r="Z1346" i="1"/>
  <c r="Z1310" i="1"/>
  <c r="AA1354" i="1"/>
  <c r="AA1318" i="1"/>
  <c r="AA1356" i="1"/>
  <c r="AA1320" i="1"/>
  <c r="AA1342" i="1"/>
  <c r="AA1306" i="1"/>
  <c r="Z1344" i="1"/>
  <c r="A1268" i="1"/>
  <c r="B1268" i="1" s="1"/>
  <c r="A1269" i="1"/>
  <c r="B1269" i="1" s="1"/>
  <c r="A1270" i="1"/>
  <c r="A1271" i="1"/>
  <c r="A1272" i="1"/>
  <c r="B1272" i="1" s="1"/>
  <c r="A1273" i="1"/>
  <c r="B1273" i="1" s="1"/>
  <c r="A1274" i="1"/>
  <c r="B1274" i="1" s="1"/>
  <c r="A1275" i="1"/>
  <c r="B1275" i="1" s="1"/>
  <c r="A1276" i="1"/>
  <c r="B1276" i="1" s="1"/>
  <c r="A1277" i="1"/>
  <c r="B1277" i="1" s="1"/>
  <c r="A1278" i="1"/>
  <c r="B1278" i="1" s="1"/>
  <c r="A1279" i="1"/>
  <c r="B1279" i="1" s="1"/>
  <c r="A1280" i="1"/>
  <c r="A1281" i="1"/>
  <c r="B1281" i="1" s="1"/>
  <c r="A1282" i="1"/>
  <c r="A1283" i="1"/>
  <c r="B1283" i="1" s="1"/>
  <c r="A1284" i="1"/>
  <c r="B1284" i="1" s="1"/>
  <c r="A1285" i="1"/>
  <c r="B1285" i="1" s="1"/>
  <c r="A1286" i="1"/>
  <c r="B1286" i="1" s="1"/>
  <c r="A1287" i="1"/>
  <c r="B1287" i="1" s="1"/>
  <c r="A1288" i="1"/>
  <c r="B1288" i="1" s="1"/>
  <c r="A1289" i="1"/>
  <c r="B1289" i="1" s="1"/>
  <c r="A1290" i="1"/>
  <c r="B1290" i="1" s="1"/>
  <c r="A1291" i="1"/>
  <c r="B1291" i="1" s="1"/>
  <c r="A1292" i="1"/>
  <c r="B1292" i="1" s="1"/>
  <c r="A1293" i="1"/>
  <c r="B1293" i="1" s="1"/>
  <c r="A1294" i="1"/>
  <c r="A1295" i="1"/>
  <c r="B1295" i="1" s="1"/>
  <c r="A1296" i="1"/>
  <c r="B1296" i="1" s="1"/>
  <c r="B1270" i="1"/>
  <c r="B1271" i="1"/>
  <c r="B1280" i="1"/>
  <c r="B1282" i="1"/>
  <c r="B1294" i="1"/>
  <c r="Y1268" i="1"/>
  <c r="AA1268" i="1" s="1"/>
  <c r="Y1269" i="1"/>
  <c r="Z1269" i="1" s="1"/>
  <c r="Y1270" i="1"/>
  <c r="Z1270" i="1" s="1"/>
  <c r="Y1271" i="1"/>
  <c r="Z1271" i="1" s="1"/>
  <c r="Y1272" i="1"/>
  <c r="AA1272" i="1" s="1"/>
  <c r="Y1273" i="1"/>
  <c r="AA1273" i="1" s="1"/>
  <c r="Y1274" i="1"/>
  <c r="AA1274" i="1" s="1"/>
  <c r="Y1275" i="1"/>
  <c r="Z1275" i="1" s="1"/>
  <c r="Y1276" i="1"/>
  <c r="Z1276" i="1" s="1"/>
  <c r="Y1277" i="1"/>
  <c r="Z1277" i="1" s="1"/>
  <c r="Y1278" i="1"/>
  <c r="Z1278" i="1" s="1"/>
  <c r="Y1279" i="1"/>
  <c r="Z1279" i="1" s="1"/>
  <c r="Y1280" i="1"/>
  <c r="Z1280" i="1" s="1"/>
  <c r="Y1281" i="1"/>
  <c r="Z1281" i="1" s="1"/>
  <c r="Y1282" i="1"/>
  <c r="Z1282" i="1" s="1"/>
  <c r="Y1283" i="1"/>
  <c r="AA1283" i="1" s="1"/>
  <c r="Y1284" i="1"/>
  <c r="AA1284" i="1" s="1"/>
  <c r="Y1285" i="1"/>
  <c r="AA1285" i="1" s="1"/>
  <c r="Y1286" i="1"/>
  <c r="AA1286" i="1" s="1"/>
  <c r="Y1287" i="1"/>
  <c r="AA1287" i="1" s="1"/>
  <c r="Y1288" i="1"/>
  <c r="AA1288" i="1" s="1"/>
  <c r="Y1289" i="1"/>
  <c r="Z1289" i="1" s="1"/>
  <c r="Y1290" i="1"/>
  <c r="Z1290" i="1" s="1"/>
  <c r="Y1291" i="1"/>
  <c r="AA1291" i="1" s="1"/>
  <c r="Y1292" i="1"/>
  <c r="Z1292" i="1" s="1"/>
  <c r="Y1293" i="1"/>
  <c r="Z1293" i="1" s="1"/>
  <c r="Y1294" i="1"/>
  <c r="Z1294" i="1" s="1"/>
  <c r="Y1295" i="1"/>
  <c r="Z1295" i="1" s="1"/>
  <c r="Y1296" i="1"/>
  <c r="AA1296" i="1" s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Z1272" i="1" l="1"/>
  <c r="AA1271" i="1"/>
  <c r="AA1294" i="1"/>
  <c r="AA1282" i="1"/>
  <c r="AA1270" i="1"/>
  <c r="Z1283" i="1"/>
  <c r="AA1279" i="1"/>
  <c r="Z1285" i="1"/>
  <c r="AA1295" i="1"/>
  <c r="Z1291" i="1"/>
  <c r="AA1292" i="1"/>
  <c r="Z1273" i="1"/>
  <c r="Z1296" i="1"/>
  <c r="Z1288" i="1"/>
  <c r="Z1287" i="1"/>
  <c r="Z1284" i="1"/>
  <c r="AA1280" i="1"/>
  <c r="AA1276" i="1"/>
  <c r="AA1275" i="1"/>
  <c r="Z1268" i="1"/>
  <c r="AA1293" i="1"/>
  <c r="AA1281" i="1"/>
  <c r="AA1269" i="1"/>
  <c r="Z1286" i="1"/>
  <c r="Z1274" i="1"/>
  <c r="AA1290" i="1"/>
  <c r="AA1278" i="1"/>
  <c r="AA1289" i="1"/>
  <c r="AA1277" i="1"/>
  <c r="A1227" i="1"/>
  <c r="B1227" i="1" s="1"/>
  <c r="A1228" i="1"/>
  <c r="B1228" i="1" s="1"/>
  <c r="A1229" i="1"/>
  <c r="B1229" i="1" s="1"/>
  <c r="A1230" i="1"/>
  <c r="B1230" i="1" s="1"/>
  <c r="A1231" i="1"/>
  <c r="A1232" i="1"/>
  <c r="B1232" i="1" s="1"/>
  <c r="A1233" i="1"/>
  <c r="B1233" i="1" s="1"/>
  <c r="A1234" i="1"/>
  <c r="B1234" i="1" s="1"/>
  <c r="A1235" i="1"/>
  <c r="B1235" i="1" s="1"/>
  <c r="A1236" i="1"/>
  <c r="B1236" i="1" s="1"/>
  <c r="A1237" i="1"/>
  <c r="B1237" i="1" s="1"/>
  <c r="A1238" i="1"/>
  <c r="B1238" i="1" s="1"/>
  <c r="A1239" i="1"/>
  <c r="B1239" i="1" s="1"/>
  <c r="A1240" i="1"/>
  <c r="B1240" i="1" s="1"/>
  <c r="A1241" i="1"/>
  <c r="B1241" i="1" s="1"/>
  <c r="A1242" i="1"/>
  <c r="B1242" i="1" s="1"/>
  <c r="A1243" i="1"/>
  <c r="A1244" i="1"/>
  <c r="B1244" i="1" s="1"/>
  <c r="A1245" i="1"/>
  <c r="B1245" i="1" s="1"/>
  <c r="A1246" i="1"/>
  <c r="B1246" i="1" s="1"/>
  <c r="A1247" i="1"/>
  <c r="B1247" i="1" s="1"/>
  <c r="A1248" i="1"/>
  <c r="B1248" i="1" s="1"/>
  <c r="A1249" i="1"/>
  <c r="B1249" i="1" s="1"/>
  <c r="A1250" i="1"/>
  <c r="B1250" i="1" s="1"/>
  <c r="A1251" i="1"/>
  <c r="B1251" i="1" s="1"/>
  <c r="A1252" i="1"/>
  <c r="B1252" i="1" s="1"/>
  <c r="A1253" i="1"/>
  <c r="B1253" i="1" s="1"/>
  <c r="A1254" i="1"/>
  <c r="B1254" i="1" s="1"/>
  <c r="A1255" i="1"/>
  <c r="B1255" i="1" s="1"/>
  <c r="A1256" i="1"/>
  <c r="B1256" i="1" s="1"/>
  <c r="A1257" i="1"/>
  <c r="B1257" i="1" s="1"/>
  <c r="A1258" i="1"/>
  <c r="B1258" i="1" s="1"/>
  <c r="A1259" i="1"/>
  <c r="B1259" i="1" s="1"/>
  <c r="A1260" i="1"/>
  <c r="B1260" i="1" s="1"/>
  <c r="A1261" i="1"/>
  <c r="B1261" i="1" s="1"/>
  <c r="A1262" i="1"/>
  <c r="B1262" i="1" s="1"/>
  <c r="A1263" i="1"/>
  <c r="B1263" i="1" s="1"/>
  <c r="A1264" i="1"/>
  <c r="B1264" i="1" s="1"/>
  <c r="A1265" i="1"/>
  <c r="B1265" i="1" s="1"/>
  <c r="A1266" i="1"/>
  <c r="B1266" i="1" s="1"/>
  <c r="A1267" i="1"/>
  <c r="B1267" i="1" s="1"/>
  <c r="B1231" i="1"/>
  <c r="B1243" i="1"/>
  <c r="Y1227" i="1"/>
  <c r="Z1227" i="1" s="1"/>
  <c r="Y1228" i="1"/>
  <c r="Z1228" i="1" s="1"/>
  <c r="Y1229" i="1"/>
  <c r="AA1229" i="1" s="1"/>
  <c r="Y1230" i="1"/>
  <c r="Z1230" i="1" s="1"/>
  <c r="Y1231" i="1"/>
  <c r="Z1231" i="1" s="1"/>
  <c r="Y1232" i="1"/>
  <c r="AA1232" i="1" s="1"/>
  <c r="Y1233" i="1"/>
  <c r="AA1233" i="1" s="1"/>
  <c r="Y1234" i="1"/>
  <c r="AA1234" i="1" s="1"/>
  <c r="Y1235" i="1"/>
  <c r="AA1235" i="1" s="1"/>
  <c r="Y1236" i="1"/>
  <c r="AA1236" i="1" s="1"/>
  <c r="Y1237" i="1"/>
  <c r="Z1237" i="1" s="1"/>
  <c r="Y1238" i="1"/>
  <c r="Z1238" i="1" s="1"/>
  <c r="Y1239" i="1"/>
  <c r="Z1239" i="1" s="1"/>
  <c r="Y1240" i="1"/>
  <c r="Z1240" i="1" s="1"/>
  <c r="Y1241" i="1"/>
  <c r="AA1241" i="1" s="1"/>
  <c r="Y1242" i="1"/>
  <c r="Z1242" i="1" s="1"/>
  <c r="Y1243" i="1"/>
  <c r="Z1243" i="1" s="1"/>
  <c r="Y1244" i="1"/>
  <c r="AA1244" i="1" s="1"/>
  <c r="Y1245" i="1"/>
  <c r="AA1245" i="1" s="1"/>
  <c r="Y1246" i="1"/>
  <c r="AA1246" i="1" s="1"/>
  <c r="Y1247" i="1"/>
  <c r="AA1247" i="1" s="1"/>
  <c r="Y1248" i="1"/>
  <c r="AA1248" i="1" s="1"/>
  <c r="Y1249" i="1"/>
  <c r="Z1249" i="1" s="1"/>
  <c r="Y1250" i="1"/>
  <c r="AA1250" i="1" s="1"/>
  <c r="Y1251" i="1"/>
  <c r="Z1251" i="1" s="1"/>
  <c r="Y1252" i="1"/>
  <c r="Z1252" i="1" s="1"/>
  <c r="Y1253" i="1"/>
  <c r="AA1253" i="1" s="1"/>
  <c r="Y1254" i="1"/>
  <c r="AA1254" i="1" s="1"/>
  <c r="Y1255" i="1"/>
  <c r="Z1255" i="1" s="1"/>
  <c r="Y1256" i="1"/>
  <c r="AA1256" i="1" s="1"/>
  <c r="Y1257" i="1"/>
  <c r="AA1257" i="1" s="1"/>
  <c r="Y1258" i="1"/>
  <c r="AA1258" i="1" s="1"/>
  <c r="Y1259" i="1"/>
  <c r="AA1259" i="1" s="1"/>
  <c r="Y1260" i="1"/>
  <c r="Z1260" i="1" s="1"/>
  <c r="Y1261" i="1"/>
  <c r="Z1261" i="1" s="1"/>
  <c r="Y1262" i="1"/>
  <c r="Z1262" i="1" s="1"/>
  <c r="Y1263" i="1"/>
  <c r="AA1263" i="1" s="1"/>
  <c r="Y1264" i="1"/>
  <c r="Z1264" i="1" s="1"/>
  <c r="Y1265" i="1"/>
  <c r="AA1265" i="1" s="1"/>
  <c r="Y1266" i="1"/>
  <c r="AA1266" i="1" s="1"/>
  <c r="Y1267" i="1"/>
  <c r="AA1267" i="1" s="1"/>
  <c r="Z1232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Z1233" i="1" l="1"/>
  <c r="AA1242" i="1"/>
  <c r="AA1239" i="1"/>
  <c r="AA1264" i="1"/>
  <c r="AA1252" i="1"/>
  <c r="Z1257" i="1"/>
  <c r="AA1230" i="1"/>
  <c r="Z1265" i="1"/>
  <c r="Z1256" i="1"/>
  <c r="Z1267" i="1"/>
  <c r="Z1266" i="1"/>
  <c r="Z1263" i="1"/>
  <c r="AA1255" i="1"/>
  <c r="Z1254" i="1"/>
  <c r="Z1253" i="1"/>
  <c r="AA1251" i="1"/>
  <c r="Z1245" i="1"/>
  <c r="Z1244" i="1"/>
  <c r="AA1243" i="1"/>
  <c r="Z1241" i="1"/>
  <c r="AA1240" i="1"/>
  <c r="AA1231" i="1"/>
  <c r="Z1229" i="1"/>
  <c r="AA1228" i="1"/>
  <c r="AA1227" i="1"/>
  <c r="AA1249" i="1"/>
  <c r="AA1260" i="1"/>
  <c r="Z1248" i="1"/>
  <c r="Z1236" i="1"/>
  <c r="Z1259" i="1"/>
  <c r="Z1247" i="1"/>
  <c r="Z1235" i="1"/>
  <c r="Z1258" i="1"/>
  <c r="Z1246" i="1"/>
  <c r="Z1234" i="1"/>
  <c r="AA1238" i="1"/>
  <c r="AA1261" i="1"/>
  <c r="AA1262" i="1"/>
  <c r="AA1237" i="1"/>
  <c r="Z1250" i="1"/>
  <c r="A1179" i="1"/>
  <c r="B1179" i="1" s="1"/>
  <c r="A1180" i="1"/>
  <c r="A1181" i="1"/>
  <c r="B1181" i="1" s="1"/>
  <c r="A1182" i="1"/>
  <c r="B1182" i="1" s="1"/>
  <c r="A1183" i="1"/>
  <c r="B1183" i="1" s="1"/>
  <c r="A1184" i="1"/>
  <c r="B1184" i="1" s="1"/>
  <c r="A1185" i="1"/>
  <c r="B1185" i="1" s="1"/>
  <c r="A1186" i="1"/>
  <c r="B1186" i="1" s="1"/>
  <c r="A1187" i="1"/>
  <c r="B1187" i="1" s="1"/>
  <c r="A1188" i="1"/>
  <c r="B1188" i="1" s="1"/>
  <c r="A1189" i="1"/>
  <c r="B1189" i="1" s="1"/>
  <c r="A1190" i="1"/>
  <c r="B1190" i="1" s="1"/>
  <c r="A1191" i="1"/>
  <c r="B1191" i="1" s="1"/>
  <c r="A1192" i="1"/>
  <c r="A1193" i="1"/>
  <c r="B1193" i="1" s="1"/>
  <c r="A1194" i="1"/>
  <c r="B1194" i="1" s="1"/>
  <c r="A1195" i="1"/>
  <c r="B1195" i="1" s="1"/>
  <c r="A1196" i="1"/>
  <c r="B1196" i="1" s="1"/>
  <c r="A1197" i="1"/>
  <c r="B1197" i="1" s="1"/>
  <c r="A1198" i="1"/>
  <c r="B1198" i="1" s="1"/>
  <c r="A1199" i="1"/>
  <c r="B1199" i="1" s="1"/>
  <c r="A1200" i="1"/>
  <c r="B1200" i="1" s="1"/>
  <c r="A1201" i="1"/>
  <c r="B1201" i="1" s="1"/>
  <c r="A1202" i="1"/>
  <c r="B1202" i="1" s="1"/>
  <c r="A1203" i="1"/>
  <c r="B1203" i="1" s="1"/>
  <c r="A1204" i="1"/>
  <c r="A1205" i="1"/>
  <c r="A1206" i="1"/>
  <c r="A1207" i="1"/>
  <c r="B1207" i="1" s="1"/>
  <c r="A1208" i="1"/>
  <c r="B1208" i="1" s="1"/>
  <c r="A1209" i="1"/>
  <c r="B1209" i="1" s="1"/>
  <c r="A1210" i="1"/>
  <c r="B1210" i="1" s="1"/>
  <c r="A1211" i="1"/>
  <c r="B1211" i="1" s="1"/>
  <c r="A1212" i="1"/>
  <c r="B1212" i="1" s="1"/>
  <c r="A1213" i="1"/>
  <c r="B1213" i="1" s="1"/>
  <c r="A1214" i="1"/>
  <c r="B1214" i="1" s="1"/>
  <c r="A1215" i="1"/>
  <c r="B1215" i="1" s="1"/>
  <c r="A1216" i="1"/>
  <c r="A1217" i="1"/>
  <c r="B1217" i="1" s="1"/>
  <c r="A1218" i="1"/>
  <c r="B1218" i="1" s="1"/>
  <c r="A1219" i="1"/>
  <c r="B1219" i="1" s="1"/>
  <c r="A1220" i="1"/>
  <c r="B1220" i="1" s="1"/>
  <c r="A1221" i="1"/>
  <c r="B1221" i="1" s="1"/>
  <c r="A1222" i="1"/>
  <c r="B1222" i="1" s="1"/>
  <c r="A1223" i="1"/>
  <c r="B1223" i="1" s="1"/>
  <c r="A1224" i="1"/>
  <c r="B1224" i="1" s="1"/>
  <c r="A1225" i="1"/>
  <c r="B1225" i="1" s="1"/>
  <c r="A1226" i="1"/>
  <c r="B1226" i="1" s="1"/>
  <c r="B1180" i="1"/>
  <c r="B1192" i="1"/>
  <c r="B1204" i="1"/>
  <c r="B1205" i="1"/>
  <c r="B1206" i="1"/>
  <c r="B1216" i="1"/>
  <c r="Y1179" i="1"/>
  <c r="AA1179" i="1" s="1"/>
  <c r="Y1180" i="1"/>
  <c r="Z1180" i="1" s="1"/>
  <c r="Y1181" i="1"/>
  <c r="Z1181" i="1" s="1"/>
  <c r="Y1182" i="1"/>
  <c r="Z1182" i="1" s="1"/>
  <c r="Y1183" i="1"/>
  <c r="Z1183" i="1" s="1"/>
  <c r="Y1184" i="1"/>
  <c r="Z1184" i="1" s="1"/>
  <c r="Y1185" i="1"/>
  <c r="Z1185" i="1" s="1"/>
  <c r="Y1186" i="1"/>
  <c r="Z1186" i="1" s="1"/>
  <c r="Y1187" i="1"/>
  <c r="Z1187" i="1" s="1"/>
  <c r="Y1188" i="1"/>
  <c r="AA1188" i="1" s="1"/>
  <c r="Y1189" i="1"/>
  <c r="Z1189" i="1" s="1"/>
  <c r="Y1190" i="1"/>
  <c r="Z1190" i="1" s="1"/>
  <c r="Y1191" i="1"/>
  <c r="AA1191" i="1" s="1"/>
  <c r="Y1192" i="1"/>
  <c r="Z1192" i="1" s="1"/>
  <c r="Y1193" i="1"/>
  <c r="Z1193" i="1" s="1"/>
  <c r="Y1194" i="1"/>
  <c r="Z1194" i="1" s="1"/>
  <c r="Y1195" i="1"/>
  <c r="AA1195" i="1" s="1"/>
  <c r="Y1196" i="1"/>
  <c r="Z1196" i="1" s="1"/>
  <c r="Y1197" i="1"/>
  <c r="Z1197" i="1" s="1"/>
  <c r="Y1198" i="1"/>
  <c r="Z1198" i="1" s="1"/>
  <c r="Y1199" i="1"/>
  <c r="AA1199" i="1" s="1"/>
  <c r="Y1200" i="1"/>
  <c r="AA1200" i="1" s="1"/>
  <c r="Y1201" i="1"/>
  <c r="AA1201" i="1" s="1"/>
  <c r="Y1202" i="1"/>
  <c r="Z1202" i="1" s="1"/>
  <c r="Y1203" i="1"/>
  <c r="AA1203" i="1" s="1"/>
  <c r="Y1204" i="1"/>
  <c r="AA1204" i="1" s="1"/>
  <c r="Y1205" i="1"/>
  <c r="AA1205" i="1" s="1"/>
  <c r="Y1206" i="1"/>
  <c r="AA1206" i="1" s="1"/>
  <c r="Y1207" i="1"/>
  <c r="Z1207" i="1" s="1"/>
  <c r="Y1208" i="1"/>
  <c r="AA1208" i="1" s="1"/>
  <c r="Y1209" i="1"/>
  <c r="AA1209" i="1" s="1"/>
  <c r="Y1210" i="1"/>
  <c r="AA1210" i="1" s="1"/>
  <c r="Y1211" i="1"/>
  <c r="Z1211" i="1" s="1"/>
  <c r="Y1212" i="1"/>
  <c r="Z1212" i="1" s="1"/>
  <c r="Y1213" i="1"/>
  <c r="Z1213" i="1" s="1"/>
  <c r="Y1214" i="1"/>
  <c r="AA1214" i="1" s="1"/>
  <c r="Y1215" i="1"/>
  <c r="Z1215" i="1" s="1"/>
  <c r="Y1216" i="1"/>
  <c r="Z1216" i="1" s="1"/>
  <c r="Y1217" i="1"/>
  <c r="Z1217" i="1" s="1"/>
  <c r="Y1218" i="1"/>
  <c r="AA1218" i="1" s="1"/>
  <c r="Y1219" i="1"/>
  <c r="Z1219" i="1" s="1"/>
  <c r="Y1220" i="1"/>
  <c r="Z1220" i="1" s="1"/>
  <c r="Y1221" i="1"/>
  <c r="Z1221" i="1" s="1"/>
  <c r="Y1222" i="1"/>
  <c r="Z1222" i="1" s="1"/>
  <c r="Y1223" i="1"/>
  <c r="Z1223" i="1" s="1"/>
  <c r="Y1224" i="1"/>
  <c r="AA1224" i="1" s="1"/>
  <c r="Y1225" i="1"/>
  <c r="Z1225" i="1" s="1"/>
  <c r="Y1226" i="1"/>
  <c r="AA1226" i="1" s="1"/>
  <c r="Z1179" i="1"/>
  <c r="Z1203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Z1226" i="1" l="1"/>
  <c r="Z1214" i="1"/>
  <c r="Z1191" i="1"/>
  <c r="Z1204" i="1"/>
  <c r="AA1211" i="1"/>
  <c r="AA1221" i="1"/>
  <c r="AA1217" i="1"/>
  <c r="AA1216" i="1"/>
  <c r="AA1215" i="1"/>
  <c r="AA1181" i="1"/>
  <c r="AA1180" i="1"/>
  <c r="Z1224" i="1"/>
  <c r="Z1195" i="1"/>
  <c r="AA1202" i="1"/>
  <c r="AA1198" i="1"/>
  <c r="AA1185" i="1"/>
  <c r="Z1205" i="1"/>
  <c r="AA1207" i="1"/>
  <c r="Z1206" i="1"/>
  <c r="AA1225" i="1"/>
  <c r="AA1223" i="1"/>
  <c r="AA1222" i="1"/>
  <c r="AA1220" i="1"/>
  <c r="AA1219" i="1"/>
  <c r="Z1218" i="1"/>
  <c r="AA1213" i="1"/>
  <c r="AA1212" i="1"/>
  <c r="Z1210" i="1"/>
  <c r="Z1209" i="1"/>
  <c r="Z1208" i="1"/>
  <c r="Z1201" i="1"/>
  <c r="Z1200" i="1"/>
  <c r="Z1199" i="1"/>
  <c r="AA1197" i="1"/>
  <c r="AA1196" i="1"/>
  <c r="AA1194" i="1"/>
  <c r="AA1193" i="1"/>
  <c r="AA1192" i="1"/>
  <c r="AA1190" i="1"/>
  <c r="AA1189" i="1"/>
  <c r="Z1188" i="1"/>
  <c r="AA1187" i="1"/>
  <c r="AA1186" i="1"/>
  <c r="AA1184" i="1"/>
  <c r="AA1183" i="1"/>
  <c r="AA1182" i="1"/>
  <c r="A1154" i="1"/>
  <c r="B1154" i="1" s="1"/>
  <c r="A1155" i="1"/>
  <c r="A1156" i="1"/>
  <c r="B1156" i="1" s="1"/>
  <c r="A1157" i="1"/>
  <c r="B1157" i="1" s="1"/>
  <c r="A1158" i="1"/>
  <c r="B1158" i="1" s="1"/>
  <c r="A1159" i="1"/>
  <c r="B1159" i="1" s="1"/>
  <c r="A1160" i="1"/>
  <c r="B1160" i="1" s="1"/>
  <c r="A1161" i="1"/>
  <c r="B1161" i="1" s="1"/>
  <c r="A1162" i="1"/>
  <c r="B1162" i="1" s="1"/>
  <c r="A1163" i="1"/>
  <c r="B1163" i="1" s="1"/>
  <c r="A1164" i="1"/>
  <c r="B1164" i="1" s="1"/>
  <c r="A1165" i="1"/>
  <c r="B1165" i="1" s="1"/>
  <c r="A1166" i="1"/>
  <c r="B1166" i="1" s="1"/>
  <c r="A1167" i="1"/>
  <c r="B1167" i="1" s="1"/>
  <c r="A1168" i="1"/>
  <c r="B1168" i="1" s="1"/>
  <c r="A1169" i="1"/>
  <c r="B1169" i="1" s="1"/>
  <c r="A1170" i="1"/>
  <c r="B1170" i="1" s="1"/>
  <c r="A1171" i="1"/>
  <c r="B1171" i="1" s="1"/>
  <c r="A1172" i="1"/>
  <c r="B1172" i="1" s="1"/>
  <c r="A1173" i="1"/>
  <c r="B1173" i="1" s="1"/>
  <c r="A1174" i="1"/>
  <c r="B1174" i="1" s="1"/>
  <c r="A1175" i="1"/>
  <c r="B1175" i="1" s="1"/>
  <c r="A1176" i="1"/>
  <c r="B1176" i="1" s="1"/>
  <c r="A1177" i="1"/>
  <c r="B1177" i="1" s="1"/>
  <c r="A1178" i="1"/>
  <c r="B1178" i="1" s="1"/>
  <c r="B1155" i="1"/>
  <c r="Y1154" i="1"/>
  <c r="Z1154" i="1" s="1"/>
  <c r="Y1155" i="1"/>
  <c r="AA1155" i="1" s="1"/>
  <c r="Y1156" i="1"/>
  <c r="Z1156" i="1" s="1"/>
  <c r="Y1157" i="1"/>
  <c r="Z1157" i="1" s="1"/>
  <c r="Y1158" i="1"/>
  <c r="AA1158" i="1" s="1"/>
  <c r="Y1159" i="1"/>
  <c r="Z1159" i="1" s="1"/>
  <c r="Y1160" i="1"/>
  <c r="Z1160" i="1" s="1"/>
  <c r="Y1161" i="1"/>
  <c r="AA1161" i="1" s="1"/>
  <c r="Y1162" i="1"/>
  <c r="AA1162" i="1" s="1"/>
  <c r="Y1163" i="1"/>
  <c r="Z1163" i="1" s="1"/>
  <c r="Y1164" i="1"/>
  <c r="Z1164" i="1" s="1"/>
  <c r="Y1165" i="1"/>
  <c r="Z1165" i="1" s="1"/>
  <c r="Y1166" i="1"/>
  <c r="Z1166" i="1" s="1"/>
  <c r="Y1167" i="1"/>
  <c r="AA1167" i="1" s="1"/>
  <c r="Y1168" i="1"/>
  <c r="Z1168" i="1" s="1"/>
  <c r="Y1169" i="1"/>
  <c r="Z1169" i="1" s="1"/>
  <c r="Y1170" i="1"/>
  <c r="AA1170" i="1" s="1"/>
  <c r="Y1171" i="1"/>
  <c r="Z1171" i="1" s="1"/>
  <c r="Y1172" i="1"/>
  <c r="Z1172" i="1" s="1"/>
  <c r="Y1173" i="1"/>
  <c r="Z1173" i="1" s="1"/>
  <c r="Y1174" i="1"/>
  <c r="AA1174" i="1" s="1"/>
  <c r="Y1175" i="1"/>
  <c r="Z1175" i="1" s="1"/>
  <c r="Y1176" i="1"/>
  <c r="Z1176" i="1" s="1"/>
  <c r="Y1177" i="1"/>
  <c r="Z1177" i="1" s="1"/>
  <c r="Y1178" i="1"/>
  <c r="Z1178" i="1" s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Z1167" i="1" l="1"/>
  <c r="AA1173" i="1"/>
  <c r="Z1161" i="1"/>
  <c r="Z1162" i="1"/>
  <c r="AA1177" i="1"/>
  <c r="AA1166" i="1"/>
  <c r="AA1178" i="1"/>
  <c r="AA1176" i="1"/>
  <c r="AA1156" i="1"/>
  <c r="AA1157" i="1"/>
  <c r="Z1155" i="1"/>
  <c r="Z1174" i="1"/>
  <c r="AA1160" i="1"/>
  <c r="AA1172" i="1"/>
  <c r="AA1169" i="1"/>
  <c r="Z1158" i="1"/>
  <c r="AA1168" i="1"/>
  <c r="AA1165" i="1"/>
  <c r="AA1164" i="1"/>
  <c r="Z1170" i="1"/>
  <c r="AA1154" i="1"/>
  <c r="AA1171" i="1"/>
  <c r="AA1159" i="1"/>
  <c r="AA1175" i="1"/>
  <c r="AA1163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B1104" i="1" s="1"/>
  <c r="A1105" i="1"/>
  <c r="B1105" i="1" s="1"/>
  <c r="A1106" i="1"/>
  <c r="B1106" i="1" s="1"/>
  <c r="A1107" i="1"/>
  <c r="B1107" i="1" s="1"/>
  <c r="A1108" i="1"/>
  <c r="B1108" i="1" s="1"/>
  <c r="A1109" i="1"/>
  <c r="B1109" i="1" s="1"/>
  <c r="A1110" i="1"/>
  <c r="B1110" i="1" s="1"/>
  <c r="A1111" i="1"/>
  <c r="B1111" i="1" s="1"/>
  <c r="A1112" i="1"/>
  <c r="B1112" i="1" s="1"/>
  <c r="A1113" i="1"/>
  <c r="B1113" i="1" s="1"/>
  <c r="A1114" i="1"/>
  <c r="B1114" i="1" s="1"/>
  <c r="A1115" i="1"/>
  <c r="B1115" i="1" s="1"/>
  <c r="A1116" i="1"/>
  <c r="B1116" i="1" s="1"/>
  <c r="A1117" i="1"/>
  <c r="B1117" i="1" s="1"/>
  <c r="A1118" i="1"/>
  <c r="B1118" i="1" s="1"/>
  <c r="A1119" i="1"/>
  <c r="B1119" i="1" s="1"/>
  <c r="A1120" i="1"/>
  <c r="B1120" i="1" s="1"/>
  <c r="A1121" i="1"/>
  <c r="B1121" i="1" s="1"/>
  <c r="A1122" i="1"/>
  <c r="B1122" i="1" s="1"/>
  <c r="A1123" i="1"/>
  <c r="B1123" i="1" s="1"/>
  <c r="A1124" i="1"/>
  <c r="B1124" i="1" s="1"/>
  <c r="A1125" i="1"/>
  <c r="B1125" i="1" s="1"/>
  <c r="A1126" i="1"/>
  <c r="B1126" i="1" s="1"/>
  <c r="A1127" i="1"/>
  <c r="B1127" i="1" s="1"/>
  <c r="A1128" i="1"/>
  <c r="B1128" i="1" s="1"/>
  <c r="A1129" i="1"/>
  <c r="B1129" i="1" s="1"/>
  <c r="A1130" i="1"/>
  <c r="B1130" i="1" s="1"/>
  <c r="A1131" i="1"/>
  <c r="B1131" i="1" s="1"/>
  <c r="A1132" i="1"/>
  <c r="B1132" i="1" s="1"/>
  <c r="A1133" i="1"/>
  <c r="B1133" i="1" s="1"/>
  <c r="A1134" i="1"/>
  <c r="B1134" i="1" s="1"/>
  <c r="A1135" i="1"/>
  <c r="B1135" i="1" s="1"/>
  <c r="A1136" i="1"/>
  <c r="B1136" i="1" s="1"/>
  <c r="A1137" i="1"/>
  <c r="B1137" i="1" s="1"/>
  <c r="A1138" i="1"/>
  <c r="B1138" i="1" s="1"/>
  <c r="A1139" i="1"/>
  <c r="B1139" i="1" s="1"/>
  <c r="A1140" i="1"/>
  <c r="B1140" i="1" s="1"/>
  <c r="A1141" i="1"/>
  <c r="B1141" i="1" s="1"/>
  <c r="A1142" i="1"/>
  <c r="B1142" i="1" s="1"/>
  <c r="A1143" i="1"/>
  <c r="B1143" i="1" s="1"/>
  <c r="A1144" i="1"/>
  <c r="B1144" i="1" s="1"/>
  <c r="A1145" i="1"/>
  <c r="B1145" i="1" s="1"/>
  <c r="A1146" i="1"/>
  <c r="B1146" i="1" s="1"/>
  <c r="A1147" i="1"/>
  <c r="B1147" i="1" s="1"/>
  <c r="A1148" i="1"/>
  <c r="B1148" i="1" s="1"/>
  <c r="A1149" i="1"/>
  <c r="B1149" i="1" s="1"/>
  <c r="A1150" i="1"/>
  <c r="B1150" i="1" s="1"/>
  <c r="A1151" i="1"/>
  <c r="B1151" i="1" s="1"/>
  <c r="A1152" i="1"/>
  <c r="B1152" i="1" s="1"/>
  <c r="A1153" i="1"/>
  <c r="B1153" i="1" s="1"/>
  <c r="A2" i="1"/>
  <c r="Y1104" i="1"/>
  <c r="AA1104" i="1" s="1"/>
  <c r="Y1105" i="1"/>
  <c r="AA1105" i="1" s="1"/>
  <c r="Y1106" i="1"/>
  <c r="AA1106" i="1" s="1"/>
  <c r="Y1107" i="1"/>
  <c r="Z1107" i="1" s="1"/>
  <c r="Y1108" i="1"/>
  <c r="AA1108" i="1" s="1"/>
  <c r="Y1109" i="1"/>
  <c r="AA1109" i="1" s="1"/>
  <c r="Y1110" i="1"/>
  <c r="Z1110" i="1" s="1"/>
  <c r="Y1111" i="1"/>
  <c r="Z1111" i="1" s="1"/>
  <c r="Y1112" i="1"/>
  <c r="AA1112" i="1" s="1"/>
  <c r="Y1113" i="1"/>
  <c r="AA1113" i="1" s="1"/>
  <c r="Y1114" i="1"/>
  <c r="Z1114" i="1" s="1"/>
  <c r="Y1115" i="1"/>
  <c r="Z1115" i="1" s="1"/>
  <c r="Y1116" i="1"/>
  <c r="AA1116" i="1" s="1"/>
  <c r="Y1117" i="1"/>
  <c r="AA1117" i="1" s="1"/>
  <c r="Y1118" i="1"/>
  <c r="AA1118" i="1" s="1"/>
  <c r="Y1119" i="1"/>
  <c r="AA1119" i="1" s="1"/>
  <c r="Y1120" i="1"/>
  <c r="AA1120" i="1" s="1"/>
  <c r="Y1121" i="1"/>
  <c r="AA1121" i="1" s="1"/>
  <c r="Y1122" i="1"/>
  <c r="Z1122" i="1" s="1"/>
  <c r="Y1123" i="1"/>
  <c r="Z1123" i="1" s="1"/>
  <c r="Y1124" i="1"/>
  <c r="Z1124" i="1" s="1"/>
  <c r="Y1125" i="1"/>
  <c r="AA1125" i="1" s="1"/>
  <c r="Y1126" i="1"/>
  <c r="AA1126" i="1" s="1"/>
  <c r="Y1127" i="1"/>
  <c r="Z1127" i="1" s="1"/>
  <c r="Y1128" i="1"/>
  <c r="Z1128" i="1" s="1"/>
  <c r="Y1129" i="1"/>
  <c r="Z1129" i="1" s="1"/>
  <c r="Y1130" i="1"/>
  <c r="Z1130" i="1" s="1"/>
  <c r="Y1131" i="1"/>
  <c r="AA1131" i="1" s="1"/>
  <c r="Y1132" i="1"/>
  <c r="Z1132" i="1" s="1"/>
  <c r="Y1133" i="1"/>
  <c r="AA1133" i="1" s="1"/>
  <c r="Y1134" i="1"/>
  <c r="Z1134" i="1" s="1"/>
  <c r="Y1135" i="1"/>
  <c r="Z1135" i="1" s="1"/>
  <c r="Y1136" i="1"/>
  <c r="Z1136" i="1" s="1"/>
  <c r="Y1137" i="1"/>
  <c r="Z1137" i="1" s="1"/>
  <c r="Y1138" i="1"/>
  <c r="Z1138" i="1" s="1"/>
  <c r="Y1139" i="1"/>
  <c r="Z1139" i="1" s="1"/>
  <c r="Y1140" i="1"/>
  <c r="AA1140" i="1" s="1"/>
  <c r="Y1141" i="1"/>
  <c r="AA1141" i="1" s="1"/>
  <c r="Y1142" i="1"/>
  <c r="Z1142" i="1" s="1"/>
  <c r="Y1143" i="1"/>
  <c r="Z1143" i="1" s="1"/>
  <c r="Y1144" i="1"/>
  <c r="Z1144" i="1" s="1"/>
  <c r="Y1145" i="1"/>
  <c r="AA1145" i="1" s="1"/>
  <c r="Y1146" i="1"/>
  <c r="Z1146" i="1" s="1"/>
  <c r="Y1147" i="1"/>
  <c r="AA1147" i="1" s="1"/>
  <c r="Y1148" i="1"/>
  <c r="Z1148" i="1" s="1"/>
  <c r="Y1149" i="1"/>
  <c r="AA1149" i="1" s="1"/>
  <c r="Y1150" i="1"/>
  <c r="AA1150" i="1" s="1"/>
  <c r="Y1151" i="1"/>
  <c r="Z1151" i="1" s="1"/>
  <c r="Y1152" i="1"/>
  <c r="Z1152" i="1" s="1"/>
  <c r="Y1153" i="1"/>
  <c r="Z1153" i="1" s="1"/>
  <c r="Z1106" i="1"/>
  <c r="AA1138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A1127" i="1" l="1"/>
  <c r="AA1115" i="1"/>
  <c r="AA1114" i="1"/>
  <c r="Z1150" i="1"/>
  <c r="Z1126" i="1"/>
  <c r="AA1151" i="1"/>
  <c r="AA1139" i="1"/>
  <c r="Z1105" i="1"/>
  <c r="Z1109" i="1"/>
  <c r="Z1104" i="1"/>
  <c r="AA1152" i="1"/>
  <c r="Z1112" i="1"/>
  <c r="AA1124" i="1"/>
  <c r="Z1121" i="1"/>
  <c r="Z1117" i="1"/>
  <c r="Z1116" i="1"/>
  <c r="Z1118" i="1"/>
  <c r="Z1119" i="1"/>
  <c r="AA1153" i="1"/>
  <c r="Z1113" i="1"/>
  <c r="AA1143" i="1"/>
  <c r="Z1140" i="1"/>
  <c r="Z1120" i="1"/>
  <c r="AA1132" i="1"/>
  <c r="AA1107" i="1"/>
  <c r="Z1131" i="1"/>
  <c r="Z1108" i="1"/>
  <c r="Z1141" i="1"/>
  <c r="AA1129" i="1"/>
  <c r="AA1136" i="1"/>
  <c r="AA1148" i="1"/>
  <c r="AA1130" i="1"/>
  <c r="Z1149" i="1"/>
  <c r="Z1133" i="1"/>
  <c r="Z1125" i="1"/>
  <c r="AA1144" i="1"/>
  <c r="AA1128" i="1"/>
  <c r="Z1145" i="1"/>
  <c r="AA1137" i="1"/>
  <c r="AA1142" i="1"/>
  <c r="AA1111" i="1"/>
  <c r="AA1135" i="1"/>
  <c r="AA1123" i="1"/>
  <c r="AA1146" i="1"/>
  <c r="AA1134" i="1"/>
  <c r="AA1122" i="1"/>
  <c r="AA1110" i="1"/>
  <c r="Z1147" i="1"/>
  <c r="B1050" i="1"/>
  <c r="B1051" i="1"/>
  <c r="B1052" i="1"/>
  <c r="B1053" i="1"/>
  <c r="B1058" i="1"/>
  <c r="B1059" i="1"/>
  <c r="B1060" i="1"/>
  <c r="B1061" i="1"/>
  <c r="B1062" i="1"/>
  <c r="B1063" i="1"/>
  <c r="B1068" i="1"/>
  <c r="B1070" i="1"/>
  <c r="B1071" i="1"/>
  <c r="B1072" i="1"/>
  <c r="B1073" i="1"/>
  <c r="B1074" i="1"/>
  <c r="B1075" i="1"/>
  <c r="B1076" i="1"/>
  <c r="B1077" i="1"/>
  <c r="B1082" i="1"/>
  <c r="B1083" i="1"/>
  <c r="B1084" i="1"/>
  <c r="B1085" i="1"/>
  <c r="B1086" i="1"/>
  <c r="B1087" i="1"/>
  <c r="B1092" i="1"/>
  <c r="B1094" i="1"/>
  <c r="B1095" i="1"/>
  <c r="B1096" i="1"/>
  <c r="B1097" i="1"/>
  <c r="B1098" i="1"/>
  <c r="B1099" i="1"/>
  <c r="B1100" i="1"/>
  <c r="B1101" i="1"/>
  <c r="B1054" i="1"/>
  <c r="B1055" i="1"/>
  <c r="B1056" i="1"/>
  <c r="B1057" i="1"/>
  <c r="B1064" i="1"/>
  <c r="B1065" i="1"/>
  <c r="B1066" i="1"/>
  <c r="B1067" i="1"/>
  <c r="B1069" i="1"/>
  <c r="B1078" i="1"/>
  <c r="B1079" i="1"/>
  <c r="B1080" i="1"/>
  <c r="B1081" i="1"/>
  <c r="B1088" i="1"/>
  <c r="B1089" i="1"/>
  <c r="B1090" i="1"/>
  <c r="B1091" i="1"/>
  <c r="B1093" i="1"/>
  <c r="B1102" i="1"/>
  <c r="B1103" i="1"/>
  <c r="Y1050" i="1"/>
  <c r="Z1050" i="1" s="1"/>
  <c r="Y1051" i="1"/>
  <c r="Z1051" i="1" s="1"/>
  <c r="Y1052" i="1"/>
  <c r="AA1052" i="1" s="1"/>
  <c r="Y1053" i="1"/>
  <c r="Z1053" i="1" s="1"/>
  <c r="Y1054" i="1"/>
  <c r="Z1054" i="1" s="1"/>
  <c r="Y1055" i="1"/>
  <c r="AA1055" i="1" s="1"/>
  <c r="Y1056" i="1"/>
  <c r="Z1056" i="1" s="1"/>
  <c r="Y1057" i="1"/>
  <c r="Z1057" i="1" s="1"/>
  <c r="Y1058" i="1"/>
  <c r="Z1058" i="1" s="1"/>
  <c r="Y1059" i="1"/>
  <c r="Z1059" i="1" s="1"/>
  <c r="Y1060" i="1"/>
  <c r="Z1060" i="1" s="1"/>
  <c r="Y1061" i="1"/>
  <c r="Z1061" i="1" s="1"/>
  <c r="Y1062" i="1"/>
  <c r="Z1062" i="1" s="1"/>
  <c r="Y1063" i="1"/>
  <c r="Z1063" i="1" s="1"/>
  <c r="Y1064" i="1"/>
  <c r="Z1064" i="1" s="1"/>
  <c r="Y1065" i="1"/>
  <c r="Z1065" i="1" s="1"/>
  <c r="Y1066" i="1"/>
  <c r="Z1066" i="1" s="1"/>
  <c r="Y1067" i="1"/>
  <c r="AA1067" i="1" s="1"/>
  <c r="Y1068" i="1"/>
  <c r="AA1068" i="1" s="1"/>
  <c r="Y1069" i="1"/>
  <c r="Z1069" i="1" s="1"/>
  <c r="Y1070" i="1"/>
  <c r="Z1070" i="1" s="1"/>
  <c r="Y1071" i="1"/>
  <c r="Z1071" i="1" s="1"/>
  <c r="Y1072" i="1"/>
  <c r="Z1072" i="1" s="1"/>
  <c r="Y1073" i="1"/>
  <c r="Z1073" i="1" s="1"/>
  <c r="Y1074" i="1"/>
  <c r="Z1074" i="1" s="1"/>
  <c r="Y1075" i="1"/>
  <c r="Z1075" i="1" s="1"/>
  <c r="Y1076" i="1"/>
  <c r="AA1076" i="1" s="1"/>
  <c r="Y1077" i="1"/>
  <c r="Z1077" i="1" s="1"/>
  <c r="Y1078" i="1"/>
  <c r="Z1078" i="1" s="1"/>
  <c r="Y1079" i="1"/>
  <c r="Z1079" i="1" s="1"/>
  <c r="Y1080" i="1"/>
  <c r="AA1080" i="1" s="1"/>
  <c r="Y1081" i="1"/>
  <c r="Z1081" i="1" s="1"/>
  <c r="Y1082" i="1"/>
  <c r="Z1082" i="1" s="1"/>
  <c r="Y1083" i="1"/>
  <c r="Z1083" i="1" s="1"/>
  <c r="Y1084" i="1"/>
  <c r="Z1084" i="1" s="1"/>
  <c r="Y1085" i="1"/>
  <c r="Z1085" i="1" s="1"/>
  <c r="Y1086" i="1"/>
  <c r="Z1086" i="1" s="1"/>
  <c r="Y1087" i="1"/>
  <c r="Z1087" i="1" s="1"/>
  <c r="Y1088" i="1"/>
  <c r="AA1088" i="1" s="1"/>
  <c r="Y1089" i="1"/>
  <c r="AA1089" i="1" s="1"/>
  <c r="Y1090" i="1"/>
  <c r="AA1090" i="1" s="1"/>
  <c r="Y1091" i="1"/>
  <c r="AA1091" i="1" s="1"/>
  <c r="Y1092" i="1"/>
  <c r="AA1092" i="1" s="1"/>
  <c r="Y1093" i="1"/>
  <c r="Z1093" i="1" s="1"/>
  <c r="Y1094" i="1"/>
  <c r="Z1094" i="1" s="1"/>
  <c r="Y1095" i="1"/>
  <c r="Z1095" i="1" s="1"/>
  <c r="Y1096" i="1"/>
  <c r="Z1096" i="1" s="1"/>
  <c r="Y1097" i="1"/>
  <c r="Z1097" i="1" s="1"/>
  <c r="Y1098" i="1"/>
  <c r="Z1098" i="1" s="1"/>
  <c r="Y1099" i="1"/>
  <c r="Z1099" i="1" s="1"/>
  <c r="Y1100" i="1"/>
  <c r="AA1100" i="1" s="1"/>
  <c r="Y1101" i="1"/>
  <c r="Z1101" i="1" s="1"/>
  <c r="Y1102" i="1"/>
  <c r="Z1102" i="1" s="1"/>
  <c r="Y1103" i="1"/>
  <c r="Z1103" i="1" s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Z1067" i="1" l="1"/>
  <c r="Z1091" i="1"/>
  <c r="Z1068" i="1"/>
  <c r="Z1080" i="1"/>
  <c r="AA1053" i="1"/>
  <c r="AA1064" i="1"/>
  <c r="AA1065" i="1"/>
  <c r="AA1075" i="1"/>
  <c r="AA1074" i="1"/>
  <c r="Z1088" i="1"/>
  <c r="Z1076" i="1"/>
  <c r="AA1072" i="1"/>
  <c r="AA1097" i="1"/>
  <c r="AA1071" i="1"/>
  <c r="AA1096" i="1"/>
  <c r="AA1060" i="1"/>
  <c r="AA1085" i="1"/>
  <c r="AA1084" i="1"/>
  <c r="AA1103" i="1"/>
  <c r="AA1102" i="1"/>
  <c r="AA1101" i="1"/>
  <c r="Z1100" i="1"/>
  <c r="AA1099" i="1"/>
  <c r="AA1098" i="1"/>
  <c r="AA1095" i="1"/>
  <c r="AA1094" i="1"/>
  <c r="AA1093" i="1"/>
  <c r="Z1092" i="1"/>
  <c r="Z1090" i="1"/>
  <c r="Z1089" i="1"/>
  <c r="AA1087" i="1"/>
  <c r="AA1086" i="1"/>
  <c r="AA1083" i="1"/>
  <c r="AA1082" i="1"/>
  <c r="AA1081" i="1"/>
  <c r="AA1079" i="1"/>
  <c r="AA1078" i="1"/>
  <c r="AA1077" i="1"/>
  <c r="AA1070" i="1"/>
  <c r="AA1069" i="1"/>
  <c r="AA1066" i="1"/>
  <c r="AA1063" i="1"/>
  <c r="AA1062" i="1"/>
  <c r="AA1059" i="1"/>
  <c r="AA1058" i="1"/>
  <c r="AA1057" i="1"/>
  <c r="AA1056" i="1"/>
  <c r="Z1055" i="1"/>
  <c r="AA1054" i="1"/>
  <c r="Z1052" i="1"/>
  <c r="AA1051" i="1"/>
  <c r="AA1050" i="1"/>
  <c r="AA1073" i="1"/>
  <c r="AA1061" i="1"/>
  <c r="B915" i="1"/>
  <c r="B916" i="1"/>
  <c r="B917" i="1"/>
  <c r="B918" i="1"/>
  <c r="B920" i="1"/>
  <c r="B921" i="1"/>
  <c r="B922" i="1"/>
  <c r="B923" i="1"/>
  <c r="B924" i="1"/>
  <c r="B925" i="1"/>
  <c r="B927" i="1"/>
  <c r="B928" i="1"/>
  <c r="B929" i="1"/>
  <c r="B930" i="1"/>
  <c r="B932" i="1"/>
  <c r="B934" i="1"/>
  <c r="B935" i="1"/>
  <c r="B936" i="1"/>
  <c r="B937" i="1"/>
  <c r="B939" i="1"/>
  <c r="B940" i="1"/>
  <c r="B941" i="1"/>
  <c r="B942" i="1"/>
  <c r="B944" i="1"/>
  <c r="B945" i="1"/>
  <c r="B946" i="1"/>
  <c r="B947" i="1"/>
  <c r="B948" i="1"/>
  <c r="B949" i="1"/>
  <c r="B956" i="1"/>
  <c r="B957" i="1"/>
  <c r="B958" i="1"/>
  <c r="B959" i="1"/>
  <c r="B960" i="1"/>
  <c r="B961" i="1"/>
  <c r="B963" i="1"/>
  <c r="B964" i="1"/>
  <c r="B965" i="1"/>
  <c r="B966" i="1"/>
  <c r="B968" i="1"/>
  <c r="B970" i="1"/>
  <c r="B971" i="1"/>
  <c r="B972" i="1"/>
  <c r="B973" i="1"/>
  <c r="B977" i="1"/>
  <c r="B978" i="1"/>
  <c r="B980" i="1"/>
  <c r="B981" i="1"/>
  <c r="B982" i="1"/>
  <c r="B983" i="1"/>
  <c r="B984" i="1"/>
  <c r="B985" i="1"/>
  <c r="B987" i="1"/>
  <c r="B988" i="1"/>
  <c r="B989" i="1"/>
  <c r="B990" i="1"/>
  <c r="B992" i="1"/>
  <c r="B993" i="1"/>
  <c r="B994" i="1"/>
  <c r="B995" i="1"/>
  <c r="B996" i="1"/>
  <c r="B997" i="1"/>
  <c r="B1001" i="1"/>
  <c r="B1002" i="1"/>
  <c r="B1004" i="1"/>
  <c r="B1006" i="1"/>
  <c r="B1007" i="1"/>
  <c r="B1008" i="1"/>
  <c r="B1009" i="1"/>
  <c r="B1011" i="1"/>
  <c r="B1012" i="1"/>
  <c r="B1013" i="1"/>
  <c r="B1014" i="1"/>
  <c r="B1016" i="1"/>
  <c r="B1017" i="1"/>
  <c r="B1018" i="1"/>
  <c r="B1019" i="1"/>
  <c r="B1020" i="1"/>
  <c r="B1021" i="1"/>
  <c r="B1023" i="1"/>
  <c r="B1024" i="1"/>
  <c r="B1025" i="1"/>
  <c r="B1026" i="1"/>
  <c r="B1028" i="1"/>
  <c r="B1029" i="1"/>
  <c r="B1030" i="1"/>
  <c r="B1031" i="1"/>
  <c r="B1032" i="1"/>
  <c r="B1033" i="1"/>
  <c r="B1035" i="1"/>
  <c r="B1036" i="1"/>
  <c r="B1037" i="1"/>
  <c r="B1038" i="1"/>
  <c r="B1040" i="1"/>
  <c r="B1041" i="1"/>
  <c r="B1042" i="1"/>
  <c r="B1043" i="1"/>
  <c r="B1044" i="1"/>
  <c r="B1045" i="1"/>
  <c r="B1047" i="1"/>
  <c r="B1048" i="1"/>
  <c r="B1049" i="1"/>
  <c r="B914" i="1"/>
  <c r="B919" i="1"/>
  <c r="B926" i="1"/>
  <c r="B931" i="1"/>
  <c r="B933" i="1"/>
  <c r="B938" i="1"/>
  <c r="B943" i="1"/>
  <c r="B950" i="1"/>
  <c r="B951" i="1"/>
  <c r="B952" i="1"/>
  <c r="B953" i="1"/>
  <c r="B954" i="1"/>
  <c r="B955" i="1"/>
  <c r="B962" i="1"/>
  <c r="B967" i="1"/>
  <c r="B969" i="1"/>
  <c r="B974" i="1"/>
  <c r="B975" i="1"/>
  <c r="B976" i="1"/>
  <c r="B979" i="1"/>
  <c r="B986" i="1"/>
  <c r="B991" i="1"/>
  <c r="B998" i="1"/>
  <c r="B999" i="1"/>
  <c r="B1000" i="1"/>
  <c r="B1003" i="1"/>
  <c r="B1005" i="1"/>
  <c r="B1010" i="1"/>
  <c r="B1015" i="1"/>
  <c r="B1022" i="1"/>
  <c r="B1027" i="1"/>
  <c r="B1034" i="1"/>
  <c r="B1039" i="1"/>
  <c r="B1046" i="1"/>
  <c r="Y914" i="1"/>
  <c r="Z914" i="1" s="1"/>
  <c r="Y915" i="1"/>
  <c r="Z915" i="1" s="1"/>
  <c r="Y916" i="1"/>
  <c r="Z916" i="1" s="1"/>
  <c r="Y917" i="1"/>
  <c r="Z917" i="1" s="1"/>
  <c r="Y918" i="1"/>
  <c r="Z918" i="1" s="1"/>
  <c r="Y919" i="1"/>
  <c r="Z919" i="1" s="1"/>
  <c r="Y920" i="1"/>
  <c r="AA920" i="1" s="1"/>
  <c r="Y921" i="1"/>
  <c r="AA921" i="1" s="1"/>
  <c r="Y922" i="1"/>
  <c r="AA922" i="1" s="1"/>
  <c r="Y923" i="1"/>
  <c r="AA923" i="1" s="1"/>
  <c r="Y924" i="1"/>
  <c r="AA924" i="1" s="1"/>
  <c r="Y925" i="1"/>
  <c r="AA925" i="1" s="1"/>
  <c r="Y926" i="1"/>
  <c r="Z926" i="1" s="1"/>
  <c r="Y927" i="1"/>
  <c r="Z927" i="1" s="1"/>
  <c r="Y928" i="1"/>
  <c r="Z928" i="1" s="1"/>
  <c r="Y929" i="1"/>
  <c r="Z929" i="1" s="1"/>
  <c r="Y930" i="1"/>
  <c r="AA930" i="1" s="1"/>
  <c r="Y931" i="1"/>
  <c r="AA931" i="1" s="1"/>
  <c r="Y932" i="1"/>
  <c r="AA932" i="1" s="1"/>
  <c r="Y933" i="1"/>
  <c r="Z933" i="1" s="1"/>
  <c r="Y934" i="1"/>
  <c r="AA934" i="1" s="1"/>
  <c r="Y935" i="1"/>
  <c r="AA935" i="1" s="1"/>
  <c r="Y936" i="1"/>
  <c r="AA936" i="1" s="1"/>
  <c r="Y937" i="1"/>
  <c r="AA937" i="1" s="1"/>
  <c r="Y938" i="1"/>
  <c r="Z938" i="1" s="1"/>
  <c r="Y939" i="1"/>
  <c r="Z939" i="1" s="1"/>
  <c r="Y940" i="1"/>
  <c r="Z940" i="1" s="1"/>
  <c r="Y941" i="1"/>
  <c r="Z941" i="1" s="1"/>
  <c r="Y942" i="1"/>
  <c r="Z942" i="1" s="1"/>
  <c r="Y943" i="1"/>
  <c r="AA943" i="1" s="1"/>
  <c r="Y944" i="1"/>
  <c r="AA944" i="1" s="1"/>
  <c r="Y945" i="1"/>
  <c r="Z945" i="1" s="1"/>
  <c r="Y946" i="1"/>
  <c r="AA946" i="1" s="1"/>
  <c r="Y947" i="1"/>
  <c r="AA947" i="1" s="1"/>
  <c r="Y948" i="1"/>
  <c r="AA948" i="1" s="1"/>
  <c r="Y949" i="1"/>
  <c r="AA949" i="1" s="1"/>
  <c r="Y950" i="1"/>
  <c r="Z950" i="1" s="1"/>
  <c r="Y951" i="1"/>
  <c r="Z951" i="1" s="1"/>
  <c r="Y952" i="1"/>
  <c r="Z952" i="1" s="1"/>
  <c r="Y953" i="1"/>
  <c r="Z953" i="1" s="1"/>
  <c r="Y954" i="1"/>
  <c r="AA954" i="1" s="1"/>
  <c r="Y955" i="1"/>
  <c r="AA955" i="1" s="1"/>
  <c r="Y956" i="1"/>
  <c r="Z956" i="1" s="1"/>
  <c r="Y957" i="1"/>
  <c r="AA957" i="1" s="1"/>
  <c r="Y958" i="1"/>
  <c r="AA958" i="1" s="1"/>
  <c r="Y959" i="1"/>
  <c r="AA959" i="1" s="1"/>
  <c r="Y960" i="1"/>
  <c r="AA960" i="1" s="1"/>
  <c r="Y961" i="1"/>
  <c r="AA961" i="1" s="1"/>
  <c r="Y962" i="1"/>
  <c r="Z962" i="1" s="1"/>
  <c r="Y963" i="1"/>
  <c r="Z963" i="1" s="1"/>
  <c r="Y964" i="1"/>
  <c r="Z964" i="1" s="1"/>
  <c r="Y965" i="1"/>
  <c r="Z965" i="1" s="1"/>
  <c r="Y966" i="1"/>
  <c r="Z966" i="1" s="1"/>
  <c r="Y967" i="1"/>
  <c r="Z967" i="1" s="1"/>
  <c r="Y968" i="1"/>
  <c r="Z968" i="1" s="1"/>
  <c r="Y969" i="1"/>
  <c r="AA969" i="1" s="1"/>
  <c r="Y970" i="1"/>
  <c r="AA970" i="1" s="1"/>
  <c r="Y971" i="1"/>
  <c r="AA971" i="1" s="1"/>
  <c r="Y972" i="1"/>
  <c r="AA972" i="1" s="1"/>
  <c r="Y973" i="1"/>
  <c r="AA973" i="1" s="1"/>
  <c r="Y974" i="1"/>
  <c r="Z974" i="1" s="1"/>
  <c r="Y975" i="1"/>
  <c r="Z975" i="1" s="1"/>
  <c r="Y976" i="1"/>
  <c r="Z976" i="1" s="1"/>
  <c r="Y977" i="1"/>
  <c r="Z977" i="1" s="1"/>
  <c r="Y978" i="1"/>
  <c r="AA978" i="1" s="1"/>
  <c r="Y979" i="1"/>
  <c r="Z979" i="1" s="1"/>
  <c r="Y980" i="1"/>
  <c r="AA980" i="1" s="1"/>
  <c r="Y981" i="1"/>
  <c r="AA981" i="1" s="1"/>
  <c r="Y982" i="1"/>
  <c r="AA982" i="1" s="1"/>
  <c r="Y983" i="1"/>
  <c r="AA983" i="1" s="1"/>
  <c r="Y984" i="1"/>
  <c r="AA984" i="1" s="1"/>
  <c r="Y985" i="1"/>
  <c r="AA985" i="1" s="1"/>
  <c r="Y986" i="1"/>
  <c r="Z986" i="1" s="1"/>
  <c r="Y987" i="1"/>
  <c r="Z987" i="1" s="1"/>
  <c r="Y988" i="1"/>
  <c r="Z988" i="1" s="1"/>
  <c r="Y989" i="1"/>
  <c r="Z989" i="1" s="1"/>
  <c r="Y990" i="1"/>
  <c r="AA990" i="1" s="1"/>
  <c r="Y991" i="1"/>
  <c r="Z991" i="1" s="1"/>
  <c r="Y992" i="1"/>
  <c r="AA992" i="1" s="1"/>
  <c r="Y993" i="1"/>
  <c r="AA993" i="1" s="1"/>
  <c r="Y994" i="1"/>
  <c r="AA994" i="1" s="1"/>
  <c r="Y995" i="1"/>
  <c r="AA995" i="1" s="1"/>
  <c r="Y996" i="1"/>
  <c r="AA996" i="1" s="1"/>
  <c r="Y997" i="1"/>
  <c r="AA997" i="1" s="1"/>
  <c r="Y998" i="1"/>
  <c r="Z998" i="1" s="1"/>
  <c r="Y999" i="1"/>
  <c r="Z999" i="1" s="1"/>
  <c r="Y1000" i="1"/>
  <c r="Z1000" i="1" s="1"/>
  <c r="Y1001" i="1"/>
  <c r="Z1001" i="1" s="1"/>
  <c r="Y1002" i="1"/>
  <c r="Z1002" i="1" s="1"/>
  <c r="Y1003" i="1"/>
  <c r="Z1003" i="1" s="1"/>
  <c r="Y1004" i="1"/>
  <c r="Z1004" i="1" s="1"/>
  <c r="Y1005" i="1"/>
  <c r="AA1005" i="1" s="1"/>
  <c r="Y1006" i="1"/>
  <c r="AA1006" i="1" s="1"/>
  <c r="Y1007" i="1"/>
  <c r="AA1007" i="1" s="1"/>
  <c r="Y1008" i="1"/>
  <c r="AA1008" i="1" s="1"/>
  <c r="Y1009" i="1"/>
  <c r="AA1009" i="1" s="1"/>
  <c r="Y1010" i="1"/>
  <c r="Z1010" i="1" s="1"/>
  <c r="Y1011" i="1"/>
  <c r="Z1011" i="1" s="1"/>
  <c r="Y1012" i="1"/>
  <c r="Z1012" i="1" s="1"/>
  <c r="Y1013" i="1"/>
  <c r="AA1013" i="1" s="1"/>
  <c r="Y1014" i="1"/>
  <c r="Z1014" i="1" s="1"/>
  <c r="Y1015" i="1"/>
  <c r="Z1015" i="1" s="1"/>
  <c r="Y1016" i="1"/>
  <c r="Z1016" i="1" s="1"/>
  <c r="Y1017" i="1"/>
  <c r="Z1017" i="1" s="1"/>
  <c r="Y1018" i="1"/>
  <c r="AA1018" i="1" s="1"/>
  <c r="Y1019" i="1"/>
  <c r="AA1019" i="1" s="1"/>
  <c r="Y1020" i="1"/>
  <c r="AA1020" i="1" s="1"/>
  <c r="Y1021" i="1"/>
  <c r="AA1021" i="1" s="1"/>
  <c r="Y1022" i="1"/>
  <c r="Z1022" i="1" s="1"/>
  <c r="Y1023" i="1"/>
  <c r="Z1023" i="1" s="1"/>
  <c r="Y1024" i="1"/>
  <c r="Z1024" i="1" s="1"/>
  <c r="Y1025" i="1"/>
  <c r="Z1025" i="1" s="1"/>
  <c r="Y1026" i="1"/>
  <c r="Z1026" i="1" s="1"/>
  <c r="Y1027" i="1"/>
  <c r="Z1027" i="1" s="1"/>
  <c r="Y1028" i="1"/>
  <c r="Z1028" i="1" s="1"/>
  <c r="Y1029" i="1"/>
  <c r="Z1029" i="1" s="1"/>
  <c r="Y1030" i="1"/>
  <c r="AA1030" i="1" s="1"/>
  <c r="Y1031" i="1"/>
  <c r="AA1031" i="1" s="1"/>
  <c r="Y1032" i="1"/>
  <c r="AA1032" i="1" s="1"/>
  <c r="Y1033" i="1"/>
  <c r="AA1033" i="1" s="1"/>
  <c r="Y1034" i="1"/>
  <c r="Z1034" i="1" s="1"/>
  <c r="Y1035" i="1"/>
  <c r="Z1035" i="1" s="1"/>
  <c r="Y1036" i="1"/>
  <c r="Z1036" i="1" s="1"/>
  <c r="Y1037" i="1"/>
  <c r="Z1037" i="1" s="1"/>
  <c r="Y1038" i="1"/>
  <c r="AA1038" i="1" s="1"/>
  <c r="Y1039" i="1"/>
  <c r="AA1039" i="1" s="1"/>
  <c r="Y1040" i="1"/>
  <c r="AA1040" i="1" s="1"/>
  <c r="Y1041" i="1"/>
  <c r="AA1041" i="1" s="1"/>
  <c r="Y1042" i="1"/>
  <c r="AA1042" i="1" s="1"/>
  <c r="Y1043" i="1"/>
  <c r="AA1043" i="1" s="1"/>
  <c r="Y1044" i="1"/>
  <c r="AA1044" i="1" s="1"/>
  <c r="Y1045" i="1"/>
  <c r="AA1045" i="1" s="1"/>
  <c r="Y1046" i="1"/>
  <c r="Z1046" i="1" s="1"/>
  <c r="Y1047" i="1"/>
  <c r="Z1047" i="1" s="1"/>
  <c r="Y1048" i="1"/>
  <c r="Z1048" i="1" s="1"/>
  <c r="Y1049" i="1"/>
  <c r="AA1049" i="1" s="1"/>
  <c r="Z930" i="1"/>
  <c r="Z931" i="1"/>
  <c r="Z932" i="1"/>
  <c r="AA1017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Z1041" i="1" l="1"/>
  <c r="AA963" i="1"/>
  <c r="AA939" i="1"/>
  <c r="Z973" i="1"/>
  <c r="AA968" i="1"/>
  <c r="AA966" i="1"/>
  <c r="Z948" i="1"/>
  <c r="AA999" i="1"/>
  <c r="AA967" i="1"/>
  <c r="Z1038" i="1"/>
  <c r="AA1026" i="1"/>
  <c r="AA1023" i="1"/>
  <c r="Z982" i="1"/>
  <c r="AA1011" i="1"/>
  <c r="Z990" i="1"/>
  <c r="AA1015" i="1"/>
  <c r="AA951" i="1"/>
  <c r="AA1014" i="1"/>
  <c r="AA942" i="1"/>
  <c r="Z980" i="1"/>
  <c r="Z978" i="1"/>
  <c r="AA1047" i="1"/>
  <c r="AA991" i="1"/>
  <c r="AA919" i="1"/>
  <c r="Z1044" i="1"/>
  <c r="Z943" i="1"/>
  <c r="AA1016" i="1"/>
  <c r="AA1035" i="1"/>
  <c r="AA1027" i="1"/>
  <c r="AA975" i="1"/>
  <c r="Z1040" i="1"/>
  <c r="Z936" i="1"/>
  <c r="AA956" i="1"/>
  <c r="Z1032" i="1"/>
  <c r="Z969" i="1"/>
  <c r="AA945" i="1"/>
  <c r="Z1021" i="1"/>
  <c r="Z960" i="1"/>
  <c r="AA1029" i="1"/>
  <c r="Z1007" i="1"/>
  <c r="AA1028" i="1"/>
  <c r="Z995" i="1"/>
  <c r="Z935" i="1"/>
  <c r="Z993" i="1"/>
  <c r="Z944" i="1"/>
  <c r="Z1045" i="1"/>
  <c r="Z1043" i="1"/>
  <c r="Z1042" i="1"/>
  <c r="Z1039" i="1"/>
  <c r="Z1033" i="1"/>
  <c r="Z1031" i="1"/>
  <c r="Z1030" i="1"/>
  <c r="Z1020" i="1"/>
  <c r="Z1019" i="1"/>
  <c r="Z1018" i="1"/>
  <c r="Z1009" i="1"/>
  <c r="Z1008" i="1"/>
  <c r="Z1006" i="1"/>
  <c r="Z1005" i="1"/>
  <c r="AA1004" i="1"/>
  <c r="AA1003" i="1"/>
  <c r="AA1002" i="1"/>
  <c r="Z997" i="1"/>
  <c r="Z996" i="1"/>
  <c r="Z994" i="1"/>
  <c r="Z992" i="1"/>
  <c r="AA987" i="1"/>
  <c r="Z985" i="1"/>
  <c r="Z984" i="1"/>
  <c r="Z983" i="1"/>
  <c r="Z981" i="1"/>
  <c r="AA979" i="1"/>
  <c r="Z972" i="1"/>
  <c r="Z971" i="1"/>
  <c r="Z970" i="1"/>
  <c r="Z961" i="1"/>
  <c r="Z959" i="1"/>
  <c r="Z958" i="1"/>
  <c r="Z957" i="1"/>
  <c r="Z955" i="1"/>
  <c r="Z954" i="1"/>
  <c r="Z949" i="1"/>
  <c r="Z947" i="1"/>
  <c r="Z946" i="1"/>
  <c r="Z937" i="1"/>
  <c r="Z934" i="1"/>
  <c r="AA933" i="1"/>
  <c r="AA927" i="1"/>
  <c r="Z925" i="1"/>
  <c r="Z924" i="1"/>
  <c r="Z923" i="1"/>
  <c r="Z922" i="1"/>
  <c r="Z921" i="1"/>
  <c r="Z920" i="1"/>
  <c r="AA918" i="1"/>
  <c r="AA915" i="1"/>
  <c r="AA1025" i="1"/>
  <c r="AA1001" i="1"/>
  <c r="AA977" i="1"/>
  <c r="AA965" i="1"/>
  <c r="AA953" i="1"/>
  <c r="AA917" i="1"/>
  <c r="AA1048" i="1"/>
  <c r="AA1036" i="1"/>
  <c r="AA1024" i="1"/>
  <c r="AA1012" i="1"/>
  <c r="AA1000" i="1"/>
  <c r="AA988" i="1"/>
  <c r="AA976" i="1"/>
  <c r="AA964" i="1"/>
  <c r="AA952" i="1"/>
  <c r="AA940" i="1"/>
  <c r="AA928" i="1"/>
  <c r="AA916" i="1"/>
  <c r="AA941" i="1"/>
  <c r="AA1037" i="1"/>
  <c r="AA989" i="1"/>
  <c r="AA998" i="1"/>
  <c r="AA926" i="1"/>
  <c r="AA929" i="1"/>
  <c r="AA1022" i="1"/>
  <c r="AA974" i="1"/>
  <c r="AA914" i="1"/>
  <c r="Z1049" i="1"/>
  <c r="Z1013" i="1"/>
  <c r="AA1046" i="1"/>
  <c r="AA938" i="1"/>
  <c r="AA1010" i="1"/>
  <c r="AA986" i="1"/>
  <c r="AA950" i="1"/>
  <c r="AA1034" i="1"/>
  <c r="AA962" i="1"/>
  <c r="B822" i="1"/>
  <c r="B823" i="1"/>
  <c r="B825" i="1"/>
  <c r="B827" i="1"/>
  <c r="B828" i="1"/>
  <c r="B829" i="1"/>
  <c r="B830" i="1"/>
  <c r="B831" i="1"/>
  <c r="B832" i="1"/>
  <c r="B833" i="1"/>
  <c r="B834" i="1"/>
  <c r="B835" i="1"/>
  <c r="B836" i="1"/>
  <c r="B837" i="1"/>
  <c r="B839" i="1"/>
  <c r="B840" i="1"/>
  <c r="B841" i="1"/>
  <c r="B842" i="1"/>
  <c r="B843" i="1"/>
  <c r="B845" i="1"/>
  <c r="B846" i="1"/>
  <c r="B847" i="1"/>
  <c r="B848" i="1"/>
  <c r="B849" i="1"/>
  <c r="B852" i="1"/>
  <c r="B853" i="1"/>
  <c r="B854" i="1"/>
  <c r="B855" i="1"/>
  <c r="B857" i="1"/>
  <c r="B858" i="1"/>
  <c r="B859" i="1"/>
  <c r="B860" i="1"/>
  <c r="B861" i="1"/>
  <c r="B864" i="1"/>
  <c r="B865" i="1"/>
  <c r="B866" i="1"/>
  <c r="B867" i="1"/>
  <c r="B869" i="1"/>
  <c r="B870" i="1"/>
  <c r="B871" i="1"/>
  <c r="B872" i="1"/>
  <c r="B873" i="1"/>
  <c r="B876" i="1"/>
  <c r="B877" i="1"/>
  <c r="B878" i="1"/>
  <c r="B879" i="1"/>
  <c r="B881" i="1"/>
  <c r="B882" i="1"/>
  <c r="B883" i="1"/>
  <c r="B884" i="1"/>
  <c r="B885" i="1"/>
  <c r="B888" i="1"/>
  <c r="B889" i="1"/>
  <c r="B890" i="1"/>
  <c r="B891" i="1"/>
  <c r="B894" i="1"/>
  <c r="B895" i="1"/>
  <c r="B896" i="1"/>
  <c r="B897" i="1"/>
  <c r="B900" i="1"/>
  <c r="B901" i="1"/>
  <c r="B902" i="1"/>
  <c r="B903" i="1"/>
  <c r="B904" i="1"/>
  <c r="B905" i="1"/>
  <c r="B906" i="1"/>
  <c r="B907" i="1"/>
  <c r="B908" i="1"/>
  <c r="B909" i="1"/>
  <c r="B910" i="1"/>
  <c r="B912" i="1"/>
  <c r="B913" i="1"/>
  <c r="B818" i="1"/>
  <c r="B819" i="1"/>
  <c r="B820" i="1"/>
  <c r="B821" i="1"/>
  <c r="B824" i="1"/>
  <c r="B826" i="1"/>
  <c r="B838" i="1"/>
  <c r="B844" i="1"/>
  <c r="B850" i="1"/>
  <c r="B851" i="1"/>
  <c r="B856" i="1"/>
  <c r="B862" i="1"/>
  <c r="B863" i="1"/>
  <c r="B868" i="1"/>
  <c r="B874" i="1"/>
  <c r="B875" i="1"/>
  <c r="B880" i="1"/>
  <c r="B886" i="1"/>
  <c r="B887" i="1"/>
  <c r="B892" i="1"/>
  <c r="B893" i="1"/>
  <c r="B898" i="1"/>
  <c r="B899" i="1"/>
  <c r="B911" i="1"/>
  <c r="Y818" i="1"/>
  <c r="AA818" i="1" s="1"/>
  <c r="Y819" i="1"/>
  <c r="AA819" i="1" s="1"/>
  <c r="Y820" i="1"/>
  <c r="AA820" i="1" s="1"/>
  <c r="Y821" i="1"/>
  <c r="AA821" i="1" s="1"/>
  <c r="Y822" i="1"/>
  <c r="AA822" i="1" s="1"/>
  <c r="Y823" i="1"/>
  <c r="AA823" i="1" s="1"/>
  <c r="Y824" i="1"/>
  <c r="AA824" i="1" s="1"/>
  <c r="Y825" i="1"/>
  <c r="Z825" i="1" s="1"/>
  <c r="Y826" i="1"/>
  <c r="AA826" i="1" s="1"/>
  <c r="Y827" i="1"/>
  <c r="AA827" i="1" s="1"/>
  <c r="Y828" i="1"/>
  <c r="AA828" i="1" s="1"/>
  <c r="Y829" i="1"/>
  <c r="AA829" i="1" s="1"/>
  <c r="Y830" i="1"/>
  <c r="AA830" i="1" s="1"/>
  <c r="Y831" i="1"/>
  <c r="AA831" i="1" s="1"/>
  <c r="Y832" i="1"/>
  <c r="AA832" i="1" s="1"/>
  <c r="Y833" i="1"/>
  <c r="AA833" i="1" s="1"/>
  <c r="Y834" i="1"/>
  <c r="AA834" i="1" s="1"/>
  <c r="Y835" i="1"/>
  <c r="AA835" i="1" s="1"/>
  <c r="Y836" i="1"/>
  <c r="AA836" i="1" s="1"/>
  <c r="Y837" i="1"/>
  <c r="Z837" i="1" s="1"/>
  <c r="Y838" i="1"/>
  <c r="AA838" i="1" s="1"/>
  <c r="Y839" i="1"/>
  <c r="AA839" i="1" s="1"/>
  <c r="Y840" i="1"/>
  <c r="AA840" i="1" s="1"/>
  <c r="Y841" i="1"/>
  <c r="AA841" i="1" s="1"/>
  <c r="Y842" i="1"/>
  <c r="AA842" i="1" s="1"/>
  <c r="Y843" i="1"/>
  <c r="AA843" i="1" s="1"/>
  <c r="Y844" i="1"/>
  <c r="AA844" i="1" s="1"/>
  <c r="Y845" i="1"/>
  <c r="AA845" i="1" s="1"/>
  <c r="Y846" i="1"/>
  <c r="AA846" i="1" s="1"/>
  <c r="Y847" i="1"/>
  <c r="Z847" i="1" s="1"/>
  <c r="Y848" i="1"/>
  <c r="AA848" i="1" s="1"/>
  <c r="Y849" i="1"/>
  <c r="AA849" i="1" s="1"/>
  <c r="Y850" i="1"/>
  <c r="AA850" i="1" s="1"/>
  <c r="Y851" i="1"/>
  <c r="AA851" i="1" s="1"/>
  <c r="Y852" i="1"/>
  <c r="AA852" i="1" s="1"/>
  <c r="Y853" i="1"/>
  <c r="AA853" i="1" s="1"/>
  <c r="Y854" i="1"/>
  <c r="AA854" i="1" s="1"/>
  <c r="Y855" i="1"/>
  <c r="AA855" i="1" s="1"/>
  <c r="Y856" i="1"/>
  <c r="AA856" i="1" s="1"/>
  <c r="Y857" i="1"/>
  <c r="AA857" i="1" s="1"/>
  <c r="Y858" i="1"/>
  <c r="AA858" i="1" s="1"/>
  <c r="Y859" i="1"/>
  <c r="AA859" i="1" s="1"/>
  <c r="Y860" i="1"/>
  <c r="AA860" i="1" s="1"/>
  <c r="Y861" i="1"/>
  <c r="AA861" i="1" s="1"/>
  <c r="Y862" i="1"/>
  <c r="AA862" i="1" s="1"/>
  <c r="Y863" i="1"/>
  <c r="AA863" i="1" s="1"/>
  <c r="Y864" i="1"/>
  <c r="AA864" i="1" s="1"/>
  <c r="Y865" i="1"/>
  <c r="Z865" i="1" s="1"/>
  <c r="Y866" i="1"/>
  <c r="AA866" i="1" s="1"/>
  <c r="Y867" i="1"/>
  <c r="AA867" i="1" s="1"/>
  <c r="Y868" i="1"/>
  <c r="AA868" i="1" s="1"/>
  <c r="Y869" i="1"/>
  <c r="AA869" i="1" s="1"/>
  <c r="Y870" i="1"/>
  <c r="AA870" i="1" s="1"/>
  <c r="Y871" i="1"/>
  <c r="Z871" i="1" s="1"/>
  <c r="Y872" i="1"/>
  <c r="AA872" i="1" s="1"/>
  <c r="Y873" i="1"/>
  <c r="AA873" i="1" s="1"/>
  <c r="Y874" i="1"/>
  <c r="AA874" i="1" s="1"/>
  <c r="Y875" i="1"/>
  <c r="AA875" i="1" s="1"/>
  <c r="Y876" i="1"/>
  <c r="AA876" i="1" s="1"/>
  <c r="Y877" i="1"/>
  <c r="Z877" i="1" s="1"/>
  <c r="Y878" i="1"/>
  <c r="AA878" i="1" s="1"/>
  <c r="Y879" i="1"/>
  <c r="AA879" i="1" s="1"/>
  <c r="Y880" i="1"/>
  <c r="AA880" i="1" s="1"/>
  <c r="Y881" i="1"/>
  <c r="AA881" i="1" s="1"/>
  <c r="Y882" i="1"/>
  <c r="Z882" i="1" s="1"/>
  <c r="Y883" i="1"/>
  <c r="AA883" i="1" s="1"/>
  <c r="Y884" i="1"/>
  <c r="AA884" i="1" s="1"/>
  <c r="Y885" i="1"/>
  <c r="Z885" i="1" s="1"/>
  <c r="Y886" i="1"/>
  <c r="AA886" i="1" s="1"/>
  <c r="Y887" i="1"/>
  <c r="AA887" i="1" s="1"/>
  <c r="Y888" i="1"/>
  <c r="AA888" i="1" s="1"/>
  <c r="Y889" i="1"/>
  <c r="AA889" i="1" s="1"/>
  <c r="Y890" i="1"/>
  <c r="Z890" i="1" s="1"/>
  <c r="Y891" i="1"/>
  <c r="Z891" i="1" s="1"/>
  <c r="Y892" i="1"/>
  <c r="Z892" i="1" s="1"/>
  <c r="Y893" i="1"/>
  <c r="AA893" i="1" s="1"/>
  <c r="Y894" i="1"/>
  <c r="AA894" i="1" s="1"/>
  <c r="Y895" i="1"/>
  <c r="Z895" i="1" s="1"/>
  <c r="Y896" i="1"/>
  <c r="AA896" i="1" s="1"/>
  <c r="Y897" i="1"/>
  <c r="AA897" i="1" s="1"/>
  <c r="Y898" i="1"/>
  <c r="AA898" i="1" s="1"/>
  <c r="Y899" i="1"/>
  <c r="AA899" i="1" s="1"/>
  <c r="Y900" i="1"/>
  <c r="Z900" i="1" s="1"/>
  <c r="Y901" i="1"/>
  <c r="Z901" i="1" s="1"/>
  <c r="Y902" i="1"/>
  <c r="Z902" i="1" s="1"/>
  <c r="Y903" i="1"/>
  <c r="AA903" i="1" s="1"/>
  <c r="Y904" i="1"/>
  <c r="Z904" i="1" s="1"/>
  <c r="Y905" i="1"/>
  <c r="Z905" i="1" s="1"/>
  <c r="Y906" i="1"/>
  <c r="Z906" i="1" s="1"/>
  <c r="Y907" i="1"/>
  <c r="Z907" i="1" s="1"/>
  <c r="Y908" i="1"/>
  <c r="AA908" i="1" s="1"/>
  <c r="Y909" i="1"/>
  <c r="Z909" i="1" s="1"/>
  <c r="Y910" i="1"/>
  <c r="Z910" i="1" s="1"/>
  <c r="Y911" i="1"/>
  <c r="Z911" i="1" s="1"/>
  <c r="Y912" i="1"/>
  <c r="Z912" i="1" s="1"/>
  <c r="Y913" i="1"/>
  <c r="Z913" i="1" s="1"/>
  <c r="Z818" i="1"/>
  <c r="Z819" i="1"/>
  <c r="Z820" i="1"/>
  <c r="Z821" i="1"/>
  <c r="Z822" i="1"/>
  <c r="Z832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Z844" i="1" l="1"/>
  <c r="Z833" i="1"/>
  <c r="AA891" i="1"/>
  <c r="Z855" i="1"/>
  <c r="Z850" i="1"/>
  <c r="Z827" i="1"/>
  <c r="AA913" i="1"/>
  <c r="Z839" i="1"/>
  <c r="AA837" i="1"/>
  <c r="Z887" i="1"/>
  <c r="AA909" i="1"/>
  <c r="Z826" i="1"/>
  <c r="Z874" i="1"/>
  <c r="AA865" i="1"/>
  <c r="Z861" i="1"/>
  <c r="AA825" i="1"/>
  <c r="Z862" i="1"/>
  <c r="Z903" i="1"/>
  <c r="Z840" i="1"/>
  <c r="Z886" i="1"/>
  <c r="Z838" i="1"/>
  <c r="Z876" i="1"/>
  <c r="Z864" i="1"/>
  <c r="Z828" i="1"/>
  <c r="Z852" i="1"/>
  <c r="AA890" i="1"/>
  <c r="Z834" i="1"/>
  <c r="AA885" i="1"/>
  <c r="Z836" i="1"/>
  <c r="Z849" i="1"/>
  <c r="Z879" i="1"/>
  <c r="Z843" i="1"/>
  <c r="Z830" i="1"/>
  <c r="Z824" i="1"/>
  <c r="Z831" i="1"/>
  <c r="Z842" i="1"/>
  <c r="Z829" i="1"/>
  <c r="AA847" i="1"/>
  <c r="Z873" i="1"/>
  <c r="Z841" i="1"/>
  <c r="Z897" i="1"/>
  <c r="Z867" i="1"/>
  <c r="Z872" i="1"/>
  <c r="Z835" i="1"/>
  <c r="AA877" i="1"/>
  <c r="Z881" i="1"/>
  <c r="Z869" i="1"/>
  <c r="Z857" i="1"/>
  <c r="Z860" i="1"/>
  <c r="Z848" i="1"/>
  <c r="Z823" i="1"/>
  <c r="Z883" i="1"/>
  <c r="Z880" i="1"/>
  <c r="Z868" i="1"/>
  <c r="Z856" i="1"/>
  <c r="Z870" i="1"/>
  <c r="AA907" i="1"/>
  <c r="Z853" i="1"/>
  <c r="Z859" i="1"/>
  <c r="Z846" i="1"/>
  <c r="AA871" i="1"/>
  <c r="Z878" i="1"/>
  <c r="Z854" i="1"/>
  <c r="AA901" i="1"/>
  <c r="AA895" i="1"/>
  <c r="Z875" i="1"/>
  <c r="Z863" i="1"/>
  <c r="Z851" i="1"/>
  <c r="Z858" i="1"/>
  <c r="Z866" i="1"/>
  <c r="AA892" i="1"/>
  <c r="Z888" i="1"/>
  <c r="AA902" i="1"/>
  <c r="Z845" i="1"/>
  <c r="Z884" i="1"/>
  <c r="AA906" i="1"/>
  <c r="Z893" i="1"/>
  <c r="AA905" i="1"/>
  <c r="AA904" i="1"/>
  <c r="AA882" i="1"/>
  <c r="Z894" i="1"/>
  <c r="Z899" i="1"/>
  <c r="AA910" i="1"/>
  <c r="AA912" i="1"/>
  <c r="AA911" i="1"/>
  <c r="Z898" i="1"/>
  <c r="AA900" i="1"/>
  <c r="Z908" i="1"/>
  <c r="Z896" i="1"/>
  <c r="Z889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792" i="1"/>
  <c r="Y792" i="1"/>
  <c r="AA792" i="1" s="1"/>
  <c r="Y793" i="1"/>
  <c r="AA793" i="1" s="1"/>
  <c r="Y794" i="1"/>
  <c r="AA794" i="1" s="1"/>
  <c r="Y795" i="1"/>
  <c r="AA795" i="1" s="1"/>
  <c r="Y796" i="1"/>
  <c r="Z796" i="1" s="1"/>
  <c r="Y797" i="1"/>
  <c r="Z797" i="1" s="1"/>
  <c r="Y798" i="1"/>
  <c r="AA798" i="1" s="1"/>
  <c r="Y799" i="1"/>
  <c r="AA799" i="1" s="1"/>
  <c r="Y800" i="1"/>
  <c r="AA800" i="1" s="1"/>
  <c r="Y801" i="1"/>
  <c r="Z801" i="1" s="1"/>
  <c r="Y802" i="1"/>
  <c r="Z802" i="1" s="1"/>
  <c r="Y803" i="1"/>
  <c r="Z803" i="1" s="1"/>
  <c r="Y804" i="1"/>
  <c r="Z804" i="1" s="1"/>
  <c r="Y805" i="1"/>
  <c r="Z805" i="1" s="1"/>
  <c r="Y806" i="1"/>
  <c r="AA806" i="1" s="1"/>
  <c r="Y807" i="1"/>
  <c r="Z807" i="1" s="1"/>
  <c r="Y808" i="1"/>
  <c r="Z808" i="1" s="1"/>
  <c r="Y809" i="1"/>
  <c r="Z809" i="1" s="1"/>
  <c r="Y810" i="1"/>
  <c r="AA810" i="1" s="1"/>
  <c r="Y811" i="1"/>
  <c r="AA811" i="1" s="1"/>
  <c r="Y812" i="1"/>
  <c r="AA812" i="1" s="1"/>
  <c r="Y813" i="1"/>
  <c r="Z813" i="1" s="1"/>
  <c r="Y814" i="1"/>
  <c r="Z814" i="1" s="1"/>
  <c r="Y815" i="1"/>
  <c r="Z815" i="1" s="1"/>
  <c r="Y816" i="1"/>
  <c r="AA816" i="1" s="1"/>
  <c r="Y817" i="1"/>
  <c r="AA817" i="1" s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Z812" i="1" l="1"/>
  <c r="Z793" i="1"/>
  <c r="Z792" i="1"/>
  <c r="AA804" i="1"/>
  <c r="Z800" i="1"/>
  <c r="Z811" i="1"/>
  <c r="Z798" i="1"/>
  <c r="Z799" i="1"/>
  <c r="Z816" i="1"/>
  <c r="Z817" i="1"/>
  <c r="Z795" i="1"/>
  <c r="AA805" i="1"/>
  <c r="Z794" i="1"/>
  <c r="AA808" i="1"/>
  <c r="AA807" i="1"/>
  <c r="Z810" i="1"/>
  <c r="AA797" i="1"/>
  <c r="AA809" i="1"/>
  <c r="Z806" i="1"/>
  <c r="AA796" i="1"/>
  <c r="AA815" i="1"/>
  <c r="AA803" i="1"/>
  <c r="AA802" i="1"/>
  <c r="AA814" i="1"/>
  <c r="AA813" i="1"/>
  <c r="AA801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Y749" i="1"/>
  <c r="Z749" i="1" s="1"/>
  <c r="Y750" i="1"/>
  <c r="Z750" i="1" s="1"/>
  <c r="Y751" i="1"/>
  <c r="Z751" i="1" s="1"/>
  <c r="Y752" i="1"/>
  <c r="AA752" i="1" s="1"/>
  <c r="Y753" i="1"/>
  <c r="AA753" i="1" s="1"/>
  <c r="Y754" i="1"/>
  <c r="Z754" i="1" s="1"/>
  <c r="Y755" i="1"/>
  <c r="Z755" i="1" s="1"/>
  <c r="Y756" i="1"/>
  <c r="Z756" i="1" s="1"/>
  <c r="Y757" i="1"/>
  <c r="AA757" i="1" s="1"/>
  <c r="Y758" i="1"/>
  <c r="AA758" i="1" s="1"/>
  <c r="Y759" i="1"/>
  <c r="AA759" i="1" s="1"/>
  <c r="Y760" i="1"/>
  <c r="AA760" i="1" s="1"/>
  <c r="Y761" i="1"/>
  <c r="Z761" i="1" s="1"/>
  <c r="Y762" i="1"/>
  <c r="Z762" i="1" s="1"/>
  <c r="Y763" i="1"/>
  <c r="Z763" i="1" s="1"/>
  <c r="Y764" i="1"/>
  <c r="Z764" i="1" s="1"/>
  <c r="Y765" i="1"/>
  <c r="Z765" i="1" s="1"/>
  <c r="Y766" i="1"/>
  <c r="Z766" i="1" s="1"/>
  <c r="Y767" i="1"/>
  <c r="Z767" i="1" s="1"/>
  <c r="Y768" i="1"/>
  <c r="Z768" i="1" s="1"/>
  <c r="Y769" i="1"/>
  <c r="AA769" i="1" s="1"/>
  <c r="Y770" i="1"/>
  <c r="AA770" i="1" s="1"/>
  <c r="Y771" i="1"/>
  <c r="AA771" i="1" s="1"/>
  <c r="Y772" i="1"/>
  <c r="Z772" i="1" s="1"/>
  <c r="Y773" i="1"/>
  <c r="AA773" i="1" s="1"/>
  <c r="Y774" i="1"/>
  <c r="Z774" i="1" s="1"/>
  <c r="Y775" i="1"/>
  <c r="AA775" i="1" s="1"/>
  <c r="Y776" i="1"/>
  <c r="Z776" i="1" s="1"/>
  <c r="Y777" i="1"/>
  <c r="AA777" i="1" s="1"/>
  <c r="Y778" i="1"/>
  <c r="Z778" i="1" s="1"/>
  <c r="Y779" i="1"/>
  <c r="Z779" i="1" s="1"/>
  <c r="Y780" i="1"/>
  <c r="Z780" i="1" s="1"/>
  <c r="Y781" i="1"/>
  <c r="AA781" i="1" s="1"/>
  <c r="Y782" i="1"/>
  <c r="AA782" i="1" s="1"/>
  <c r="Y783" i="1"/>
  <c r="AA783" i="1" s="1"/>
  <c r="Y784" i="1"/>
  <c r="Z784" i="1" s="1"/>
  <c r="Y785" i="1"/>
  <c r="Z785" i="1" s="1"/>
  <c r="Y786" i="1"/>
  <c r="AA786" i="1" s="1"/>
  <c r="Y787" i="1"/>
  <c r="AA787" i="1" s="1"/>
  <c r="Y788" i="1"/>
  <c r="Z788" i="1" s="1"/>
  <c r="Y789" i="1"/>
  <c r="AA789" i="1" s="1"/>
  <c r="Y790" i="1"/>
  <c r="Z790" i="1" s="1"/>
  <c r="Y791" i="1"/>
  <c r="Z791" i="1" s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B741" i="1"/>
  <c r="Y741" i="1"/>
  <c r="AA741" i="1" s="1"/>
  <c r="AB741" i="1"/>
  <c r="AC741" i="1"/>
  <c r="B742" i="1"/>
  <c r="Y742" i="1"/>
  <c r="Z742" i="1" s="1"/>
  <c r="AB742" i="1"/>
  <c r="AC742" i="1"/>
  <c r="B743" i="1"/>
  <c r="Y743" i="1"/>
  <c r="AA743" i="1" s="1"/>
  <c r="AB743" i="1"/>
  <c r="AC743" i="1"/>
  <c r="B744" i="1"/>
  <c r="Y744" i="1"/>
  <c r="Z744" i="1" s="1"/>
  <c r="AB744" i="1"/>
  <c r="AC744" i="1"/>
  <c r="B745" i="1"/>
  <c r="Y745" i="1"/>
  <c r="Z745" i="1" s="1"/>
  <c r="AB745" i="1"/>
  <c r="AC745" i="1"/>
  <c r="B746" i="1"/>
  <c r="Y746" i="1"/>
  <c r="AB746" i="1"/>
  <c r="AC746" i="1"/>
  <c r="B747" i="1"/>
  <c r="Y747" i="1"/>
  <c r="Z747" i="1" s="1"/>
  <c r="AB747" i="1"/>
  <c r="AC747" i="1"/>
  <c r="B740" i="1"/>
  <c r="B748" i="1"/>
  <c r="Y740" i="1"/>
  <c r="Z740" i="1" s="1"/>
  <c r="Y748" i="1"/>
  <c r="Z748" i="1" s="1"/>
  <c r="AB740" i="1"/>
  <c r="AB748" i="1"/>
  <c r="AC740" i="1"/>
  <c r="AC748" i="1"/>
  <c r="AA790" i="1" l="1"/>
  <c r="Z741" i="1"/>
  <c r="Z773" i="1"/>
  <c r="AA779" i="1"/>
  <c r="AA784" i="1"/>
  <c r="AA767" i="1"/>
  <c r="AA776" i="1"/>
  <c r="AA772" i="1"/>
  <c r="Z759" i="1"/>
  <c r="Z771" i="1"/>
  <c r="AA774" i="1"/>
  <c r="AA754" i="1"/>
  <c r="Z783" i="1"/>
  <c r="AA780" i="1"/>
  <c r="Z777" i="1"/>
  <c r="AA765" i="1"/>
  <c r="AA764" i="1"/>
  <c r="AA745" i="1"/>
  <c r="AA763" i="1"/>
  <c r="AA788" i="1"/>
  <c r="AA762" i="1"/>
  <c r="Z789" i="1"/>
  <c r="Z787" i="1"/>
  <c r="AA791" i="1"/>
  <c r="Z786" i="1"/>
  <c r="AA785" i="1"/>
  <c r="AA778" i="1"/>
  <c r="Z775" i="1"/>
  <c r="AA768" i="1"/>
  <c r="AA766" i="1"/>
  <c r="AA761" i="1"/>
  <c r="Z760" i="1"/>
  <c r="AA756" i="1"/>
  <c r="AA755" i="1"/>
  <c r="Z753" i="1"/>
  <c r="Z752" i="1"/>
  <c r="AA751" i="1"/>
  <c r="AA750" i="1"/>
  <c r="AA749" i="1"/>
  <c r="Z782" i="1"/>
  <c r="Z770" i="1"/>
  <c r="Z758" i="1"/>
  <c r="Z781" i="1"/>
  <c r="Z769" i="1"/>
  <c r="Z757" i="1"/>
  <c r="Z743" i="1"/>
  <c r="AA744" i="1"/>
  <c r="AA747" i="1"/>
  <c r="AA742" i="1"/>
  <c r="Z746" i="1"/>
  <c r="AA746" i="1"/>
  <c r="AA740" i="1"/>
  <c r="AA748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Y688" i="1"/>
  <c r="AA688" i="1" s="1"/>
  <c r="Y689" i="1"/>
  <c r="Z689" i="1" s="1"/>
  <c r="Y690" i="1"/>
  <c r="Z690" i="1" s="1"/>
  <c r="Y691" i="1"/>
  <c r="Z691" i="1" s="1"/>
  <c r="Y692" i="1"/>
  <c r="Z692" i="1" s="1"/>
  <c r="Y693" i="1"/>
  <c r="AA693" i="1" s="1"/>
  <c r="Y694" i="1"/>
  <c r="AA694" i="1" s="1"/>
  <c r="Y695" i="1"/>
  <c r="AA695" i="1" s="1"/>
  <c r="Y696" i="1"/>
  <c r="AA696" i="1" s="1"/>
  <c r="Y697" i="1"/>
  <c r="AA697" i="1" s="1"/>
  <c r="Y698" i="1"/>
  <c r="AA698" i="1" s="1"/>
  <c r="Y699" i="1"/>
  <c r="AA699" i="1" s="1"/>
  <c r="Y700" i="1"/>
  <c r="AA700" i="1" s="1"/>
  <c r="Y701" i="1"/>
  <c r="Z701" i="1" s="1"/>
  <c r="Y702" i="1"/>
  <c r="AA702" i="1" s="1"/>
  <c r="Y703" i="1"/>
  <c r="Z703" i="1" s="1"/>
  <c r="Y704" i="1"/>
  <c r="AA704" i="1" s="1"/>
  <c r="Y705" i="1"/>
  <c r="AA705" i="1" s="1"/>
  <c r="Y706" i="1"/>
  <c r="AA706" i="1" s="1"/>
  <c r="Y707" i="1"/>
  <c r="AA707" i="1" s="1"/>
  <c r="Y708" i="1"/>
  <c r="Z708" i="1" s="1"/>
  <c r="Y709" i="1"/>
  <c r="AA709" i="1" s="1"/>
  <c r="Y710" i="1"/>
  <c r="AA710" i="1" s="1"/>
  <c r="Y711" i="1"/>
  <c r="AA711" i="1" s="1"/>
  <c r="Y712" i="1"/>
  <c r="AA712" i="1" s="1"/>
  <c r="Y713" i="1"/>
  <c r="Z713" i="1" s="1"/>
  <c r="Y714" i="1"/>
  <c r="Z714" i="1" s="1"/>
  <c r="Y715" i="1"/>
  <c r="Z715" i="1" s="1"/>
  <c r="Y716" i="1"/>
  <c r="AA716" i="1" s="1"/>
  <c r="Y717" i="1"/>
  <c r="AA717" i="1" s="1"/>
  <c r="Y718" i="1"/>
  <c r="AA718" i="1" s="1"/>
  <c r="Y719" i="1"/>
  <c r="Z719" i="1" s="1"/>
  <c r="Y720" i="1"/>
  <c r="AA720" i="1" s="1"/>
  <c r="Y721" i="1"/>
  <c r="AA721" i="1" s="1"/>
  <c r="Y722" i="1"/>
  <c r="AA722" i="1" s="1"/>
  <c r="Y723" i="1"/>
  <c r="AA723" i="1" s="1"/>
  <c r="Y724" i="1"/>
  <c r="AA724" i="1" s="1"/>
  <c r="Y725" i="1"/>
  <c r="Z725" i="1" s="1"/>
  <c r="Y726" i="1"/>
  <c r="Z726" i="1" s="1"/>
  <c r="Y727" i="1"/>
  <c r="Z727" i="1" s="1"/>
  <c r="Y728" i="1"/>
  <c r="AA728" i="1" s="1"/>
  <c r="Y729" i="1"/>
  <c r="Z729" i="1" s="1"/>
  <c r="Y730" i="1"/>
  <c r="AA730" i="1" s="1"/>
  <c r="Y731" i="1"/>
  <c r="AA731" i="1" s="1"/>
  <c r="Y732" i="1"/>
  <c r="Z732" i="1" s="1"/>
  <c r="Y733" i="1"/>
  <c r="AA733" i="1" s="1"/>
  <c r="Y734" i="1"/>
  <c r="AA734" i="1" s="1"/>
  <c r="Y735" i="1"/>
  <c r="AA735" i="1" s="1"/>
  <c r="Y736" i="1"/>
  <c r="AA736" i="1" s="1"/>
  <c r="Y737" i="1"/>
  <c r="Z737" i="1" s="1"/>
  <c r="Y738" i="1"/>
  <c r="AA738" i="1" s="1"/>
  <c r="Y739" i="1"/>
  <c r="Z739" i="1" s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Z700" i="1" l="1"/>
  <c r="Z699" i="1"/>
  <c r="Z707" i="1"/>
  <c r="Z702" i="1"/>
  <c r="AA726" i="1"/>
  <c r="AA690" i="1"/>
  <c r="Z709" i="1"/>
  <c r="Z733" i="1"/>
  <c r="Z721" i="1"/>
  <c r="Z697" i="1"/>
  <c r="AA732" i="1"/>
  <c r="AA719" i="1"/>
  <c r="Z720" i="1"/>
  <c r="Z738" i="1"/>
  <c r="Z736" i="1"/>
  <c r="Z735" i="1"/>
  <c r="Z731" i="1"/>
  <c r="Z730" i="1"/>
  <c r="AA729" i="1"/>
  <c r="Z724" i="1"/>
  <c r="Z723" i="1"/>
  <c r="Z718" i="1"/>
  <c r="Z717" i="1"/>
  <c r="AA714" i="1"/>
  <c r="Z712" i="1"/>
  <c r="Z711" i="1"/>
  <c r="AA708" i="1"/>
  <c r="Z706" i="1"/>
  <c r="Z705" i="1"/>
  <c r="Z696" i="1"/>
  <c r="Z695" i="1"/>
  <c r="Z694" i="1"/>
  <c r="Z693" i="1"/>
  <c r="Z688" i="1"/>
  <c r="Z734" i="1"/>
  <c r="Z722" i="1"/>
  <c r="Z710" i="1"/>
  <c r="Z698" i="1"/>
  <c r="AA739" i="1"/>
  <c r="AA727" i="1"/>
  <c r="AA715" i="1"/>
  <c r="AA703" i="1"/>
  <c r="AA691" i="1"/>
  <c r="AA692" i="1"/>
  <c r="AA737" i="1"/>
  <c r="AA725" i="1"/>
  <c r="AA713" i="1"/>
  <c r="AA701" i="1"/>
  <c r="AA689" i="1"/>
  <c r="Z728" i="1"/>
  <c r="Z716" i="1"/>
  <c r="Z70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Y625" i="1"/>
  <c r="AA625" i="1" s="1"/>
  <c r="Y626" i="1"/>
  <c r="AA626" i="1" s="1"/>
  <c r="Y627" i="1"/>
  <c r="AA627" i="1" s="1"/>
  <c r="Y628" i="1"/>
  <c r="Z628" i="1" s="1"/>
  <c r="Y629" i="1"/>
  <c r="AA629" i="1" s="1"/>
  <c r="Y630" i="1"/>
  <c r="Z630" i="1" s="1"/>
  <c r="Y631" i="1"/>
  <c r="AA631" i="1" s="1"/>
  <c r="Y632" i="1"/>
  <c r="Z632" i="1" s="1"/>
  <c r="Y633" i="1"/>
  <c r="Z633" i="1" s="1"/>
  <c r="Y634" i="1"/>
  <c r="AA634" i="1" s="1"/>
  <c r="Y635" i="1"/>
  <c r="AA635" i="1" s="1"/>
  <c r="Y636" i="1"/>
  <c r="AA636" i="1" s="1"/>
  <c r="Y637" i="1"/>
  <c r="AA637" i="1" s="1"/>
  <c r="Y638" i="1"/>
  <c r="AA638" i="1" s="1"/>
  <c r="Y639" i="1"/>
  <c r="AA639" i="1" s="1"/>
  <c r="Y640" i="1"/>
  <c r="Z640" i="1" s="1"/>
  <c r="Y641" i="1"/>
  <c r="AA641" i="1" s="1"/>
  <c r="Y642" i="1"/>
  <c r="Z642" i="1" s="1"/>
  <c r="Y643" i="1"/>
  <c r="AA643" i="1" s="1"/>
  <c r="Y644" i="1"/>
  <c r="Z644" i="1" s="1"/>
  <c r="Y645" i="1"/>
  <c r="Z645" i="1" s="1"/>
  <c r="Y646" i="1"/>
  <c r="Z646" i="1" s="1"/>
  <c r="Y647" i="1"/>
  <c r="AA647" i="1" s="1"/>
  <c r="Y648" i="1"/>
  <c r="AA648" i="1" s="1"/>
  <c r="Y649" i="1"/>
  <c r="AA649" i="1" s="1"/>
  <c r="Y650" i="1"/>
  <c r="AA650" i="1" s="1"/>
  <c r="Y651" i="1"/>
  <c r="AA651" i="1" s="1"/>
  <c r="Y652" i="1"/>
  <c r="Z652" i="1" s="1"/>
  <c r="Y653" i="1"/>
  <c r="AA653" i="1" s="1"/>
  <c r="Y654" i="1"/>
  <c r="Z654" i="1" s="1"/>
  <c r="Y655" i="1"/>
  <c r="AA655" i="1" s="1"/>
  <c r="Y656" i="1"/>
  <c r="Z656" i="1" s="1"/>
  <c r="Y657" i="1"/>
  <c r="Z657" i="1" s="1"/>
  <c r="Y658" i="1"/>
  <c r="AA658" i="1" s="1"/>
  <c r="Y659" i="1"/>
  <c r="AA659" i="1" s="1"/>
  <c r="Y660" i="1"/>
  <c r="AA660" i="1" s="1"/>
  <c r="Y661" i="1"/>
  <c r="AA661" i="1" s="1"/>
  <c r="Y662" i="1"/>
  <c r="AA662" i="1" s="1"/>
  <c r="Y663" i="1"/>
  <c r="AA663" i="1" s="1"/>
  <c r="Y664" i="1"/>
  <c r="Z664" i="1" s="1"/>
  <c r="Y665" i="1"/>
  <c r="Z665" i="1" s="1"/>
  <c r="Y666" i="1"/>
  <c r="Z666" i="1" s="1"/>
  <c r="Y667" i="1"/>
  <c r="Z667" i="1" s="1"/>
  <c r="Y668" i="1"/>
  <c r="Z668" i="1" s="1"/>
  <c r="Y669" i="1"/>
  <c r="Z669" i="1" s="1"/>
  <c r="Y670" i="1"/>
  <c r="Z670" i="1" s="1"/>
  <c r="Y671" i="1"/>
  <c r="AA671" i="1" s="1"/>
  <c r="Y672" i="1"/>
  <c r="AA672" i="1" s="1"/>
  <c r="Y673" i="1"/>
  <c r="AA673" i="1" s="1"/>
  <c r="Y674" i="1"/>
  <c r="AA674" i="1" s="1"/>
  <c r="Y675" i="1"/>
  <c r="AA675" i="1" s="1"/>
  <c r="Y676" i="1"/>
  <c r="Z676" i="1" s="1"/>
  <c r="Y677" i="1"/>
  <c r="AA677" i="1" s="1"/>
  <c r="Y678" i="1"/>
  <c r="Z678" i="1" s="1"/>
  <c r="Y679" i="1"/>
  <c r="Z679" i="1" s="1"/>
  <c r="Y680" i="1"/>
  <c r="Z680" i="1" s="1"/>
  <c r="Y681" i="1"/>
  <c r="AA681" i="1" s="1"/>
  <c r="Y682" i="1"/>
  <c r="AA682" i="1" s="1"/>
  <c r="Y683" i="1"/>
  <c r="AA683" i="1" s="1"/>
  <c r="Y684" i="1"/>
  <c r="AA684" i="1" s="1"/>
  <c r="Y685" i="1"/>
  <c r="AA685" i="1" s="1"/>
  <c r="Y686" i="1"/>
  <c r="AA686" i="1" s="1"/>
  <c r="Y687" i="1"/>
  <c r="AA687" i="1" s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A645" i="1" l="1"/>
  <c r="AA657" i="1"/>
  <c r="Z641" i="1"/>
  <c r="AA646" i="1"/>
  <c r="Z681" i="1"/>
  <c r="AA670" i="1"/>
  <c r="Z671" i="1"/>
  <c r="AA665" i="1"/>
  <c r="Z635" i="1"/>
  <c r="AA654" i="1"/>
  <c r="Z643" i="1"/>
  <c r="Z683" i="1"/>
  <c r="Z677" i="1"/>
  <c r="Z661" i="1"/>
  <c r="Z631" i="1"/>
  <c r="Z629" i="1"/>
  <c r="AA644" i="1"/>
  <c r="AA680" i="1"/>
  <c r="AA679" i="1"/>
  <c r="AA642" i="1"/>
  <c r="Z658" i="1"/>
  <c r="AA668" i="1"/>
  <c r="AA666" i="1"/>
  <c r="Z684" i="1"/>
  <c r="Z685" i="1"/>
  <c r="Z682" i="1"/>
  <c r="AA678" i="1"/>
  <c r="Z673" i="1"/>
  <c r="Z672" i="1"/>
  <c r="AA669" i="1"/>
  <c r="AA667" i="1"/>
  <c r="Z660" i="1"/>
  <c r="Z659" i="1"/>
  <c r="AA656" i="1"/>
  <c r="Z655" i="1"/>
  <c r="Z653" i="1"/>
  <c r="Z649" i="1"/>
  <c r="Z648" i="1"/>
  <c r="Z647" i="1"/>
  <c r="Z637" i="1"/>
  <c r="Z636" i="1"/>
  <c r="Z634" i="1"/>
  <c r="AA633" i="1"/>
  <c r="AA632" i="1"/>
  <c r="AA630" i="1"/>
  <c r="Z625" i="1"/>
  <c r="Z687" i="1"/>
  <c r="Z675" i="1"/>
  <c r="Z663" i="1"/>
  <c r="Z651" i="1"/>
  <c r="Z639" i="1"/>
  <c r="Z627" i="1"/>
  <c r="Z686" i="1"/>
  <c r="Z674" i="1"/>
  <c r="Z662" i="1"/>
  <c r="Z650" i="1"/>
  <c r="Z638" i="1"/>
  <c r="Z626" i="1"/>
  <c r="AA664" i="1"/>
  <c r="AA652" i="1"/>
  <c r="AA640" i="1"/>
  <c r="AA628" i="1"/>
  <c r="AA676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541" i="1"/>
  <c r="B542" i="1"/>
  <c r="B543" i="1"/>
  <c r="B544" i="1"/>
  <c r="Y541" i="1"/>
  <c r="AA541" i="1" s="1"/>
  <c r="Y542" i="1"/>
  <c r="AA542" i="1" s="1"/>
  <c r="Y543" i="1"/>
  <c r="AA543" i="1" s="1"/>
  <c r="Y544" i="1"/>
  <c r="Z544" i="1" s="1"/>
  <c r="Y545" i="1"/>
  <c r="Z545" i="1" s="1"/>
  <c r="Y546" i="1"/>
  <c r="Z546" i="1" s="1"/>
  <c r="Y547" i="1"/>
  <c r="Z547" i="1" s="1"/>
  <c r="Y548" i="1"/>
  <c r="Z548" i="1" s="1"/>
  <c r="Y549" i="1"/>
  <c r="Z549" i="1" s="1"/>
  <c r="Y550" i="1"/>
  <c r="Z550" i="1" s="1"/>
  <c r="Y551" i="1"/>
  <c r="Z551" i="1" s="1"/>
  <c r="Y552" i="1"/>
  <c r="AA552" i="1" s="1"/>
  <c r="Y553" i="1"/>
  <c r="AA553" i="1" s="1"/>
  <c r="Y554" i="1"/>
  <c r="Z554" i="1" s="1"/>
  <c r="Y555" i="1"/>
  <c r="Z555" i="1" s="1"/>
  <c r="Y556" i="1"/>
  <c r="AA556" i="1" s="1"/>
  <c r="Y557" i="1"/>
  <c r="Z557" i="1" s="1"/>
  <c r="Y558" i="1"/>
  <c r="Z558" i="1" s="1"/>
  <c r="Y559" i="1"/>
  <c r="Z559" i="1" s="1"/>
  <c r="Y560" i="1"/>
  <c r="Z560" i="1" s="1"/>
  <c r="Y561" i="1"/>
  <c r="Z561" i="1" s="1"/>
  <c r="Y562" i="1"/>
  <c r="Z562" i="1" s="1"/>
  <c r="Y563" i="1"/>
  <c r="AA563" i="1" s="1"/>
  <c r="Y564" i="1"/>
  <c r="Z564" i="1" s="1"/>
  <c r="Y565" i="1"/>
  <c r="Z565" i="1" s="1"/>
  <c r="Y566" i="1"/>
  <c r="Z566" i="1" s="1"/>
  <c r="Y567" i="1"/>
  <c r="AA567" i="1" s="1"/>
  <c r="Y568" i="1"/>
  <c r="AA568" i="1" s="1"/>
  <c r="Y569" i="1"/>
  <c r="AA569" i="1" s="1"/>
  <c r="Y570" i="1"/>
  <c r="AA570" i="1" s="1"/>
  <c r="Y571" i="1"/>
  <c r="AA571" i="1" s="1"/>
  <c r="Y572" i="1"/>
  <c r="AA572" i="1" s="1"/>
  <c r="Y573" i="1"/>
  <c r="AA573" i="1" s="1"/>
  <c r="Y574" i="1"/>
  <c r="AA574" i="1" s="1"/>
  <c r="Y575" i="1"/>
  <c r="AA575" i="1" s="1"/>
  <c r="Y576" i="1"/>
  <c r="AA576" i="1" s="1"/>
  <c r="Y577" i="1"/>
  <c r="AA577" i="1" s="1"/>
  <c r="Y578" i="1"/>
  <c r="AA578" i="1" s="1"/>
  <c r="Y579" i="1"/>
  <c r="AA579" i="1" s="1"/>
  <c r="Y580" i="1"/>
  <c r="Z580" i="1" s="1"/>
  <c r="Y581" i="1"/>
  <c r="Z581" i="1" s="1"/>
  <c r="Y582" i="1"/>
  <c r="AA582" i="1" s="1"/>
  <c r="Y583" i="1"/>
  <c r="Z583" i="1" s="1"/>
  <c r="Y584" i="1"/>
  <c r="Z584" i="1" s="1"/>
  <c r="Y585" i="1"/>
  <c r="Z585" i="1" s="1"/>
  <c r="Y586" i="1"/>
  <c r="Z586" i="1" s="1"/>
  <c r="Y587" i="1"/>
  <c r="AA587" i="1" s="1"/>
  <c r="Y588" i="1"/>
  <c r="AA588" i="1" s="1"/>
  <c r="Y589" i="1"/>
  <c r="AA589" i="1" s="1"/>
  <c r="Y590" i="1"/>
  <c r="AA590" i="1" s="1"/>
  <c r="Y591" i="1"/>
  <c r="AA591" i="1" s="1"/>
  <c r="Y592" i="1"/>
  <c r="Z592" i="1" s="1"/>
  <c r="Y593" i="1"/>
  <c r="AA593" i="1" s="1"/>
  <c r="Y594" i="1"/>
  <c r="AA594" i="1" s="1"/>
  <c r="Y595" i="1"/>
  <c r="Z595" i="1" s="1"/>
  <c r="Y596" i="1"/>
  <c r="Z596" i="1" s="1"/>
  <c r="Y597" i="1"/>
  <c r="Z597" i="1" s="1"/>
  <c r="Y598" i="1"/>
  <c r="Z598" i="1" s="1"/>
  <c r="Y599" i="1"/>
  <c r="AA599" i="1" s="1"/>
  <c r="Y600" i="1"/>
  <c r="AA600" i="1" s="1"/>
  <c r="Y601" i="1"/>
  <c r="Z601" i="1" s="1"/>
  <c r="Y602" i="1"/>
  <c r="Z602" i="1" s="1"/>
  <c r="Y603" i="1"/>
  <c r="AA603" i="1" s="1"/>
  <c r="Y604" i="1"/>
  <c r="Z604" i="1" s="1"/>
  <c r="Y605" i="1"/>
  <c r="Z605" i="1" s="1"/>
  <c r="Y606" i="1"/>
  <c r="Z606" i="1" s="1"/>
  <c r="Y607" i="1"/>
  <c r="Z607" i="1" s="1"/>
  <c r="Y608" i="1"/>
  <c r="Z608" i="1" s="1"/>
  <c r="Y609" i="1"/>
  <c r="AA609" i="1" s="1"/>
  <c r="Y610" i="1"/>
  <c r="AA610" i="1" s="1"/>
  <c r="Y611" i="1"/>
  <c r="AA611" i="1" s="1"/>
  <c r="Y612" i="1"/>
  <c r="AA612" i="1" s="1"/>
  <c r="Y613" i="1"/>
  <c r="Z613" i="1" s="1"/>
  <c r="Y614" i="1"/>
  <c r="AA614" i="1" s="1"/>
  <c r="Y615" i="1"/>
  <c r="AA615" i="1" s="1"/>
  <c r="Y616" i="1"/>
  <c r="AA616" i="1" s="1"/>
  <c r="Y617" i="1"/>
  <c r="Z617" i="1" s="1"/>
  <c r="Y618" i="1"/>
  <c r="Z618" i="1" s="1"/>
  <c r="Y619" i="1"/>
  <c r="Z619" i="1" s="1"/>
  <c r="Y620" i="1"/>
  <c r="Z620" i="1" s="1"/>
  <c r="Y621" i="1"/>
  <c r="Z621" i="1" s="1"/>
  <c r="Y622" i="1"/>
  <c r="AA622" i="1" s="1"/>
  <c r="Y623" i="1"/>
  <c r="Z623" i="1" s="1"/>
  <c r="Y624" i="1"/>
  <c r="AA624" i="1" s="1"/>
  <c r="Z541" i="1"/>
  <c r="Z542" i="1"/>
  <c r="Z543" i="1"/>
  <c r="Z556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Z579" i="1" l="1"/>
  <c r="Z624" i="1"/>
  <c r="Z568" i="1"/>
  <c r="Z600" i="1"/>
  <c r="Z569" i="1"/>
  <c r="AA548" i="1"/>
  <c r="Z588" i="1"/>
  <c r="Z603" i="1"/>
  <c r="Z571" i="1"/>
  <c r="Z570" i="1"/>
  <c r="AA555" i="1"/>
  <c r="AA562" i="1"/>
  <c r="Z622" i="1"/>
  <c r="AA592" i="1"/>
  <c r="Z572" i="1"/>
  <c r="AA566" i="1"/>
  <c r="AA613" i="1"/>
  <c r="AA557" i="1"/>
  <c r="AA554" i="1"/>
  <c r="Z578" i="1"/>
  <c r="AA550" i="1"/>
  <c r="Z576" i="1"/>
  <c r="AA565" i="1"/>
  <c r="Z575" i="1"/>
  <c r="AA545" i="1"/>
  <c r="Z574" i="1"/>
  <c r="Z573" i="1"/>
  <c r="AA597" i="1"/>
  <c r="AA596" i="1"/>
  <c r="AA621" i="1"/>
  <c r="AA581" i="1"/>
  <c r="AA559" i="1"/>
  <c r="AA561" i="1"/>
  <c r="AA618" i="1"/>
  <c r="AA580" i="1"/>
  <c r="AA558" i="1"/>
  <c r="AA584" i="1"/>
  <c r="AA608" i="1"/>
  <c r="Z616" i="1"/>
  <c r="AA604" i="1"/>
  <c r="AA623" i="1"/>
  <c r="AA620" i="1"/>
  <c r="AA619" i="1"/>
  <c r="AA617" i="1"/>
  <c r="Z615" i="1"/>
  <c r="Z614" i="1"/>
  <c r="Z612" i="1"/>
  <c r="Z611" i="1"/>
  <c r="Z610" i="1"/>
  <c r="Z609" i="1"/>
  <c r="AA607" i="1"/>
  <c r="AA606" i="1"/>
  <c r="AA605" i="1"/>
  <c r="AA602" i="1"/>
  <c r="AA601" i="1"/>
  <c r="Z599" i="1"/>
  <c r="AA598" i="1"/>
  <c r="AA595" i="1"/>
  <c r="Z594" i="1"/>
  <c r="Z593" i="1"/>
  <c r="Z591" i="1"/>
  <c r="Z590" i="1"/>
  <c r="Z589" i="1"/>
  <c r="Z587" i="1"/>
  <c r="AA586" i="1"/>
  <c r="AA585" i="1"/>
  <c r="AA583" i="1"/>
  <c r="Z582" i="1"/>
  <c r="Z577" i="1"/>
  <c r="Z567" i="1"/>
  <c r="AA564" i="1"/>
  <c r="Z563" i="1"/>
  <c r="AA560" i="1"/>
  <c r="Z553" i="1"/>
  <c r="Z552" i="1"/>
  <c r="AA551" i="1"/>
  <c r="AA549" i="1"/>
  <c r="AA547" i="1"/>
  <c r="AA546" i="1"/>
  <c r="AA544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Y503" i="1"/>
  <c r="Z503" i="1" s="1"/>
  <c r="Y504" i="1"/>
  <c r="Z504" i="1" s="1"/>
  <c r="Y505" i="1"/>
  <c r="Z505" i="1" s="1"/>
  <c r="Y506" i="1"/>
  <c r="Z506" i="1" s="1"/>
  <c r="Y507" i="1"/>
  <c r="AA507" i="1" s="1"/>
  <c r="Y508" i="1"/>
  <c r="AA508" i="1" s="1"/>
  <c r="Y509" i="1"/>
  <c r="Z509" i="1" s="1"/>
  <c r="Y510" i="1"/>
  <c r="Z510" i="1" s="1"/>
  <c r="Y511" i="1"/>
  <c r="Z511" i="1" s="1"/>
  <c r="Y512" i="1"/>
  <c r="AA512" i="1" s="1"/>
  <c r="Y513" i="1"/>
  <c r="Z513" i="1" s="1"/>
  <c r="Y514" i="1"/>
  <c r="Z514" i="1" s="1"/>
  <c r="Y515" i="1"/>
  <c r="Z515" i="1" s="1"/>
  <c r="Y516" i="1"/>
  <c r="AA516" i="1" s="1"/>
  <c r="Y517" i="1"/>
  <c r="Z517" i="1" s="1"/>
  <c r="Y518" i="1"/>
  <c r="Z518" i="1" s="1"/>
  <c r="Y519" i="1"/>
  <c r="AA519" i="1" s="1"/>
  <c r="Y520" i="1"/>
  <c r="AA520" i="1" s="1"/>
  <c r="Y521" i="1"/>
  <c r="AA521" i="1" s="1"/>
  <c r="Y522" i="1"/>
  <c r="Z522" i="1" s="1"/>
  <c r="Y523" i="1"/>
  <c r="Z523" i="1" s="1"/>
  <c r="Y524" i="1"/>
  <c r="Z524" i="1" s="1"/>
  <c r="Y525" i="1"/>
  <c r="Z525" i="1" s="1"/>
  <c r="Y526" i="1"/>
  <c r="Z526" i="1" s="1"/>
  <c r="Y527" i="1"/>
  <c r="Z527" i="1" s="1"/>
  <c r="Y528" i="1"/>
  <c r="Z528" i="1" s="1"/>
  <c r="Y529" i="1"/>
  <c r="Z529" i="1" s="1"/>
  <c r="Y530" i="1"/>
  <c r="Z530" i="1" s="1"/>
  <c r="Y531" i="1"/>
  <c r="AA531" i="1" s="1"/>
  <c r="Y532" i="1"/>
  <c r="AA532" i="1" s="1"/>
  <c r="Y533" i="1"/>
  <c r="AA533" i="1" s="1"/>
  <c r="Y534" i="1"/>
  <c r="Z534" i="1" s="1"/>
  <c r="Y535" i="1"/>
  <c r="Z535" i="1" s="1"/>
  <c r="Y536" i="1"/>
  <c r="Z536" i="1" s="1"/>
  <c r="Y537" i="1"/>
  <c r="Z537" i="1" s="1"/>
  <c r="Y538" i="1"/>
  <c r="Z538" i="1" s="1"/>
  <c r="Y539" i="1"/>
  <c r="Z539" i="1" s="1"/>
  <c r="Y540" i="1"/>
  <c r="Z540" i="1" s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Z531" i="1" l="1"/>
  <c r="Z521" i="1"/>
  <c r="AA540" i="1"/>
  <c r="Z519" i="1"/>
  <c r="Z520" i="1"/>
  <c r="Z516" i="1"/>
  <c r="AA526" i="1"/>
  <c r="AA514" i="1"/>
  <c r="Z533" i="1"/>
  <c r="Z508" i="1"/>
  <c r="Z512" i="1"/>
  <c r="AA535" i="1"/>
  <c r="AA510" i="1"/>
  <c r="AA536" i="1"/>
  <c r="AA534" i="1"/>
  <c r="AA525" i="1"/>
  <c r="AA523" i="1"/>
  <c r="AA522" i="1"/>
  <c r="AA537" i="1"/>
  <c r="Z532" i="1"/>
  <c r="AA528" i="1"/>
  <c r="AA524" i="1"/>
  <c r="AA513" i="1"/>
  <c r="AA511" i="1"/>
  <c r="AA509" i="1"/>
  <c r="Z507" i="1"/>
  <c r="AA504" i="1"/>
  <c r="AA529" i="1"/>
  <c r="AA517" i="1"/>
  <c r="AA505" i="1"/>
  <c r="AA530" i="1"/>
  <c r="AA518" i="1"/>
  <c r="AA506" i="1"/>
  <c r="AA539" i="1"/>
  <c r="AA527" i="1"/>
  <c r="AA515" i="1"/>
  <c r="AA503" i="1"/>
  <c r="AA538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Y458" i="1"/>
  <c r="AA458" i="1" s="1"/>
  <c r="Y459" i="1"/>
  <c r="AA459" i="1" s="1"/>
  <c r="Y460" i="1"/>
  <c r="AA460" i="1" s="1"/>
  <c r="Y461" i="1"/>
  <c r="AA461" i="1" s="1"/>
  <c r="Y462" i="1"/>
  <c r="Z462" i="1" s="1"/>
  <c r="Y463" i="1"/>
  <c r="Z463" i="1" s="1"/>
  <c r="Y464" i="1"/>
  <c r="Z464" i="1" s="1"/>
  <c r="Y465" i="1"/>
  <c r="AA465" i="1" s="1"/>
  <c r="Y466" i="1"/>
  <c r="AA466" i="1" s="1"/>
  <c r="Y467" i="1"/>
  <c r="AA467" i="1" s="1"/>
  <c r="Y468" i="1"/>
  <c r="AA468" i="1" s="1"/>
  <c r="Y469" i="1"/>
  <c r="Z469" i="1" s="1"/>
  <c r="Y470" i="1"/>
  <c r="AA470" i="1" s="1"/>
  <c r="Y471" i="1"/>
  <c r="AA471" i="1" s="1"/>
  <c r="Y472" i="1"/>
  <c r="AA472" i="1" s="1"/>
  <c r="Y473" i="1"/>
  <c r="AA473" i="1" s="1"/>
  <c r="Y474" i="1"/>
  <c r="Z474" i="1" s="1"/>
  <c r="Y475" i="1"/>
  <c r="AA475" i="1" s="1"/>
  <c r="Y476" i="1"/>
  <c r="AA476" i="1" s="1"/>
  <c r="Y477" i="1"/>
  <c r="Z477" i="1" s="1"/>
  <c r="Y478" i="1"/>
  <c r="AA478" i="1" s="1"/>
  <c r="Y479" i="1"/>
  <c r="Z479" i="1" s="1"/>
  <c r="Y480" i="1"/>
  <c r="AA480" i="1" s="1"/>
  <c r="Y481" i="1"/>
  <c r="Z481" i="1" s="1"/>
  <c r="Y482" i="1"/>
  <c r="AA482" i="1" s="1"/>
  <c r="Y483" i="1"/>
  <c r="AA483" i="1" s="1"/>
  <c r="Y484" i="1"/>
  <c r="AA484" i="1" s="1"/>
  <c r="Y485" i="1"/>
  <c r="AA485" i="1" s="1"/>
  <c r="Y486" i="1"/>
  <c r="AA486" i="1" s="1"/>
  <c r="Y487" i="1"/>
  <c r="Z487" i="1" s="1"/>
  <c r="Y488" i="1"/>
  <c r="AA488" i="1" s="1"/>
  <c r="Y489" i="1"/>
  <c r="AA489" i="1" s="1"/>
  <c r="Y490" i="1"/>
  <c r="AA490" i="1" s="1"/>
  <c r="Y491" i="1"/>
  <c r="AA491" i="1" s="1"/>
  <c r="Y492" i="1"/>
  <c r="AA492" i="1" s="1"/>
  <c r="Y493" i="1"/>
  <c r="Z493" i="1" s="1"/>
  <c r="Y494" i="1"/>
  <c r="AA494" i="1" s="1"/>
  <c r="Y495" i="1"/>
  <c r="AA495" i="1" s="1"/>
  <c r="Y496" i="1"/>
  <c r="AA496" i="1" s="1"/>
  <c r="Y497" i="1"/>
  <c r="AA497" i="1" s="1"/>
  <c r="Y498" i="1"/>
  <c r="Z498" i="1" s="1"/>
  <c r="Y499" i="1"/>
  <c r="Z499" i="1" s="1"/>
  <c r="Y500" i="1"/>
  <c r="AA500" i="1" s="1"/>
  <c r="Y501" i="1"/>
  <c r="AA501" i="1" s="1"/>
  <c r="Y502" i="1"/>
  <c r="Z502" i="1" s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Z500" i="1" l="1"/>
  <c r="Z465" i="1"/>
  <c r="Z501" i="1"/>
  <c r="Z489" i="1"/>
  <c r="AA479" i="1"/>
  <c r="AA502" i="1"/>
  <c r="Z497" i="1"/>
  <c r="AA493" i="1"/>
  <c r="Z492" i="1"/>
  <c r="Z491" i="1"/>
  <c r="Z490" i="1"/>
  <c r="Z488" i="1"/>
  <c r="Z485" i="1"/>
  <c r="AA481" i="1"/>
  <c r="Z480" i="1"/>
  <c r="Z478" i="1"/>
  <c r="AA477" i="1"/>
  <c r="Z476" i="1"/>
  <c r="Z473" i="1"/>
  <c r="AA469" i="1"/>
  <c r="Z468" i="1"/>
  <c r="Z467" i="1"/>
  <c r="Z466" i="1"/>
  <c r="AA464" i="1"/>
  <c r="Z461" i="1"/>
  <c r="Z486" i="1"/>
  <c r="AA499" i="1"/>
  <c r="Z496" i="1"/>
  <c r="AA498" i="1"/>
  <c r="AA474" i="1"/>
  <c r="AA462" i="1"/>
  <c r="Z495" i="1"/>
  <c r="Z483" i="1"/>
  <c r="Z471" i="1"/>
  <c r="Z459" i="1"/>
  <c r="Z475" i="1"/>
  <c r="AA487" i="1"/>
  <c r="AA463" i="1"/>
  <c r="Z472" i="1"/>
  <c r="Z460" i="1"/>
  <c r="Z494" i="1"/>
  <c r="Z482" i="1"/>
  <c r="Z470" i="1"/>
  <c r="Z458" i="1"/>
  <c r="Z484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Y407" i="1"/>
  <c r="AA407" i="1" s="1"/>
  <c r="Y408" i="1"/>
  <c r="AA408" i="1" s="1"/>
  <c r="Y409" i="1"/>
  <c r="AA409" i="1" s="1"/>
  <c r="Y410" i="1"/>
  <c r="Z410" i="1" s="1"/>
  <c r="Y411" i="1"/>
  <c r="Z411" i="1" s="1"/>
  <c r="Y412" i="1"/>
  <c r="Z412" i="1" s="1"/>
  <c r="Y413" i="1"/>
  <c r="AA413" i="1" s="1"/>
  <c r="Y414" i="1"/>
  <c r="AA414" i="1" s="1"/>
  <c r="Y415" i="1"/>
  <c r="AA415" i="1" s="1"/>
  <c r="Y416" i="1"/>
  <c r="Z416" i="1" s="1"/>
  <c r="Y417" i="1"/>
  <c r="Z417" i="1" s="1"/>
  <c r="Y418" i="1"/>
  <c r="AA418" i="1" s="1"/>
  <c r="Y419" i="1"/>
  <c r="AA419" i="1" s="1"/>
  <c r="Y420" i="1"/>
  <c r="AA420" i="1" s="1"/>
  <c r="Y421" i="1"/>
  <c r="AA421" i="1" s="1"/>
  <c r="Y422" i="1"/>
  <c r="Z422" i="1" s="1"/>
  <c r="Y423" i="1"/>
  <c r="Z423" i="1" s="1"/>
  <c r="Y424" i="1"/>
  <c r="Z424" i="1" s="1"/>
  <c r="Y425" i="1"/>
  <c r="Z425" i="1" s="1"/>
  <c r="Y426" i="1"/>
  <c r="Z426" i="1" s="1"/>
  <c r="Y427" i="1"/>
  <c r="Z427" i="1" s="1"/>
  <c r="Y428" i="1"/>
  <c r="Z428" i="1" s="1"/>
  <c r="Y429" i="1"/>
  <c r="AA429" i="1" s="1"/>
  <c r="Y430" i="1"/>
  <c r="AA430" i="1" s="1"/>
  <c r="Y431" i="1"/>
  <c r="AA431" i="1" s="1"/>
  <c r="Y432" i="1"/>
  <c r="AA432" i="1" s="1"/>
  <c r="Y433" i="1"/>
  <c r="AA433" i="1" s="1"/>
  <c r="Y434" i="1"/>
  <c r="Z434" i="1" s="1"/>
  <c r="Y435" i="1"/>
  <c r="Z435" i="1" s="1"/>
  <c r="Y436" i="1"/>
  <c r="Z436" i="1" s="1"/>
  <c r="Y437" i="1"/>
  <c r="AA437" i="1" s="1"/>
  <c r="Y438" i="1"/>
  <c r="Z438" i="1" s="1"/>
  <c r="Y439" i="1"/>
  <c r="Z439" i="1" s="1"/>
  <c r="Y440" i="1"/>
  <c r="Z440" i="1" s="1"/>
  <c r="Y441" i="1"/>
  <c r="Z441" i="1" s="1"/>
  <c r="Y442" i="1"/>
  <c r="Z442" i="1" s="1"/>
  <c r="Y443" i="1"/>
  <c r="AA443" i="1" s="1"/>
  <c r="Y444" i="1"/>
  <c r="AA444" i="1" s="1"/>
  <c r="Y445" i="1"/>
  <c r="AA445" i="1" s="1"/>
  <c r="Y446" i="1"/>
  <c r="Z446" i="1" s="1"/>
  <c r="Y447" i="1"/>
  <c r="Z447" i="1" s="1"/>
  <c r="Y448" i="1"/>
  <c r="Z448" i="1" s="1"/>
  <c r="Y449" i="1"/>
  <c r="Z449" i="1" s="1"/>
  <c r="Y450" i="1"/>
  <c r="Z450" i="1" s="1"/>
  <c r="Y451" i="1"/>
  <c r="Z451" i="1" s="1"/>
  <c r="Y452" i="1"/>
  <c r="Z452" i="1" s="1"/>
  <c r="Y453" i="1"/>
  <c r="AA453" i="1" s="1"/>
  <c r="Y454" i="1"/>
  <c r="AA454" i="1" s="1"/>
  <c r="Y455" i="1"/>
  <c r="AA455" i="1" s="1"/>
  <c r="Y456" i="1"/>
  <c r="AA456" i="1" s="1"/>
  <c r="Y457" i="1"/>
  <c r="AA457" i="1" s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Z433" i="1" l="1"/>
  <c r="AA450" i="1"/>
  <c r="Z409" i="1"/>
  <c r="Z437" i="1"/>
  <c r="Z414" i="1"/>
  <c r="Z453" i="1"/>
  <c r="AA417" i="1"/>
  <c r="Z415" i="1"/>
  <c r="Z430" i="1"/>
  <c r="AA452" i="1"/>
  <c r="AA451" i="1"/>
  <c r="Z413" i="1"/>
  <c r="AA449" i="1"/>
  <c r="Z454" i="1"/>
  <c r="Z445" i="1"/>
  <c r="AA442" i="1"/>
  <c r="Z444" i="1"/>
  <c r="AA441" i="1"/>
  <c r="AA427" i="1"/>
  <c r="Z420" i="1"/>
  <c r="AA426" i="1"/>
  <c r="Z408" i="1"/>
  <c r="Z419" i="1"/>
  <c r="Z418" i="1"/>
  <c r="Z443" i="1"/>
  <c r="AA425" i="1"/>
  <c r="Z432" i="1"/>
  <c r="Z407" i="1"/>
  <c r="Z455" i="1"/>
  <c r="Z431" i="1"/>
  <c r="AA439" i="1"/>
  <c r="AA440" i="1"/>
  <c r="AA438" i="1"/>
  <c r="Z421" i="1"/>
  <c r="Z457" i="1"/>
  <c r="Z456" i="1"/>
  <c r="AA416" i="1"/>
  <c r="AA428" i="1"/>
  <c r="Z429" i="1"/>
  <c r="AA448" i="1"/>
  <c r="AA436" i="1"/>
  <c r="AA424" i="1"/>
  <c r="AA412" i="1"/>
  <c r="AA447" i="1"/>
  <c r="AA435" i="1"/>
  <c r="AA423" i="1"/>
  <c r="AA411" i="1"/>
  <c r="AA410" i="1"/>
  <c r="AA434" i="1"/>
  <c r="AA446" i="1"/>
  <c r="AA422" i="1"/>
  <c r="B379" i="1" l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Y379" i="1"/>
  <c r="AA379" i="1" s="1"/>
  <c r="Y380" i="1"/>
  <c r="AA380" i="1" s="1"/>
  <c r="Y381" i="1"/>
  <c r="AA381" i="1" s="1"/>
  <c r="Y382" i="1"/>
  <c r="Z382" i="1" s="1"/>
  <c r="Y383" i="1"/>
  <c r="AA383" i="1" s="1"/>
  <c r="Y384" i="1"/>
  <c r="AA384" i="1" s="1"/>
  <c r="Y385" i="1"/>
  <c r="AA385" i="1" s="1"/>
  <c r="Y386" i="1"/>
  <c r="Z386" i="1" s="1"/>
  <c r="Y387" i="1"/>
  <c r="AA387" i="1" s="1"/>
  <c r="Y388" i="1"/>
  <c r="AA388" i="1" s="1"/>
  <c r="Y389" i="1"/>
  <c r="AA389" i="1" s="1"/>
  <c r="Y390" i="1"/>
  <c r="AA390" i="1" s="1"/>
  <c r="Y391" i="1"/>
  <c r="AA391" i="1" s="1"/>
  <c r="Y392" i="1"/>
  <c r="AA392" i="1" s="1"/>
  <c r="Y393" i="1"/>
  <c r="Z393" i="1" s="1"/>
  <c r="Y394" i="1"/>
  <c r="AA394" i="1" s="1"/>
  <c r="Y395" i="1"/>
  <c r="AA395" i="1" s="1"/>
  <c r="Y396" i="1"/>
  <c r="AA396" i="1" s="1"/>
  <c r="Y397" i="1"/>
  <c r="Z397" i="1" s="1"/>
  <c r="Y398" i="1"/>
  <c r="Z398" i="1" s="1"/>
  <c r="Y399" i="1"/>
  <c r="AA399" i="1" s="1"/>
  <c r="Y400" i="1"/>
  <c r="AA400" i="1" s="1"/>
  <c r="Y401" i="1"/>
  <c r="AA401" i="1" s="1"/>
  <c r="Y402" i="1"/>
  <c r="AA402" i="1" s="1"/>
  <c r="Y403" i="1"/>
  <c r="AA403" i="1" s="1"/>
  <c r="Y404" i="1"/>
  <c r="AA404" i="1" s="1"/>
  <c r="Y405" i="1"/>
  <c r="Z405" i="1" s="1"/>
  <c r="Y406" i="1"/>
  <c r="AA406" i="1" s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Z387" i="1" l="1"/>
  <c r="AA398" i="1"/>
  <c r="AA393" i="1"/>
  <c r="Z400" i="1"/>
  <c r="Z404" i="1"/>
  <c r="Z402" i="1"/>
  <c r="Z392" i="1"/>
  <c r="Z390" i="1"/>
  <c r="AA405" i="1"/>
  <c r="Z403" i="1"/>
  <c r="Z401" i="1"/>
  <c r="Z399" i="1"/>
  <c r="Z391" i="1"/>
  <c r="Z389" i="1"/>
  <c r="Z388" i="1"/>
  <c r="AA382" i="1"/>
  <c r="Z381" i="1"/>
  <c r="Z380" i="1"/>
  <c r="Z379" i="1"/>
  <c r="AA397" i="1"/>
  <c r="AA386" i="1"/>
  <c r="Z396" i="1"/>
  <c r="Z385" i="1"/>
  <c r="Z395" i="1"/>
  <c r="Z384" i="1"/>
  <c r="Z406" i="1"/>
  <c r="Z394" i="1"/>
  <c r="Z383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Y333" i="1"/>
  <c r="AA333" i="1" s="1"/>
  <c r="Y334" i="1"/>
  <c r="AA334" i="1" s="1"/>
  <c r="Y335" i="1"/>
  <c r="AA335" i="1" s="1"/>
  <c r="Y336" i="1"/>
  <c r="Z336" i="1" s="1"/>
  <c r="Y337" i="1"/>
  <c r="Z337" i="1" s="1"/>
  <c r="Y338" i="1"/>
  <c r="AA338" i="1" s="1"/>
  <c r="Y339" i="1"/>
  <c r="Z339" i="1" s="1"/>
  <c r="Y340" i="1"/>
  <c r="Z340" i="1" s="1"/>
  <c r="Y341" i="1"/>
  <c r="Z341" i="1" s="1"/>
  <c r="Y342" i="1"/>
  <c r="Z342" i="1" s="1"/>
  <c r="Y343" i="1"/>
  <c r="AA343" i="1" s="1"/>
  <c r="Y344" i="1"/>
  <c r="AA344" i="1" s="1"/>
  <c r="Y345" i="1"/>
  <c r="AA345" i="1" s="1"/>
  <c r="Y346" i="1"/>
  <c r="AA346" i="1" s="1"/>
  <c r="Y347" i="1"/>
  <c r="AA347" i="1" s="1"/>
  <c r="Y348" i="1"/>
  <c r="Z348" i="1" s="1"/>
  <c r="Y349" i="1"/>
  <c r="AA349" i="1" s="1"/>
  <c r="Y350" i="1"/>
  <c r="AA350" i="1" s="1"/>
  <c r="Y351" i="1"/>
  <c r="AA351" i="1" s="1"/>
  <c r="Y352" i="1"/>
  <c r="AA352" i="1" s="1"/>
  <c r="Y353" i="1"/>
  <c r="Z353" i="1" s="1"/>
  <c r="Y354" i="1"/>
  <c r="Z354" i="1" s="1"/>
  <c r="Y355" i="1"/>
  <c r="AA355" i="1" s="1"/>
  <c r="Y356" i="1"/>
  <c r="AA356" i="1" s="1"/>
  <c r="Y357" i="1"/>
  <c r="AA357" i="1" s="1"/>
  <c r="Y358" i="1"/>
  <c r="AA358" i="1" s="1"/>
  <c r="Y359" i="1"/>
  <c r="AA359" i="1" s="1"/>
  <c r="Y360" i="1"/>
  <c r="Z360" i="1" s="1"/>
  <c r="Y361" i="1"/>
  <c r="AA361" i="1" s="1"/>
  <c r="Y362" i="1"/>
  <c r="Z362" i="1" s="1"/>
  <c r="Y363" i="1"/>
  <c r="Z363" i="1" s="1"/>
  <c r="Y364" i="1"/>
  <c r="AA364" i="1" s="1"/>
  <c r="Y365" i="1"/>
  <c r="AA365" i="1" s="1"/>
  <c r="Y366" i="1"/>
  <c r="Z366" i="1" s="1"/>
  <c r="Y367" i="1"/>
  <c r="AA367" i="1" s="1"/>
  <c r="Y368" i="1"/>
  <c r="AA368" i="1" s="1"/>
  <c r="Y369" i="1"/>
  <c r="AA369" i="1" s="1"/>
  <c r="Y370" i="1"/>
  <c r="AA370" i="1" s="1"/>
  <c r="Y371" i="1"/>
  <c r="AA371" i="1" s="1"/>
  <c r="Y372" i="1"/>
  <c r="Z372" i="1" s="1"/>
  <c r="Y373" i="1"/>
  <c r="Z373" i="1" s="1"/>
  <c r="Y374" i="1"/>
  <c r="Z374" i="1" s="1"/>
  <c r="Y375" i="1"/>
  <c r="AA375" i="1" s="1"/>
  <c r="Y376" i="1"/>
  <c r="Z376" i="1" s="1"/>
  <c r="Y377" i="1"/>
  <c r="AA377" i="1" s="1"/>
  <c r="Y378" i="1"/>
  <c r="Z378" i="1" s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A362" i="1" l="1"/>
  <c r="AA376" i="1"/>
  <c r="AA339" i="1"/>
  <c r="Z375" i="1"/>
  <c r="AA337" i="1"/>
  <c r="Z347" i="1"/>
  <c r="Z351" i="1"/>
  <c r="Z368" i="1"/>
  <c r="AA363" i="1"/>
  <c r="Z349" i="1"/>
  <c r="Z377" i="1"/>
  <c r="AA342" i="1"/>
  <c r="AA341" i="1"/>
  <c r="AA366" i="1"/>
  <c r="AA353" i="1"/>
  <c r="AA378" i="1"/>
  <c r="AA374" i="1"/>
  <c r="AA373" i="1"/>
  <c r="Z371" i="1"/>
  <c r="Z365" i="1"/>
  <c r="Z364" i="1"/>
  <c r="Z361" i="1"/>
  <c r="Z359" i="1"/>
  <c r="Z356" i="1"/>
  <c r="AA354" i="1"/>
  <c r="Z352" i="1"/>
  <c r="Z350" i="1"/>
  <c r="Z344" i="1"/>
  <c r="AA340" i="1"/>
  <c r="Z338" i="1"/>
  <c r="Z335" i="1"/>
  <c r="AA372" i="1"/>
  <c r="AA360" i="1"/>
  <c r="AA348" i="1"/>
  <c r="AA336" i="1"/>
  <c r="Z370" i="1"/>
  <c r="Z358" i="1"/>
  <c r="Z346" i="1"/>
  <c r="Z334" i="1"/>
  <c r="Z369" i="1"/>
  <c r="Z357" i="1"/>
  <c r="Z345" i="1"/>
  <c r="Z333" i="1"/>
  <c r="Z367" i="1"/>
  <c r="Z355" i="1"/>
  <c r="Z343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Y301" i="1"/>
  <c r="AA301" i="1" s="1"/>
  <c r="Y302" i="1"/>
  <c r="Z302" i="1" s="1"/>
  <c r="Y303" i="1"/>
  <c r="Z303" i="1" s="1"/>
  <c r="Y304" i="1"/>
  <c r="Z304" i="1" s="1"/>
  <c r="Y305" i="1"/>
  <c r="Z305" i="1" s="1"/>
  <c r="Y306" i="1"/>
  <c r="AA306" i="1" s="1"/>
  <c r="Y307" i="1"/>
  <c r="Z307" i="1" s="1"/>
  <c r="Y308" i="1"/>
  <c r="AA308" i="1" s="1"/>
  <c r="Y309" i="1"/>
  <c r="Z309" i="1" s="1"/>
  <c r="Y310" i="1"/>
  <c r="AA310" i="1" s="1"/>
  <c r="Y311" i="1"/>
  <c r="AA311" i="1" s="1"/>
  <c r="Y312" i="1"/>
  <c r="AA312" i="1" s="1"/>
  <c r="Y313" i="1"/>
  <c r="Z313" i="1" s="1"/>
  <c r="Y314" i="1"/>
  <c r="AA314" i="1" s="1"/>
  <c r="Y315" i="1"/>
  <c r="Z315" i="1" s="1"/>
  <c r="Y316" i="1"/>
  <c r="Z316" i="1" s="1"/>
  <c r="Y317" i="1"/>
  <c r="Z317" i="1" s="1"/>
  <c r="Y318" i="1"/>
  <c r="AA318" i="1" s="1"/>
  <c r="Y319" i="1"/>
  <c r="Z319" i="1" s="1"/>
  <c r="Y320" i="1"/>
  <c r="AA320" i="1" s="1"/>
  <c r="Y321" i="1"/>
  <c r="AA321" i="1" s="1"/>
  <c r="Y322" i="1"/>
  <c r="AA322" i="1" s="1"/>
  <c r="Y323" i="1"/>
  <c r="AA323" i="1" s="1"/>
  <c r="Y324" i="1"/>
  <c r="AA324" i="1" s="1"/>
  <c r="Y325" i="1"/>
  <c r="AA325" i="1" s="1"/>
  <c r="Y326" i="1"/>
  <c r="AA326" i="1" s="1"/>
  <c r="Y327" i="1"/>
  <c r="Z327" i="1" s="1"/>
  <c r="Y328" i="1"/>
  <c r="Z328" i="1" s="1"/>
  <c r="Y329" i="1"/>
  <c r="Z329" i="1" s="1"/>
  <c r="Y330" i="1"/>
  <c r="AA330" i="1" s="1"/>
  <c r="Y331" i="1"/>
  <c r="Z331" i="1" s="1"/>
  <c r="Y332" i="1"/>
  <c r="Z332" i="1" s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Z306" i="1" l="1"/>
  <c r="Z321" i="1"/>
  <c r="Z310" i="1"/>
  <c r="AA331" i="1"/>
  <c r="AA313" i="1"/>
  <c r="AA319" i="1"/>
  <c r="AA307" i="1"/>
  <c r="Z325" i="1"/>
  <c r="Z323" i="1"/>
  <c r="Z330" i="1"/>
  <c r="Z326" i="1"/>
  <c r="Z308" i="1"/>
  <c r="AA302" i="1"/>
  <c r="AA332" i="1"/>
  <c r="Z324" i="1"/>
  <c r="Z322" i="1"/>
  <c r="Z320" i="1"/>
  <c r="Z318" i="1"/>
  <c r="Z314" i="1"/>
  <c r="Z312" i="1"/>
  <c r="Z311" i="1"/>
  <c r="AA309" i="1"/>
  <c r="Z301" i="1"/>
  <c r="AA305" i="1"/>
  <c r="AA328" i="1"/>
  <c r="AA316" i="1"/>
  <c r="AA304" i="1"/>
  <c r="AA327" i="1"/>
  <c r="AA315" i="1"/>
  <c r="AA303" i="1"/>
  <c r="AA317" i="1"/>
  <c r="AA329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Y269" i="1"/>
  <c r="AA269" i="1" s="1"/>
  <c r="Y270" i="1"/>
  <c r="Z270" i="1" s="1"/>
  <c r="Y271" i="1"/>
  <c r="Z271" i="1" s="1"/>
  <c r="Y272" i="1"/>
  <c r="Z272" i="1" s="1"/>
  <c r="Y273" i="1"/>
  <c r="Z273" i="1" s="1"/>
  <c r="Y274" i="1"/>
  <c r="AA274" i="1" s="1"/>
  <c r="Y275" i="1"/>
  <c r="AA275" i="1" s="1"/>
  <c r="Y276" i="1"/>
  <c r="AA276" i="1" s="1"/>
  <c r="Y277" i="1"/>
  <c r="AA277" i="1" s="1"/>
  <c r="Y278" i="1"/>
  <c r="AA278" i="1" s="1"/>
  <c r="Y279" i="1"/>
  <c r="Z279" i="1" s="1"/>
  <c r="Y280" i="1"/>
  <c r="AA280" i="1" s="1"/>
  <c r="Y281" i="1"/>
  <c r="Z281" i="1" s="1"/>
  <c r="Y282" i="1"/>
  <c r="Z282" i="1" s="1"/>
  <c r="Y283" i="1"/>
  <c r="Z283" i="1" s="1"/>
  <c r="Y284" i="1"/>
  <c r="Z284" i="1" s="1"/>
  <c r="Y285" i="1"/>
  <c r="Z285" i="1" s="1"/>
  <c r="Y286" i="1"/>
  <c r="AA286" i="1" s="1"/>
  <c r="Y287" i="1"/>
  <c r="AA287" i="1" s="1"/>
  <c r="Y288" i="1"/>
  <c r="AA288" i="1" s="1"/>
  <c r="Y289" i="1"/>
  <c r="AA289" i="1" s="1"/>
  <c r="Y290" i="1"/>
  <c r="AA290" i="1" s="1"/>
  <c r="Y291" i="1"/>
  <c r="Z291" i="1" s="1"/>
  <c r="Y292" i="1"/>
  <c r="Z292" i="1" s="1"/>
  <c r="Y293" i="1"/>
  <c r="Z293" i="1" s="1"/>
  <c r="Y294" i="1"/>
  <c r="AA294" i="1" s="1"/>
  <c r="Y295" i="1"/>
  <c r="Z295" i="1" s="1"/>
  <c r="Y296" i="1"/>
  <c r="Z296" i="1" s="1"/>
  <c r="Y297" i="1"/>
  <c r="Z297" i="1" s="1"/>
  <c r="Y298" i="1"/>
  <c r="AA298" i="1" s="1"/>
  <c r="Y299" i="1"/>
  <c r="AA299" i="1" s="1"/>
  <c r="Y300" i="1"/>
  <c r="AA300" i="1" s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A281" i="1" l="1"/>
  <c r="AA279" i="1"/>
  <c r="AA293" i="1"/>
  <c r="AA291" i="1"/>
  <c r="Z280" i="1"/>
  <c r="AA270" i="1"/>
  <c r="AA271" i="1"/>
  <c r="AA273" i="1"/>
  <c r="Z289" i="1"/>
  <c r="Z277" i="1"/>
  <c r="AA295" i="1"/>
  <c r="AA285" i="1"/>
  <c r="AA283" i="1"/>
  <c r="Z300" i="1"/>
  <c r="AA297" i="1"/>
  <c r="AA296" i="1"/>
  <c r="Z294" i="1"/>
  <c r="AA292" i="1"/>
  <c r="Z290" i="1"/>
  <c r="AA284" i="1"/>
  <c r="AA282" i="1"/>
  <c r="Z278" i="1"/>
  <c r="AA272" i="1"/>
  <c r="Z269" i="1"/>
  <c r="Z288" i="1"/>
  <c r="Z287" i="1"/>
  <c r="Z275" i="1"/>
  <c r="Z298" i="1"/>
  <c r="Z286" i="1"/>
  <c r="Z274" i="1"/>
  <c r="Z276" i="1"/>
  <c r="Z299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Y247" i="1"/>
  <c r="AA247" i="1" s="1"/>
  <c r="Y248" i="1"/>
  <c r="AA248" i="1" s="1"/>
  <c r="Y249" i="1"/>
  <c r="AA249" i="1" s="1"/>
  <c r="Y250" i="1"/>
  <c r="AA250" i="1" s="1"/>
  <c r="Y251" i="1"/>
  <c r="AA251" i="1" s="1"/>
  <c r="Y252" i="1"/>
  <c r="AA252" i="1" s="1"/>
  <c r="Y253" i="1"/>
  <c r="AA253" i="1" s="1"/>
  <c r="Y254" i="1"/>
  <c r="Z254" i="1" s="1"/>
  <c r="Y255" i="1"/>
  <c r="AA255" i="1" s="1"/>
  <c r="Y256" i="1"/>
  <c r="AA256" i="1" s="1"/>
  <c r="Y257" i="1"/>
  <c r="Z257" i="1" s="1"/>
  <c r="Y258" i="1"/>
  <c r="AA258" i="1" s="1"/>
  <c r="Y259" i="1"/>
  <c r="AA259" i="1" s="1"/>
  <c r="Y260" i="1"/>
  <c r="AA260" i="1" s="1"/>
  <c r="Y261" i="1"/>
  <c r="AA261" i="1" s="1"/>
  <c r="Y262" i="1"/>
  <c r="AA262" i="1" s="1"/>
  <c r="Y263" i="1"/>
  <c r="AA263" i="1" s="1"/>
  <c r="Y264" i="1"/>
  <c r="AA264" i="1" s="1"/>
  <c r="Y265" i="1"/>
  <c r="AA265" i="1" s="1"/>
  <c r="Y266" i="1"/>
  <c r="AA266" i="1" s="1"/>
  <c r="Y267" i="1"/>
  <c r="AA267" i="1" s="1"/>
  <c r="Y268" i="1"/>
  <c r="Z268" i="1" s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A257" i="1" l="1"/>
  <c r="Z255" i="1"/>
  <c r="Z261" i="1"/>
  <c r="Z253" i="1"/>
  <c r="AA254" i="1"/>
  <c r="Z267" i="1"/>
  <c r="Z265" i="1"/>
  <c r="AA268" i="1"/>
  <c r="Z266" i="1"/>
  <c r="Z264" i="1"/>
  <c r="Z260" i="1"/>
  <c r="Z256" i="1"/>
  <c r="Z252" i="1"/>
  <c r="Z249" i="1"/>
  <c r="Z248" i="1"/>
  <c r="Z263" i="1"/>
  <c r="Z251" i="1"/>
  <c r="Z262" i="1"/>
  <c r="Z250" i="1"/>
  <c r="Z259" i="1"/>
  <c r="Z247" i="1"/>
  <c r="Z258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Y227" i="1"/>
  <c r="Z227" i="1" s="1"/>
  <c r="Y228" i="1"/>
  <c r="Z228" i="1" s="1"/>
  <c r="Y229" i="1"/>
  <c r="Z229" i="1" s="1"/>
  <c r="Y230" i="1"/>
  <c r="Z230" i="1" s="1"/>
  <c r="Y231" i="1"/>
  <c r="Z231" i="1" s="1"/>
  <c r="Y232" i="1"/>
  <c r="Z232" i="1" s="1"/>
  <c r="Y233" i="1"/>
  <c r="Z233" i="1" s="1"/>
  <c r="Y234" i="1"/>
  <c r="Z234" i="1" s="1"/>
  <c r="Y235" i="1"/>
  <c r="Z235" i="1" s="1"/>
  <c r="Y236" i="1"/>
  <c r="Z236" i="1" s="1"/>
  <c r="Y237" i="1"/>
  <c r="Z237" i="1" s="1"/>
  <c r="Y238" i="1"/>
  <c r="Z238" i="1" s="1"/>
  <c r="Y239" i="1"/>
  <c r="Z239" i="1" s="1"/>
  <c r="Y240" i="1"/>
  <c r="Z240" i="1" s="1"/>
  <c r="Y241" i="1"/>
  <c r="Z241" i="1" s="1"/>
  <c r="Y242" i="1"/>
  <c r="Z242" i="1" s="1"/>
  <c r="Y243" i="1"/>
  <c r="Z243" i="1" s="1"/>
  <c r="Y244" i="1"/>
  <c r="Z244" i="1" s="1"/>
  <c r="Y245" i="1"/>
  <c r="Z245" i="1" s="1"/>
  <c r="Y246" i="1"/>
  <c r="Z246" i="1" s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A234" i="1" l="1"/>
  <c r="AA246" i="1"/>
  <c r="AA233" i="1"/>
  <c r="AA230" i="1"/>
  <c r="AA243" i="1"/>
  <c r="AA242" i="1"/>
  <c r="AA231" i="1"/>
  <c r="AA229" i="1"/>
  <c r="AA245" i="1"/>
  <c r="AA241" i="1"/>
  <c r="AA244" i="1"/>
  <c r="AA232" i="1"/>
  <c r="AA240" i="1"/>
  <c r="AA239" i="1"/>
  <c r="AA227" i="1"/>
  <c r="AA228" i="1"/>
  <c r="AA238" i="1"/>
  <c r="AA237" i="1"/>
  <c r="AA236" i="1"/>
  <c r="AA235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Z201" i="1" l="1"/>
  <c r="AA201" i="1"/>
  <c r="Z211" i="1"/>
  <c r="AA211" i="1"/>
  <c r="Z208" i="1"/>
  <c r="AA208" i="1"/>
  <c r="Z219" i="1"/>
  <c r="AA219" i="1"/>
  <c r="Z207" i="1"/>
  <c r="AA207" i="1"/>
  <c r="Z212" i="1"/>
  <c r="AA212" i="1"/>
  <c r="Z221" i="1"/>
  <c r="AA221" i="1"/>
  <c r="Z218" i="1"/>
  <c r="AA218" i="1"/>
  <c r="Z206" i="1"/>
  <c r="AA206" i="1"/>
  <c r="Z226" i="1"/>
  <c r="AA226" i="1"/>
  <c r="Z202" i="1"/>
  <c r="AA202" i="1"/>
  <c r="Z224" i="1"/>
  <c r="AA224" i="1"/>
  <c r="Z200" i="1"/>
  <c r="AA200" i="1"/>
  <c r="Z217" i="1"/>
  <c r="AA217" i="1"/>
  <c r="Z205" i="1"/>
  <c r="AA205" i="1"/>
  <c r="Z225" i="1"/>
  <c r="AA225" i="1"/>
  <c r="Z213" i="1"/>
  <c r="AA213" i="1"/>
  <c r="Z223" i="1"/>
  <c r="AA223" i="1"/>
  <c r="Z199" i="1"/>
  <c r="AA199" i="1"/>
  <c r="Z210" i="1"/>
  <c r="AA210" i="1"/>
  <c r="Z209" i="1"/>
  <c r="AA209" i="1"/>
  <c r="Z216" i="1"/>
  <c r="AA216" i="1"/>
  <c r="Z204" i="1"/>
  <c r="AA204" i="1"/>
  <c r="Z214" i="1"/>
  <c r="AA214" i="1"/>
  <c r="Z222" i="1"/>
  <c r="AA222" i="1"/>
  <c r="Z220" i="1"/>
  <c r="AA220" i="1"/>
  <c r="Z215" i="1"/>
  <c r="AA215" i="1"/>
  <c r="Z203" i="1"/>
  <c r="AA203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54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54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54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54" i="1"/>
  <c r="Z190" i="1" l="1"/>
  <c r="AA190" i="1"/>
  <c r="Z185" i="1"/>
  <c r="AA185" i="1"/>
  <c r="Z196" i="1"/>
  <c r="AA196" i="1"/>
  <c r="Z183" i="1"/>
  <c r="AA183" i="1"/>
  <c r="Z182" i="1"/>
  <c r="AA182" i="1"/>
  <c r="Z194" i="1"/>
  <c r="AA194" i="1"/>
  <c r="Z193" i="1"/>
  <c r="AA193" i="1"/>
  <c r="Z192" i="1"/>
  <c r="AA192" i="1"/>
  <c r="Z191" i="1"/>
  <c r="AA191" i="1"/>
  <c r="Z189" i="1"/>
  <c r="AA189" i="1"/>
  <c r="Z188" i="1"/>
  <c r="AA188" i="1"/>
  <c r="Z187" i="1"/>
  <c r="AA187" i="1"/>
  <c r="Z197" i="1"/>
  <c r="AA197" i="1"/>
  <c r="Z184" i="1"/>
  <c r="AA184" i="1"/>
  <c r="Z195" i="1"/>
  <c r="AA195" i="1"/>
  <c r="Z154" i="1"/>
  <c r="AA154" i="1"/>
  <c r="Z186" i="1"/>
  <c r="AA186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98" i="1"/>
  <c r="B176" i="1"/>
  <c r="B177" i="1"/>
  <c r="B178" i="1"/>
  <c r="B152" i="1"/>
  <c r="B57" i="1"/>
  <c r="B179" i="1"/>
  <c r="B153" i="1"/>
  <c r="B180" i="1"/>
  <c r="B181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98" i="1"/>
  <c r="Y176" i="1"/>
  <c r="Y177" i="1"/>
  <c r="Y178" i="1"/>
  <c r="Y152" i="1"/>
  <c r="Y57" i="1"/>
  <c r="Y179" i="1"/>
  <c r="Y153" i="1"/>
  <c r="Y180" i="1"/>
  <c r="Y181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98" i="1"/>
  <c r="AB176" i="1"/>
  <c r="AB177" i="1"/>
  <c r="AB178" i="1"/>
  <c r="AB152" i="1"/>
  <c r="AB57" i="1"/>
  <c r="AB179" i="1"/>
  <c r="AB153" i="1"/>
  <c r="AB180" i="1"/>
  <c r="AB181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98" i="1"/>
  <c r="AC176" i="1"/>
  <c r="AC177" i="1"/>
  <c r="AC178" i="1"/>
  <c r="AC152" i="1"/>
  <c r="AC57" i="1"/>
  <c r="AC179" i="1"/>
  <c r="AC153" i="1"/>
  <c r="AC180" i="1"/>
  <c r="AC181" i="1"/>
  <c r="Z180" i="1" l="1"/>
  <c r="AA180" i="1"/>
  <c r="Z166" i="1"/>
  <c r="AA166" i="1"/>
  <c r="Z57" i="1"/>
  <c r="AA57" i="1"/>
  <c r="Z181" i="1"/>
  <c r="AA181" i="1"/>
  <c r="Z169" i="1"/>
  <c r="AA169" i="1"/>
  <c r="Z152" i="1"/>
  <c r="AA152" i="1"/>
  <c r="Z177" i="1"/>
  <c r="AA177" i="1"/>
  <c r="Z176" i="1"/>
  <c r="AA176" i="1"/>
  <c r="Z198" i="1"/>
  <c r="AA198" i="1"/>
  <c r="Z160" i="1"/>
  <c r="AA160" i="1"/>
  <c r="Z168" i="1"/>
  <c r="AA168" i="1"/>
  <c r="Z153" i="1"/>
  <c r="AA153" i="1"/>
  <c r="Z167" i="1"/>
  <c r="AA167" i="1"/>
  <c r="Z164" i="1"/>
  <c r="AA164" i="1"/>
  <c r="Z171" i="1"/>
  <c r="AA171" i="1"/>
  <c r="Z159" i="1"/>
  <c r="AA159" i="1"/>
  <c r="Z179" i="1"/>
  <c r="AA179" i="1"/>
  <c r="Z165" i="1"/>
  <c r="AA165" i="1"/>
  <c r="Z178" i="1"/>
  <c r="AA178" i="1"/>
  <c r="Z163" i="1"/>
  <c r="AA163" i="1"/>
  <c r="Z162" i="1"/>
  <c r="AA162" i="1"/>
  <c r="Z161" i="1"/>
  <c r="AA161" i="1"/>
  <c r="Z170" i="1"/>
  <c r="AA170" i="1"/>
  <c r="Z158" i="1"/>
  <c r="AA158" i="1"/>
  <c r="B137" i="1"/>
  <c r="B138" i="1"/>
  <c r="B139" i="1"/>
  <c r="B140" i="1"/>
  <c r="B141" i="1"/>
  <c r="B142" i="1"/>
  <c r="B143" i="1"/>
  <c r="B144" i="1"/>
  <c r="B145" i="1"/>
  <c r="B146" i="1"/>
  <c r="B147" i="1"/>
  <c r="B156" i="1"/>
  <c r="B157" i="1"/>
  <c r="B149" i="1"/>
  <c r="B172" i="1"/>
  <c r="B173" i="1"/>
  <c r="B150" i="1"/>
  <c r="B174" i="1"/>
  <c r="B175" i="1"/>
  <c r="B55" i="1"/>
  <c r="B151" i="1"/>
  <c r="Y137" i="1"/>
  <c r="Y138" i="1"/>
  <c r="Y139" i="1"/>
  <c r="Y140" i="1"/>
  <c r="Y141" i="1"/>
  <c r="Y142" i="1"/>
  <c r="Y143" i="1"/>
  <c r="Y144" i="1"/>
  <c r="Y145" i="1"/>
  <c r="Y146" i="1"/>
  <c r="Y147" i="1"/>
  <c r="Y156" i="1"/>
  <c r="Y157" i="1"/>
  <c r="Y149" i="1"/>
  <c r="Y172" i="1"/>
  <c r="Y173" i="1"/>
  <c r="Y150" i="1"/>
  <c r="Y174" i="1"/>
  <c r="Y175" i="1"/>
  <c r="Y55" i="1"/>
  <c r="Y151" i="1"/>
  <c r="AB137" i="1"/>
  <c r="AB138" i="1"/>
  <c r="AB139" i="1"/>
  <c r="AB140" i="1"/>
  <c r="AB141" i="1"/>
  <c r="AB142" i="1"/>
  <c r="AB143" i="1"/>
  <c r="AB144" i="1"/>
  <c r="AB145" i="1"/>
  <c r="AB146" i="1"/>
  <c r="AB147" i="1"/>
  <c r="AB156" i="1"/>
  <c r="AB157" i="1"/>
  <c r="AB149" i="1"/>
  <c r="AB172" i="1"/>
  <c r="AB173" i="1"/>
  <c r="AB150" i="1"/>
  <c r="AB174" i="1"/>
  <c r="AB175" i="1"/>
  <c r="AB55" i="1"/>
  <c r="AB151" i="1"/>
  <c r="AC137" i="1"/>
  <c r="AC138" i="1"/>
  <c r="AC139" i="1"/>
  <c r="AC140" i="1"/>
  <c r="AC141" i="1"/>
  <c r="AC142" i="1"/>
  <c r="AC143" i="1"/>
  <c r="AC144" i="1"/>
  <c r="AC145" i="1"/>
  <c r="AC146" i="1"/>
  <c r="AC147" i="1"/>
  <c r="AC156" i="1"/>
  <c r="AC157" i="1"/>
  <c r="AC149" i="1"/>
  <c r="AC172" i="1"/>
  <c r="AC173" i="1"/>
  <c r="AC150" i="1"/>
  <c r="AC174" i="1"/>
  <c r="AC175" i="1"/>
  <c r="AC55" i="1"/>
  <c r="AC151" i="1"/>
  <c r="Z146" i="1" l="1"/>
  <c r="AA146" i="1"/>
  <c r="Z143" i="1"/>
  <c r="AA143" i="1"/>
  <c r="Z142" i="1"/>
  <c r="AA142" i="1"/>
  <c r="Z150" i="1"/>
  <c r="AA150" i="1"/>
  <c r="Z141" i="1"/>
  <c r="AA141" i="1"/>
  <c r="Z156" i="1"/>
  <c r="AA156" i="1"/>
  <c r="Z55" i="1"/>
  <c r="AA55" i="1"/>
  <c r="Z144" i="1"/>
  <c r="AA144" i="1"/>
  <c r="Z174" i="1"/>
  <c r="AA174" i="1"/>
  <c r="Z173" i="1"/>
  <c r="AA173" i="1"/>
  <c r="Z140" i="1"/>
  <c r="AA140" i="1"/>
  <c r="Z172" i="1"/>
  <c r="AA172" i="1"/>
  <c r="Z139" i="1"/>
  <c r="AA139" i="1"/>
  <c r="Z149" i="1"/>
  <c r="AA149" i="1"/>
  <c r="Z138" i="1"/>
  <c r="AA138" i="1"/>
  <c r="Z147" i="1"/>
  <c r="AA147" i="1"/>
  <c r="Z151" i="1"/>
  <c r="AA151" i="1"/>
  <c r="Z145" i="1"/>
  <c r="AA145" i="1"/>
  <c r="Z175" i="1"/>
  <c r="AA175" i="1"/>
  <c r="Z157" i="1"/>
  <c r="AA157" i="1"/>
  <c r="Z137" i="1"/>
  <c r="AA137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Z123" i="1" l="1"/>
  <c r="AA123" i="1"/>
  <c r="Z122" i="1"/>
  <c r="AA122" i="1"/>
  <c r="Z132" i="1"/>
  <c r="AA132" i="1"/>
  <c r="Z121" i="1"/>
  <c r="AA121" i="1"/>
  <c r="Z131" i="1"/>
  <c r="AA131" i="1"/>
  <c r="Z129" i="1"/>
  <c r="AA129" i="1"/>
  <c r="Z134" i="1"/>
  <c r="AA134" i="1"/>
  <c r="Z133" i="1"/>
  <c r="AA133" i="1"/>
  <c r="Z126" i="1"/>
  <c r="AA126" i="1"/>
  <c r="Z135" i="1"/>
  <c r="AA135" i="1"/>
  <c r="Z130" i="1"/>
  <c r="AA130" i="1"/>
  <c r="Z127" i="1"/>
  <c r="AA127" i="1"/>
  <c r="Z125" i="1"/>
  <c r="AA125" i="1"/>
  <c r="Z128" i="1"/>
  <c r="AA128" i="1"/>
  <c r="Z136" i="1"/>
  <c r="AA136" i="1"/>
  <c r="Z124" i="1"/>
  <c r="AA124" i="1"/>
  <c r="B120" i="1"/>
  <c r="B119" i="1"/>
  <c r="B118" i="1"/>
  <c r="B117" i="1"/>
  <c r="B116" i="1"/>
  <c r="B114" i="1"/>
  <c r="B112" i="1"/>
  <c r="B110" i="1"/>
  <c r="B115" i="1"/>
  <c r="B113" i="1"/>
  <c r="B111" i="1"/>
  <c r="B109" i="1"/>
  <c r="B108" i="1"/>
  <c r="B107" i="1"/>
  <c r="B106" i="1"/>
  <c r="Y120" i="1"/>
  <c r="Y119" i="1"/>
  <c r="Y118" i="1"/>
  <c r="Y117" i="1"/>
  <c r="Y116" i="1"/>
  <c r="Y114" i="1"/>
  <c r="Y112" i="1"/>
  <c r="Y110" i="1"/>
  <c r="Y115" i="1"/>
  <c r="Y113" i="1"/>
  <c r="Y111" i="1"/>
  <c r="Y109" i="1"/>
  <c r="Y108" i="1"/>
  <c r="Y107" i="1"/>
  <c r="Y106" i="1"/>
  <c r="AB120" i="1"/>
  <c r="AB119" i="1"/>
  <c r="AB118" i="1"/>
  <c r="AB117" i="1"/>
  <c r="AB116" i="1"/>
  <c r="AB114" i="1"/>
  <c r="AB112" i="1"/>
  <c r="AB110" i="1"/>
  <c r="AB115" i="1"/>
  <c r="AB113" i="1"/>
  <c r="AB111" i="1"/>
  <c r="AB109" i="1"/>
  <c r="AB108" i="1"/>
  <c r="AB107" i="1"/>
  <c r="AB106" i="1"/>
  <c r="AC120" i="1"/>
  <c r="AC119" i="1"/>
  <c r="AC118" i="1"/>
  <c r="AC117" i="1"/>
  <c r="AC116" i="1"/>
  <c r="AC114" i="1"/>
  <c r="AC112" i="1"/>
  <c r="AC110" i="1"/>
  <c r="AC115" i="1"/>
  <c r="AC113" i="1"/>
  <c r="AC111" i="1"/>
  <c r="AC109" i="1"/>
  <c r="AC108" i="1"/>
  <c r="AC107" i="1"/>
  <c r="AC106" i="1"/>
  <c r="Z111" i="1" l="1"/>
  <c r="AA111" i="1"/>
  <c r="Z108" i="1"/>
  <c r="AA108" i="1"/>
  <c r="Z109" i="1"/>
  <c r="AA109" i="1"/>
  <c r="Z120" i="1"/>
  <c r="AA120" i="1"/>
  <c r="Z112" i="1"/>
  <c r="AA112" i="1"/>
  <c r="Z116" i="1"/>
  <c r="AA116" i="1"/>
  <c r="Z117" i="1"/>
  <c r="AA117" i="1"/>
  <c r="Z106" i="1"/>
  <c r="AA106" i="1"/>
  <c r="Z118" i="1"/>
  <c r="AA118" i="1"/>
  <c r="Z113" i="1"/>
  <c r="AA113" i="1"/>
  <c r="Z115" i="1"/>
  <c r="AA115" i="1"/>
  <c r="Z110" i="1"/>
  <c r="AA110" i="1"/>
  <c r="Z114" i="1"/>
  <c r="AA114" i="1"/>
  <c r="Z107" i="1"/>
  <c r="AA107" i="1"/>
  <c r="Z119" i="1"/>
  <c r="AA119" i="1"/>
  <c r="Y105" i="1"/>
  <c r="Y103" i="1"/>
  <c r="Y102" i="1"/>
  <c r="Y98" i="1"/>
  <c r="Y97" i="1"/>
  <c r="Y96" i="1"/>
  <c r="Y95" i="1"/>
  <c r="Y94" i="1"/>
  <c r="Y93" i="1"/>
  <c r="Y92" i="1"/>
  <c r="Y91" i="1"/>
  <c r="Y90" i="1"/>
  <c r="Y104" i="1"/>
  <c r="Y101" i="1"/>
  <c r="Y100" i="1"/>
  <c r="Y99" i="1"/>
  <c r="Y89" i="1"/>
  <c r="Y88" i="1"/>
  <c r="Y86" i="1"/>
  <c r="Y85" i="1"/>
  <c r="Y84" i="1"/>
  <c r="Y83" i="1"/>
  <c r="Y82" i="1"/>
  <c r="Y81" i="1"/>
  <c r="Y87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148" i="1"/>
  <c r="Y155" i="1"/>
  <c r="Y56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B105" i="1"/>
  <c r="B103" i="1"/>
  <c r="B102" i="1"/>
  <c r="B98" i="1"/>
  <c r="B97" i="1"/>
  <c r="B96" i="1"/>
  <c r="B95" i="1"/>
  <c r="B94" i="1"/>
  <c r="B93" i="1"/>
  <c r="B92" i="1"/>
  <c r="B91" i="1"/>
  <c r="B90" i="1"/>
  <c r="B104" i="1"/>
  <c r="B101" i="1"/>
  <c r="B100" i="1"/>
  <c r="B99" i="1"/>
  <c r="B89" i="1"/>
  <c r="B88" i="1"/>
  <c r="B86" i="1"/>
  <c r="B85" i="1"/>
  <c r="B84" i="1"/>
  <c r="B83" i="1"/>
  <c r="B82" i="1"/>
  <c r="B81" i="1"/>
  <c r="B87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148" i="1"/>
  <c r="B155" i="1"/>
  <c r="B56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Z40" i="1" l="1"/>
  <c r="AA40" i="1"/>
  <c r="Z29" i="1"/>
  <c r="AA29" i="1"/>
  <c r="Z41" i="1"/>
  <c r="AA41" i="1"/>
  <c r="Z53" i="1"/>
  <c r="AA53" i="1"/>
  <c r="Z65" i="1"/>
  <c r="AA65" i="1"/>
  <c r="Z77" i="1"/>
  <c r="AA77" i="1"/>
  <c r="Z89" i="1"/>
  <c r="AA89" i="1"/>
  <c r="Z97" i="1"/>
  <c r="AA97" i="1"/>
  <c r="Z6" i="1"/>
  <c r="AA6" i="1"/>
  <c r="Z18" i="1"/>
  <c r="AA18" i="1"/>
  <c r="Z30" i="1"/>
  <c r="AA30" i="1"/>
  <c r="Z42" i="1"/>
  <c r="AA42" i="1"/>
  <c r="Z54" i="1"/>
  <c r="AA54" i="1"/>
  <c r="Z66" i="1"/>
  <c r="AA66" i="1"/>
  <c r="Z78" i="1"/>
  <c r="AA78" i="1"/>
  <c r="Z99" i="1"/>
  <c r="AA99" i="1"/>
  <c r="Z98" i="1"/>
  <c r="AA98" i="1"/>
  <c r="Z16" i="1"/>
  <c r="AA16" i="1"/>
  <c r="Z76" i="1"/>
  <c r="AA76" i="1"/>
  <c r="Z32" i="1"/>
  <c r="AA32" i="1"/>
  <c r="Z80" i="1"/>
  <c r="AA80" i="1"/>
  <c r="Z9" i="1"/>
  <c r="AA9" i="1"/>
  <c r="Z21" i="1"/>
  <c r="AA21" i="1"/>
  <c r="Z33" i="1"/>
  <c r="AA33" i="1"/>
  <c r="Z45" i="1"/>
  <c r="AA45" i="1"/>
  <c r="Z148" i="1"/>
  <c r="AA148" i="1"/>
  <c r="Z69" i="1"/>
  <c r="AA69" i="1"/>
  <c r="Z87" i="1"/>
  <c r="AA87" i="1"/>
  <c r="Z104" i="1"/>
  <c r="AA104" i="1"/>
  <c r="Z105" i="1"/>
  <c r="AA105" i="1"/>
  <c r="Z64" i="1"/>
  <c r="AA64" i="1"/>
  <c r="Z5" i="1"/>
  <c r="AA5" i="1"/>
  <c r="Z7" i="1"/>
  <c r="AA7" i="1"/>
  <c r="Z67" i="1"/>
  <c r="AA67" i="1"/>
  <c r="Z20" i="1"/>
  <c r="AA20" i="1"/>
  <c r="Z103" i="1"/>
  <c r="AA103" i="1"/>
  <c r="Z34" i="1"/>
  <c r="AA34" i="1"/>
  <c r="Z81" i="1"/>
  <c r="AA81" i="1"/>
  <c r="Z11" i="1"/>
  <c r="AA11" i="1"/>
  <c r="Z23" i="1"/>
  <c r="AA23" i="1"/>
  <c r="Z35" i="1"/>
  <c r="AA35" i="1"/>
  <c r="Z47" i="1"/>
  <c r="AA47" i="1"/>
  <c r="Z59" i="1"/>
  <c r="AA59" i="1"/>
  <c r="Z71" i="1"/>
  <c r="AA71" i="1"/>
  <c r="Z82" i="1"/>
  <c r="AA82" i="1"/>
  <c r="Z91" i="1"/>
  <c r="AA91" i="1"/>
  <c r="Z68" i="1"/>
  <c r="AA68" i="1"/>
  <c r="Z10" i="1"/>
  <c r="AA10" i="1"/>
  <c r="Z90" i="1"/>
  <c r="AA90" i="1"/>
  <c r="Z12" i="1"/>
  <c r="AA12" i="1"/>
  <c r="Z24" i="1"/>
  <c r="AA24" i="1"/>
  <c r="Z36" i="1"/>
  <c r="AA36" i="1"/>
  <c r="Z48" i="1"/>
  <c r="AA48" i="1"/>
  <c r="Z60" i="1"/>
  <c r="AA60" i="1"/>
  <c r="Z72" i="1"/>
  <c r="AA72" i="1"/>
  <c r="Z83" i="1"/>
  <c r="AA83" i="1"/>
  <c r="Z92" i="1"/>
  <c r="AA92" i="1"/>
  <c r="Z28" i="1"/>
  <c r="AA28" i="1"/>
  <c r="Z96" i="1"/>
  <c r="AA96" i="1"/>
  <c r="Z31" i="1"/>
  <c r="AA31" i="1"/>
  <c r="Z100" i="1"/>
  <c r="AA100" i="1"/>
  <c r="Z155" i="1"/>
  <c r="AA155" i="1"/>
  <c r="Z22" i="1"/>
  <c r="AA22" i="1"/>
  <c r="Z58" i="1"/>
  <c r="AA58" i="1"/>
  <c r="Z13" i="1"/>
  <c r="AA13" i="1"/>
  <c r="Z25" i="1"/>
  <c r="AA25" i="1"/>
  <c r="Z37" i="1"/>
  <c r="AA37" i="1"/>
  <c r="Z49" i="1"/>
  <c r="AA49" i="1"/>
  <c r="Z61" i="1"/>
  <c r="AA61" i="1"/>
  <c r="Z73" i="1"/>
  <c r="AA73" i="1"/>
  <c r="Z84" i="1"/>
  <c r="AA84" i="1"/>
  <c r="Z93" i="1"/>
  <c r="AA93" i="1"/>
  <c r="Z4" i="1"/>
  <c r="AA4" i="1"/>
  <c r="Z88" i="1"/>
  <c r="AA88" i="1"/>
  <c r="Z19" i="1"/>
  <c r="AA19" i="1"/>
  <c r="Z43" i="1"/>
  <c r="AA43" i="1"/>
  <c r="Z79" i="1"/>
  <c r="AA79" i="1"/>
  <c r="Z102" i="1"/>
  <c r="AA102" i="1"/>
  <c r="Z8" i="1"/>
  <c r="AA8" i="1"/>
  <c r="Z101" i="1"/>
  <c r="AA101" i="1"/>
  <c r="Z46" i="1"/>
  <c r="AA46" i="1"/>
  <c r="Z2" i="1"/>
  <c r="AA2" i="1"/>
  <c r="Z14" i="1"/>
  <c r="AA14" i="1"/>
  <c r="Z26" i="1"/>
  <c r="AA26" i="1"/>
  <c r="Z38" i="1"/>
  <c r="AA38" i="1"/>
  <c r="Z50" i="1"/>
  <c r="AA50" i="1"/>
  <c r="Z62" i="1"/>
  <c r="AA62" i="1"/>
  <c r="Z74" i="1"/>
  <c r="AA74" i="1"/>
  <c r="Z85" i="1"/>
  <c r="AA85" i="1"/>
  <c r="Z94" i="1"/>
  <c r="AA94" i="1"/>
  <c r="Z52" i="1"/>
  <c r="AA52" i="1"/>
  <c r="Z17" i="1"/>
  <c r="AA17" i="1"/>
  <c r="Z56" i="1"/>
  <c r="AA56" i="1"/>
  <c r="Z44" i="1"/>
  <c r="AA44" i="1"/>
  <c r="Z70" i="1"/>
  <c r="AA70" i="1"/>
  <c r="Z3" i="1"/>
  <c r="AA3" i="1"/>
  <c r="Z15" i="1"/>
  <c r="AA15" i="1"/>
  <c r="Z27" i="1"/>
  <c r="AA27" i="1"/>
  <c r="Z39" i="1"/>
  <c r="AA39" i="1"/>
  <c r="Z51" i="1"/>
  <c r="AA51" i="1"/>
  <c r="Z63" i="1"/>
  <c r="AA63" i="1"/>
  <c r="Z75" i="1"/>
  <c r="AA75" i="1"/>
  <c r="Z86" i="1"/>
  <c r="AA86" i="1"/>
  <c r="Z95" i="1"/>
  <c r="AA95" i="1"/>
  <c r="AC105" i="1"/>
  <c r="AC103" i="1"/>
  <c r="AC102" i="1"/>
  <c r="AC98" i="1"/>
  <c r="AC97" i="1"/>
  <c r="AC96" i="1"/>
  <c r="AC95" i="1"/>
  <c r="AC94" i="1"/>
  <c r="AC93" i="1"/>
  <c r="AC92" i="1"/>
  <c r="AC91" i="1"/>
  <c r="AC90" i="1"/>
  <c r="AC104" i="1"/>
  <c r="AC101" i="1"/>
  <c r="AC100" i="1"/>
  <c r="AC99" i="1"/>
  <c r="AC89" i="1"/>
  <c r="AC88" i="1"/>
  <c r="AC86" i="1"/>
  <c r="AC85" i="1"/>
  <c r="AC84" i="1"/>
  <c r="AC83" i="1"/>
  <c r="AC82" i="1"/>
  <c r="AC81" i="1"/>
  <c r="AC87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148" i="1"/>
  <c r="AC155" i="1"/>
  <c r="AC56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B105" i="1"/>
  <c r="AB103" i="1"/>
  <c r="AB102" i="1"/>
  <c r="AB98" i="1"/>
  <c r="AB97" i="1"/>
  <c r="AB96" i="1"/>
  <c r="AB95" i="1"/>
  <c r="AB94" i="1"/>
  <c r="AB93" i="1"/>
  <c r="AB92" i="1"/>
  <c r="AB91" i="1"/>
  <c r="AB90" i="1"/>
  <c r="AB104" i="1"/>
  <c r="AB101" i="1"/>
  <c r="AB100" i="1"/>
  <c r="AB99" i="1"/>
  <c r="AB89" i="1"/>
  <c r="AB88" i="1"/>
  <c r="AB86" i="1"/>
  <c r="AB85" i="1"/>
  <c r="AB84" i="1"/>
  <c r="AB83" i="1"/>
  <c r="AB82" i="1"/>
  <c r="AB81" i="1"/>
  <c r="AB87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148" i="1"/>
  <c r="AB155" i="1"/>
  <c r="AB56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</calcChain>
</file>

<file path=xl/sharedStrings.xml><?xml version="1.0" encoding="utf-8"?>
<sst xmlns="http://schemas.openxmlformats.org/spreadsheetml/2006/main" count="14095" uniqueCount="3291">
  <si>
    <t>ID</t>
  </si>
  <si>
    <t>Data recebimento</t>
  </si>
  <si>
    <t>Usuário</t>
  </si>
  <si>
    <t>Data e Hora</t>
  </si>
  <si>
    <t>Turno</t>
  </si>
  <si>
    <t>Agente de Monitoramento</t>
  </si>
  <si>
    <t>SKU</t>
  </si>
  <si>
    <t>Peso  1</t>
  </si>
  <si>
    <t>Peso  2</t>
  </si>
  <si>
    <t>Peso  3</t>
  </si>
  <si>
    <t>Peso  4</t>
  </si>
  <si>
    <t>Peso  5</t>
  </si>
  <si>
    <t>Peso  6</t>
  </si>
  <si>
    <t>Peso  7</t>
  </si>
  <si>
    <t>Peso  8</t>
  </si>
  <si>
    <t>Peso  9</t>
  </si>
  <si>
    <t>Peso  10</t>
  </si>
  <si>
    <t>Média</t>
  </si>
  <si>
    <t>Média (Comentário)</t>
  </si>
  <si>
    <t/>
  </si>
  <si>
    <t>Tempo de resposta</t>
  </si>
  <si>
    <t>6a7fe9ddacd6cb3b421e1b74</t>
  </si>
  <si>
    <t>15/08/2026 00:26:46</t>
  </si>
  <si>
    <t>15/08/2026 01:23:57</t>
  </si>
  <si>
    <t>Ranieli</t>
  </si>
  <si>
    <t>14/08/2026</t>
  </si>
  <si>
    <t>Turno 2</t>
  </si>
  <si>
    <t>JOSEFA KELY NUNES DE SOUSA</t>
  </si>
  <si>
    <t>assinatura</t>
  </si>
  <si>
    <t>6a7fe9ddacd6cb3b421e1b68</t>
  </si>
  <si>
    <t>14/08/2026 23:28:13</t>
  </si>
  <si>
    <t>6a7fe9ddacd6cb3b421e1b62</t>
  </si>
  <si>
    <t>14/08/2026 23:06:48</t>
  </si>
  <si>
    <t>6a7fe9dcacd6cb3b421e1b50</t>
  </si>
  <si>
    <t>14/08/2026 18:20:58</t>
  </si>
  <si>
    <t>15/08/2026 01:23:56</t>
  </si>
  <si>
    <t>6a7fe9dcacd6cb3b421e1b4a</t>
  </si>
  <si>
    <t>14/08/2026 18:15:34</t>
  </si>
  <si>
    <t>6a7fe9dcacd6cb3b421e1b44</t>
  </si>
  <si>
    <t>14/08/2026 18:12:35</t>
  </si>
  <si>
    <t>6a7fe9dcacd6cb3b421e1b3e</t>
  </si>
  <si>
    <t>14/08/2026 18:09:37</t>
  </si>
  <si>
    <t>6a7fe9dcacd6cb3b421e1b38</t>
  </si>
  <si>
    <t>14/08/2026 18:04:41</t>
  </si>
  <si>
    <t>6a7fe9dcacd6cb3b421e1b32</t>
  </si>
  <si>
    <t>14/08/2026 18:00:08</t>
  </si>
  <si>
    <t>13/08/2026</t>
  </si>
  <si>
    <t>6a7fe9dcacd6cb3b421e1b2c</t>
  </si>
  <si>
    <t>14/08/2026 17:54:53</t>
  </si>
  <si>
    <t>6a7fe9dcacd6cb3b421e1b26</t>
  </si>
  <si>
    <t>14/08/2026 17:43:21</t>
  </si>
  <si>
    <t>6a7fe9dcacd6cb3b421e1b20</t>
  </si>
  <si>
    <t>14/08/2026 17:40:12</t>
  </si>
  <si>
    <t>6a7fd30f7f1bf5e0663446c8</t>
  </si>
  <si>
    <t>14/08/2026 23:44:15</t>
  </si>
  <si>
    <t>14/08/2026 23:46:39</t>
  </si>
  <si>
    <t>- -</t>
  </si>
  <si>
    <t>JULIANE GOMES NOVAIS</t>
  </si>
  <si>
    <t>6a7fc9c5798ff06183813648</t>
  </si>
  <si>
    <t>14/08/2026 23:03:37</t>
  </si>
  <si>
    <t>14/08/2026 23:07:01</t>
  </si>
  <si>
    <t>6a7fc879f68f6f3a427a5232</t>
  </si>
  <si>
    <t>14/08/2026 22:43:10</t>
  </si>
  <si>
    <t>14/08/2026 23:01:29</t>
  </si>
  <si>
    <t>6a7fb9ef7f1bf5e066343bc8</t>
  </si>
  <si>
    <t>14/08/2026 21:51:12</t>
  </si>
  <si>
    <t>14/08/2026 21:59:27</t>
  </si>
  <si>
    <t>6a7ea368f68f6f3a4276cad3</t>
  </si>
  <si>
    <t>14/08/2026 00:48:24</t>
  </si>
  <si>
    <t>14/08/2026 02:11:04</t>
  </si>
  <si>
    <t>6a7ea368f68f6f3a4276cacd</t>
  </si>
  <si>
    <t>14/08/2026 00:44:56</t>
  </si>
  <si>
    <t>6a7ea367f68f6f3a4276cab3</t>
  </si>
  <si>
    <t>13/08/2026 18:08:54</t>
  </si>
  <si>
    <t>14/08/2026 02:11:03</t>
  </si>
  <si>
    <t>6a7ea367f68f6f3a4276caad</t>
  </si>
  <si>
    <t>13/08/2026 18:06:15</t>
  </si>
  <si>
    <t>6a7ea367f68f6f3a4276caa7</t>
  </si>
  <si>
    <t>13/08/2026 18:04:18</t>
  </si>
  <si>
    <t>12/08/2026</t>
  </si>
  <si>
    <t>6a7ea367f68f6f3a4276caa1</t>
  </si>
  <si>
    <t>13/08/2026 17:58:51</t>
  </si>
  <si>
    <t>6a7ea367f68f6f3a4276ca9b</t>
  </si>
  <si>
    <t>13/08/2026 17:56:04</t>
  </si>
  <si>
    <t>6a7ea367f68f6f3a4276ca95</t>
  </si>
  <si>
    <t>13/08/2026 17:28:08</t>
  </si>
  <si>
    <t>6a7e6a7af77da7ef00378137</t>
  </si>
  <si>
    <t>13/08/2026 22:01:04</t>
  </si>
  <si>
    <t>13/08/2026 22:08:10</t>
  </si>
  <si>
    <t>6a7d4daf8646cdc8463d5729</t>
  </si>
  <si>
    <t>13/08/2026 00:58:38</t>
  </si>
  <si>
    <t>13/08/2026 01:53:03</t>
  </si>
  <si>
    <t>6a7d4daf8646cdc8463d5723</t>
  </si>
  <si>
    <t>13/08/2026 00:41:52</t>
  </si>
  <si>
    <t>6a7d4daf8646cdc8463d5717</t>
  </si>
  <si>
    <t>12/08/2026 22:34:06</t>
  </si>
  <si>
    <t>6a7d4daf8646cdc8463d5711</t>
  </si>
  <si>
    <t>12/08/2026 22:30:36</t>
  </si>
  <si>
    <t>6a7d4daf8646cdc8463d56fd</t>
  </si>
  <si>
    <t>12/08/2026 18:23:01</t>
  </si>
  <si>
    <t>6a7d4daf8646cdc8463d56f7</t>
  </si>
  <si>
    <t>12/08/2026 18:16:59</t>
  </si>
  <si>
    <t>6a7d4daf8646cdc8463d56f1</t>
  </si>
  <si>
    <t>12/08/2026 18:14:49</t>
  </si>
  <si>
    <t>6a7d4daf8646cdc8463d56eb</t>
  </si>
  <si>
    <t>12/08/2026 18:12:38</t>
  </si>
  <si>
    <t>6a7d4daf8646cdc8463d56e5</t>
  </si>
  <si>
    <t>12/08/2026 18:10:11</t>
  </si>
  <si>
    <t>6a7d4daf8646cdc8463d56df</t>
  </si>
  <si>
    <t>12/08/2026 17:56:49</t>
  </si>
  <si>
    <t>6a7d4daf8646cdc8463d56d9</t>
  </si>
  <si>
    <t>12/08/2026 17:51:25</t>
  </si>
  <si>
    <t>6a7d4daf8646cdc8463d56d3</t>
  </si>
  <si>
    <t>12/08/2026 17:47:29</t>
  </si>
  <si>
    <t>6a7c03a9f77da7ef002a625e</t>
  </si>
  <si>
    <t>12/08/2026 00:32:52</t>
  </si>
  <si>
    <t>12/08/2026 02:24:57</t>
  </si>
  <si>
    <t>11/08/2026</t>
  </si>
  <si>
    <t>6a7c03a9f77da7ef002a6258</t>
  </si>
  <si>
    <t>12/08/2026 00:26:21</t>
  </si>
  <si>
    <t>6a7c03a9f77da7ef002a6252</t>
  </si>
  <si>
    <t>12/08/2026 00:07:33</t>
  </si>
  <si>
    <t>6a7c03a8f77da7ef002a623a</t>
  </si>
  <si>
    <t>11/08/2026 18:55:30</t>
  </si>
  <si>
    <t>12/08/2026 02:24:56</t>
  </si>
  <si>
    <t>6a7c03a8f77da7ef002a6234</t>
  </si>
  <si>
    <t>11/08/2026 18:53:08</t>
  </si>
  <si>
    <t>6a7c03a8f77da7ef002a622e</t>
  </si>
  <si>
    <t>11/08/2026 18:50:05</t>
  </si>
  <si>
    <t>6a7c03a8f77da7ef002a6228</t>
  </si>
  <si>
    <t>11/08/2026 18:47:45</t>
  </si>
  <si>
    <t>6a7c03a8f77da7ef002a6222</t>
  </si>
  <si>
    <t>11/08/2026 18:35:47</t>
  </si>
  <si>
    <t>6a7c03a8f77da7ef002a621c</t>
  </si>
  <si>
    <t>11/08/2026 18:17:04</t>
  </si>
  <si>
    <t>6a7c03a8f77da7ef002a6216</t>
  </si>
  <si>
    <t>11/08/2026 18:03:10</t>
  </si>
  <si>
    <t>6a7c03a8f77da7ef002a6210</t>
  </si>
  <si>
    <t>11/08/2026 17:56:05</t>
  </si>
  <si>
    <t>6a7b1465b557e8f899eaba8c</t>
  </si>
  <si>
    <t>11/08/2026 09:13:04</t>
  </si>
  <si>
    <t>11/08/2026 09:24:05</t>
  </si>
  <si>
    <t>Turno 1</t>
  </si>
  <si>
    <t>RANIELI MARIA MASQUIETI DOURADO</t>
  </si>
  <si>
    <t>6a7b1464b557e8f899eaba86</t>
  </si>
  <si>
    <t>11/08/2026 09:03:13</t>
  </si>
  <si>
    <t>11/08/2026 09:24:04</t>
  </si>
  <si>
    <t>6a7b0eccb557e8f899eab1a4</t>
  </si>
  <si>
    <t>11/08/2026 08:54:44</t>
  </si>
  <si>
    <t>11/08/2026 09:00:12</t>
  </si>
  <si>
    <t>6a7ab13af77da7ef00271c0f</t>
  </si>
  <si>
    <t>11/08/2026 01:04:22</t>
  </si>
  <si>
    <t>11/08/2026 02:20:58</t>
  </si>
  <si>
    <t>10/08/2026</t>
  </si>
  <si>
    <t>6a7ab13af77da7ef00271c09</t>
  </si>
  <si>
    <t>11/08/2026 01:00:09</t>
  </si>
  <si>
    <t>6a7ab13af77da7ef00271c03</t>
  </si>
  <si>
    <t>11/08/2026 00:50:53</t>
  </si>
  <si>
    <t>6a7ab13af77da7ef00271bfd</t>
  </si>
  <si>
    <t>10/08/2026 23:51:21</t>
  </si>
  <si>
    <t>6a7ab139f77da7ef00271bf1</t>
  </si>
  <si>
    <t>10/08/2026 22:43:22</t>
  </si>
  <si>
    <t>11/08/2026 02:20:57</t>
  </si>
  <si>
    <t>6a7ab139f77da7ef00271bdf</t>
  </si>
  <si>
    <t>10/08/2026 18:08:11</t>
  </si>
  <si>
    <t>6a7ab139f77da7ef00271bd9</t>
  </si>
  <si>
    <t>10/08/2026 18:04:12</t>
  </si>
  <si>
    <t>6a7ab139f77da7ef00271bd3</t>
  </si>
  <si>
    <t>10/08/2026 17:57:31</t>
  </si>
  <si>
    <t>6a7ab139f77da7ef00271bcd</t>
  </si>
  <si>
    <t>10/08/2026 17:54:09</t>
  </si>
  <si>
    <t>6a7ab139f77da7ef00271bc7</t>
  </si>
  <si>
    <t>10/08/2026 17:50:09</t>
  </si>
  <si>
    <t>6a7ab139f77da7ef00271bc1</t>
  </si>
  <si>
    <t>10/08/2026 17:47:34</t>
  </si>
  <si>
    <t>6a7ab139f77da7ef00271bbb</t>
  </si>
  <si>
    <t>10/08/2026 17:42:33</t>
  </si>
  <si>
    <t>6a79aef54b165449d5bfd809</t>
  </si>
  <si>
    <t>08/08/2026 00:45:27</t>
  </si>
  <si>
    <t>10/08/2026 07:59:01</t>
  </si>
  <si>
    <t>6a79aef54b165449d5bfd803</t>
  </si>
  <si>
    <t>08/08/2026 00:35:45</t>
  </si>
  <si>
    <t>07/08/2026</t>
  </si>
  <si>
    <t>6a79aef54b165449d5bfd7fd</t>
  </si>
  <si>
    <t>08/08/2026 00:28:19</t>
  </si>
  <si>
    <t>6a79aef54b165449d5bfd7df</t>
  </si>
  <si>
    <t>07/08/2026 18:49:24</t>
  </si>
  <si>
    <t>6a79aef54b165449d5bfd7d9</t>
  </si>
  <si>
    <t>07/08/2026 18:40:29</t>
  </si>
  <si>
    <t>6a79aef54b165449d5bfd7d3</t>
  </si>
  <si>
    <t>07/08/2026 18:36:55</t>
  </si>
  <si>
    <t>6a79aef54b165449d5bfd7cb</t>
  </si>
  <si>
    <t>07/08/2026 18:34:24</t>
  </si>
  <si>
    <t>6a79aef54b165449d5bfd7c5</t>
  </si>
  <si>
    <t>07/08/2026 18:30:28</t>
  </si>
  <si>
    <t>6a79aef54b165449d5bfd7bf</t>
  </si>
  <si>
    <t>07/08/2026 18:27:25</t>
  </si>
  <si>
    <t>6a79aef44b165449d5bfd7b9</t>
  </si>
  <si>
    <t>07/08/2026 17:41:25</t>
  </si>
  <si>
    <t>10/08/2026 07:59:00</t>
  </si>
  <si>
    <t>6a7557307d11d89e2f421791</t>
  </si>
  <si>
    <t>07/08/2026 00:45:21</t>
  </si>
  <si>
    <t>07/08/2026 00:55:28</t>
  </si>
  <si>
    <t>06/08/2026</t>
  </si>
  <si>
    <t>6a7554cf7d11d89e2f42171d</t>
  </si>
  <si>
    <t>07/08/2026 00:36:04</t>
  </si>
  <si>
    <t>07/08/2026 00:45:19</t>
  </si>
  <si>
    <t>6a7552a2ef0d98d29d68eb31</t>
  </si>
  <si>
    <t>07/08/2026 00:29:05</t>
  </si>
  <si>
    <t>07/08/2026 00:36:02</t>
  </si>
  <si>
    <t>6a75510051fee0ceb3d8b764</t>
  </si>
  <si>
    <t>07/08/2026 00:25:28</t>
  </si>
  <si>
    <t>07/08/2026 00:29:04</t>
  </si>
  <si>
    <t>6a755027a971cc45da851af2</t>
  </si>
  <si>
    <t>07/08/2026 00:18:55</t>
  </si>
  <si>
    <t>07/08/2026 00:25:27</t>
  </si>
  <si>
    <t>6a754e9276deefbbdc5971d1</t>
  </si>
  <si>
    <t>07/08/2026 00:12:46</t>
  </si>
  <si>
    <t>07/08/2026 00:18:42</t>
  </si>
  <si>
    <t>6a754d2da3e210342a305f87</t>
  </si>
  <si>
    <t>07/08/2026 00:07:10</t>
  </si>
  <si>
    <t>07/08/2026 00:12:45</t>
  </si>
  <si>
    <t>6a754bd9c50334f4b4071d63</t>
  </si>
  <si>
    <t>07/08/2026 00:01:31</t>
  </si>
  <si>
    <t>07/08/2026 00:07:05</t>
  </si>
  <si>
    <t>6a7501e7a971cc45da84fc03</t>
  </si>
  <si>
    <t>06/08/2026 18:45:19</t>
  </si>
  <si>
    <t>06/08/2026 18:51:35</t>
  </si>
  <si>
    <t>6a750067ef842c3746a87827</t>
  </si>
  <si>
    <t>06/08/2026 18:40:54</t>
  </si>
  <si>
    <t>06/08/2026 18:45:11</t>
  </si>
  <si>
    <t>6a74ff64ef842c3746a8779f</t>
  </si>
  <si>
    <t>06/08/2026 18:37:52</t>
  </si>
  <si>
    <t>06/08/2026 18:40:52</t>
  </si>
  <si>
    <t>6a74fead4935a21ebba839c8</t>
  </si>
  <si>
    <t>06/08/2026 18:30:19</t>
  </si>
  <si>
    <t>06/08/2026 18:37:49</t>
  </si>
  <si>
    <t>6a74f8b43b26ad6681a56f4a</t>
  </si>
  <si>
    <t>06/08/2026 18:10:40</t>
  </si>
  <si>
    <t>06/08/2026 18:12:20</t>
  </si>
  <si>
    <t>6a74f6dc9a3f99d409cf0ade</t>
  </si>
  <si>
    <t>06/08/2026 17:53:56</t>
  </si>
  <si>
    <t>06/08/2026 18:04:28</t>
  </si>
  <si>
    <t>6a740d80b671965c6502efd8</t>
  </si>
  <si>
    <t>06/08/2026 01:19:06</t>
  </si>
  <si>
    <t>06/08/2026 01:28:48</t>
  </si>
  <si>
    <t>05/08/2026</t>
  </si>
  <si>
    <t>6a740b3876deefbbdc4bdd28</t>
  </si>
  <si>
    <t>06/08/2026 01:13:16</t>
  </si>
  <si>
    <t>06/08/2026 01:19:04</t>
  </si>
  <si>
    <t>6a7409d8f40feae622663743</t>
  </si>
  <si>
    <t>06/08/2026 01:07:38</t>
  </si>
  <si>
    <t>06/08/2026 01:13:12</t>
  </si>
  <si>
    <t>6a740886f40feae6226636ee</t>
  </si>
  <si>
    <t>06/08/2026 01:00:00</t>
  </si>
  <si>
    <t>06/08/2026 01:07:34</t>
  </si>
  <si>
    <t>6a74069b20a96cfc4b4e285d</t>
  </si>
  <si>
    <t>06/08/2026 00:49:36</t>
  </si>
  <si>
    <t>06/08/2026 00:59:23</t>
  </si>
  <si>
    <t>6a73ec07e9cbec6cab797c5b</t>
  </si>
  <si>
    <t>05/08/2026 22:58:57</t>
  </si>
  <si>
    <t>05/08/2026 23:05:59</t>
  </si>
  <si>
    <t>6a73b48c9a3f99d409c1b4d5</t>
  </si>
  <si>
    <t>05/08/2026 19:04:16</t>
  </si>
  <si>
    <t>05/08/2026 19:09:16</t>
  </si>
  <si>
    <t>6a73acfe76deefbbdc4bb386</t>
  </si>
  <si>
    <t>05/08/2026 18:31:15</t>
  </si>
  <si>
    <t>05/08/2026 18:37:02</t>
  </si>
  <si>
    <t>6a73aba2ef0d98d29d5b81b3</t>
  </si>
  <si>
    <t>05/08/2026 18:25:21</t>
  </si>
  <si>
    <t>05/08/2026 18:31:14</t>
  </si>
  <si>
    <t>6a73aa3f9a3f99d409c1af0c</t>
  </si>
  <si>
    <t>05/08/2026 18:20:24</t>
  </si>
  <si>
    <t>05/08/2026 18:25:19</t>
  </si>
  <si>
    <t>6a73a9177d11d89e2f351df7</t>
  </si>
  <si>
    <t>05/08/2026 18:15:34</t>
  </si>
  <si>
    <t>05/08/2026 18:20:23</t>
  </si>
  <si>
    <t>6a73a7f2a3e210342a26a79a</t>
  </si>
  <si>
    <t>05/08/2026 18:01:42</t>
  </si>
  <si>
    <t>05/08/2026 18:15:30</t>
  </si>
  <si>
    <t>6a73a4a0e24bea36d87cf4ab</t>
  </si>
  <si>
    <t>05/08/2026 17:55:40</t>
  </si>
  <si>
    <t>05/08/2026 18:01:20</t>
  </si>
  <si>
    <t>6a739f5ba971cc45da77df15</t>
  </si>
  <si>
    <t>05/08/2026 16:23:50</t>
  </si>
  <si>
    <t>05/08/2026 17:38:51</t>
  </si>
  <si>
    <t>6a7299a076deefbbdc48e79a</t>
  </si>
  <si>
    <t>04/08/2026 22:57:14</t>
  </si>
  <si>
    <t>04/08/2026 23:02:08</t>
  </si>
  <si>
    <t>04/08/2026</t>
  </si>
  <si>
    <t>6a71180b0aa978fc27edf554</t>
  </si>
  <si>
    <t>03/08/2026 19:26:04</t>
  </si>
  <si>
    <t>03/08/2026 19:36:59</t>
  </si>
  <si>
    <t>03/08/2026</t>
  </si>
  <si>
    <t>6a707861ec887be342f966e3</t>
  </si>
  <si>
    <t>30/07/2026 17:10:33</t>
  </si>
  <si>
    <t>03/08/2026 08:15:45</t>
  </si>
  <si>
    <t>30/07/2026</t>
  </si>
  <si>
    <t>Item</t>
  </si>
  <si>
    <t>Colunas1</t>
  </si>
  <si>
    <t>ITEM</t>
  </si>
  <si>
    <t>DESCRIÇÃO</t>
  </si>
  <si>
    <t>MEIO ASA FG 30G UP IF LP</t>
  </si>
  <si>
    <t>PONTA ASA FG PB CG</t>
  </si>
  <si>
    <t>CARTILAGEM PEITO FG PB</t>
  </si>
  <si>
    <t>CARTILAGEM JOELHO FG PB</t>
  </si>
  <si>
    <t>CARNE MEC SEPARADA AVE CG 15</t>
  </si>
  <si>
    <t>SAMBIQUIRA FG PB</t>
  </si>
  <si>
    <t>PALMA FG 25G UP GR B PB</t>
  </si>
  <si>
    <t>PALMA FG 25g UP GR A PB</t>
  </si>
  <si>
    <t>CANELA FG PB</t>
  </si>
  <si>
    <t>FIGADO FG PB15,22KG PET FOOD</t>
  </si>
  <si>
    <t>FILEZINHO FG C/TDAO PB PET F</t>
  </si>
  <si>
    <t>COXA SBCX LQ FG LP</t>
  </si>
  <si>
    <t>COXA SBCX S/O FG 220-240g PB</t>
  </si>
  <si>
    <t>COXA SBCX S/O FG 240-260g PB</t>
  </si>
  <si>
    <t>COXA SBCX S/O FG 260-280g PB</t>
  </si>
  <si>
    <t>COXA SBCX S/O FG 280-300g PB</t>
  </si>
  <si>
    <t>COXA SBCX S/O 200g FG UP PB</t>
  </si>
  <si>
    <t>COXA SBCX FG S/OP 7,5KG PB</t>
  </si>
  <si>
    <t>COXINHA DA ASA RF PC 1 KG</t>
  </si>
  <si>
    <t>COXINHA ASA IQF ALM 1KG</t>
  </si>
  <si>
    <t>CORACAO FGO CG ALM SE</t>
  </si>
  <si>
    <t>MOELA FRANGO CG ALM SE</t>
  </si>
  <si>
    <t>CABECA PETFOOD FG CG</t>
  </si>
  <si>
    <t>FILE DE PEITO FG CG PCT</t>
  </si>
  <si>
    <t>FILE PEITO MET CG BDJ SE</t>
  </si>
  <si>
    <t>FILE DE PEITO RF PC 1 KG</t>
  </si>
  <si>
    <t>MEIO PEITO S/OPF INTERF</t>
  </si>
  <si>
    <t>FILE PEITO CG IQF1KG</t>
  </si>
  <si>
    <t>FILEZINHO FRANGO IQF ALM</t>
  </si>
  <si>
    <t>CARNE MS AVES RF CB MP</t>
  </si>
  <si>
    <t>CMS HTD8</t>
  </si>
  <si>
    <t>PELE DE FRANGO CG BL SE MP</t>
  </si>
  <si>
    <t>RECORTE PEITO FG S/OPF BL CG</t>
  </si>
  <si>
    <t>COXA SBCX  S/OP CG MP BL</t>
  </si>
  <si>
    <t>COXA SBCX  S/O CG MP</t>
  </si>
  <si>
    <t>ASAS FG 100g UP LP</t>
  </si>
  <si>
    <t>COXINHA DA ASA FG CG PCT</t>
  </si>
  <si>
    <t>FILEZINHO PEITO CG BDJ SE</t>
  </si>
  <si>
    <t>CARNE MS AVES CG BL SE MP</t>
  </si>
  <si>
    <t>COXINHA ASA IQF ALM SE</t>
  </si>
  <si>
    <t>MEIO ASA CG BDJ SE</t>
  </si>
  <si>
    <t>COXA SBCX  FG CG PCT</t>
  </si>
  <si>
    <t>COXA SBCX S/O BDJ CG</t>
  </si>
  <si>
    <t>OSTRINHA CG PCT 700G SWIFT</t>
  </si>
  <si>
    <t>GORDURA FRANGO CG BL SE</t>
  </si>
  <si>
    <t>COXINHA ASA CG BDJ SE</t>
  </si>
  <si>
    <t>SOBRECOXA IQF ALM SE</t>
  </si>
  <si>
    <t>SBCOXA SEM PELE IQF 1KG</t>
  </si>
  <si>
    <t>FILE DE PEITO EM TIRAS IQF</t>
  </si>
  <si>
    <t>SOBRECOXA CG BDJ SE</t>
  </si>
  <si>
    <t>COXA CG BDJ SE</t>
  </si>
  <si>
    <t>COXA SEM PELE IQF 1KG</t>
  </si>
  <si>
    <t>MEIO PEITO S/OPF CG BL</t>
  </si>
  <si>
    <t>FILE DE PEITO EM CUBOS IQF</t>
  </si>
  <si>
    <t>COXA SBCX S/O FG 200-220g PB</t>
  </si>
  <si>
    <t>COXA SBCX S/O FG 180-200g PB</t>
  </si>
  <si>
    <t>SOBRECOXA FG RF PCT</t>
  </si>
  <si>
    <t>FILE PEITO  CG IQF</t>
  </si>
  <si>
    <t>FILEZINHO FRANGO IQF ALM SE</t>
  </si>
  <si>
    <t>DORSO DE FRANGO BACK</t>
  </si>
  <si>
    <t>PES FG 35g UP GR B PB</t>
  </si>
  <si>
    <t>PES FG 35g UP GR A PB</t>
  </si>
  <si>
    <t>COXA COM SBCOXA RF PC 1 KG</t>
  </si>
  <si>
    <t>MEIO DA ASA IQF</t>
  </si>
  <si>
    <t>COXA IQF ALM SE</t>
  </si>
  <si>
    <t>FILE DE SOBRECOXA IQF</t>
  </si>
  <si>
    <t>FILE DE COXA FG IQF 1KG SWI</t>
  </si>
  <si>
    <t>COXA SBCX S/O FG 200g UP PB</t>
  </si>
  <si>
    <t>COXA C/SBCX CG ITF SE</t>
  </si>
  <si>
    <t>MEIO DE ASA 2,5KG  IQF</t>
  </si>
  <si>
    <t>COXINHA DA ASA FG RF PCT</t>
  </si>
  <si>
    <t>FRANGO INTEIRO CG PCT</t>
  </si>
  <si>
    <t>ASAS INTEIRA FG CG PCT</t>
  </si>
  <si>
    <t>ASA INT CG ITF SE</t>
  </si>
  <si>
    <t>FILE DE PEITO FG RF PCT</t>
  </si>
  <si>
    <t>SOBRECOXA IQF ALM 1KG</t>
  </si>
  <si>
    <t>COXA SBCX  FG RF PCT</t>
  </si>
  <si>
    <t>COXA IQF ALM 1KG</t>
  </si>
  <si>
    <t>MEIO DA ASA 40-50G LP</t>
  </si>
  <si>
    <t>PEITO 1/2 FRANGO LIGHT CG MP</t>
  </si>
  <si>
    <t>FILEZINHO  FG CG PCT</t>
  </si>
  <si>
    <t>SASSAMI DE FRANGO CG</t>
  </si>
  <si>
    <t>Família</t>
  </si>
  <si>
    <t>ASA</t>
  </si>
  <si>
    <t>PEITO</t>
  </si>
  <si>
    <t>CARTILAGEM PEITO</t>
  </si>
  <si>
    <t>CARTILAGEM PERNA</t>
  </si>
  <si>
    <t>CMS/CMR</t>
  </si>
  <si>
    <t>SAMBIQUIRA</t>
  </si>
  <si>
    <t>MOELA</t>
  </si>
  <si>
    <t>PELE</t>
  </si>
  <si>
    <t>PÉS</t>
  </si>
  <si>
    <t>FÍGADO</t>
  </si>
  <si>
    <t>SASSAMI</t>
  </si>
  <si>
    <t>PERNA</t>
  </si>
  <si>
    <t>CORAÇÃO</t>
  </si>
  <si>
    <t>CABEÇA</t>
  </si>
  <si>
    <t>GORDURA ABDOMINAL</t>
  </si>
  <si>
    <t>PEITO - ANDRADINA</t>
  </si>
  <si>
    <t>DORSO</t>
  </si>
  <si>
    <t>INTEIROS</t>
  </si>
  <si>
    <t>Data Corrigida</t>
  </si>
  <si>
    <t>Mês</t>
  </si>
  <si>
    <t>Data e Hora2</t>
  </si>
  <si>
    <t>% Sobrepeso</t>
  </si>
  <si>
    <t>Meta</t>
  </si>
  <si>
    <t>Rótulos de Coluna</t>
  </si>
  <si>
    <t>Total Geral</t>
  </si>
  <si>
    <t>FAMÍLIA</t>
  </si>
  <si>
    <t>6a83ec6804bb7d55d7f06579</t>
  </si>
  <si>
    <t>18/08/2026 01:03:12</t>
  </si>
  <si>
    <t>18/08/2026 02:23:52</t>
  </si>
  <si>
    <t>17/08/2026</t>
  </si>
  <si>
    <t>6a83ec6804bb7d55d7f06573</t>
  </si>
  <si>
    <t>18/08/2026 00:44:02</t>
  </si>
  <si>
    <t>6a83ec6804bb7d55d7f0656d</t>
  </si>
  <si>
    <t>18/08/2026 00:34:45</t>
  </si>
  <si>
    <t>6a83ec6704bb7d55d7f06555</t>
  </si>
  <si>
    <t>17/08/2026 18:46:06</t>
  </si>
  <si>
    <t>18/08/2026 02:23:51</t>
  </si>
  <si>
    <t>6a83ec6704bb7d55d7f0654f</t>
  </si>
  <si>
    <t>17/08/2026 18:42:23</t>
  </si>
  <si>
    <t>6a83ec6704bb7d55d7f06549</t>
  </si>
  <si>
    <t>17/08/2026 18:37:52</t>
  </si>
  <si>
    <t>6a83ec6704bb7d55d7f06543</t>
  </si>
  <si>
    <t>17/08/2026 17:50:13</t>
  </si>
  <si>
    <t>16/08/2026</t>
  </si>
  <si>
    <t>6a83ec6704bb7d55d7f0653d</t>
  </si>
  <si>
    <t>17/08/2026 17:46:39</t>
  </si>
  <si>
    <t>6a83ec6704bb7d55d7f06537</t>
  </si>
  <si>
    <t>17/08/2026 17:37:42</t>
  </si>
  <si>
    <t>6a83ec6704bb7d55d7f06531</t>
  </si>
  <si>
    <t>17/08/2026 17:33:18</t>
  </si>
  <si>
    <t>6a83ec6704bb7d55d7f0652b</t>
  </si>
  <si>
    <t>17/08/2026 17:28:16</t>
  </si>
  <si>
    <t>6a8373a77e148bbac283fe6b</t>
  </si>
  <si>
    <t>17/08/2026 17:44:19</t>
  </si>
  <si>
    <t>17/08/2026 17:48:39</t>
  </si>
  <si>
    <t>6a83717003b9535acf13b230</t>
  </si>
  <si>
    <t>17/08/2026 17:34:12</t>
  </si>
  <si>
    <t>17/08/2026 17:39:12</t>
  </si>
  <si>
    <t>6a8370433dcd2d6730912167</t>
  </si>
  <si>
    <t>17/08/2026 17:28:22</t>
  </si>
  <si>
    <t>17/08/2026 17:34:11</t>
  </si>
  <si>
    <t>6a836edfefe2559bb1e6afca</t>
  </si>
  <si>
    <t>17/08/2026 17:22:53</t>
  </si>
  <si>
    <t>17/08/2026 17:28:15</t>
  </si>
  <si>
    <t>6a836d9a3013de393c39feef</t>
  </si>
  <si>
    <t>17/08/2026 17:00:31</t>
  </si>
  <si>
    <t>17/08/2026 17:22:50</t>
  </si>
  <si>
    <t>6a83685d8dbad1217e3a9fb7</t>
  </si>
  <si>
    <t>17/08/2026 16:50:11</t>
  </si>
  <si>
    <t>17/08/2026 17:00:29</t>
  </si>
  <si>
    <t>6a8365f07e148bbac283bb01</t>
  </si>
  <si>
    <t>17/08/2026 16:36:23</t>
  </si>
  <si>
    <t>17/08/2026 16:50:08</t>
  </si>
  <si>
    <t>6a85b1dd0ee09dfd59469e09</t>
  </si>
  <si>
    <t>19/08/2026 09:49:20</t>
  </si>
  <si>
    <t>19/08/2026 10:38:37</t>
  </si>
  <si>
    <t>19/08/2026</t>
  </si>
  <si>
    <t>ALANA DA SILVA MARTINS</t>
  </si>
  <si>
    <t>6a85b1dd0ee09dfd59469e03</t>
  </si>
  <si>
    <t>19/08/2026 09:26:19</t>
  </si>
  <si>
    <t>6a85b1dd0ee09dfd59469dfd</t>
  </si>
  <si>
    <t>19/08/2026 09:00:11</t>
  </si>
  <si>
    <t>6a85b1dd0ee09dfd59469df7</t>
  </si>
  <si>
    <t>19/08/2026 08:48:20</t>
  </si>
  <si>
    <t>6a853c5d1fd846202c31d1a9</t>
  </si>
  <si>
    <t>18/08/2026 23:51:39</t>
  </si>
  <si>
    <t>19/08/2026 02:17:17</t>
  </si>
  <si>
    <t>18/08/2026</t>
  </si>
  <si>
    <t>6a853c5d1fd846202c31d1a3</t>
  </si>
  <si>
    <t>18/08/2026 23:41:58</t>
  </si>
  <si>
    <t>6a853c5d1fd846202c31d19d</t>
  </si>
  <si>
    <t>18/08/2026 23:36:58</t>
  </si>
  <si>
    <t>6a853c5d1fd846202c31d197</t>
  </si>
  <si>
    <t>18/08/2026 23:33:02</t>
  </si>
  <si>
    <t>6a853c5d1fd846202c31d185</t>
  </si>
  <si>
    <t>18/08/2026 18:56:28</t>
  </si>
  <si>
    <t>6a853c5d1fd846202c31d17f</t>
  </si>
  <si>
    <t>18/08/2026 18:53:33</t>
  </si>
  <si>
    <t>6a853c5d1fd846202c31d179</t>
  </si>
  <si>
    <t>18/08/2026 18:51:24</t>
  </si>
  <si>
    <t>6a853c5c1fd846202c31d173</t>
  </si>
  <si>
    <t>18/08/2026 18:40:12</t>
  </si>
  <si>
    <t>19/08/2026 02:17:16</t>
  </si>
  <si>
    <t>6a853c5c1fd846202c31d16d</t>
  </si>
  <si>
    <t>18/08/2026 18:32:36</t>
  </si>
  <si>
    <t>6a853c5c1fd846202c31d167</t>
  </si>
  <si>
    <t>18/08/2026 18:28:59</t>
  </si>
  <si>
    <t>6a853c5c1fd846202c31d161</t>
  </si>
  <si>
    <t>18/08/2026 18:24:50</t>
  </si>
  <si>
    <t>6a84c13fefe2559bb1ee2325</t>
  </si>
  <si>
    <t>18/08/2026 17:06:35</t>
  </si>
  <si>
    <t>18/08/2026 17:31:59</t>
  </si>
  <si>
    <t>6a84bb470382cc9bbb01cd60</t>
  </si>
  <si>
    <t>18/08/2026 16:57:15</t>
  </si>
  <si>
    <t>18/08/2026 17:06:31</t>
  </si>
  <si>
    <t>6a868bb5fdafc0a09889692d</t>
  </si>
  <si>
    <t>19/08/2026 23:38:29</t>
  </si>
  <si>
    <t>20/08/2026 02:08:05</t>
  </si>
  <si>
    <t>6a868bb5fdafc0a098896927</t>
  </si>
  <si>
    <t>19/08/2026 23:30:52</t>
  </si>
  <si>
    <t>6a868bb5fdafc0a098896921</t>
  </si>
  <si>
    <t>19/08/2026 23:27:04</t>
  </si>
  <si>
    <t>6a868bb4fdafc0a09889690d</t>
  </si>
  <si>
    <t>19/08/2026 19:03:13</t>
  </si>
  <si>
    <t>20/08/2026 02:08:04</t>
  </si>
  <si>
    <t>6a868bb4fdafc0a098896907</t>
  </si>
  <si>
    <t>19/08/2026 19:00:51</t>
  </si>
  <si>
    <t>6a868bb4fdafc0a098896901</t>
  </si>
  <si>
    <t>19/08/2026 18:57:43</t>
  </si>
  <si>
    <t>6a868bb4fdafc0a0988968fb</t>
  </si>
  <si>
    <t>19/08/2026 18:52:54</t>
  </si>
  <si>
    <t>6a868bb4fdafc0a0988968f5</t>
  </si>
  <si>
    <t>19/08/2026 18:48:21</t>
  </si>
  <si>
    <t>6a868bb4fdafc0a0988968ef</t>
  </si>
  <si>
    <t>19/08/2026 18:40:11</t>
  </si>
  <si>
    <t>6a868bb4fdafc0a0988968e9</t>
  </si>
  <si>
    <t>19/08/2026 18:28:52</t>
  </si>
  <si>
    <t>6a868bb4fdafc0a0988968e3</t>
  </si>
  <si>
    <t>19/08/2026 18:24:55</t>
  </si>
  <si>
    <t>6a85f3db1a16c0f1bfb95c35</t>
  </si>
  <si>
    <t>19/08/2026 14:07:58</t>
  </si>
  <si>
    <t>19/08/2026 15:20:11</t>
  </si>
  <si>
    <t>6a85f3db1a16c0f1bfb95c2f</t>
  </si>
  <si>
    <t>19/08/2026 13:53:30</t>
  </si>
  <si>
    <t>6a85f3db1a16c0f1bfb95c29</t>
  </si>
  <si>
    <t>19/08/2026 13:46:52</t>
  </si>
  <si>
    <t>6a85d3e97f1e19841d19c066</t>
  </si>
  <si>
    <t>19/08/2026 12:45:10</t>
  </si>
  <si>
    <t>19/08/2026 13:03:53</t>
  </si>
  <si>
    <t>6a85d3e97f1e19841d19c060</t>
  </si>
  <si>
    <t>19/08/2026 11:57:11</t>
  </si>
  <si>
    <t>6a85d3e97f1e19841d19c05a</t>
  </si>
  <si>
    <t>19/08/2026 11:47:44</t>
  </si>
  <si>
    <t>6a87d81a13f324b2ed9451fa</t>
  </si>
  <si>
    <t>20/08/2026 23:45:46</t>
  </si>
  <si>
    <t>21/08/2026 01:46:18</t>
  </si>
  <si>
    <t>20/08/2026</t>
  </si>
  <si>
    <t>6a87d81a13f324b2ed9451f4</t>
  </si>
  <si>
    <t>20/08/2026 23:39:37</t>
  </si>
  <si>
    <t>6a87d81a13f324b2ed9451e8</t>
  </si>
  <si>
    <t>20/08/2026 23:28:30</t>
  </si>
  <si>
    <t>6a87d81a13f324b2ed9451e2</t>
  </si>
  <si>
    <t>20/08/2026 23:24:45</t>
  </si>
  <si>
    <t>6a87d81a13f324b2ed9451dc</t>
  </si>
  <si>
    <t>20/08/2026 23:22:37</t>
  </si>
  <si>
    <t>6a87d81a13f324b2ed9451d6</t>
  </si>
  <si>
    <t>20/08/2026 23:18:19</t>
  </si>
  <si>
    <t>6a87d81a13f324b2ed9451c2</t>
  </si>
  <si>
    <t>20/08/2026 18:51:35</t>
  </si>
  <si>
    <t>6a87d81a13f324b2ed9451bc</t>
  </si>
  <si>
    <t>20/08/2026 18:44:17</t>
  </si>
  <si>
    <t>6a87d81913f324b2ed9451b6</t>
  </si>
  <si>
    <t>20/08/2026 18:35:24</t>
  </si>
  <si>
    <t>21/08/2026 01:46:17</t>
  </si>
  <si>
    <t>6a87d81913f324b2ed9451b0</t>
  </si>
  <si>
    <t>20/08/2026 18:30:46</t>
  </si>
  <si>
    <t>6a87d81913f324b2ed9451aa</t>
  </si>
  <si>
    <t>20/08/2026 18:22:57</t>
  </si>
  <si>
    <t>6a87d81913f324b2ed9451a4</t>
  </si>
  <si>
    <t>20/08/2026 18:14:01</t>
  </si>
  <si>
    <t>6a877bc4a12fe1209e6baa9e</t>
  </si>
  <si>
    <t>20/08/2026 18:36:28</t>
  </si>
  <si>
    <t>20/08/2026 19:12:20</t>
  </si>
  <si>
    <t>6a87735ac3ab6b206e8324b1</t>
  </si>
  <si>
    <t>20/08/2026 18:29:29</t>
  </si>
  <si>
    <t>20/08/2026 18:36:26</t>
  </si>
  <si>
    <t>6a87432ce868572ccad7a570</t>
  </si>
  <si>
    <t>20/08/2026 14:58:37</t>
  </si>
  <si>
    <t>20/08/2026 15:10:52</t>
  </si>
  <si>
    <t>6a87432be868572ccad7a56a</t>
  </si>
  <si>
    <t>20/08/2026 14:47:13</t>
  </si>
  <si>
    <t>20/08/2026 15:10:51</t>
  </si>
  <si>
    <t>6a87432be868572ccad7a564</t>
  </si>
  <si>
    <t>20/08/2026 13:36:10</t>
  </si>
  <si>
    <t>6a87432be868572ccad7a55e</t>
  </si>
  <si>
    <t>20/08/2026 13:29:39</t>
  </si>
  <si>
    <t>6a8726a4d21019c032fd973e</t>
  </si>
  <si>
    <t>20/08/2026 12:51:58</t>
  </si>
  <si>
    <t>20/08/2026 13:09:08</t>
  </si>
  <si>
    <t>6a8726a4d21019c032fd9738</t>
  </si>
  <si>
    <t>20/08/2026 12:36:41</t>
  </si>
  <si>
    <t>6a8726a4d21019c032fd9732</t>
  </si>
  <si>
    <t>20/08/2026 11:48:22</t>
  </si>
  <si>
    <t>6a8726a4d21019c032fd972c</t>
  </si>
  <si>
    <t>20/08/2026 08:52:42</t>
  </si>
  <si>
    <t>6a8726a4d21019c032fd9726</t>
  </si>
  <si>
    <t>20/08/2026 08:16:43</t>
  </si>
  <si>
    <t>6a8726a4d21019c032fd9720</t>
  </si>
  <si>
    <t>20/08/2026 08:09:27</t>
  </si>
  <si>
    <t>6a89357ca12fe1209e6da312</t>
  </si>
  <si>
    <t>22/08/2026 00:11:58</t>
  </si>
  <si>
    <t>22/08/2026 02:37:00</t>
  </si>
  <si>
    <t>21/08/2026</t>
  </si>
  <si>
    <t>6a89357ca12fe1209e6da30c</t>
  </si>
  <si>
    <t>22/08/2026 00:08:40</t>
  </si>
  <si>
    <t>6a89357ca12fe1209e6da306</t>
  </si>
  <si>
    <t>21/08/2026 23:57:10</t>
  </si>
  <si>
    <t>6a89357ca12fe1209e6da300</t>
  </si>
  <si>
    <t>21/08/2026 23:51:55</t>
  </si>
  <si>
    <t>6a89357ca12fe1209e6da2fa</t>
  </si>
  <si>
    <t>21/08/2026 23:45:00</t>
  </si>
  <si>
    <t>6a89357ca12fe1209e6da2f4</t>
  </si>
  <si>
    <t>21/08/2026 23:40:38</t>
  </si>
  <si>
    <t>6a89357ca12fe1209e6da2ee</t>
  </si>
  <si>
    <t>21/08/2026 23:07:28</t>
  </si>
  <si>
    <t>6a89357ca12fe1209e6da2dc</t>
  </si>
  <si>
    <t>21/08/2026 20:45:46</t>
  </si>
  <si>
    <t>6a89357ca12fe1209e6da2d6</t>
  </si>
  <si>
    <t>21/08/2026 20:40:19</t>
  </si>
  <si>
    <t>6a89357ca12fe1209e6da2d0</t>
  </si>
  <si>
    <t>21/08/2026 20:36:23</t>
  </si>
  <si>
    <t>6a89357ca12fe1209e6da2c8</t>
  </si>
  <si>
    <t>21/08/2026 20:30:44</t>
  </si>
  <si>
    <t>6a89357ca12fe1209e6da2c2</t>
  </si>
  <si>
    <t>21/08/2026 18:15:26</t>
  </si>
  <si>
    <t>6a89357ca12fe1209e6da2bc</t>
  </si>
  <si>
    <t>21/08/2026 18:09:46</t>
  </si>
  <si>
    <t>6a88b4b53fb5e2e92beff6fe</t>
  </si>
  <si>
    <t>21/08/2026 17:21:34</t>
  </si>
  <si>
    <t>21/08/2026 17:27:33</t>
  </si>
  <si>
    <t>6a88b34d40c77c195945b803</t>
  </si>
  <si>
    <t>21/08/2026 17:11:06</t>
  </si>
  <si>
    <t>21/08/2026 17:21:33</t>
  </si>
  <si>
    <t>6a88925f40c77c1959454edc</t>
  </si>
  <si>
    <t>21/08/2026 08:45:31</t>
  </si>
  <si>
    <t>21/08/2026 15:01:03</t>
  </si>
  <si>
    <t>6a88925f40c77c1959454ed6</t>
  </si>
  <si>
    <t>21/08/2026 08:26:31</t>
  </si>
  <si>
    <t>6a8d2135d3c61efffc667410</t>
  </si>
  <si>
    <t>24/08/2026 23:20:18</t>
  </si>
  <si>
    <t>25/08/2026 01:59:33</t>
  </si>
  <si>
    <t>24/08/2026</t>
  </si>
  <si>
    <t>6a8d2135d3c61efffc66740a</t>
  </si>
  <si>
    <t>24/08/2026 23:13:40</t>
  </si>
  <si>
    <t>6a8d2135d3c61efffc667404</t>
  </si>
  <si>
    <t>24/08/2026 23:08:15</t>
  </si>
  <si>
    <t>6a8d2135d3c61efffc6673fe</t>
  </si>
  <si>
    <t>24/08/2026 23:00:43</t>
  </si>
  <si>
    <t>6a8d2135d3c61efffc6673f2</t>
  </si>
  <si>
    <t>24/08/2026 21:04:33</t>
  </si>
  <si>
    <t>6a8d2135d3c61efffc6673ec</t>
  </si>
  <si>
    <t>24/08/2026 20:41:37</t>
  </si>
  <si>
    <t>6a8d2135d3c61efffc6673e6</t>
  </si>
  <si>
    <t>24/08/2026 20:36:24</t>
  </si>
  <si>
    <t>6a8d2135d3c61efffc6673e0</t>
  </si>
  <si>
    <t>24/08/2026 20:33:17</t>
  </si>
  <si>
    <t>6a8d2135d3c61efffc6673da</t>
  </si>
  <si>
    <t>24/08/2026 20:26:27</t>
  </si>
  <si>
    <t>6a8d2135d3c61efffc6673d4</t>
  </si>
  <si>
    <t>24/08/2026 20:24:05</t>
  </si>
  <si>
    <t>6a8d2135d3c61efffc6673ce</t>
  </si>
  <si>
    <t>24/08/2026 20:20:24</t>
  </si>
  <si>
    <t>6a8cfbedf7a664c819473772</t>
  </si>
  <si>
    <t>24/08/2026 23:17:14</t>
  </si>
  <si>
    <t>24/08/2026 23:20:29</t>
  </si>
  <si>
    <t>6a8cfa5f93b1cfd737a7f665</t>
  </si>
  <si>
    <t>24/08/2026 23:07:51</t>
  </si>
  <si>
    <t>24/08/2026 23:13:51</t>
  </si>
  <si>
    <t>6a8cf8f3fc8ac6104fcc78cf</t>
  </si>
  <si>
    <t>24/08/2026 22:58:19</t>
  </si>
  <si>
    <t>24/08/2026 23:07:47</t>
  </si>
  <si>
    <t>6a8cf6ba01139f2b91842d33</t>
  </si>
  <si>
    <t>24/08/2026 22:38:56</t>
  </si>
  <si>
    <t>24/08/2026 22:58:18</t>
  </si>
  <si>
    <t>6a8cf22ea7ca961a319ef213</t>
  </si>
  <si>
    <t>24/08/2026 22:32:09</t>
  </si>
  <si>
    <t>24/08/2026 22:38:54</t>
  </si>
  <si>
    <t>6a8cccbddbb1ce56e19d2c05</t>
  </si>
  <si>
    <t>24/08/2026 19:50:31</t>
  </si>
  <si>
    <t>24/08/2026 19:59:09</t>
  </si>
  <si>
    <t>6a8ccab6b400fbff8f01f122</t>
  </si>
  <si>
    <t>24/08/2026 19:40:40</t>
  </si>
  <si>
    <t>24/08/2026 19:50:30</t>
  </si>
  <si>
    <t>6a8cbde6dbb1ce56e19d12c9</t>
  </si>
  <si>
    <t>24/08/2026 18:46:36</t>
  </si>
  <si>
    <t>24/08/2026 18:55:50</t>
  </si>
  <si>
    <t>6a8c8e69b400fbff8f019c91</t>
  </si>
  <si>
    <t>24/08/2026 11:04:24</t>
  </si>
  <si>
    <t>24/08/2026 15:33:13</t>
  </si>
  <si>
    <t>6a8c8d69a259c4c024357fcd</t>
  </si>
  <si>
    <t>24/08/2026 13:58:20</t>
  </si>
  <si>
    <t>24/08/2026 15:28:57</t>
  </si>
  <si>
    <t>6a8c8d69a259c4c024357fc7</t>
  </si>
  <si>
    <t>24/08/2026 10:59:27</t>
  </si>
  <si>
    <t>6a8c8d69a259c4c024357fc1</t>
  </si>
  <si>
    <t>24/08/2026 10:46:20</t>
  </si>
  <si>
    <t>6a8c8d69a259c4c024357fbb</t>
  </si>
  <si>
    <t>24/08/2026 10:40:51</t>
  </si>
  <si>
    <t>6a8c474b8e4d3d5ab4b6009a</t>
  </si>
  <si>
    <t>24/08/2026 10:09:23</t>
  </si>
  <si>
    <t>24/08/2026 10:29:47</t>
  </si>
  <si>
    <t>6a8c474b8e4d3d5ab4b60094</t>
  </si>
  <si>
    <t>24/08/2026 09:59:18</t>
  </si>
  <si>
    <t>6a8c474b8e4d3d5ab4b6008e</t>
  </si>
  <si>
    <t>24/08/2026 09:54:15</t>
  </si>
  <si>
    <t>6a8c474b8e4d3d5ab4b60088</t>
  </si>
  <si>
    <t>24/08/2026 08:22:05</t>
  </si>
  <si>
    <t>6a8e721cf2190f1532f48fee</t>
  </si>
  <si>
    <t>26/08/2026 00:41:59</t>
  </si>
  <si>
    <t>26/08/2026 01:57:00</t>
  </si>
  <si>
    <t>25/08/2026</t>
  </si>
  <si>
    <t>6a8e721cf2190f1532f48fe8</t>
  </si>
  <si>
    <t>25/08/2026 23:19:47</t>
  </si>
  <si>
    <t>6a8e721cf2190f1532f48fe2</t>
  </si>
  <si>
    <t>25/08/2026 23:16:10</t>
  </si>
  <si>
    <t>6a8e721cf2190f1532f48fdc</t>
  </si>
  <si>
    <t>25/08/2026 23:12:54</t>
  </si>
  <si>
    <t>6a8e721cf2190f1532f48fd6</t>
  </si>
  <si>
    <t>25/08/2026 23:05:55</t>
  </si>
  <si>
    <t>6a8e721cf2190f1532f48fd0</t>
  </si>
  <si>
    <t>25/08/2026 22:57:54</t>
  </si>
  <si>
    <t>6a8e721cf2190f1532f48fbc</t>
  </si>
  <si>
    <t>25/08/2026 18:59:04</t>
  </si>
  <si>
    <t>6a8e721cf2190f1532f48fb6</t>
  </si>
  <si>
    <t>25/08/2026 18:55:18</t>
  </si>
  <si>
    <t>6a8e721cf2190f1532f48fb0</t>
  </si>
  <si>
    <t>25/08/2026 18:49:54</t>
  </si>
  <si>
    <t>6a8e721cf2190f1532f48faa</t>
  </si>
  <si>
    <t>25/08/2026 18:47:52</t>
  </si>
  <si>
    <t>6a8e721cf2190f1532f48fa4</t>
  </si>
  <si>
    <t>25/08/2026 18:37:29</t>
  </si>
  <si>
    <t>6a8e721cf2190f1532f48f9e</t>
  </si>
  <si>
    <t>25/08/2026 17:42:55</t>
  </si>
  <si>
    <t>6a8e190c583c42f9e2c31df3</t>
  </si>
  <si>
    <t>25/08/2026 18:49:34</t>
  </si>
  <si>
    <t>25/08/2026 19:37:00</t>
  </si>
  <si>
    <t>6a8e0dedb029ff26c02ac1b9</t>
  </si>
  <si>
    <t>25/08/2026 18:45:39</t>
  </si>
  <si>
    <t>25/08/2026 18:49:33</t>
  </si>
  <si>
    <t>6a8e0cf9f2190f1532f4684f</t>
  </si>
  <si>
    <t>25/08/2026 18:36:58</t>
  </si>
  <si>
    <t>25/08/2026 18:45:29</t>
  </si>
  <si>
    <t>6a8df7d7f2190f1532f45a90</t>
  </si>
  <si>
    <t>25/08/2026 17:02:39</t>
  </si>
  <si>
    <t>25/08/2026 17:15:19</t>
  </si>
  <si>
    <t>6a8df4d8cdcbcdf91d987e09</t>
  </si>
  <si>
    <t>25/08/2026 16:39:58</t>
  </si>
  <si>
    <t>25/08/2026 17:02:32</t>
  </si>
  <si>
    <t>6a8def8baa916229fc2c721c</t>
  </si>
  <si>
    <t>25/08/2026 16:21:29</t>
  </si>
  <si>
    <t>25/08/2026 16:39:55</t>
  </si>
  <si>
    <t>6a8daa4934b3bc0cf1206e84</t>
  </si>
  <si>
    <t>25/08/2026 11:29:41</t>
  </si>
  <si>
    <t>25/08/2026 11:44:25</t>
  </si>
  <si>
    <t>6a8daa4934b3bc0cf1206e7e</t>
  </si>
  <si>
    <t>25/08/2026 11:24:40</t>
  </si>
  <si>
    <t>SOBREPESO EM GRAMAS</t>
  </si>
  <si>
    <t>6a8fc8d91fdad271d636529b</t>
  </si>
  <si>
    <t>27/08/2026 00:18:04</t>
  </si>
  <si>
    <t>27/08/2026 02:19:21</t>
  </si>
  <si>
    <t>26/08/2026</t>
  </si>
  <si>
    <t>6a8fc8d91fdad271d6365295</t>
  </si>
  <si>
    <t>27/08/2026 00:05:20</t>
  </si>
  <si>
    <t>27/08/2026</t>
  </si>
  <si>
    <t>6a8fc8d91fdad271d6365289</t>
  </si>
  <si>
    <t>26/08/2026 23:29:27</t>
  </si>
  <si>
    <t>6a8fc8d91fdad271d6365283</t>
  </si>
  <si>
    <t>26/08/2026 23:26:18</t>
  </si>
  <si>
    <t>6a8fc8d91fdad271d636527d</t>
  </si>
  <si>
    <t>26/08/2026 23:18:50</t>
  </si>
  <si>
    <t>6a8fc8d91fdad271d6365277</t>
  </si>
  <si>
    <t>26/08/2026 23:13:16</t>
  </si>
  <si>
    <t>6a8fc8d91fdad271d6365271</t>
  </si>
  <si>
    <t>26/08/2026 22:35:48</t>
  </si>
  <si>
    <t>6a8fc8d91fdad271d636525d</t>
  </si>
  <si>
    <t>26/08/2026 18:52:41</t>
  </si>
  <si>
    <t>6a8fc8d91fdad271d6365257</t>
  </si>
  <si>
    <t>26/08/2026 18:42:10</t>
  </si>
  <si>
    <t>6a8fc8d91fdad271d6365251</t>
  </si>
  <si>
    <t>26/08/2026 18:38:35</t>
  </si>
  <si>
    <t>6a8fc8d91fdad271d636524b</t>
  </si>
  <si>
    <t>26/08/2026 18:35:57</t>
  </si>
  <si>
    <t>6a8fc8d91fdad271d6365245</t>
  </si>
  <si>
    <t>26/08/2026 18:30:15</t>
  </si>
  <si>
    <t>6a8fc8d91fdad271d636523f</t>
  </si>
  <si>
    <t>26/08/2026 17:55:41</t>
  </si>
  <si>
    <t>6a8fc8d91fdad271d6365239</t>
  </si>
  <si>
    <t>26/08/2026 17:49:32</t>
  </si>
  <si>
    <t>6a8fc8d81fdad271d6365227</t>
  </si>
  <si>
    <t>26/08/2026 15:05:06</t>
  </si>
  <si>
    <t>27/08/2026 02:19:20</t>
  </si>
  <si>
    <t>6a8fc8d81fdad271d6365221</t>
  </si>
  <si>
    <t>26/08/2026 14:58:19</t>
  </si>
  <si>
    <t>6a8fc8d81fdad271d636521b</t>
  </si>
  <si>
    <t>26/08/2026 14:55:41</t>
  </si>
  <si>
    <t>6a8fc8d81fdad271d6365215</t>
  </si>
  <si>
    <t>26/08/2026 14:52:57</t>
  </si>
  <si>
    <t>6a8f8c391fdad271d6363c03</t>
  </si>
  <si>
    <t>26/08/2026 21:57:10</t>
  </si>
  <si>
    <t>26/08/2026 22:00:41</t>
  </si>
  <si>
    <t>6a8f65d164f0403e70fe2dc3</t>
  </si>
  <si>
    <t>26/08/2026 19:01:01</t>
  </si>
  <si>
    <t>26/08/2026 19:16:49</t>
  </si>
  <si>
    <t>6a8f620f746a74100a5304b5</t>
  </si>
  <si>
    <t>26/08/2026 18:45:47</t>
  </si>
  <si>
    <t>26/08/2026 19:00:47</t>
  </si>
  <si>
    <t>6a8f5501cdcbcdf91d9bed95</t>
  </si>
  <si>
    <t>26/08/2026 17:53:14</t>
  </si>
  <si>
    <t>26/08/2026 18:05:05</t>
  </si>
  <si>
    <t>6a9116dff2190f1532fa9924</t>
  </si>
  <si>
    <t>28/08/2026 01:28:54</t>
  </si>
  <si>
    <t>28/08/2026 02:04:31</t>
  </si>
  <si>
    <t>6a9116def2190f1532fa9918</t>
  </si>
  <si>
    <t>27/08/2026 23:36:57</t>
  </si>
  <si>
    <t>28/08/2026 02:04:30</t>
  </si>
  <si>
    <t>6a9116def2190f1532fa9912</t>
  </si>
  <si>
    <t>27/08/2026 23:33:45</t>
  </si>
  <si>
    <t>6a9116def2190f1532fa990c</t>
  </si>
  <si>
    <t>27/08/2026 23:04:48</t>
  </si>
  <si>
    <t>6a9116def2190f1532fa9906</t>
  </si>
  <si>
    <t>27/08/2026 22:57:49</t>
  </si>
  <si>
    <t>6a9116def2190f1532fa98fe</t>
  </si>
  <si>
    <t>27/08/2026 22:32:04</t>
  </si>
  <si>
    <t>6a9116def2190f1532fa98ec</t>
  </si>
  <si>
    <t>27/08/2026 18:39:36</t>
  </si>
  <si>
    <t>6a9116def2190f1532fa98e6</t>
  </si>
  <si>
    <t>27/08/2026 18:27:28</t>
  </si>
  <si>
    <t>6a9116def2190f1532fa98e0</t>
  </si>
  <si>
    <t>27/08/2026 18:04:28</t>
  </si>
  <si>
    <t>6a9116def2190f1532fa98da</t>
  </si>
  <si>
    <t>27/08/2026 18:00:09</t>
  </si>
  <si>
    <t>6a9116ddf2190f1532fa98d4</t>
  </si>
  <si>
    <t>27/08/2026 17:54:33</t>
  </si>
  <si>
    <t>28/08/2026 02:04:29</t>
  </si>
  <si>
    <t>6a9116ddf2190f1532fa98ce</t>
  </si>
  <si>
    <t>27/08/2026 17:52:11</t>
  </si>
  <si>
    <t>6a9116ddf2190f1532fa98c8</t>
  </si>
  <si>
    <t>27/08/2026 17:44:50</t>
  </si>
  <si>
    <t>6a91031b821e173bb2937921</t>
  </si>
  <si>
    <t>28/08/2026 00:30:59</t>
  </si>
  <si>
    <t>28/08/2026 00:40:11</t>
  </si>
  <si>
    <t>28/08/2026</t>
  </si>
  <si>
    <t>6a90edd99901020d0bb093e3</t>
  </si>
  <si>
    <t>27/08/2026 23:00:20</t>
  </si>
  <si>
    <t>27/08/2026 23:09:29</t>
  </si>
  <si>
    <t>6a90edd99901020d0bb093dd</t>
  </si>
  <si>
    <t>27/08/2026 22:57:47</t>
  </si>
  <si>
    <t>6a90edd99901020d0bb093d7</t>
  </si>
  <si>
    <t>27/08/2026 22:52:50</t>
  </si>
  <si>
    <t>6a90edd99901020d0bb093d1</t>
  </si>
  <si>
    <t>27/08/2026 22:45:35</t>
  </si>
  <si>
    <t>6a90edd99901020d0bb093cb</t>
  </si>
  <si>
    <t>27/08/2026 22:43:08</t>
  </si>
  <si>
    <t>6a90edd99901020d0bb093c5</t>
  </si>
  <si>
    <t>27/08/2026 22:39:13</t>
  </si>
  <si>
    <t>6a90edd99901020d0bb093bf</t>
  </si>
  <si>
    <t>27/08/2026 22:27:06</t>
  </si>
  <si>
    <t>6a90baf0f2190f1532fa78c6</t>
  </si>
  <si>
    <t>27/08/2026 19:06:56</t>
  </si>
  <si>
    <t>27/08/2026 19:32:16</t>
  </si>
  <si>
    <t>6a90b262913240bc54713018</t>
  </si>
  <si>
    <t>27/08/2026 18:47:17</t>
  </si>
  <si>
    <t>27/08/2026 18:55:46</t>
  </si>
  <si>
    <t>6a90b000821e173bb29352bd</t>
  </si>
  <si>
    <t>27/08/2026 18:40:24</t>
  </si>
  <si>
    <t>27/08/2026 18:45:36</t>
  </si>
  <si>
    <t>6a90a129de22f29e5a8148f6</t>
  </si>
  <si>
    <t>27/08/2026 16:51:26</t>
  </si>
  <si>
    <t>27/08/2026 17:42:17</t>
  </si>
  <si>
    <t>6a90943054bdb8cac5737e65</t>
  </si>
  <si>
    <t>27/08/2026 16:43:54</t>
  </si>
  <si>
    <t>27/08/2026 16:46:56</t>
  </si>
  <si>
    <t>6a906ed9913240bc547057c0</t>
  </si>
  <si>
    <t>27/08/2026 14:02:00</t>
  </si>
  <si>
    <t>27/08/2026 14:07:37</t>
  </si>
  <si>
    <t>6a906a41ff3419aa350ec6ed</t>
  </si>
  <si>
    <t>27/08/2026 13:42:22</t>
  </si>
  <si>
    <t>27/08/2026 13:48:01</t>
  </si>
  <si>
    <t>6a906a40ff3419aa350ec6e7</t>
  </si>
  <si>
    <t>27/08/2026 13:39:01</t>
  </si>
  <si>
    <t>27/08/2026 13:48:00</t>
  </si>
  <si>
    <t>6a9067956bff535e7da7a160</t>
  </si>
  <si>
    <t>27/08/2026 13:27:15</t>
  </si>
  <si>
    <t>27/08/2026 13:36:37</t>
  </si>
  <si>
    <t>6a9066be54bdb8cac572b131</t>
  </si>
  <si>
    <t>27/08/2026 13:21:17</t>
  </si>
  <si>
    <t>27/08/2026 13:33:02</t>
  </si>
  <si>
    <t>6a904801de22f29e5a7ffb7a</t>
  </si>
  <si>
    <t>27/08/2026 09:48:54</t>
  </si>
  <si>
    <t>27/08/2026 11:21:53</t>
  </si>
  <si>
    <t>6a9260ee9901020d0bb2cb7f</t>
  </si>
  <si>
    <t>28/08/2026 22:52:44</t>
  </si>
  <si>
    <t>29/08/2026 01:32:46</t>
  </si>
  <si>
    <t>6a9260ee9901020d0bb2cb79</t>
  </si>
  <si>
    <t>28/08/2026 22:43:15</t>
  </si>
  <si>
    <t>6a9260ee9901020d0bb2cb73</t>
  </si>
  <si>
    <t>28/08/2026 22:40:04</t>
  </si>
  <si>
    <t>6a9260ee9901020d0bb2cb6d</t>
  </si>
  <si>
    <t>28/08/2026 22:33:10</t>
  </si>
  <si>
    <t>6a9260ee9901020d0bb2cb67</t>
  </si>
  <si>
    <t>28/08/2026 22:29:19</t>
  </si>
  <si>
    <t>6a9260ee9901020d0bb2cb5b</t>
  </si>
  <si>
    <t>28/08/2026 20:25:55</t>
  </si>
  <si>
    <t>6a9260ee9901020d0bb2cb55</t>
  </si>
  <si>
    <t>28/08/2026 18:13:33</t>
  </si>
  <si>
    <t>6a9260ee9901020d0bb2cb4f</t>
  </si>
  <si>
    <t>28/08/2026 18:09:21</t>
  </si>
  <si>
    <t>6a9260ee9901020d0bb2cb47</t>
  </si>
  <si>
    <t>28/08/2026 18:04:47</t>
  </si>
  <si>
    <t>6a9260ee9901020d0bb2cb41</t>
  </si>
  <si>
    <t>28/08/2026 17:59:37</t>
  </si>
  <si>
    <t>6a9260ee9901020d0bb2cb3b</t>
  </si>
  <si>
    <t>28/08/2026 17:56:24</t>
  </si>
  <si>
    <t>6a9260ee9901020d0bb2cb35</t>
  </si>
  <si>
    <t>28/08/2026 17:50:40</t>
  </si>
  <si>
    <t>6a9260ee9901020d0bb2cb2f</t>
  </si>
  <si>
    <t>28/08/2026 17:45:22</t>
  </si>
  <si>
    <t>6a923f3154bdb8cac5751e08</t>
  </si>
  <si>
    <t>28/08/2026 23:05:46</t>
  </si>
  <si>
    <t>28/08/2026 23:08:49</t>
  </si>
  <si>
    <t>6a923d87f32c242bff7b3af1</t>
  </si>
  <si>
    <t>28/08/2026 22:58:51</t>
  </si>
  <si>
    <t>28/08/2026 23:01:43</t>
  </si>
  <si>
    <t>6a923d87f32c242bff7b3aeb</t>
  </si>
  <si>
    <t>28/08/2026 22:56:22</t>
  </si>
  <si>
    <t>6a9238f2bc1d2960e6699eaf</t>
  </si>
  <si>
    <t>28/08/2026 21:37:20</t>
  </si>
  <si>
    <t>28/08/2026 22:42:10</t>
  </si>
  <si>
    <t>6a922b7cadf54cf173829b07</t>
  </si>
  <si>
    <t>28/08/2026 21:24:18</t>
  </si>
  <si>
    <t>28/08/2026 21:44:44</t>
  </si>
  <si>
    <t>6a922b7cadf54cf173829b01</t>
  </si>
  <si>
    <t>28/08/2026 20:54:29</t>
  </si>
  <si>
    <t>6a9220c8746a74100a585a5e</t>
  </si>
  <si>
    <t>28/08/2026 20:50:25</t>
  </si>
  <si>
    <t>28/08/2026 20:59:04</t>
  </si>
  <si>
    <t>6a9220c8746a74100a585a56</t>
  </si>
  <si>
    <t>28/08/2026 20:47:12</t>
  </si>
  <si>
    <t>6a9220c8746a74100a585a50</t>
  </si>
  <si>
    <t>28/08/2026 20:43:45</t>
  </si>
  <si>
    <t>6a9220c8746a74100a585a4a</t>
  </si>
  <si>
    <t>28/08/2026 20:35:06</t>
  </si>
  <si>
    <t>6a91fafcf2190f1532fc46d3</t>
  </si>
  <si>
    <t>28/08/2026 17:39:34</t>
  </si>
  <si>
    <t>28/08/2026 18:17:48</t>
  </si>
  <si>
    <t>6a91fae254bdb8cac574f782</t>
  </si>
  <si>
    <t>28/08/2026 18:08:50</t>
  </si>
  <si>
    <t>28/08/2026 18:17:22</t>
  </si>
  <si>
    <t>6a91fae254bdb8cac574f77c</t>
  </si>
  <si>
    <t>28/08/2026 17:59:53</t>
  </si>
  <si>
    <t>6a91fae254bdb8cac574f776</t>
  </si>
  <si>
    <t>28/08/2026 17:55:42</t>
  </si>
  <si>
    <t>6a91fae254bdb8cac574f770</t>
  </si>
  <si>
    <t>28/08/2026 17:50:36</t>
  </si>
  <si>
    <t>6a91fae254bdb8cac574f76a</t>
  </si>
  <si>
    <t>28/08/2026 17:47:06</t>
  </si>
  <si>
    <t>6a91fae254bdb8cac574f764</t>
  </si>
  <si>
    <t>28/08/2026 17:43:36</t>
  </si>
  <si>
    <t>6a91fae254bdb8cac574f75e</t>
  </si>
  <si>
    <t>28/08/2026 17:09:54</t>
  </si>
  <si>
    <t>6a91fae254bdb8cac574f758</t>
  </si>
  <si>
    <t>28/08/2026 16:31:18</t>
  </si>
  <si>
    <t>6a96d8788a2cf415c7d9f3b2</t>
  </si>
  <si>
    <t>01/09/2026 10:42:49</t>
  </si>
  <si>
    <t>01/09/2026 10:51:52</t>
  </si>
  <si>
    <t>01/09/2026</t>
  </si>
  <si>
    <t>6a96d8788a2cf415c7d9f3aa</t>
  </si>
  <si>
    <t>01/09/2026 10:40:23</t>
  </si>
  <si>
    <t>6a96d8788a2cf415c7d9f3a4</t>
  </si>
  <si>
    <t>01/09/2026 10:36:54</t>
  </si>
  <si>
    <t>6a96d8788a2cf415c7d9f39e</t>
  </si>
  <si>
    <t>01/09/2026 10:30:17</t>
  </si>
  <si>
    <t>6a96d34043066e508048ca20</t>
  </si>
  <si>
    <t>01/09/2026 10:24:16</t>
  </si>
  <si>
    <t>01/09/2026 10:29:36</t>
  </si>
  <si>
    <t>6a96592d8a2cf415c7d91786</t>
  </si>
  <si>
    <t>31/08/2026 23:34:20</t>
  </si>
  <si>
    <t>01/09/2026 01:48:45</t>
  </si>
  <si>
    <t>31/08/2026</t>
  </si>
  <si>
    <t>6a96592d8a2cf415c7d9177e</t>
  </si>
  <si>
    <t>31/08/2026 23:28:34</t>
  </si>
  <si>
    <t>6a96592d8a2cf415c7d91778</t>
  </si>
  <si>
    <t>31/08/2026 23:20:48</t>
  </si>
  <si>
    <t>6a96592d8a2cf415c7d91772</t>
  </si>
  <si>
    <t>31/08/2026 23:16:15</t>
  </si>
  <si>
    <t>6a96592d8a2cf415c7d9176c</t>
  </si>
  <si>
    <t>31/08/2026 22:59:48</t>
  </si>
  <si>
    <t>6a96592d8a2cf415c7d91766</t>
  </si>
  <si>
    <t>31/08/2026 22:30:02</t>
  </si>
  <si>
    <t>6a96592c8a2cf415c7d91754</t>
  </si>
  <si>
    <t>31/08/2026 18:48:35</t>
  </si>
  <si>
    <t>01/09/2026 01:48:44</t>
  </si>
  <si>
    <t>6a96592c8a2cf415c7d9174e</t>
  </si>
  <si>
    <t>31/08/2026 18:45:36</t>
  </si>
  <si>
    <t>6a96592c8a2cf415c7d91748</t>
  </si>
  <si>
    <t>31/08/2026 18:43:53</t>
  </si>
  <si>
    <t>6a96592c8a2cf415c7d91742</t>
  </si>
  <si>
    <t>31/08/2026 18:40:14</t>
  </si>
  <si>
    <t>6a96592c8a2cf415c7d9173c</t>
  </si>
  <si>
    <t>31/08/2026 18:33:16</t>
  </si>
  <si>
    <t>6a96592c8a2cf415c7d91736</t>
  </si>
  <si>
    <t>31/08/2026 17:50:12</t>
  </si>
  <si>
    <t>6a96592c8a2cf415c7d91730</t>
  </si>
  <si>
    <t>31/08/2026 17:45:34</t>
  </si>
  <si>
    <t>6a96592c8a2cf415c7d9172a</t>
  </si>
  <si>
    <t>31/08/2026 17:34:23</t>
  </si>
  <si>
    <t>6a963c1272d6d33ccf1e02ce</t>
  </si>
  <si>
    <t>31/08/2026 23:37:02</t>
  </si>
  <si>
    <t>31/08/2026 23:44:34</t>
  </si>
  <si>
    <t>6a962001ddee78aa07e635e1</t>
  </si>
  <si>
    <t>31/08/2026 21:38:21</t>
  </si>
  <si>
    <t>31/08/2026 21:44:49</t>
  </si>
  <si>
    <t>6a962001ddee78aa07e635db</t>
  </si>
  <si>
    <t>31/08/2026 21:35:56</t>
  </si>
  <si>
    <t>6a962001ddee78aa07e635d5</t>
  </si>
  <si>
    <t>31/08/2026 17:57:15</t>
  </si>
  <si>
    <t>6a95f4f6b367d8283d32bd3c</t>
  </si>
  <si>
    <t>31/08/2026 18:13:06</t>
  </si>
  <si>
    <t>31/08/2026 18:41:10</t>
  </si>
  <si>
    <t>6a95f4f6b367d8283d32bd36</t>
  </si>
  <si>
    <t>31/08/2026 18:10:11</t>
  </si>
  <si>
    <t>6a95f4d472d6d33ccf1de39f</t>
  </si>
  <si>
    <t>31/08/2026 18:29:05</t>
  </si>
  <si>
    <t>31/08/2026 18:40:36</t>
  </si>
  <si>
    <t>6a95ea66e795a658e64c992b</t>
  </si>
  <si>
    <t>31/08/2026 17:46:59</t>
  </si>
  <si>
    <t>31/08/2026 17:56:06</t>
  </si>
  <si>
    <t>6a95ea66e795a658e64c9925</t>
  </si>
  <si>
    <t>31/08/2026 17:44:04</t>
  </si>
  <si>
    <t>6a95ea66e795a658e64c991f</t>
  </si>
  <si>
    <t>31/08/2026 17:40:12</t>
  </si>
  <si>
    <t>6a95e6956468201ba97257c4</t>
  </si>
  <si>
    <t>31/08/2026 17:34:21</t>
  </si>
  <si>
    <t>31/08/2026 17:39:49</t>
  </si>
  <si>
    <t>6a95e6956468201ba97257be</t>
  </si>
  <si>
    <t>31/08/2026 17:31:54</t>
  </si>
  <si>
    <t>6a95e6956468201ba97257b8</t>
  </si>
  <si>
    <t>31/08/2026 17:27:56</t>
  </si>
  <si>
    <t>6a95e3bc6468201ba9725599</t>
  </si>
  <si>
    <t>31/08/2026 17:18:38</t>
  </si>
  <si>
    <t>31/08/2026 17:27:40</t>
  </si>
  <si>
    <t>6a95e3bc6468201ba9725593</t>
  </si>
  <si>
    <t>31/08/2026 17:08:48</t>
  </si>
  <si>
    <t>6a95e3bc6468201ba972558d</t>
  </si>
  <si>
    <t>31/08/2026 16:49:54</t>
  </si>
  <si>
    <t>6a95da56ddee78aa07e5f429</t>
  </si>
  <si>
    <t>31/08/2026 16:41:04</t>
  </si>
  <si>
    <t>31/08/2026 16:47:34</t>
  </si>
  <si>
    <t>6a95da56ddee78aa07e5f423</t>
  </si>
  <si>
    <t>31/08/2026 16:36:13</t>
  </si>
  <si>
    <t>6a95da56ddee78aa07e5f41d</t>
  </si>
  <si>
    <t>31/08/2026 16:33:40</t>
  </si>
  <si>
    <t>6a95da56ddee78aa07e5f417</t>
  </si>
  <si>
    <t>28/08/2026 23:15:43</t>
  </si>
  <si>
    <t>6a95da56ddee78aa07e5f40f</t>
  </si>
  <si>
    <t>28/08/2026 23:11:40</t>
  </si>
  <si>
    <t>6a95c85018e7857fd2a40641</t>
  </si>
  <si>
    <t>31/08/2026 15:22:14</t>
  </si>
  <si>
    <t>31/08/2026 15:30:40</t>
  </si>
  <si>
    <t>6a95c85018e7857fd2a4063b</t>
  </si>
  <si>
    <t>31/08/2026 15:11:38</t>
  </si>
  <si>
    <t>6a95c85018e7857fd2a40635</t>
  </si>
  <si>
    <t>31/08/2026 15:08:16</t>
  </si>
  <si>
    <t>6a95c85018e7857fd2a4062f</t>
  </si>
  <si>
    <t>31/08/2026 15:01:17</t>
  </si>
  <si>
    <t>6a95c85018e7857fd2a40629</t>
  </si>
  <si>
    <t>31/08/2026 14:51:29</t>
  </si>
  <si>
    <t>6a95c85018e7857fd2a40623</t>
  </si>
  <si>
    <t>31/08/2026 14:43:57</t>
  </si>
  <si>
    <t>6a97b15943066e508049f7b8</t>
  </si>
  <si>
    <t>01/09/2026 23:54:59</t>
  </si>
  <si>
    <t>02/09/2026 02:17:13</t>
  </si>
  <si>
    <t>6a97b15943066e508049f7b2</t>
  </si>
  <si>
    <t>01/09/2026 23:23:15</t>
  </si>
  <si>
    <t>6a97b15943066e508049f7ac</t>
  </si>
  <si>
    <t>01/09/2026 22:54:05</t>
  </si>
  <si>
    <t>6a97b15943066e508049f7a6</t>
  </si>
  <si>
    <t>01/09/2026 22:51:28</t>
  </si>
  <si>
    <t>6a97b15943066e508049f7a0</t>
  </si>
  <si>
    <t>01/09/2026 22:46:28</t>
  </si>
  <si>
    <t>6a97b15943066e508049f798</t>
  </si>
  <si>
    <t>01/09/2026 22:44:28</t>
  </si>
  <si>
    <t>6a97b15843066e508049f792</t>
  </si>
  <si>
    <t>01/09/2026 22:41:48</t>
  </si>
  <si>
    <t>02/09/2026 02:17:12</t>
  </si>
  <si>
    <t>6a97b15843066e508049f78c</t>
  </si>
  <si>
    <t>01/09/2026 22:29:58</t>
  </si>
  <si>
    <t>6a97b15843066e508049f77a</t>
  </si>
  <si>
    <t>01/09/2026 18:45:36</t>
  </si>
  <si>
    <t>6a97b15843066e508049f774</t>
  </si>
  <si>
    <t>01/09/2026 18:41:28</t>
  </si>
  <si>
    <t>6a97b15843066e508049f768</t>
  </si>
  <si>
    <t>01/09/2026 17:30:15</t>
  </si>
  <si>
    <t>6a97b15843066e508049f762</t>
  </si>
  <si>
    <t>01/09/2026 17:26:12</t>
  </si>
  <si>
    <t>6a97851dc889eef89897b827</t>
  </si>
  <si>
    <t>01/09/2026 22:51:57</t>
  </si>
  <si>
    <t>01/09/2026 23:08:29</t>
  </si>
  <si>
    <t>6a97851dc889eef89897b821</t>
  </si>
  <si>
    <t>01/09/2026 22:46:20</t>
  </si>
  <si>
    <t>6a97851dc889eef89897b81b</t>
  </si>
  <si>
    <t>01/09/2026 22:39:56</t>
  </si>
  <si>
    <t>6a977d9b72d6d33ccf1fdecb</t>
  </si>
  <si>
    <t>01/09/2026 22:02:03</t>
  </si>
  <si>
    <t>01/09/2026 22:36:27</t>
  </si>
  <si>
    <t>6a977d9a72d6d33ccf1fdec5</t>
  </si>
  <si>
    <t>01/09/2026 22:00:08</t>
  </si>
  <si>
    <t>01/09/2026 22:36:26</t>
  </si>
  <si>
    <t>6a977d9a72d6d33ccf1fdebf</t>
  </si>
  <si>
    <t>01/09/2026 21:57:02</t>
  </si>
  <si>
    <t>6a977d9a72d6d33ccf1fdeb9</t>
  </si>
  <si>
    <t>01/09/2026 21:54:13</t>
  </si>
  <si>
    <t>6a9753cf6468201ba9746ade</t>
  </si>
  <si>
    <t>01/09/2026 19:24:17</t>
  </si>
  <si>
    <t>01/09/2026 19:38:07</t>
  </si>
  <si>
    <t>6a9753cf6468201ba9746ad8</t>
  </si>
  <si>
    <t>01/09/2026 19:12:59</t>
  </si>
  <si>
    <t>6a9753cf6468201ba9746ad2</t>
  </si>
  <si>
    <t>01/09/2026 19:09:41</t>
  </si>
  <si>
    <t>6a9753ce6468201ba9746acc</t>
  </si>
  <si>
    <t>01/09/2026 19:02:19</t>
  </si>
  <si>
    <t>01/09/2026 19:38:06</t>
  </si>
  <si>
    <t>6a9753ce6468201ba9746ac6</t>
  </si>
  <si>
    <t>01/09/2026 18:57:38</t>
  </si>
  <si>
    <t>6a9753ce6468201ba9746ac0</t>
  </si>
  <si>
    <t>01/09/2026 18:50:27</t>
  </si>
  <si>
    <t>6a9753ce6468201ba9746aba</t>
  </si>
  <si>
    <t>01/09/2026 18:47:58</t>
  </si>
  <si>
    <t>6a9753ce6468201ba9746ab4</t>
  </si>
  <si>
    <t>01/09/2026 18:45:51</t>
  </si>
  <si>
    <t>6a9753ce6468201ba9746aae</t>
  </si>
  <si>
    <t>01/09/2026 18:43:26</t>
  </si>
  <si>
    <t>6a99a8ab8a2cf415c7e4f6e1</t>
  </si>
  <si>
    <t>03/09/2026 14:00:46</t>
  </si>
  <si>
    <t>03/09/2026 14:04:43</t>
  </si>
  <si>
    <t>03/09/2026</t>
  </si>
  <si>
    <t>6a99a6fe975a2c850b97e36a</t>
  </si>
  <si>
    <t>03/09/2026 13:53:23</t>
  </si>
  <si>
    <t>03/09/2026 13:57:34</t>
  </si>
  <si>
    <t>6a99a562a4ee21b059f8f4b0</t>
  </si>
  <si>
    <t>03/09/2026 13:46:19</t>
  </si>
  <si>
    <t>03/09/2026 13:50:42</t>
  </si>
  <si>
    <t>6a99a562a4ee21b059f8f4aa</t>
  </si>
  <si>
    <t>03/09/2026 13:35:56</t>
  </si>
  <si>
    <t>6a99a562a4ee21b059f8f4a4</t>
  </si>
  <si>
    <t>03/09/2026 13:30:31</t>
  </si>
  <si>
    <t>6a99a45df2fc3909d3993d87</t>
  </si>
  <si>
    <t>03/09/2026 13:43:17</t>
  </si>
  <si>
    <t>03/09/2026 13:46:21</t>
  </si>
  <si>
    <t>6a9970c918e7857fd2ae0336</t>
  </si>
  <si>
    <t>03/09/2026 09:54:28</t>
  </si>
  <si>
    <t>03/09/2026 10:06:17</t>
  </si>
  <si>
    <t>6a9970c918e7857fd2ae0330</t>
  </si>
  <si>
    <t>03/09/2026 09:47:30</t>
  </si>
  <si>
    <t>6a9901b732b3ac5a4238a8fc</t>
  </si>
  <si>
    <t>02/09/2026 23:21:49</t>
  </si>
  <si>
    <t>03/09/2026 02:12:23</t>
  </si>
  <si>
    <t>02/09/2026</t>
  </si>
  <si>
    <t>6a9901b732b3ac5a4238a8f6</t>
  </si>
  <si>
    <t>02/09/2026 23:17:13</t>
  </si>
  <si>
    <t>6a9901b732b3ac5a4238a8f0</t>
  </si>
  <si>
    <t>02/09/2026 18:06:44</t>
  </si>
  <si>
    <t>6a9901b732b3ac5a4238a8ea</t>
  </si>
  <si>
    <t>02/09/2026 17:59:19</t>
  </si>
  <si>
    <t>6a9901b732b3ac5a4238a8e4</t>
  </si>
  <si>
    <t>02/09/2026 17:47:40</t>
  </si>
  <si>
    <t>6a9901b732b3ac5a4238a8de</t>
  </si>
  <si>
    <t>02/09/2026 17:40:42</t>
  </si>
  <si>
    <t>6a9901b732b3ac5a4238a8d8</t>
  </si>
  <si>
    <t>02/09/2026 17:27:38</t>
  </si>
  <si>
    <t>6a98df3ea4ee21b059f520d8</t>
  </si>
  <si>
    <t>02/09/2026 23:33:07</t>
  </si>
  <si>
    <t>02/09/2026 23:45:18</t>
  </si>
  <si>
    <t>6a98df3ea4ee21b059f520d2</t>
  </si>
  <si>
    <t>02/09/2026 23:29:55</t>
  </si>
  <si>
    <t>6a98df3ea4ee21b059f520cc</t>
  </si>
  <si>
    <t>02/09/2026 23:27:37</t>
  </si>
  <si>
    <t>6a98da310086f5dfe4a1bcd7</t>
  </si>
  <si>
    <t>02/09/2026 21:13:43</t>
  </si>
  <si>
    <t>02/09/2026 23:23:45</t>
  </si>
  <si>
    <t>6a98da310086f5dfe4a1bccf</t>
  </si>
  <si>
    <t>02/09/2026 21:10:26</t>
  </si>
  <si>
    <t>6a98da26b367d8283d377989</t>
  </si>
  <si>
    <t>02/09/2026 23:15:11</t>
  </si>
  <si>
    <t>02/09/2026 23:23:34</t>
  </si>
  <si>
    <t>6a98da26b367d8283d377983</t>
  </si>
  <si>
    <t>02/09/2026 23:09:00</t>
  </si>
  <si>
    <t>6a98da26b367d8283d37797d</t>
  </si>
  <si>
    <t>02/09/2026 23:06:47</t>
  </si>
  <si>
    <t>6a98da26b367d8283d377977</t>
  </si>
  <si>
    <t>02/09/2026 23:04:26</t>
  </si>
  <si>
    <t>6a98da26b367d8283d377971</t>
  </si>
  <si>
    <t>02/09/2026 21:19:25</t>
  </si>
  <si>
    <t>6a98ba110086f5dfe4a1b098</t>
  </si>
  <si>
    <t>02/09/2026 21:02:30</t>
  </si>
  <si>
    <t>02/09/2026 21:06:41</t>
  </si>
  <si>
    <t>6a98ba110086f5dfe4a1b092</t>
  </si>
  <si>
    <t>02/09/2026 20:59:29</t>
  </si>
  <si>
    <t>6a98b81ad8b1ab0096e8e1d3</t>
  </si>
  <si>
    <t>02/09/2026 20:51:21</t>
  </si>
  <si>
    <t>02/09/2026 20:58:18</t>
  </si>
  <si>
    <t>6a98b81ad8b1ab0096e8e1cd</t>
  </si>
  <si>
    <t>02/09/2026 20:47:27</t>
  </si>
  <si>
    <t>6a98b81ad8b1ab0096e8e1c5</t>
  </si>
  <si>
    <t>02/09/2026 20:42:02</t>
  </si>
  <si>
    <t>6a98b81ad8b1ab0096e8e1bf</t>
  </si>
  <si>
    <t>02/09/2026 20:16:45</t>
  </si>
  <si>
    <t>6a989279f91ba0d160c0dab8</t>
  </si>
  <si>
    <t>02/09/2026 18:17:45</t>
  </si>
  <si>
    <t>6a988c5c18e7857fd2a88068</t>
  </si>
  <si>
    <t>02/09/2026 17:46:24</t>
  </si>
  <si>
    <t>02/09/2026 17:51:40</t>
  </si>
  <si>
    <t>6a98889be67cbea4cd79fdf0</t>
  </si>
  <si>
    <t>02/09/2026 17:31:04</t>
  </si>
  <si>
    <t>02/09/2026 17:35:39</t>
  </si>
  <si>
    <t>6a98889be67cbea4cd79fdea</t>
  </si>
  <si>
    <t>01/09/2026 15:02:25</t>
  </si>
  <si>
    <t>6a98888e0086f5dfe4a16851</t>
  </si>
  <si>
    <t>01/09/2026 14:43:14</t>
  </si>
  <si>
    <t>02/09/2026 17:35:26</t>
  </si>
  <si>
    <t>6a98888e0086f5dfe4a1684b</t>
  </si>
  <si>
    <t>01/09/2026 14:34:54</t>
  </si>
  <si>
    <t>6a98888e0086f5dfe4a16845</t>
  </si>
  <si>
    <t>01/09/2026 14:29:58</t>
  </si>
  <si>
    <t>6a9887b50086f5dfe4a167a6</t>
  </si>
  <si>
    <t>02/09/2026 17:25:35</t>
  </si>
  <si>
    <t>02/09/2026 17:31:49</t>
  </si>
  <si>
    <t>6a9887b50086f5dfe4a167a0</t>
  </si>
  <si>
    <t>02/09/2026 17:23:08</t>
  </si>
  <si>
    <t>6a9887b50086f5dfe4a1679a</t>
  </si>
  <si>
    <t>02/09/2026 17:19:48</t>
  </si>
  <si>
    <t>6a9887b50086f5dfe4a16794</t>
  </si>
  <si>
    <t>02/09/2026 17:09:06</t>
  </si>
  <si>
    <t>6a9887b50086f5dfe4a1678e</t>
  </si>
  <si>
    <t>02/09/2026 17:03:20</t>
  </si>
  <si>
    <t>6a9880b0d8b1ab0096e8b4d7</t>
  </si>
  <si>
    <t>02/09/2026 16:53:31</t>
  </si>
  <si>
    <t>02/09/2026 17:01:52</t>
  </si>
  <si>
    <t>6a9880b0d8b1ab0096e8b4d1</t>
  </si>
  <si>
    <t>02/09/2026 16:51:13</t>
  </si>
  <si>
    <t>6a9880b0d8b1ab0096e8b4cb</t>
  </si>
  <si>
    <t>02/09/2026 16:47:40</t>
  </si>
  <si>
    <t>6a9880b0d8b1ab0096e8b4c5</t>
  </si>
  <si>
    <t>02/09/2026 16:45:14</t>
  </si>
  <si>
    <t>6a9880b0d8b1ab0096e8b4bf</t>
  </si>
  <si>
    <t>02/09/2026 16:39:00</t>
  </si>
  <si>
    <t>6a9853526468201ba9752f5a</t>
  </si>
  <si>
    <t>02/09/2026 13:35:25</t>
  </si>
  <si>
    <t>02/09/2026 13:48:18</t>
  </si>
  <si>
    <t>6a9853526468201ba9752f54</t>
  </si>
  <si>
    <t>02/09/2026 13:24:22</t>
  </si>
  <si>
    <t>6a9853526468201ba9752f4e</t>
  </si>
  <si>
    <t>02/09/2026 13:18:44</t>
  </si>
  <si>
    <t>6a9a500172d6d33ccf260cc8</t>
  </si>
  <si>
    <t>03/09/2026 23:29:16</t>
  </si>
  <si>
    <t>04/09/2026 01:58:41</t>
  </si>
  <si>
    <t>6a9a500172d6d33ccf260cc0</t>
  </si>
  <si>
    <t>03/09/2026 23:23:57</t>
  </si>
  <si>
    <t>6a9a500172d6d33ccf260cba</t>
  </si>
  <si>
    <t>03/09/2026 23:08:01</t>
  </si>
  <si>
    <t>6a9a500172d6d33ccf260cb4</t>
  </si>
  <si>
    <t>03/09/2026 22:40:41</t>
  </si>
  <si>
    <t>6a9a500172d6d33ccf260cae</t>
  </si>
  <si>
    <t>03/09/2026 22:21:05</t>
  </si>
  <si>
    <t>6a9a500172d6d33ccf260ca8</t>
  </si>
  <si>
    <t>03/09/2026 22:17:23</t>
  </si>
  <si>
    <t>6a9a500172d6d33ccf260c96</t>
  </si>
  <si>
    <t>03/09/2026 18:44:05</t>
  </si>
  <si>
    <t>6a9a500172d6d33ccf260c90</t>
  </si>
  <si>
    <t>03/09/2026 18:40:33</t>
  </si>
  <si>
    <t>6a9a500172d6d33ccf260c8a</t>
  </si>
  <si>
    <t>03/09/2026 18:28:47</t>
  </si>
  <si>
    <t>6a9a500172d6d33ccf260c84</t>
  </si>
  <si>
    <t>03/09/2026 18:23:47</t>
  </si>
  <si>
    <t>6a9a500072d6d33ccf260c7e</t>
  </si>
  <si>
    <t>03/09/2026 18:20:03</t>
  </si>
  <si>
    <t>04/09/2026 01:58:40</t>
  </si>
  <si>
    <t>6a9a500072d6d33ccf260c78</t>
  </si>
  <si>
    <t>03/09/2026 18:15:23</t>
  </si>
  <si>
    <t>6a9a500072d6d33ccf260c72</t>
  </si>
  <si>
    <t>03/09/2026 18:10:41</t>
  </si>
  <si>
    <t>6a9a500072d6d33ccf260c6c</t>
  </si>
  <si>
    <t>03/09/2026 18:08:40</t>
  </si>
  <si>
    <t>6a9a500072d6d33ccf260c66</t>
  </si>
  <si>
    <t>03/09/2026 18:06:13</t>
  </si>
  <si>
    <t>6a9a500072d6d33ccf260c60</t>
  </si>
  <si>
    <t>03/09/2026 17:38:48</t>
  </si>
  <si>
    <t>6a9a500072d6d33ccf260c5a</t>
  </si>
  <si>
    <t>03/09/2026 17:36:16</t>
  </si>
  <si>
    <t>6a9a1a2e32b3ac5a423f2426</t>
  </si>
  <si>
    <t>03/09/2026 22:05:45</t>
  </si>
  <si>
    <t>03/09/2026 22:09:02</t>
  </si>
  <si>
    <t>6a9a1a2e32b3ac5a423f2420</t>
  </si>
  <si>
    <t>03/09/2026 22:01:49</t>
  </si>
  <si>
    <t>6a99f7c2edc9602c14d65295</t>
  </si>
  <si>
    <t>03/09/2026 19:39:33</t>
  </si>
  <si>
    <t>03/09/2026 19:42:10</t>
  </si>
  <si>
    <t>6a99f73ba4ee21b059f93919</t>
  </si>
  <si>
    <t>03/09/2026 19:35:53</t>
  </si>
  <si>
    <t>03/09/2026 19:39:55</t>
  </si>
  <si>
    <t>6a99f6b10ab955eaa1d4d898</t>
  </si>
  <si>
    <t>03/09/2026 19:18:30</t>
  </si>
  <si>
    <t>03/09/2026 19:37:37</t>
  </si>
  <si>
    <t>6a99f6b10ab955eaa1d4d892</t>
  </si>
  <si>
    <t>03/09/2026 19:14:48</t>
  </si>
  <si>
    <t>6a99f6b10ab955eaa1d4d88c</t>
  </si>
  <si>
    <t>03/09/2026 19:07:34</t>
  </si>
  <si>
    <t>6a99f6b10ab955eaa1d4d886</t>
  </si>
  <si>
    <t>03/09/2026 19:04:32</t>
  </si>
  <si>
    <t>6a99f6b10ab955eaa1d4d86e</t>
  </si>
  <si>
    <t>03/09/2026 16:53:11</t>
  </si>
  <si>
    <t>6a99f6b10ab955eaa1d4d868</t>
  </si>
  <si>
    <t>03/09/2026 16:50:25</t>
  </si>
  <si>
    <t>6a99f6b10ab955eaa1d4d862</t>
  </si>
  <si>
    <t>03/09/2026 16:30:15</t>
  </si>
  <si>
    <t>6a99f6b10ab955eaa1d4d85c</t>
  </si>
  <si>
    <t>03/09/2026 16:27:55</t>
  </si>
  <si>
    <t>6a99c0cc0ab955eaa1d49998</t>
  </si>
  <si>
    <t>03/09/2026 00:51:18</t>
  </si>
  <si>
    <t>03/09/2026 15:47:40</t>
  </si>
  <si>
    <t>6a99c0920086f5dfe4a83305</t>
  </si>
  <si>
    <t>03/09/2026 14:50:28</t>
  </si>
  <si>
    <t>03/09/2026 15:46:42</t>
  </si>
  <si>
    <t>6a99c0920086f5dfe4a832ff</t>
  </si>
  <si>
    <t>03/09/2026 14:40:54</t>
  </si>
  <si>
    <t>6a99c0920086f5dfe4a832f9</t>
  </si>
  <si>
    <t>03/09/2026 14:35:49</t>
  </si>
  <si>
    <t>6a99c0920086f5dfe4a832f3</t>
  </si>
  <si>
    <t>03/09/2026 14:32:11</t>
  </si>
  <si>
    <t>6a99c0910086f5dfe4a832ed</t>
  </si>
  <si>
    <t>03/09/2026 14:27:33</t>
  </si>
  <si>
    <t>03/09/2026 15:46:41</t>
  </si>
  <si>
    <t>6a99c0910086f5dfe4a832e7</t>
  </si>
  <si>
    <t>03/09/2026 14:24:26</t>
  </si>
  <si>
    <t>6a99c0910086f5dfe4a832e1</t>
  </si>
  <si>
    <t>03/09/2026 14:18:44</t>
  </si>
  <si>
    <t>6a99c0910086f5dfe4a832db</t>
  </si>
  <si>
    <t>03/09/2026 14:13:48</t>
  </si>
  <si>
    <t>6a99c0900086f5dfe4a832b7</t>
  </si>
  <si>
    <t>02/09/2026 21:23:54</t>
  </si>
  <si>
    <t>03/09/2026 15:46:40</t>
  </si>
  <si>
    <t>6a99c0900086f5dfe4a832a5</t>
  </si>
  <si>
    <t>02/09/2026 20:13:49</t>
  </si>
  <si>
    <t>6a99c0900086f5dfe4a8329f</t>
  </si>
  <si>
    <t>02/09/2026 18:20:03</t>
  </si>
  <si>
    <t>6a99c0900086f5dfe4a83299</t>
  </si>
  <si>
    <t>02/09/2026 17:53:28</t>
  </si>
  <si>
    <t>6a99c0900086f5dfe4a83291</t>
  </si>
  <si>
    <t>02/09/2026 17:42:33</t>
  </si>
  <si>
    <t>6a99c0900086f5dfe4a8328b</t>
  </si>
  <si>
    <t>02/09/2026 17:35:52</t>
  </si>
  <si>
    <t>6a99c0900086f5dfe4a83285</t>
  </si>
  <si>
    <t>02/09/2026 17:21:36</t>
  </si>
  <si>
    <t>6aa15454b4a6de3d8d7edc0a</t>
  </si>
  <si>
    <t>08/09/2026 15:27:02</t>
  </si>
  <si>
    <t>09/09/2026 09:43:00</t>
  </si>
  <si>
    <t>08/09/2026</t>
  </si>
  <si>
    <t>6aa15454b4a6de3d8d7edc04</t>
  </si>
  <si>
    <t>08/09/2026 15:16:31</t>
  </si>
  <si>
    <t>6aa15453b4a6de3d8d7edbde</t>
  </si>
  <si>
    <t>08/09/2026 10:11:32</t>
  </si>
  <si>
    <t>09/09/2026 09:42:59</t>
  </si>
  <si>
    <t>6aa15453b4a6de3d8d7edbd8</t>
  </si>
  <si>
    <t>08/09/2026 08:48:30</t>
  </si>
  <si>
    <t>6aa13f5fb841baacea2f93bb</t>
  </si>
  <si>
    <t>08/09/2026 17:31:35</t>
  </si>
  <si>
    <t>09/09/2026 08:13:35</t>
  </si>
  <si>
    <t>6aa13eb9045994c753d3cce1</t>
  </si>
  <si>
    <t>08/09/2026 17:49:39</t>
  </si>
  <si>
    <t>09/09/2026 08:10:49</t>
  </si>
  <si>
    <t>6aa0ebbc1c0532de53489423</t>
  </si>
  <si>
    <t>08/09/2026 23:23:11</t>
  </si>
  <si>
    <t>09/09/2026 02:16:44</t>
  </si>
  <si>
    <t>6aa0ebbc1c0532de5348941d</t>
  </si>
  <si>
    <t>08/09/2026 23:14:50</t>
  </si>
  <si>
    <t>6aa0ebbc1c0532de53489417</t>
  </si>
  <si>
    <t>08/09/2026 22:23:57</t>
  </si>
  <si>
    <t>6aa0ebbc1c0532de53489411</t>
  </si>
  <si>
    <t>08/09/2026 22:17:51</t>
  </si>
  <si>
    <t>6aa0ebbc1c0532de5348940b</t>
  </si>
  <si>
    <t>08/09/2026 22:13:07</t>
  </si>
  <si>
    <t>6aa0ebbc1c0532de53489405</t>
  </si>
  <si>
    <t>08/09/2026 21:28:23</t>
  </si>
  <si>
    <t>6aa0ebbc1c0532de534893ff</t>
  </si>
  <si>
    <t>08/09/2026 18:45:26</t>
  </si>
  <si>
    <t>6aa0ebbc1c0532de534893f9</t>
  </si>
  <si>
    <t>08/09/2026 18:40:14</t>
  </si>
  <si>
    <t>6aa0ebbc1c0532de534893f1</t>
  </si>
  <si>
    <t>08/09/2026 18:30:34</t>
  </si>
  <si>
    <t>6aa0ebbc1c0532de534893eb</t>
  </si>
  <si>
    <t>08/09/2026 17:52:01</t>
  </si>
  <si>
    <t>6aa0ebbc1c0532de534893e5</t>
  </si>
  <si>
    <t>08/09/2026 17:37:45</t>
  </si>
  <si>
    <t>6aa0ebbc1c0532de534893df</t>
  </si>
  <si>
    <t>08/09/2026 17:27:15</t>
  </si>
  <si>
    <t>6aa0ebbc1c0532de534893d9</t>
  </si>
  <si>
    <t>08/09/2026 17:22:58</t>
  </si>
  <si>
    <t>6aa0ebbc1c0532de534893d3</t>
  </si>
  <si>
    <t>08/09/2026 17:16:12</t>
  </si>
  <si>
    <t>6aa0c513759034b78e6ed780</t>
  </si>
  <si>
    <t>08/09/2026 23:25:44</t>
  </si>
  <si>
    <t>08/09/2026 23:31:47</t>
  </si>
  <si>
    <t>6aa0c513759034b78e6ed77a</t>
  </si>
  <si>
    <t>08/09/2026 23:23:59</t>
  </si>
  <si>
    <t>6aa0c513759034b78e6ed774</t>
  </si>
  <si>
    <t>08/09/2026 22:18:19</t>
  </si>
  <si>
    <t>6aa0c513759034b78e6ed76c</t>
  </si>
  <si>
    <t>08/09/2026 22:16:15</t>
  </si>
  <si>
    <t>6aa0c513759034b78e6ed766</t>
  </si>
  <si>
    <t>08/09/2026 22:13:03</t>
  </si>
  <si>
    <t>6aa0c513759034b78e6ed760</t>
  </si>
  <si>
    <t>08/09/2026 22:10:12</t>
  </si>
  <si>
    <t>6aa0c513759034b78e6ed75a</t>
  </si>
  <si>
    <t>08/09/2026 21:53:13</t>
  </si>
  <si>
    <t>6aa0c513759034b78e6ed754</t>
  </si>
  <si>
    <t>08/09/2026 21:49:34</t>
  </si>
  <si>
    <t>6aa0c513759034b78e6ed74e</t>
  </si>
  <si>
    <t>08/09/2026 21:47:46</t>
  </si>
  <si>
    <t>6aa0c513759034b78e6ed748</t>
  </si>
  <si>
    <t>08/09/2026 21:46:37</t>
  </si>
  <si>
    <t>6aa0c513759034b78e6ed742</t>
  </si>
  <si>
    <t>08/09/2026 21:41:06</t>
  </si>
  <si>
    <t>6aa0c513759034b78e6ed73c</t>
  </si>
  <si>
    <t>08/09/2026 21:36:33</t>
  </si>
  <si>
    <t>6aa04326f145040e223928bc</t>
  </si>
  <si>
    <t>08/09/2026 14:14:22</t>
  </si>
  <si>
    <t>08/09/2026 14:17:26</t>
  </si>
  <si>
    <t>6aa04203f98bcbe21b127d11</t>
  </si>
  <si>
    <t>08/09/2026 13:56:03</t>
  </si>
  <si>
    <t>08/09/2026 14:12:35</t>
  </si>
  <si>
    <t>6aa04203f98bcbe21b127d0b</t>
  </si>
  <si>
    <t>08/09/2026 13:53:25</t>
  </si>
  <si>
    <t>6aa04203f98bcbe21b127d05</t>
  </si>
  <si>
    <t>08/09/2026 13:47:45</t>
  </si>
  <si>
    <t>6aa04203f98bcbe21b127cff</t>
  </si>
  <si>
    <t>08/09/2026 13:42:31</t>
  </si>
  <si>
    <t>6aa04203f98bcbe21b127cf9</t>
  </si>
  <si>
    <t>08/09/2026 13:35:05</t>
  </si>
  <si>
    <t>6aa40b8cc56867042ebeb722</t>
  </si>
  <si>
    <t>10/09/2026 16:57:28</t>
  </si>
  <si>
    <t>11/09/2026 11:09:16</t>
  </si>
  <si>
    <t>10/09/2026</t>
  </si>
  <si>
    <t>6aa40b8cc56867042ebeb71c</t>
  </si>
  <si>
    <t>10/09/2026 16:48:40</t>
  </si>
  <si>
    <t>6aa38bf3c423abb5a7e296f3</t>
  </si>
  <si>
    <t>11/09/2026 00:59:19</t>
  </si>
  <si>
    <t>11/09/2026 02:04:51</t>
  </si>
  <si>
    <t>6aa38bf3c423abb5a7e296e7</t>
  </si>
  <si>
    <t>10/09/2026 23:13:27</t>
  </si>
  <si>
    <t>6aa38bf3c423abb5a7e296e1</t>
  </si>
  <si>
    <t>10/09/2026 23:01:27</t>
  </si>
  <si>
    <t>6aa38bf3c423abb5a7e296db</t>
  </si>
  <si>
    <t>10/09/2026 22:56:49</t>
  </si>
  <si>
    <t>6aa38bf3c423abb5a7e296d5</t>
  </si>
  <si>
    <t>10/09/2026 22:29:32</t>
  </si>
  <si>
    <t>6aa38bf3c423abb5a7e296cf</t>
  </si>
  <si>
    <t>10/09/2026 22:25:59</t>
  </si>
  <si>
    <t>6aa38bf3c423abb5a7e296c3</t>
  </si>
  <si>
    <t>10/09/2026 21:18:49</t>
  </si>
  <si>
    <t>6aa38bf2c423abb5a7e296b7</t>
  </si>
  <si>
    <t>10/09/2026 18:17:25</t>
  </si>
  <si>
    <t>11/09/2026 02:04:50</t>
  </si>
  <si>
    <t>6aa38bf2c423abb5a7e296b1</t>
  </si>
  <si>
    <t>10/09/2026 18:15:31</t>
  </si>
  <si>
    <t>6aa38bf2c423abb5a7e296ab</t>
  </si>
  <si>
    <t>10/09/2026 18:11:05</t>
  </si>
  <si>
    <t>6aa38bf2c423abb5a7e296a5</t>
  </si>
  <si>
    <t>10/09/2026 18:09:18</t>
  </si>
  <si>
    <t>6aa38bf2c423abb5a7e2969f</t>
  </si>
  <si>
    <t>10/09/2026 17:32:02</t>
  </si>
  <si>
    <t>6aa38bf2c423abb5a7e29699</t>
  </si>
  <si>
    <t>10/09/2026 17:28:44</t>
  </si>
  <si>
    <t>6aa38bf2c423abb5a7e29691</t>
  </si>
  <si>
    <t>10/09/2026 17:24:18</t>
  </si>
  <si>
    <t>6aa38bf2c423abb5a7e2968b</t>
  </si>
  <si>
    <t>10/09/2026 17:21:19</t>
  </si>
  <si>
    <t>6aa38bf2c423abb5a7e29685</t>
  </si>
  <si>
    <t>10/09/2026 17:18:34</t>
  </si>
  <si>
    <t>6aa37002dc0f84ea873a8945</t>
  </si>
  <si>
    <t>10/09/2026 23:58:04</t>
  </si>
  <si>
    <t>11/09/2026 00:05:38</t>
  </si>
  <si>
    <t>6aa37002dc0f84ea873a893f</t>
  </si>
  <si>
    <t>10/09/2026 23:46:52</t>
  </si>
  <si>
    <t>6aa37002dc0f84ea873a8939</t>
  </si>
  <si>
    <t>10/09/2026 23:41:28</t>
  </si>
  <si>
    <t>6aa369d7dc0f84ea873a874d</t>
  </si>
  <si>
    <t>10/09/2026 23:31:45</t>
  </si>
  <si>
    <t>10/09/2026 23:39:19</t>
  </si>
  <si>
    <t>6aa369d7dc0f84ea873a8747</t>
  </si>
  <si>
    <t>10/09/2026 23:30:06</t>
  </si>
  <si>
    <t>6aa369d7dc0f84ea873a8741</t>
  </si>
  <si>
    <t>10/09/2026 23:27:00</t>
  </si>
  <si>
    <t>6aa3490841a5e4bbeb1bc9f6</t>
  </si>
  <si>
    <t>10/09/2026 19:15:18</t>
  </si>
  <si>
    <t>10/09/2026 21:19:20</t>
  </si>
  <si>
    <t>6aa3490841a5e4bbeb1bc9f0</t>
  </si>
  <si>
    <t>10/09/2026 19:10:51</t>
  </si>
  <si>
    <t>6aa3490841a5e4bbeb1bc9ea</t>
  </si>
  <si>
    <t>10/09/2026 19:02:57</t>
  </si>
  <si>
    <t>6aa3490741a5e4bbeb1bc9e4</t>
  </si>
  <si>
    <t>10/09/2026 18:44:12</t>
  </si>
  <si>
    <t>10/09/2026 21:19:19</t>
  </si>
  <si>
    <t>6aa3490741a5e4bbeb1bc9de</t>
  </si>
  <si>
    <t>10/09/2026 18:35:01</t>
  </si>
  <si>
    <t>6aa3490741a5e4bbeb1bc9d8</t>
  </si>
  <si>
    <t>10/09/2026 18:31:50</t>
  </si>
  <si>
    <t>6aa3490741a5e4bbeb1bc9d2</t>
  </si>
  <si>
    <t>10/09/2026 18:30:31</t>
  </si>
  <si>
    <t>6aa3490741a5e4bbeb1bc9cc</t>
  </si>
  <si>
    <t>10/09/2026 18:28:57</t>
  </si>
  <si>
    <t>6aa3490741a5e4bbeb1bc9c6</t>
  </si>
  <si>
    <t>10/09/2026 18:17:30</t>
  </si>
  <si>
    <t>6aa3490741a5e4bbeb1bc9c0</t>
  </si>
  <si>
    <t>10/09/2026 18:15:00</t>
  </si>
  <si>
    <t>6aa3490741a5e4bbeb1bc9ba</t>
  </si>
  <si>
    <t>10/09/2026 18:07:01</t>
  </si>
  <si>
    <t>6aa3490741a5e4bbeb1bc9b4</t>
  </si>
  <si>
    <t>10/09/2026 16:30:22</t>
  </si>
  <si>
    <t>6aa3490741a5e4bbeb1bc9ae</t>
  </si>
  <si>
    <t>09/09/2026 23:33:36</t>
  </si>
  <si>
    <t>09/09/2026</t>
  </si>
  <si>
    <t>6aa301e31c0532de53581c01</t>
  </si>
  <si>
    <t>09/09/2026 16:37:20</t>
  </si>
  <si>
    <t>10/09/2026 16:15:47</t>
  </si>
  <si>
    <t>6aa2d8d304d1eda90f9985f8</t>
  </si>
  <si>
    <t>10/09/2026 13:16:13</t>
  </si>
  <si>
    <t>10/09/2026 13:20:35</t>
  </si>
  <si>
    <t>6aa23c33fc81e91c722940b2</t>
  </si>
  <si>
    <t>10/09/2026 00:07:42</t>
  </si>
  <si>
    <t>10/09/2026 02:12:19</t>
  </si>
  <si>
    <t>6aa23c33fc81e91c722940ac</t>
  </si>
  <si>
    <t>10/09/2026 00:00:15</t>
  </si>
  <si>
    <t>6aa23c33fc81e91c722940a6</t>
  </si>
  <si>
    <t>09/09/2026 23:57:19</t>
  </si>
  <si>
    <t>6aa23c33fc81e91c722940a0</t>
  </si>
  <si>
    <t>09/09/2026 23:20:16</t>
  </si>
  <si>
    <t>6aa23c33fc81e91c7229409a</t>
  </si>
  <si>
    <t>09/09/2026 22:26:28</t>
  </si>
  <si>
    <t>6aa23c33fc81e91c72294094</t>
  </si>
  <si>
    <t>09/09/2026 22:16:52</t>
  </si>
  <si>
    <t>6aa23c32fc81e91c72294088</t>
  </si>
  <si>
    <t>09/09/2026 21:18:21</t>
  </si>
  <si>
    <t>10/09/2026 02:12:18</t>
  </si>
  <si>
    <t>6aa23c32fc81e91c7229407c</t>
  </si>
  <si>
    <t>09/09/2026 18:39:30</t>
  </si>
  <si>
    <t>6aa23c32fc81e91c72294076</t>
  </si>
  <si>
    <t>09/09/2026 18:35:49</t>
  </si>
  <si>
    <t>6aa23c32fc81e91c72294070</t>
  </si>
  <si>
    <t>09/09/2026 18:28:13</t>
  </si>
  <si>
    <t>6aa23c32fc81e91c7229406a</t>
  </si>
  <si>
    <t>09/09/2026 18:25:26</t>
  </si>
  <si>
    <t>6aa23c32fc81e91c72294064</t>
  </si>
  <si>
    <t>09/09/2026 17:42:20</t>
  </si>
  <si>
    <t>6aa23c32fc81e91c7229405e</t>
  </si>
  <si>
    <t>09/09/2026 17:39:19</t>
  </si>
  <si>
    <t>6aa23c32fc81e91c72294058</t>
  </si>
  <si>
    <t>09/09/2026 17:37:23</t>
  </si>
  <si>
    <t>6aa23c32fc81e91c72294052</t>
  </si>
  <si>
    <t>09/09/2026 17:29:47</t>
  </si>
  <si>
    <t>6aa23c32fc81e91c7229404c</t>
  </si>
  <si>
    <t>09/09/2026 17:26:56</t>
  </si>
  <si>
    <t>6aa23c32fc81e91c72294046</t>
  </si>
  <si>
    <t>09/09/2026 17:24:12</t>
  </si>
  <si>
    <t>6aa23c32fc81e91c72294040</t>
  </si>
  <si>
    <t>09/09/2026 17:20:15</t>
  </si>
  <si>
    <t>6aa20a376506521d1ce225b6</t>
  </si>
  <si>
    <t>09/09/2026 22:17:52</t>
  </si>
  <si>
    <t>09/09/2026 22:39:03</t>
  </si>
  <si>
    <t>6aa20a376506521d1ce225b0</t>
  </si>
  <si>
    <t>09/09/2026 21:52:07</t>
  </si>
  <si>
    <t>6aa20a366506521d1ce225aa</t>
  </si>
  <si>
    <t>09/09/2026 21:50:11</t>
  </si>
  <si>
    <t>09/09/2026 22:39:02</t>
  </si>
  <si>
    <t>6aa20a366506521d1ce225a2</t>
  </si>
  <si>
    <t>09/09/2026 21:47:26</t>
  </si>
  <si>
    <t>6aa1fdc6c423abb5a7e10fd2</t>
  </si>
  <si>
    <t>09/09/2026 21:42:19</t>
  </si>
  <si>
    <t>09/09/2026 21:45:58</t>
  </si>
  <si>
    <t>6aa1fdc6c423abb5a7e10fcc</t>
  </si>
  <si>
    <t>09/09/2026 21:39:08</t>
  </si>
  <si>
    <t>6aa1dcb252bf78b96bee2e41</t>
  </si>
  <si>
    <t>09/09/2026 19:20:39</t>
  </si>
  <si>
    <t>09/09/2026 19:24:50</t>
  </si>
  <si>
    <t>6aa1db1e147e8869a3a8609a</t>
  </si>
  <si>
    <t>09/09/2026 19:09:54</t>
  </si>
  <si>
    <t>09/09/2026 19:18:06</t>
  </si>
  <si>
    <t>6aa1d93955df232954fb4405</t>
  </si>
  <si>
    <t>09/09/2026 17:34:03</t>
  </si>
  <si>
    <t>09/09/2026 19:10:01</t>
  </si>
  <si>
    <t>6aa1d93955df232954fb43ff</t>
  </si>
  <si>
    <t>09/09/2026 17:31:44</t>
  </si>
  <si>
    <t>6aa1c12c6506521d1ce15026</t>
  </si>
  <si>
    <t>09/09/2026 16:53:16</t>
  </si>
  <si>
    <t>09/09/2026 17:27:24</t>
  </si>
  <si>
    <t>6aa1c12c6506521d1ce15020</t>
  </si>
  <si>
    <t>09/09/2026 16:50:16</t>
  </si>
  <si>
    <t>6aa1c12c6506521d1ce1501a</t>
  </si>
  <si>
    <t>09/09/2026 16:46:36</t>
  </si>
  <si>
    <t>6aa1a56b52bf78b96be95333</t>
  </si>
  <si>
    <t>09/09/2026 15:18:14</t>
  </si>
  <si>
    <t>09/09/2026 15:28:59</t>
  </si>
  <si>
    <t>6aa1a56b52bf78b96be9532d</t>
  </si>
  <si>
    <t>09/09/2026 15:12:27</t>
  </si>
  <si>
    <t>6aa1a56b52bf78b96be95327</t>
  </si>
  <si>
    <t>09/09/2026 14:58:16</t>
  </si>
  <si>
    <t>6aa1a56b52bf78b96be95321</t>
  </si>
  <si>
    <t>09/09/2026 14:26:09</t>
  </si>
  <si>
    <t>6aa1a56b52bf78b96be9531b</t>
  </si>
  <si>
    <t>09/09/2026 12:43:31</t>
  </si>
  <si>
    <t>6aa1a56b52bf78b96be95315</t>
  </si>
  <si>
    <t>09/09/2026 12:24:00</t>
  </si>
  <si>
    <t>6aa19069fc81e91c7226cef1</t>
  </si>
  <si>
    <t>09/09/2026 13:54:54</t>
  </si>
  <si>
    <t>09/09/2026 13:59:21</t>
  </si>
  <si>
    <t>6aa18b5dcafeb097c798ab40</t>
  </si>
  <si>
    <t>09/09/2026 13:32:56</t>
  </si>
  <si>
    <t>09/09/2026 13:37:49</t>
  </si>
  <si>
    <t>6aa18ab8045994c753d46e3e</t>
  </si>
  <si>
    <t>09/09/2026 13:25:50</t>
  </si>
  <si>
    <t>09/09/2026 13:35:04</t>
  </si>
  <si>
    <t>6aa188745a8aa69b94a415e1</t>
  </si>
  <si>
    <t>09/09/2026 13:22:23</t>
  </si>
  <si>
    <t>09/09/2026 13:25:24</t>
  </si>
  <si>
    <t>6aa1724db841baacea2fda81</t>
  </si>
  <si>
    <t>09/09/2026 10:49:44</t>
  </si>
  <si>
    <t>09/09/2026 11:50:53</t>
  </si>
  <si>
    <t>6aa17193b4a6de3d8d7f08fb</t>
  </si>
  <si>
    <t>09/09/2026 11:02:47</t>
  </si>
  <si>
    <t>09/09/2026 11:47:47</t>
  </si>
  <si>
    <t>6aa17193b4a6de3d8d7f08f5</t>
  </si>
  <si>
    <t>09/09/2026 10:39:41</t>
  </si>
  <si>
    <t>6aa17193b4a6de3d8d7f08ef</t>
  </si>
  <si>
    <t>09/09/2026 10:33:42</t>
  </si>
  <si>
    <t>6aa5eb6eb841baacea3fcced</t>
  </si>
  <si>
    <t>12/09/2026 21:10:04</t>
  </si>
  <si>
    <t>12/09/2026 21:16:46</t>
  </si>
  <si>
    <t>12/09/2026</t>
  </si>
  <si>
    <t>6aa5eb6eb841baacea3fcce7</t>
  </si>
  <si>
    <t>12/09/2026 21:06:40</t>
  </si>
  <si>
    <t>6aa5d6d787b9f57cdf95008b</t>
  </si>
  <si>
    <t>12/09/2026 19:46:08</t>
  </si>
  <si>
    <t>12/09/2026 19:48:55</t>
  </si>
  <si>
    <t>6aa5d6d787b9f57cdf950085</t>
  </si>
  <si>
    <t>12/09/2026 19:44:38</t>
  </si>
  <si>
    <t>6aa5bb786506521d1cee6880</t>
  </si>
  <si>
    <t>12/09/2026 17:39:21</t>
  </si>
  <si>
    <t>12/09/2026 17:52:08</t>
  </si>
  <si>
    <t>6aa5bb786506521d1cee687a</t>
  </si>
  <si>
    <t>12/09/2026 17:29:48</t>
  </si>
  <si>
    <t>6aa5bb786506521d1cee6874</t>
  </si>
  <si>
    <t>12/09/2026 17:24:02</t>
  </si>
  <si>
    <t>6aa5bb70045994c753e37491</t>
  </si>
  <si>
    <t>12/09/2026 17:46:47</t>
  </si>
  <si>
    <t>12/09/2026 17:52:00</t>
  </si>
  <si>
    <t>6aa5bb70045994c753e3748b</t>
  </si>
  <si>
    <t>12/09/2026 17:34:26</t>
  </si>
  <si>
    <t>6aa5b2bb55df232954033856</t>
  </si>
  <si>
    <t>12/09/2026 17:00:56</t>
  </si>
  <si>
    <t>12/09/2026 17:14:51</t>
  </si>
  <si>
    <t>6aa5b2ba55df232954033850</t>
  </si>
  <si>
    <t>12/09/2026 17:00:39</t>
  </si>
  <si>
    <t>12/09/2026 17:14:50</t>
  </si>
  <si>
    <t>6aa5af0e04d1eda90fa14e4c</t>
  </si>
  <si>
    <t>12/09/2026 16:53:37</t>
  </si>
  <si>
    <t>12/09/2026 16:59:10</t>
  </si>
  <si>
    <t>6aa5af0e04d1eda90fa14e46</t>
  </si>
  <si>
    <t>12/09/2026 16:51:34</t>
  </si>
  <si>
    <t>6aa5af0e04d1eda90fa14e40</t>
  </si>
  <si>
    <t>12/09/2026 16:50:27</t>
  </si>
  <si>
    <t>6aa5af0e04d1eda90fa14e3a</t>
  </si>
  <si>
    <t>12/09/2026 16:49:05</t>
  </si>
  <si>
    <t>6aa5abfdc423abb5a7e6c5e8</t>
  </si>
  <si>
    <t>12/09/2026 16:40:35</t>
  </si>
  <si>
    <t>12/09/2026 16:46:05</t>
  </si>
  <si>
    <t>6aa5abfdc423abb5a7e6c5e0</t>
  </si>
  <si>
    <t>12/09/2026 16:37:10</t>
  </si>
  <si>
    <t>6aa4dbf641a5e4bbeb270f2e</t>
  </si>
  <si>
    <t>12/09/2026 01:05:05</t>
  </si>
  <si>
    <t>12/09/2026 01:58:30</t>
  </si>
  <si>
    <t>11/09/2026</t>
  </si>
  <si>
    <t>6aa4dbf641a5e4bbeb270f28</t>
  </si>
  <si>
    <t>12/09/2026 01:01:12</t>
  </si>
  <si>
    <t>6aa4dbf641a5e4bbeb270f22</t>
  </si>
  <si>
    <t>12/09/2026 00:51:33</t>
  </si>
  <si>
    <t>6aa4dbf641a5e4bbeb270f1c</t>
  </si>
  <si>
    <t>12/09/2026 00:43:31</t>
  </si>
  <si>
    <t>6aa4dbf641a5e4bbeb270f16</t>
  </si>
  <si>
    <t>12/09/2026 00:35:23</t>
  </si>
  <si>
    <t>6aa4dbf641a5e4bbeb270f10</t>
  </si>
  <si>
    <t>12/09/2026 00:31:24</t>
  </si>
  <si>
    <t>6aa4dbf641a5e4bbeb270f04</t>
  </si>
  <si>
    <t>11/09/2026 22:21:54</t>
  </si>
  <si>
    <t>6aa4dbf641a5e4bbeb270efe</t>
  </si>
  <si>
    <t>11/09/2026 22:10:05</t>
  </si>
  <si>
    <t>6aa4dbf641a5e4bbeb270ef8</t>
  </si>
  <si>
    <t>11/09/2026 22:06:00</t>
  </si>
  <si>
    <t>6aa4dbf641a5e4bbeb270ef2</t>
  </si>
  <si>
    <t>11/09/2026 22:02:46</t>
  </si>
  <si>
    <t>6aa4dbf541a5e4bbeb270ee6</t>
  </si>
  <si>
    <t>11/09/2026 21:05:25</t>
  </si>
  <si>
    <t>12/09/2026 01:58:29</t>
  </si>
  <si>
    <t>6aa4dbf541a5e4bbeb270ee0</t>
  </si>
  <si>
    <t>11/09/2026 19:25:57</t>
  </si>
  <si>
    <t>6aa4dbf541a5e4bbeb270ed8</t>
  </si>
  <si>
    <t>11/09/2026 19:18:13</t>
  </si>
  <si>
    <t>6aa4dbf541a5e4bbeb270ecc</t>
  </si>
  <si>
    <t>11/09/2026 17:47:50</t>
  </si>
  <si>
    <t>6aa4dbf541a5e4bbeb270ec6</t>
  </si>
  <si>
    <t>11/09/2026 17:45:06</t>
  </si>
  <si>
    <t>6aa4dbf541a5e4bbeb270ec0</t>
  </si>
  <si>
    <t>11/09/2026 17:43:20</t>
  </si>
  <si>
    <t>6aa4dbf541a5e4bbeb270eba</t>
  </si>
  <si>
    <t>11/09/2026 17:27:05</t>
  </si>
  <si>
    <t>6aa4dbf541a5e4bbeb270eb4</t>
  </si>
  <si>
    <t>11/09/2026 17:22:49</t>
  </si>
  <si>
    <t>6aa4dbf541a5e4bbeb270eae</t>
  </si>
  <si>
    <t>11/09/2026 17:16:35</t>
  </si>
  <si>
    <t>6aa4dbf541a5e4bbeb270ea8</t>
  </si>
  <si>
    <t>11/09/2026 17:13:10</t>
  </si>
  <si>
    <t>6aa4afdf41a5e4bbeb26f220</t>
  </si>
  <si>
    <t>11/09/2026 21:38:46</t>
  </si>
  <si>
    <t>11/09/2026 22:50:23</t>
  </si>
  <si>
    <t>6aa4afdf41a5e4bbeb26f21a</t>
  </si>
  <si>
    <t>11/09/2026 21:35:44</t>
  </si>
  <si>
    <t>6aa4afdf41a5e4bbeb26f214</t>
  </si>
  <si>
    <t>11/09/2026 21:32:29</t>
  </si>
  <si>
    <t>6aa4afdf41a5e4bbeb26f20e</t>
  </si>
  <si>
    <t>11/09/2026 21:31:07</t>
  </si>
  <si>
    <t>6aa49d1355df23295402a551</t>
  </si>
  <si>
    <t>11/09/2026 21:24:09</t>
  </si>
  <si>
    <t>11/09/2026 21:30:11</t>
  </si>
  <si>
    <t>6aa49d1255df23295402a54b</t>
  </si>
  <si>
    <t>11/09/2026 21:19:50</t>
  </si>
  <si>
    <t>11/09/2026 21:30:10</t>
  </si>
  <si>
    <t>6aa49a9f1c0532de5363c23f</t>
  </si>
  <si>
    <t>11/09/2026 21:16:13</t>
  </si>
  <si>
    <t>11/09/2026 21:19:43</t>
  </si>
  <si>
    <t>6aa48221d79070410dce39de</t>
  </si>
  <si>
    <t>11/09/2026 19:29:51</t>
  </si>
  <si>
    <t>11/09/2026 19:35:13</t>
  </si>
  <si>
    <t>6aa48221d79070410dce39d8</t>
  </si>
  <si>
    <t>11/09/2026 19:25:35</t>
  </si>
  <si>
    <t>6aa47fcfde1f7611876c8480</t>
  </si>
  <si>
    <t>11/09/2026 19:19:10</t>
  </si>
  <si>
    <t>11/09/2026 19:25:19</t>
  </si>
  <si>
    <t>6aa47fcede1f7611876c847a</t>
  </si>
  <si>
    <t>11/09/2026 19:16:50</t>
  </si>
  <si>
    <t>11/09/2026 19:25:18</t>
  </si>
  <si>
    <t>6aa47d5fc56867042ec57307</t>
  </si>
  <si>
    <t>11/09/2026 19:04:17</t>
  </si>
  <si>
    <t>11/09/2026 19:14:55</t>
  </si>
  <si>
    <t>6aa47d5fc56867042ec57301</t>
  </si>
  <si>
    <t>11/09/2026 19:01:19</t>
  </si>
  <si>
    <t>6aa47748099e81d4947f2761</t>
  </si>
  <si>
    <t>11/09/2026 18:43:37</t>
  </si>
  <si>
    <t>11/09/2026 18:48:56</t>
  </si>
  <si>
    <t>6aa47748099e81d4947f275b</t>
  </si>
  <si>
    <t>11/09/2026 18:37:55</t>
  </si>
  <si>
    <t>6aa47748099e81d4947f2755</t>
  </si>
  <si>
    <t>11/09/2026 18:37:11</t>
  </si>
  <si>
    <t>6aa4740e87b9f57cdf9460be</t>
  </si>
  <si>
    <t>11/09/2026 18:15:06</t>
  </si>
  <si>
    <t>11/09/2026 18:35:10</t>
  </si>
  <si>
    <t>6aa4740b01f1439bbef044f5</t>
  </si>
  <si>
    <t>11/09/2026 18:10:29</t>
  </si>
  <si>
    <t>11/09/2026 18:35:07</t>
  </si>
  <si>
    <t>6aa4660cdc0f84ea8741449d</t>
  </si>
  <si>
    <t>11/09/2026 17:20:38</t>
  </si>
  <si>
    <t>11/09/2026 17:35:24</t>
  </si>
  <si>
    <t>6aa4660cdc0f84ea87414497</t>
  </si>
  <si>
    <t>11/09/2026 17:14:21</t>
  </si>
  <si>
    <t>6aa4660cdc0f84ea8741448f</t>
  </si>
  <si>
    <t>11/09/2026 17:12:25</t>
  </si>
  <si>
    <t>6aa4660cdc0f84ea87414489</t>
  </si>
  <si>
    <t>11/09/2026 17:09:42</t>
  </si>
  <si>
    <t>6aa4660cdc0f84ea87414483</t>
  </si>
  <si>
    <t>11/09/2026 16:56:45</t>
  </si>
  <si>
    <t>6aa4660cdc0f84ea8741447d</t>
  </si>
  <si>
    <t>11/09/2026 16:52:53</t>
  </si>
  <si>
    <t>6aa4660cdc0f84ea87414477</t>
  </si>
  <si>
    <t>11/09/2026 16:42:07</t>
  </si>
  <si>
    <t>6aa43c77c56867042ec0f4ac</t>
  </si>
  <si>
    <t>10/09/2026 13:27:14</t>
  </si>
  <si>
    <t>11/09/2026 14:37:59</t>
  </si>
  <si>
    <t>6aa8cff404d1eda90fa51da5</t>
  </si>
  <si>
    <t>14/09/2026 23:55:30</t>
  </si>
  <si>
    <t>15/09/2026 01:56:20</t>
  </si>
  <si>
    <t>14/09/2026</t>
  </si>
  <si>
    <t>6aa8cff404d1eda90fa51d9f</t>
  </si>
  <si>
    <t>14/09/2026 23:52:39</t>
  </si>
  <si>
    <t>6aa8cff304d1eda90fa51d93</t>
  </si>
  <si>
    <t>14/09/2026 23:27:01</t>
  </si>
  <si>
    <t>15/09/2026 01:56:19</t>
  </si>
  <si>
    <t>6aa8cff304d1eda90fa51d8d</t>
  </si>
  <si>
    <t>14/09/2026 22:57:33</t>
  </si>
  <si>
    <t>6aa8cff304d1eda90fa51d87</t>
  </si>
  <si>
    <t>14/09/2026 22:03:28</t>
  </si>
  <si>
    <t>6aa8cff304d1eda90fa51d81</t>
  </si>
  <si>
    <t>14/09/2026 21:58:33</t>
  </si>
  <si>
    <t>6aa8cff304d1eda90fa51d75</t>
  </si>
  <si>
    <t>14/09/2026 21:10:24</t>
  </si>
  <si>
    <t>6aa8cff304d1eda90fa51d6f</t>
  </si>
  <si>
    <t>14/09/2026 21:08:07</t>
  </si>
  <si>
    <t>6aa8cff304d1eda90fa51d69</t>
  </si>
  <si>
    <t>14/09/2026 21:05:44</t>
  </si>
  <si>
    <t>6aa8cff304d1eda90fa51d63</t>
  </si>
  <si>
    <t>14/09/2026 20:55:48</t>
  </si>
  <si>
    <t>6aa8cff304d1eda90fa51d5d</t>
  </si>
  <si>
    <t>14/09/2026 20:48:18</t>
  </si>
  <si>
    <t>6aa8cff304d1eda90fa51d55</t>
  </si>
  <si>
    <t>14/09/2026 20:40:50</t>
  </si>
  <si>
    <t>6aa8cff304d1eda90fa51d4f</t>
  </si>
  <si>
    <t>14/09/2026 20:26:08</t>
  </si>
  <si>
    <t>6aa8cff204d1eda90fa51d43</t>
  </si>
  <si>
    <t>14/09/2026 17:49:18</t>
  </si>
  <si>
    <t>15/09/2026 01:56:18</t>
  </si>
  <si>
    <t>6aa8cff204d1eda90fa51d3d</t>
  </si>
  <si>
    <t>14/09/2026 17:44:36</t>
  </si>
  <si>
    <t>6aa8cff204d1eda90fa51d37</t>
  </si>
  <si>
    <t>14/09/2026 17:41:54</t>
  </si>
  <si>
    <t>6aa8cff204d1eda90fa51d31</t>
  </si>
  <si>
    <t>14/09/2026 17:36:56</t>
  </si>
  <si>
    <t>6aa8cff204d1eda90fa51d2b</t>
  </si>
  <si>
    <t>14/09/2026 17:33:43</t>
  </si>
  <si>
    <t>6aa8cff204d1eda90fa51d25</t>
  </si>
  <si>
    <t>14/09/2026 17:29:32</t>
  </si>
  <si>
    <t>6aa8aa9f147e8869a3b3f42e</t>
  </si>
  <si>
    <t>14/09/2026 23:09:00</t>
  </si>
  <si>
    <t>14/09/2026 23:17:03</t>
  </si>
  <si>
    <t>6aa8aa9f147e8869a3b3f428</t>
  </si>
  <si>
    <t>14/09/2026 23:04:38</t>
  </si>
  <si>
    <t>6aa8aa9f147e8869a3b3f422</t>
  </si>
  <si>
    <t>14/09/2026 22:59:38</t>
  </si>
  <si>
    <t>6aa8aa9f147e8869a3b3f41c</t>
  </si>
  <si>
    <t>14/09/2026 22:54:29</t>
  </si>
  <si>
    <t>6aa8aa9f147e8869a3b3f414</t>
  </si>
  <si>
    <t>14/09/2026 22:46:58</t>
  </si>
  <si>
    <t>6aa8aa9f147e8869a3b3f40e</t>
  </si>
  <si>
    <t>14/09/2026 22:43:41</t>
  </si>
  <si>
    <t>6aa8aa9f147e8869a3b3f408</t>
  </si>
  <si>
    <t>14/09/2026 22:38:20</t>
  </si>
  <si>
    <t>6aa8a03a5a2a2f82610c197d</t>
  </si>
  <si>
    <t>14/09/2026 22:27:52</t>
  </si>
  <si>
    <t>14/09/2026 22:32:42</t>
  </si>
  <si>
    <t>6aa89d9004d1eda90fa50c0b</t>
  </si>
  <si>
    <t>14/09/2026 22:07:00</t>
  </si>
  <si>
    <t>14/09/2026 22:21:20</t>
  </si>
  <si>
    <t>6aa89d9004d1eda90fa50c05</t>
  </si>
  <si>
    <t>14/09/2026 22:03:10</t>
  </si>
  <si>
    <t>6aa89d9004d1eda90fa50bff</t>
  </si>
  <si>
    <t>14/09/2026 21:40:45</t>
  </si>
  <si>
    <t>6aa894cfdc0f84ea874520a8</t>
  </si>
  <si>
    <t>14/09/2026 20:57:02</t>
  </si>
  <si>
    <t>14/09/2026 21:43:59</t>
  </si>
  <si>
    <t>6aa894cfdc0f84ea874520a2</t>
  </si>
  <si>
    <t>14/09/2026 20:47:35</t>
  </si>
  <si>
    <t>6aa894bedc0f84ea8745208e</t>
  </si>
  <si>
    <t>14/09/2026 20:53:26</t>
  </si>
  <si>
    <t>14/09/2026 21:43:42</t>
  </si>
  <si>
    <t>6aa869f5de1f761187724314</t>
  </si>
  <si>
    <t>14/09/2026 18:21:48</t>
  </si>
  <si>
    <t>14/09/2026 18:41:09</t>
  </si>
  <si>
    <t>6aa869dd01f1439bbef4ff03</t>
  </si>
  <si>
    <t>14/09/2026 18:16:42</t>
  </si>
  <si>
    <t>14/09/2026 18:40:45</t>
  </si>
  <si>
    <t>6aa85d795a8aa69b94b4eb4f</t>
  </si>
  <si>
    <t>14/09/2026 17:39:01</t>
  </si>
  <si>
    <t>14/09/2026 17:47:53</t>
  </si>
  <si>
    <t>6aa85a8cc56867042ec99729</t>
  </si>
  <si>
    <t>14/09/2026 17:33:21</t>
  </si>
  <si>
    <t>14/09/2026 17:35:24</t>
  </si>
  <si>
    <t>6aa859d007e3da2eb616a557</t>
  </si>
  <si>
    <t>14/09/2026 17:28:56</t>
  </si>
  <si>
    <t>14/09/2026 17:32:16</t>
  </si>
  <si>
    <t>6aa82f2307e3da2eb6166d52</t>
  </si>
  <si>
    <t>14/09/2026 14:22:57</t>
  </si>
  <si>
    <t>14/09/2026 14:30:11</t>
  </si>
  <si>
    <t>6aa82f2307e3da2eb6166d4c</t>
  </si>
  <si>
    <t>14/09/2026 14:16:08</t>
  </si>
  <si>
    <t>6aa82f2307e3da2eb6166d46</t>
  </si>
  <si>
    <t>14/09/2026 14:06:48</t>
  </si>
  <si>
    <t>6aa82d2b045994c753e4e29c</t>
  </si>
  <si>
    <t>14/09/2026 14:10:37</t>
  </si>
  <si>
    <t>14/09/2026 14:21:47</t>
  </si>
  <si>
    <t>6aa81c426506521d1cf1e0e6</t>
  </si>
  <si>
    <t>14/09/2026 12:00:00</t>
  </si>
  <si>
    <t>14/09/2026 13:09:38</t>
  </si>
  <si>
    <t>6aa81c426506521d1cf1e0e0</t>
  </si>
  <si>
    <t>14/09/2026 11:56:18</t>
  </si>
  <si>
    <t>6aa81c426506521d1cf1e0da</t>
  </si>
  <si>
    <t>14/09/2026 11:45:02</t>
  </si>
  <si>
    <t>6aa81c426506521d1cf1e0d4</t>
  </si>
  <si>
    <t>12/09/2026 14:50:55</t>
  </si>
  <si>
    <t>6aa81c426506521d1cf1e0ce</t>
  </si>
  <si>
    <t>11/09/2026 14:33:04</t>
  </si>
  <si>
    <t>6aa81c426506521d1cf1e0c8</t>
  </si>
  <si>
    <t>11/09/2026 14:26:19</t>
  </si>
  <si>
    <t>6aa81c426506521d1cf1e0c2</t>
  </si>
  <si>
    <t>11/09/2026 14:23:28</t>
  </si>
  <si>
    <t>6aa81c426506521d1cf1e0bc</t>
  </si>
  <si>
    <t>11/09/2026 14:18:38</t>
  </si>
  <si>
    <t>6aa81c416506521d1cf1e0b6</t>
  </si>
  <si>
    <t>11/09/2026 12:58:04</t>
  </si>
  <si>
    <t>14/09/2026 13:09:37</t>
  </si>
  <si>
    <t>6aa81c416506521d1cf1e0b0</t>
  </si>
  <si>
    <t>11/09/2026 12:49:04</t>
  </si>
  <si>
    <t>6aa97eec067199cb194812ab</t>
  </si>
  <si>
    <t>15/09/2026 11:39:00</t>
  </si>
  <si>
    <t>15/09/2026 14:22:52</t>
  </si>
  <si>
    <t>15/09/2026</t>
  </si>
  <si>
    <t>6a97b15843066e508049f76e</t>
  </si>
  <si>
    <t>01/09/2026 17:54:23</t>
  </si>
  <si>
    <t>6aaa20b7942fa544448aa0e7</t>
  </si>
  <si>
    <t>15/09/2026 23:44:28</t>
  </si>
  <si>
    <t>16/09/2026 01:53:11</t>
  </si>
  <si>
    <t>6aaa20b7942fa544448aa0e1</t>
  </si>
  <si>
    <t>15/09/2026 23:14:32</t>
  </si>
  <si>
    <t>6aaa20b7942fa544448aa0db</t>
  </si>
  <si>
    <t>15/09/2026 23:11:20</t>
  </si>
  <si>
    <t>6aaa20b7942fa544448aa0d5</t>
  </si>
  <si>
    <t>15/09/2026 23:07:22</t>
  </si>
  <si>
    <t>6aaa20b7942fa544448aa0c9</t>
  </si>
  <si>
    <t>15/09/2026 21:51:51</t>
  </si>
  <si>
    <t>6aaa20b7942fa544448aa0c3</t>
  </si>
  <si>
    <t>15/09/2026 21:49:40</t>
  </si>
  <si>
    <t>6aaa20b6942fa544448aa0bd</t>
  </si>
  <si>
    <t>15/09/2026 21:45:43</t>
  </si>
  <si>
    <t>16/09/2026 01:53:10</t>
  </si>
  <si>
    <t>6aaa20b6942fa544448aa0b7</t>
  </si>
  <si>
    <t>15/09/2026 19:22:09</t>
  </si>
  <si>
    <t>6aaa20b6942fa544448aa0b1</t>
  </si>
  <si>
    <t>15/09/2026 19:07:42</t>
  </si>
  <si>
    <t>6aaa20b6942fa544448aa0a5</t>
  </si>
  <si>
    <t>15/09/2026 18:20:24</t>
  </si>
  <si>
    <t>6aaa20b6942fa544448aa09f</t>
  </si>
  <si>
    <t>15/09/2026 18:17:29</t>
  </si>
  <si>
    <t>6aaa20b6942fa544448aa099</t>
  </si>
  <si>
    <t>15/09/2026 17:43:24</t>
  </si>
  <si>
    <t>6aaa20b6942fa544448aa093</t>
  </si>
  <si>
    <t>15/09/2026 17:35:00</t>
  </si>
  <si>
    <t>6aaa20b6942fa544448aa08d</t>
  </si>
  <si>
    <t>15/09/2026 17:30:48</t>
  </si>
  <si>
    <t>6aaa20b6942fa544448aa087</t>
  </si>
  <si>
    <t>15/09/2026 17:29:00</t>
  </si>
  <si>
    <t>6aaa20b6942fa544448aa081</t>
  </si>
  <si>
    <t>15/09/2026 17:21:46</t>
  </si>
  <si>
    <t>6aaa20b6942fa544448aa075</t>
  </si>
  <si>
    <t>10/09/2026 18:21:32</t>
  </si>
  <si>
    <t>6aaa20b6942fa544448aa06f</t>
  </si>
  <si>
    <t>03/09/2026 18:33:34</t>
  </si>
  <si>
    <t>6aa9ed4e7f6e099e55c3496f</t>
  </si>
  <si>
    <t>15/09/2026 22:12:20</t>
  </si>
  <si>
    <t>15/09/2026 22:13:50</t>
  </si>
  <si>
    <t>6aa9eb1c942fa544448a8c94</t>
  </si>
  <si>
    <t>15/09/2026 21:42:43</t>
  </si>
  <si>
    <t>15/09/2026 22:04:28</t>
  </si>
  <si>
    <t>6aa9eb1c942fa544448a8c8e</t>
  </si>
  <si>
    <t>15/09/2026 21:38:47</t>
  </si>
  <si>
    <t>6aa9eb1c942fa544448a8c88</t>
  </si>
  <si>
    <t>15/09/2026 21:34:49</t>
  </si>
  <si>
    <t>6aa9c4f2aef038cf66e9b9be</t>
  </si>
  <si>
    <t>15/09/2026 19:15:06</t>
  </si>
  <si>
    <t>15/09/2026 19:21:38</t>
  </si>
  <si>
    <t>6aa9c451aef038cf66e9b937</t>
  </si>
  <si>
    <t>15/09/2026 19:13:54</t>
  </si>
  <si>
    <t>15/09/2026 19:18:57</t>
  </si>
  <si>
    <t>6aa9c273e5756b0e3c4a9935</t>
  </si>
  <si>
    <t>15/09/2026 19:08:30</t>
  </si>
  <si>
    <t>15/09/2026 19:10:59</t>
  </si>
  <si>
    <t>6aa9c273e5756b0e3c4a992d</t>
  </si>
  <si>
    <t>15/09/2026 19:05:51</t>
  </si>
  <si>
    <t>6aa9c273e5756b0e3c4a9927</t>
  </si>
  <si>
    <t>15/09/2026 18:48:13</t>
  </si>
  <si>
    <t>6aa9b37df450a2f6bc80c1a5</t>
  </si>
  <si>
    <t>15/09/2026 16:45:43</t>
  </si>
  <si>
    <t>15/09/2026 18:07:09</t>
  </si>
  <si>
    <t>6aa9b37df450a2f6bc80c19f</t>
  </si>
  <si>
    <t>15/09/2026 16:43:48</t>
  </si>
  <si>
    <t>6aa9b37df450a2f6bc80c199</t>
  </si>
  <si>
    <t>15/09/2026 16:34:27</t>
  </si>
  <si>
    <t>6aa99d56d0d0671dc82cd2df</t>
  </si>
  <si>
    <t>15/09/2026 16:25:08</t>
  </si>
  <si>
    <t>15/09/2026 16:32:38</t>
  </si>
  <si>
    <t>6aa99557eb9b8323123834dd</t>
  </si>
  <si>
    <t>15/09/2026 15:23:04</t>
  </si>
  <si>
    <t>15/09/2026 15:58:31</t>
  </si>
  <si>
    <t>6aa97eec067199cb194812ed</t>
  </si>
  <si>
    <t>15/09/2026 13:09:47</t>
  </si>
  <si>
    <t>6aa97eec067199cb194812e7</t>
  </si>
  <si>
    <t>15/09/2026 13:04:17</t>
  </si>
  <si>
    <t>6aa97eec067199cb194812e1</t>
  </si>
  <si>
    <t>15/09/2026 12:58:24</t>
  </si>
  <si>
    <t>6aa97eec067199cb194812db</t>
  </si>
  <si>
    <t>15/09/2026 12:53:57</t>
  </si>
  <si>
    <t>6aa97eec067199cb194812d5</t>
  </si>
  <si>
    <t>15/09/2026 12:34:11</t>
  </si>
  <si>
    <t>6aa97eec067199cb194812cf</t>
  </si>
  <si>
    <t>15/09/2026 12:31:01</t>
  </si>
  <si>
    <t>6aa97eec067199cb194812c9</t>
  </si>
  <si>
    <t>15/09/2026 12:23:08</t>
  </si>
  <si>
    <t>6aa97eec067199cb194812c3</t>
  </si>
  <si>
    <t>15/09/2026 12:06:59</t>
  </si>
  <si>
    <t>6aa97eec067199cb194812bd</t>
  </si>
  <si>
    <t>15/09/2026 11:58:03</t>
  </si>
  <si>
    <t>6aa97eec067199cb194812b7</t>
  </si>
  <si>
    <t>15/09/2026 11:53:06</t>
  </si>
  <si>
    <t>6aa97eec067199cb194812b1</t>
  </si>
  <si>
    <t>15/09/2026 11:44:54</t>
  </si>
  <si>
    <t>6aab7374dbc8f9ae695173be</t>
  </si>
  <si>
    <t>16/09/2026 23:23:51</t>
  </si>
  <si>
    <t>17/09/2026 01:58:28</t>
  </si>
  <si>
    <t>16/09/2026</t>
  </si>
  <si>
    <t>6aab7374dbc8f9ae695173b8</t>
  </si>
  <si>
    <t>16/09/2026 23:20:06</t>
  </si>
  <si>
    <t>6aab7374dbc8f9ae695173b2</t>
  </si>
  <si>
    <t>16/09/2026 23:11:49</t>
  </si>
  <si>
    <t>6aab7374dbc8f9ae695173ac</t>
  </si>
  <si>
    <t>16/09/2026 23:05:12</t>
  </si>
  <si>
    <t>6aab7373dbc8f9ae695173a6</t>
  </si>
  <si>
    <t>16/09/2026 21:51:48</t>
  </si>
  <si>
    <t>17/09/2026 01:58:27</t>
  </si>
  <si>
    <t>6aab7373dbc8f9ae69517392</t>
  </si>
  <si>
    <t>16/09/2026 20:44:23</t>
  </si>
  <si>
    <t>6aab7373dbc8f9ae6951738c</t>
  </si>
  <si>
    <t>16/09/2026 20:39:10</t>
  </si>
  <si>
    <t>6aab7373dbc8f9ae69517386</t>
  </si>
  <si>
    <t>16/09/2026 20:29:50</t>
  </si>
  <si>
    <t>6aab7373dbc8f9ae69517380</t>
  </si>
  <si>
    <t>16/09/2026 18:23:30</t>
  </si>
  <si>
    <t>6aab7373dbc8f9ae6951737a</t>
  </si>
  <si>
    <t>16/09/2026 18:18:20</t>
  </si>
  <si>
    <t>6aab7373dbc8f9ae69517374</t>
  </si>
  <si>
    <t>16/09/2026 18:14:01</t>
  </si>
  <si>
    <t>6aab7373dbc8f9ae6951736e</t>
  </si>
  <si>
    <t>16/09/2026 18:12:29</t>
  </si>
  <si>
    <t>6aab7373dbc8f9ae69517368</t>
  </si>
  <si>
    <t>16/09/2026 18:07:11</t>
  </si>
  <si>
    <t>6aab7373dbc8f9ae69517362</t>
  </si>
  <si>
    <t>16/09/2026 18:02:05</t>
  </si>
  <si>
    <t>6aab7373dbc8f9ae6951735c</t>
  </si>
  <si>
    <t>16/09/2026 17:59:18</t>
  </si>
  <si>
    <t>6aab7373dbc8f9ae69517356</t>
  </si>
  <si>
    <t>16/09/2026 17:41:14</t>
  </si>
  <si>
    <t>6aab6f1f067199cb1949b351</t>
  </si>
  <si>
    <t>16/09/2026 22:10:27</t>
  </si>
  <si>
    <t>17/09/2026 01:39:59</t>
  </si>
  <si>
    <t>6aab6f097e065da368bebb60</t>
  </si>
  <si>
    <t>16/09/2026 22:25:17</t>
  </si>
  <si>
    <t>17/09/2026 01:39:37</t>
  </si>
  <si>
    <t>6aab6f097e065da368bebb5a</t>
  </si>
  <si>
    <t>16/09/2026 22:18:43</t>
  </si>
  <si>
    <t>6aab6f097e065da368bebb54</t>
  </si>
  <si>
    <t>16/09/2026 22:02:55</t>
  </si>
  <si>
    <t>6aab3a9e40b0d358276f483f</t>
  </si>
  <si>
    <t>16/09/2026 20:44:31</t>
  </si>
  <si>
    <t>16/09/2026 21:55:58</t>
  </si>
  <si>
    <t>6aab3a9e40b0d358276f4839</t>
  </si>
  <si>
    <t>16/09/2026 20:38:09</t>
  </si>
  <si>
    <t>6aab3a9e40b0d358276f4833</t>
  </si>
  <si>
    <t>15/09/2026 22:15:06</t>
  </si>
  <si>
    <t>6aaad83bf450a2f6bc869e1a</t>
  </si>
  <si>
    <t>16/09/2026 14:45:45</t>
  </si>
  <si>
    <t>16/09/2026 14:56:11</t>
  </si>
  <si>
    <t>6aaad83bf450a2f6bc869e14</t>
  </si>
  <si>
    <t>16/09/2026 14:40:18</t>
  </si>
  <si>
    <t>6aaad83bf450a2f6bc869e0e</t>
  </si>
  <si>
    <t>16/09/2026 14:32:08</t>
  </si>
  <si>
    <t>6aae15e403d0d5807444bcee</t>
  </si>
  <si>
    <t>19/09/2026 00:50:34</t>
  </si>
  <si>
    <t>19/09/2026 01:56:04</t>
  </si>
  <si>
    <t>18/09/2026</t>
  </si>
  <si>
    <t>6aae15e403d0d5807444bce8</t>
  </si>
  <si>
    <t>19/09/2026 00:46:59</t>
  </si>
  <si>
    <t>6aae15e403d0d5807444bce2</t>
  </si>
  <si>
    <t>19/09/2026 00:35:00</t>
  </si>
  <si>
    <t>6aae15e403d0d5807444bcdc</t>
  </si>
  <si>
    <t>19/09/2026 00:33:11</t>
  </si>
  <si>
    <t>6aae15e403d0d5807444bcd6</t>
  </si>
  <si>
    <t>19/09/2026 00:29:29</t>
  </si>
  <si>
    <t>6aae15e403d0d5807444bcd0</t>
  </si>
  <si>
    <t>19/09/2026 00:26:34</t>
  </si>
  <si>
    <t>6aae15e403d0d5807444bcca</t>
  </si>
  <si>
    <t>18/09/2026 23:42:08</t>
  </si>
  <si>
    <t>6aae15e403d0d5807444bcb6</t>
  </si>
  <si>
    <t>18/09/2026 21:20:15</t>
  </si>
  <si>
    <t>6aae15e403d0d5807444bcb0</t>
  </si>
  <si>
    <t>18/09/2026 19:23:40</t>
  </si>
  <si>
    <t>6aae15e403d0d5807444bcaa</t>
  </si>
  <si>
    <t>18/09/2026 19:21:42</t>
  </si>
  <si>
    <t>6aae15e403d0d5807444bca4</t>
  </si>
  <si>
    <t>18/09/2026 19:19:35</t>
  </si>
  <si>
    <t>6aae15e303d0d5807444bc9e</t>
  </si>
  <si>
    <t>18/09/2026 19:17:08</t>
  </si>
  <si>
    <t>19/09/2026 01:56:03</t>
  </si>
  <si>
    <t>6aae15e303d0d5807444bc98</t>
  </si>
  <si>
    <t>18/09/2026 19:15:02</t>
  </si>
  <si>
    <t>6aae15e303d0d5807444bc92</t>
  </si>
  <si>
    <t>18/09/2026 19:03:57</t>
  </si>
  <si>
    <t>6aae15e303d0d5807444bc8c</t>
  </si>
  <si>
    <t>18/09/2026 19:01:21</t>
  </si>
  <si>
    <t>6aae15e303d0d5807444bc86</t>
  </si>
  <si>
    <t>18/09/2026 18:58:27</t>
  </si>
  <si>
    <t>6aae15e303d0d5807444bc80</t>
  </si>
  <si>
    <t>18/09/2026 18:55:19</t>
  </si>
  <si>
    <t>6aae15e303d0d5807444bc7a</t>
  </si>
  <si>
    <t>18/09/2026 18:52:08</t>
  </si>
  <si>
    <t>6aadf406fcd9f74974256494</t>
  </si>
  <si>
    <t>18/09/2026 23:22:20</t>
  </si>
  <si>
    <t>18/09/2026 23:31:34</t>
  </si>
  <si>
    <t>6aadf406fcd9f7497425648e</t>
  </si>
  <si>
    <t>18/09/2026 23:20:03</t>
  </si>
  <si>
    <t>6aadf406fcd9f74974256488</t>
  </si>
  <si>
    <t>18/09/2026 23:16:34</t>
  </si>
  <si>
    <t>6aaddbf1d77fed4595fab5ea</t>
  </si>
  <si>
    <t>18/09/2026 21:44:28</t>
  </si>
  <si>
    <t>18/09/2026 21:48:49</t>
  </si>
  <si>
    <t>6aaddaf503d0d58074449fcb</t>
  </si>
  <si>
    <t>18/09/2026 19:01:17</t>
  </si>
  <si>
    <t>18/09/2026 21:44:37</t>
  </si>
  <si>
    <t>6aaddaf503d0d58074449fc5</t>
  </si>
  <si>
    <t>18/09/2026 18:57:55</t>
  </si>
  <si>
    <t>6aaddaf503d0d58074449fbf</t>
  </si>
  <si>
    <t>18/09/2026 18:55:20</t>
  </si>
  <si>
    <t>6aaddaf503d0d58074449fb9</t>
  </si>
  <si>
    <t>18/09/2026 18:46:29</t>
  </si>
  <si>
    <t>6aadb0c0fbc61ed447c23d2b</t>
  </si>
  <si>
    <t>18/09/2026 18:40:47</t>
  </si>
  <si>
    <t>18/09/2026 18:44:32</t>
  </si>
  <si>
    <t>6aadb0c0fbc61ed447c23d25</t>
  </si>
  <si>
    <t>18/09/2026 18:37:07</t>
  </si>
  <si>
    <t>6aadb0c0fbc61ed447c23d1f</t>
  </si>
  <si>
    <t>18/09/2026 18:35:41</t>
  </si>
  <si>
    <t>6aadb0c0fbc61ed447c23d19</t>
  </si>
  <si>
    <t>18/09/2026 18:33:10</t>
  </si>
  <si>
    <t>6aadb0c0fbc61ed447c23d13</t>
  </si>
  <si>
    <t>18/09/2026 18:13:40</t>
  </si>
  <si>
    <t>6aad6a5e34389a7f1f0fa6e2</t>
  </si>
  <si>
    <t>18/09/2026 11:02:44</t>
  </si>
  <si>
    <t>18/09/2026 13:44:14</t>
  </si>
  <si>
    <t>6aad4487fcd9f7497422cc8a</t>
  </si>
  <si>
    <t>17/09/2026 16:35:09</t>
  </si>
  <si>
    <t>18/09/2026 11:02:47</t>
  </si>
  <si>
    <t>17/09/2026</t>
  </si>
  <si>
    <t>6aacc411a0b92a3a6b29cc1f</t>
  </si>
  <si>
    <t>17/09/2026 23:12:36</t>
  </si>
  <si>
    <t>18/09/2026 01:54:41</t>
  </si>
  <si>
    <t>6aacc411a0b92a3a6b29cc19</t>
  </si>
  <si>
    <t>17/09/2026 23:09:58</t>
  </si>
  <si>
    <t>6aacc411a0b92a3a6b29cc13</t>
  </si>
  <si>
    <t>17/09/2026 23:07:50</t>
  </si>
  <si>
    <t>6aacc411a0b92a3a6b29cc0d</t>
  </si>
  <si>
    <t>17/09/2026 23:06:09</t>
  </si>
  <si>
    <t>6aacc411a0b92a3a6b29cc07</t>
  </si>
  <si>
    <t>17/09/2026 23:04:12</t>
  </si>
  <si>
    <t>6aacc411a0b92a3a6b29cc01</t>
  </si>
  <si>
    <t>17/09/2026 22:59:29</t>
  </si>
  <si>
    <t>6aacc411a0b92a3a6b29cbfb</t>
  </si>
  <si>
    <t>17/09/2026 22:55:30</t>
  </si>
  <si>
    <t>6aacc410a0b92a3a6b29cbe9</t>
  </si>
  <si>
    <t>17/09/2026 20:28:16</t>
  </si>
  <si>
    <t>18/09/2026 01:54:40</t>
  </si>
  <si>
    <t>6aacc410a0b92a3a6b29cbe3</t>
  </si>
  <si>
    <t>17/09/2026 18:32:32</t>
  </si>
  <si>
    <t>6aacc410a0b92a3a6b29cbdd</t>
  </si>
  <si>
    <t>17/09/2026 18:26:16</t>
  </si>
  <si>
    <t>6aacc410a0b92a3a6b29cbd7</t>
  </si>
  <si>
    <t>17/09/2026 18:22:37</t>
  </si>
  <si>
    <t>6aacc410a0b92a3a6b29cbd1</t>
  </si>
  <si>
    <t>17/09/2026 18:19:58</t>
  </si>
  <si>
    <t>6aacc410a0b92a3a6b29cbcb</t>
  </si>
  <si>
    <t>17/09/2026 18:18:08</t>
  </si>
  <si>
    <t>6aacc410a0b92a3a6b29cbc5</t>
  </si>
  <si>
    <t>17/09/2026 17:25:09</t>
  </si>
  <si>
    <t>6aacc410a0b92a3a6b29cbbf</t>
  </si>
  <si>
    <t>17/09/2026 17:19:00</t>
  </si>
  <si>
    <t>6aacc410a0b92a3a6b29cbb9</t>
  </si>
  <si>
    <t>17/09/2026 17:16:09</t>
  </si>
  <si>
    <t>6aacc410a0b92a3a6b29cbb3</t>
  </si>
  <si>
    <t>17/09/2026 17:11:09</t>
  </si>
  <si>
    <t>6aac89962058495d6bd9f23e</t>
  </si>
  <si>
    <t>17/09/2026 18:03:15</t>
  </si>
  <si>
    <t>17/09/2026 21:45:10</t>
  </si>
  <si>
    <t>6aac3f3c03d0d5807441df72</t>
  </si>
  <si>
    <t>17/09/2026 15:01:06</t>
  </si>
  <si>
    <t>17/09/2026 16:27:56</t>
  </si>
  <si>
    <t>6aac246461edf70c814e55e1</t>
  </si>
  <si>
    <t>17/09/2026 11:23:15</t>
  </si>
  <si>
    <t>17/09/2026 14:33:24</t>
  </si>
  <si>
    <t>6aac246461edf70c814e55db</t>
  </si>
  <si>
    <t>17/09/2026 11:18:55</t>
  </si>
  <si>
    <t>6aac246461edf70c814e55d3</t>
  </si>
  <si>
    <t>17/09/2026 10:05:30</t>
  </si>
  <si>
    <t>6aac246461edf70c814e55cd</t>
  </si>
  <si>
    <t>17/09/2026 09:59:26</t>
  </si>
  <si>
    <t>6aac246461edf70c814e55c7</t>
  </si>
  <si>
    <t>17/09/2026 09:53:40</t>
  </si>
  <si>
    <t>6aac246461edf70c814e55c1</t>
  </si>
  <si>
    <t>17/09/2026 09:47:44</t>
  </si>
  <si>
    <t>6aac246461edf70c814e55bb</t>
  </si>
  <si>
    <t>17/09/2026 09:43:27</t>
  </si>
  <si>
    <t>6aac246461edf70c814e55b5</t>
  </si>
  <si>
    <t>17/09/2026 09:39:55</t>
  </si>
  <si>
    <t>6aac246461edf70c814e55af</t>
  </si>
  <si>
    <t>17/09/2026 09:36:33</t>
  </si>
  <si>
    <t>6aac246461edf70c814e55a9</t>
  </si>
  <si>
    <t>16/09/2026 15:07:30</t>
  </si>
  <si>
    <t>6aac246461edf70c814e55a3</t>
  </si>
  <si>
    <t>16/09/2026 15:02:46</t>
  </si>
  <si>
    <t>6aac246461edf70c814e559d</t>
  </si>
  <si>
    <t>16/09/2026 14:56:32</t>
  </si>
  <si>
    <t>6aac246461edf70c814e5597</t>
  </si>
  <si>
    <t>16/09/2026 14:20:14</t>
  </si>
  <si>
    <t>6aac246461edf70c814e5591</t>
  </si>
  <si>
    <t>16/09/2026 13:05:55</t>
  </si>
  <si>
    <t>6aac1c9f40dec24642319dbe</t>
  </si>
  <si>
    <t>17/09/2026 13:49:42</t>
  </si>
  <si>
    <t>17/09/2026 14:00:15</t>
  </si>
  <si>
    <t>6aac1c9f40dec24642319db8</t>
  </si>
  <si>
    <t>17/09/2026 13:38:21</t>
  </si>
  <si>
    <t>6aac1c9f40dec24642319db2</t>
  </si>
  <si>
    <t>17/09/2026 13:33:20</t>
  </si>
  <si>
    <t>6aac1c9f40dec24642319dac</t>
  </si>
  <si>
    <t>17/09/2026 13:26:51</t>
  </si>
  <si>
    <t>6ab294bd88ce3e06cc49a3a8</t>
  </si>
  <si>
    <t>22/09/2026 11:43:10</t>
  </si>
  <si>
    <t>22/09/2026 11:46:21</t>
  </si>
  <si>
    <t>22/09/2026</t>
  </si>
  <si>
    <t>6ab293ef7dc9e21ef606c642</t>
  </si>
  <si>
    <t>22/09/2026 09:09:02</t>
  </si>
  <si>
    <t>22/09/2026 11:42:55</t>
  </si>
  <si>
    <t>6ab20c3388ce3e06cc4940ca</t>
  </si>
  <si>
    <t>22/09/2026 01:04:53</t>
  </si>
  <si>
    <t>22/09/2026 02:03:47</t>
  </si>
  <si>
    <t>21/09/2026</t>
  </si>
  <si>
    <t>6ab20c3388ce3e06cc4940c4</t>
  </si>
  <si>
    <t>22/09/2026 00:56:01</t>
  </si>
  <si>
    <t>6ab20c3288ce3e06cc4940b8</t>
  </si>
  <si>
    <t>21/09/2026 21:57:51</t>
  </si>
  <si>
    <t>22/09/2026 02:03:46</t>
  </si>
  <si>
    <t>6ab20c3288ce3e06cc4940b2</t>
  </si>
  <si>
    <t>21/09/2026 21:47:42</t>
  </si>
  <si>
    <t>6ab20c3288ce3e06cc4940ac</t>
  </si>
  <si>
    <t>21/09/2026 21:44:12</t>
  </si>
  <si>
    <t>6ab20c3288ce3e06cc4940a6</t>
  </si>
  <si>
    <t>21/09/2026 21:42:50</t>
  </si>
  <si>
    <t>6ab20c3288ce3e06cc4940a0</t>
  </si>
  <si>
    <t>21/09/2026 21:38:35</t>
  </si>
  <si>
    <t>6ab20c3288ce3e06cc49409a</t>
  </si>
  <si>
    <t>21/09/2026 21:34:52</t>
  </si>
  <si>
    <t>6ab20c3288ce3e06cc494094</t>
  </si>
  <si>
    <t>21/09/2026 21:31:21</t>
  </si>
  <si>
    <t>6ab20c3288ce3e06cc49408e</t>
  </si>
  <si>
    <t>21/09/2026 21:28:11</t>
  </si>
  <si>
    <t>6ab20c3288ce3e06cc494088</t>
  </si>
  <si>
    <t>21/09/2026 21:21:54</t>
  </si>
  <si>
    <t>6ab20c3288ce3e06cc494074</t>
  </si>
  <si>
    <t>21/09/2026 17:40:21</t>
  </si>
  <si>
    <t>6ab20c3288ce3e06cc49406e</t>
  </si>
  <si>
    <t>21/09/2026 17:35:38</t>
  </si>
  <si>
    <t>6ab20c3288ce3e06cc494068</t>
  </si>
  <si>
    <t>21/09/2026 17:30:50</t>
  </si>
  <si>
    <t>6ab20c3288ce3e06cc494062</t>
  </si>
  <si>
    <t>21/09/2026 17:17:53</t>
  </si>
  <si>
    <t>6ab20c3188ce3e06cc49405c</t>
  </si>
  <si>
    <t>21/09/2026 17:14:06</t>
  </si>
  <si>
    <t>22/09/2026 02:03:45</t>
  </si>
  <si>
    <t>6ab1f3cb7b71afa134f4a125</t>
  </si>
  <si>
    <t>21/09/2026 23:49:29</t>
  </si>
  <si>
    <t>22/09/2026 00:19:39</t>
  </si>
  <si>
    <t>6ab1f3cb7b71afa134f4a11f</t>
  </si>
  <si>
    <t>21/09/2026 23:42:18</t>
  </si>
  <si>
    <t>6ab1f3cb7b71afa134f4a119</t>
  </si>
  <si>
    <t>21/09/2026 23:37:57</t>
  </si>
  <si>
    <t>6ab1f3cb7b71afa134f4a113</t>
  </si>
  <si>
    <t>21/09/2026 23:31:25</t>
  </si>
  <si>
    <t>6ab1f3cb7b71afa134f4a10d</t>
  </si>
  <si>
    <t>21/09/2026 23:27:34</t>
  </si>
  <si>
    <t>6ab1f3cb7b71afa134f4a107</t>
  </si>
  <si>
    <t>21/09/2026 23:23:53</t>
  </si>
  <si>
    <t>6ab1ce114b9e362083c8465e</t>
  </si>
  <si>
    <t>21/09/2026 20:41:07</t>
  </si>
  <si>
    <t>21/09/2026 21:38:41</t>
  </si>
  <si>
    <t>6ab1ce114b9e362083c84658</t>
  </si>
  <si>
    <t>21/09/2026 20:37:52</t>
  </si>
  <si>
    <t>6ab14ad504f4a88168f7b4ff</t>
  </si>
  <si>
    <t>21/09/2026 12:15:27</t>
  </si>
  <si>
    <t>21/09/2026 12:18:45</t>
  </si>
  <si>
    <t>6ab1464717b1be0d71fbe50b</t>
  </si>
  <si>
    <t>21/09/2026 11:39:30</t>
  </si>
  <si>
    <t>21/09/2026 11:59:19</t>
  </si>
  <si>
    <t>6ab1464717b1be0d71fbe505</t>
  </si>
  <si>
    <t>21/09/2026 11:34:02</t>
  </si>
  <si>
    <t>6ab1464717b1be0d71fbe4ff</t>
  </si>
  <si>
    <t>21/09/2026 11:30:52</t>
  </si>
  <si>
    <t>6ab1464717b1be0d71fbe4f9</t>
  </si>
  <si>
    <t>21/09/2026 11:26:35</t>
  </si>
  <si>
    <t>6ab1464717b1be0d71fbe4f3</t>
  </si>
  <si>
    <t>21/09/2026 11:22:06</t>
  </si>
  <si>
    <t>6ab1464717b1be0d71fbe4ed</t>
  </si>
  <si>
    <t>21/09/2026 11:16:11</t>
  </si>
  <si>
    <t>6ab1464717b1be0d71fbe4e7</t>
  </si>
  <si>
    <t>21/09/2026 09:21:36</t>
  </si>
  <si>
    <t>6ab1464717b1be0d71fbe4e1</t>
  </si>
  <si>
    <t>21/09/2026 09:15:57</t>
  </si>
  <si>
    <t>6ab1464717b1be0d71fbe4db</t>
  </si>
  <si>
    <t>21/09/2026 09:03:40</t>
  </si>
  <si>
    <t>6ab1464717b1be0d71fbe4d5</t>
  </si>
  <si>
    <t>21/09/2026 08:58:33</t>
  </si>
  <si>
    <t>6ab1464717b1be0d71fbe4cf</t>
  </si>
  <si>
    <t>21/09/2026 08:53:32</t>
  </si>
  <si>
    <t>6ab1464717b1be0d71fbe4c9</t>
  </si>
  <si>
    <t>21/09/2026 08:24:44</t>
  </si>
  <si>
    <t>6ab1464717b1be0d71fbe4c3</t>
  </si>
  <si>
    <t>18/09/2026 10:49:38</t>
  </si>
  <si>
    <t>SET</t>
  </si>
  <si>
    <t>6ab4adae3a9c92219c3dfabd</t>
  </si>
  <si>
    <t>23/09/2026 22:58:16</t>
  </si>
  <si>
    <t>24/09/2026 01:57:18</t>
  </si>
  <si>
    <t>23/09/2026</t>
  </si>
  <si>
    <t>6ab4adae3a9c92219c3dfab1</t>
  </si>
  <si>
    <t>23/09/2026 22:54:52</t>
  </si>
  <si>
    <t>6ab4adae3a9c92219c3dfaa9</t>
  </si>
  <si>
    <t>23/09/2026 22:48:21</t>
  </si>
  <si>
    <t>6ab4adae3a9c92219c3dfaa3</t>
  </si>
  <si>
    <t>23/09/2026 22:34:37</t>
  </si>
  <si>
    <t>6ab4adae3a9c92219c3dfa9d</t>
  </si>
  <si>
    <t>23/09/2026 22:29:15</t>
  </si>
  <si>
    <t>6ab4adae3a9c92219c3dfa97</t>
  </si>
  <si>
    <t>23/09/2026 22:25:23</t>
  </si>
  <si>
    <t>6ab4adae3a9c92219c3dfa91</t>
  </si>
  <si>
    <t>23/09/2026 22:21:58</t>
  </si>
  <si>
    <t>6ab4adae3a9c92219c3dfa8b</t>
  </si>
  <si>
    <t>23/09/2026 22:18:30</t>
  </si>
  <si>
    <t>6ab4adad3a9c92219c3dfa85</t>
  </si>
  <si>
    <t>23/09/2026 22:15:16</t>
  </si>
  <si>
    <t>24/09/2026 01:57:17</t>
  </si>
  <si>
    <t>6ab4adad3a9c92219c3dfa7f</t>
  </si>
  <si>
    <t>23/09/2026 22:11:28</t>
  </si>
  <si>
    <t>6ab4adad3a9c92219c3dfa79</t>
  </si>
  <si>
    <t>23/09/2026 22:09:27</t>
  </si>
  <si>
    <t>6ab4adad3a9c92219c3dfa73</t>
  </si>
  <si>
    <t>23/09/2026 21:55:04</t>
  </si>
  <si>
    <t>6ab4adad3a9c92219c3dfa67</t>
  </si>
  <si>
    <t>23/09/2026 18:39:36</t>
  </si>
  <si>
    <t>6ab4adad3a9c92219c3dfa5b</t>
  </si>
  <si>
    <t>23/09/2026 17:51:35</t>
  </si>
  <si>
    <t>6ab4adad3a9c92219c3dfa55</t>
  </si>
  <si>
    <t>23/09/2026 17:49:08</t>
  </si>
  <si>
    <t>6ab43381ef139d24b80e2c66</t>
  </si>
  <si>
    <t>23/09/2026 17:08:46</t>
  </si>
  <si>
    <t>23/09/2026 17:16:01</t>
  </si>
  <si>
    <t>6ab3efed2198fdc3939147cc</t>
  </si>
  <si>
    <t>23/09/2026 09:30:15</t>
  </si>
  <si>
    <t>23/09/2026 12:27:41</t>
  </si>
  <si>
    <t>6ab3efcab91ebe7368fba2e6</t>
  </si>
  <si>
    <t>23/09/2026 11:19:22</t>
  </si>
  <si>
    <t>23/09/2026 12:27:06</t>
  </si>
  <si>
    <t>6ab3efb3d72df868b36f2cd2</t>
  </si>
  <si>
    <t>23/09/2026 11:23:15</t>
  </si>
  <si>
    <t>23/09/2026 12:26:43</t>
  </si>
  <si>
    <t>6ab3ef9814246dbb8f837347</t>
  </si>
  <si>
    <t>23/09/2026 11:29:11</t>
  </si>
  <si>
    <t>23/09/2026 12:26:16</t>
  </si>
  <si>
    <t>6ab3ef82a4adeea581725072</t>
  </si>
  <si>
    <t>23/09/2026 11:33:25</t>
  </si>
  <si>
    <t>23/09/2026 12:25:54</t>
  </si>
  <si>
    <t>6ab3c979596883bd549f4e57</t>
  </si>
  <si>
    <t>21/09/2026 08:27:36</t>
  </si>
  <si>
    <t>23/09/2026 09:43:37</t>
  </si>
  <si>
    <t>6ab35bcaa4adeea581715e5a</t>
  </si>
  <si>
    <t>23/09/2026 00:53:14</t>
  </si>
  <si>
    <t>23/09/2026 01:55:38</t>
  </si>
  <si>
    <t>6ab35bcaa4adeea581715e54</t>
  </si>
  <si>
    <t>23/09/2026 00:50:54</t>
  </si>
  <si>
    <t>6ab35bcaa4adeea581715e4e</t>
  </si>
  <si>
    <t>23/09/2026 00:47:41</t>
  </si>
  <si>
    <t>6ab35bcaa4adeea581715e40</t>
  </si>
  <si>
    <t>22/09/2026 23:16:05</t>
  </si>
  <si>
    <t>6ab35bcaa4adeea581715e3a</t>
  </si>
  <si>
    <t>22/09/2026 23:14:53</t>
  </si>
  <si>
    <t>6ab35bcaa4adeea581715e34</t>
  </si>
  <si>
    <t>22/09/2026 22:39:16</t>
  </si>
  <si>
    <t>6ab35bc9a4adeea581715e2e</t>
  </si>
  <si>
    <t>22/09/2026 22:32:39</t>
  </si>
  <si>
    <t>23/09/2026 01:55:37</t>
  </si>
  <si>
    <t>6ab35bc9a4adeea581715e28</t>
  </si>
  <si>
    <t>22/09/2026 22:28:02</t>
  </si>
  <si>
    <t>6ab35bc9a4adeea581715e22</t>
  </si>
  <si>
    <t>22/09/2026 22:25:33</t>
  </si>
  <si>
    <t>6ab35bc9a4adeea581715e1c</t>
  </si>
  <si>
    <t>22/09/2026 22:23:32</t>
  </si>
  <si>
    <t>6ab35bc9a4adeea581715e16</t>
  </si>
  <si>
    <t>22/09/2026 22:16:35</t>
  </si>
  <si>
    <t>6ab35bc9a4adeea581715e0a</t>
  </si>
  <si>
    <t>22/09/2026 21:25:22</t>
  </si>
  <si>
    <t>6ab35bc9a4adeea581715e04</t>
  </si>
  <si>
    <t>22/09/2026 19:20:26</t>
  </si>
  <si>
    <t>6ab35bc9a4adeea581715dfe</t>
  </si>
  <si>
    <t>22/09/2026 19:18:08</t>
  </si>
  <si>
    <t>6ab35bc9a4adeea581715df8</t>
  </si>
  <si>
    <t>22/09/2026 19:04:33</t>
  </si>
  <si>
    <t>6ab35bc9a4adeea581715dec</t>
  </si>
  <si>
    <t>22/09/2026 18:05:11</t>
  </si>
  <si>
    <t>6ab35bc9a4adeea581715de6</t>
  </si>
  <si>
    <t>22/09/2026 18:03:09</t>
  </si>
  <si>
    <t>6ab35bc9a4adeea581715de0</t>
  </si>
  <si>
    <t>22/09/2026 18:01:12</t>
  </si>
  <si>
    <t>6ab35bc8a4adeea581715dda</t>
  </si>
  <si>
    <t>22/09/2026 17:57:05</t>
  </si>
  <si>
    <t>23/09/2026 01:55:36</t>
  </si>
  <si>
    <t>6ab35bc8a4adeea581715dd4</t>
  </si>
  <si>
    <t>22/09/2026 17:26:41</t>
  </si>
  <si>
    <t>6ab35bc8a4adeea581715dce</t>
  </si>
  <si>
    <t>22/09/2026 17:23:16</t>
  </si>
  <si>
    <t>6ab34378a4adeea581715661</t>
  </si>
  <si>
    <t>22/09/2026 22:24:21</t>
  </si>
  <si>
    <t>23/09/2026 00:11:52</t>
  </si>
  <si>
    <t>6ab34378a4adeea58171565b</t>
  </si>
  <si>
    <t>22/09/2026 21:54:31</t>
  </si>
  <si>
    <t>6ab34378a4adeea581715655</t>
  </si>
  <si>
    <t>22/09/2026 21:53:19</t>
  </si>
  <si>
    <t>6ab34378a4adeea58171564f</t>
  </si>
  <si>
    <t>22/09/2026 21:46:59</t>
  </si>
  <si>
    <t>6ab34378a4adeea581715649</t>
  </si>
  <si>
    <t>22/09/2026 21:44:05</t>
  </si>
  <si>
    <t>6ab34378a4adeea581715643</t>
  </si>
  <si>
    <t>22/09/2026 21:35:04</t>
  </si>
  <si>
    <t>6ab2ffdbd72df868b36e7d2e</t>
  </si>
  <si>
    <t>22/09/2026 18:11:04</t>
  </si>
  <si>
    <t>22/09/2026 19:23:23</t>
  </si>
  <si>
    <t>6ab2e4214b9e362083cbe5d0</t>
  </si>
  <si>
    <t>22/09/2026 17:14:51</t>
  </si>
  <si>
    <t>22/09/2026 17:25:05</t>
  </si>
  <si>
    <t>6ab2e4214b9e362083cbe5ca</t>
  </si>
  <si>
    <t>22/09/2026 17:08:10</t>
  </si>
  <si>
    <t>6ab2e4214b9e362083cbe5c4</t>
  </si>
  <si>
    <t>22/09/2026 17:06:23</t>
  </si>
  <si>
    <t>6ab2e4163a9c92219c3b3867</t>
  </si>
  <si>
    <t>22/09/2026 17:11:13</t>
  </si>
  <si>
    <t>22/09/2026 17:24:54</t>
  </si>
  <si>
    <t>Desvio</t>
  </si>
  <si>
    <t>Média de Desvio</t>
  </si>
  <si>
    <t>AGO</t>
  </si>
  <si>
    <t>JUL</t>
  </si>
  <si>
    <t>6ab75082adfb4239b44a3e08</t>
  </si>
  <si>
    <t>26/09/2026 00:50:30</t>
  </si>
  <si>
    <t>26/09/2026 01:56:34</t>
  </si>
  <si>
    <t>25/09/2026</t>
  </si>
  <si>
    <t>6ab75082adfb4239b44a3e02</t>
  </si>
  <si>
    <t>25/09/2026 23:50:38</t>
  </si>
  <si>
    <t>6ab75082adfb4239b44a3df0</t>
  </si>
  <si>
    <t>25/09/2026 22:37:17</t>
  </si>
  <si>
    <t>6ab75082adfb4239b44a3dea</t>
  </si>
  <si>
    <t>25/09/2026 22:13:14</t>
  </si>
  <si>
    <t>6ab75082adfb4239b44a3dde</t>
  </si>
  <si>
    <t>25/09/2026 21:24:32</t>
  </si>
  <si>
    <t>6ab75082adfb4239b44a3dd8</t>
  </si>
  <si>
    <t>25/09/2026 19:16:01</t>
  </si>
  <si>
    <t>6ab75082adfb4239b44a3dd2</t>
  </si>
  <si>
    <t>25/09/2026 19:13:32</t>
  </si>
  <si>
    <t>6ab75082adfb4239b44a3dc6</t>
  </si>
  <si>
    <t>25/09/2026 17:58:58</t>
  </si>
  <si>
    <t>6ab75081adfb4239b44a3dc0</t>
  </si>
  <si>
    <t>25/09/2026 17:55:21</t>
  </si>
  <si>
    <t>26/09/2026 01:56:33</t>
  </si>
  <si>
    <t>6ab75081adfb4239b44a3dba</t>
  </si>
  <si>
    <t>25/09/2026 17:50:30</t>
  </si>
  <si>
    <t>6ab75081adfb4239b44a3db4</t>
  </si>
  <si>
    <t>25/09/2026 17:48:44</t>
  </si>
  <si>
    <t>6ab75081adfb4239b44a3dae</t>
  </si>
  <si>
    <t>25/09/2026 17:45:18</t>
  </si>
  <si>
    <t>6ab75081adfb4239b44a3da8</t>
  </si>
  <si>
    <t>25/09/2026 17:38:45</t>
  </si>
  <si>
    <t>6ab75081adfb4239b44a3da2</t>
  </si>
  <si>
    <t>25/09/2026 17:34:22</t>
  </si>
  <si>
    <t>6ab75081adfb4239b44a3d9a</t>
  </si>
  <si>
    <t>25/09/2026 17:29:46</t>
  </si>
  <si>
    <t>6ab6f3b497a0ca5bd7529251</t>
  </si>
  <si>
    <t>25/09/2026 19:16:22</t>
  </si>
  <si>
    <t>25/09/2026 19:20:36</t>
  </si>
  <si>
    <t>6ab6f2c92d48c2171f40a13b</t>
  </si>
  <si>
    <t>25/09/2026 18:22:40</t>
  </si>
  <si>
    <t>25/09/2026 19:16:41</t>
  </si>
  <si>
    <t>6ab6f2c92d48c2171f40a135</t>
  </si>
  <si>
    <t>25/09/2026 18:14:47</t>
  </si>
  <si>
    <t>6ab6f2c92d48c2171f40a12f</t>
  </si>
  <si>
    <t>25/09/2026 18:08:28</t>
  </si>
  <si>
    <t>6ab6f2c92d48c2171f40a129</t>
  </si>
  <si>
    <t>25/09/2026 18:02:56</t>
  </si>
  <si>
    <t>6ab6b6d55255bb2a51fe8ed6</t>
  </si>
  <si>
    <t>25/09/2026 14:12:42</t>
  </si>
  <si>
    <t>25/09/2026 15:00:53</t>
  </si>
  <si>
    <t>6ab6b6c92d48c2171f406428</t>
  </si>
  <si>
    <t>25/09/2026 14:17:42</t>
  </si>
  <si>
    <t>25/09/2026 15:00:41</t>
  </si>
  <si>
    <t>6ab6b69a5255bb2a51fe8e95</t>
  </si>
  <si>
    <t>25/09/2026 14:22:28</t>
  </si>
  <si>
    <t>25/09/2026 14:59:54</t>
  </si>
  <si>
    <t>6ab6b6872d48c2171f4063e6</t>
  </si>
  <si>
    <t>25/09/2026 14:26:13</t>
  </si>
  <si>
    <t>25/09/2026 14:59:35</t>
  </si>
  <si>
    <t>6ab6b675acf1d04b2dd9517f</t>
  </si>
  <si>
    <t>25/09/2026 14:35:18</t>
  </si>
  <si>
    <t>25/09/2026 14:59:17</t>
  </si>
  <si>
    <t>6ab5e3a4adfb4239b4479880</t>
  </si>
  <si>
    <t>24/09/2026 23:55:11</t>
  </si>
  <si>
    <t>24/09/2026 23:59:48</t>
  </si>
  <si>
    <t>24/09/2026</t>
  </si>
  <si>
    <t>6ab5e3a4adfb4239b447987a</t>
  </si>
  <si>
    <t>24/09/2026 23:51:55</t>
  </si>
  <si>
    <t>6ab5e1ca0c83eeef88081ec9</t>
  </si>
  <si>
    <t>24/09/2026 22:10:05</t>
  </si>
  <si>
    <t>24/09/2026 23:51:54</t>
  </si>
  <si>
    <t>6ab5c9c90289b29ebe86d1c9</t>
  </si>
  <si>
    <t>24/09/2026 21:58:22</t>
  </si>
  <si>
    <t>24/09/2026 22:09:29</t>
  </si>
  <si>
    <t>6ab5c9c90289b29ebe86d1c3</t>
  </si>
  <si>
    <t>24/09/2026 21:55:56</t>
  </si>
  <si>
    <t>6ab5c9c90289b29ebe86d1bd</t>
  </si>
  <si>
    <t>24/09/2026 21:53:06</t>
  </si>
  <si>
    <t>6ab5c9c90289b29ebe86d1b5</t>
  </si>
  <si>
    <t>24/09/2026 21:50:41</t>
  </si>
  <si>
    <t>6ab5c9c90289b29ebe86d1af</t>
  </si>
  <si>
    <t>24/09/2026 21:42:39</t>
  </si>
  <si>
    <t>6ab5c9c90289b29ebe86d1a9</t>
  </si>
  <si>
    <t>24/09/2026 21:40:52</t>
  </si>
  <si>
    <t>6ab5c9c90289b29ebe86d1a3</t>
  </si>
  <si>
    <t>24/09/2026 21:38:56</t>
  </si>
  <si>
    <t>6ab5c9c90289b29ebe86d19d</t>
  </si>
  <si>
    <t>24/09/2026 21:35:43</t>
  </si>
  <si>
    <t>6ab5c9c90289b29ebe86d197</t>
  </si>
  <si>
    <t>24/09/2026 21:33:07</t>
  </si>
  <si>
    <t>6ab5c9c90289b29ebe86d185</t>
  </si>
  <si>
    <t>24/09/2026 21:13:36</t>
  </si>
  <si>
    <t>6ab5a1570c83eeef88080252</t>
  </si>
  <si>
    <t>24/09/2026 18:27:39</t>
  </si>
  <si>
    <t>24/09/2026 19:16:55</t>
  </si>
  <si>
    <t>6ab5a1540289b29ebe86be7a</t>
  </si>
  <si>
    <t>24/09/2026 18:39:13</t>
  </si>
  <si>
    <t>24/09/2026 19:16:52</t>
  </si>
  <si>
    <t>6ab5a1540289b29ebe86be74</t>
  </si>
  <si>
    <t>24/09/2026 18:13:00</t>
  </si>
  <si>
    <t>6ab5a1530289b29ebe86be6e</t>
  </si>
  <si>
    <t>24/09/2026 18:05:39</t>
  </si>
  <si>
    <t>24/09/2026 19:16:51</t>
  </si>
  <si>
    <t>6ab5a1530289b29ebe86be68</t>
  </si>
  <si>
    <t>24/09/2026 18:02:03</t>
  </si>
  <si>
    <t>6ab5a1530289b29ebe86be62</t>
  </si>
  <si>
    <t>24/09/2026 17:58:02</t>
  </si>
  <si>
    <t>6ab5a1530289b29ebe86be50</t>
  </si>
  <si>
    <t>24/09/2026 17:29:22</t>
  </si>
  <si>
    <t>6ab5a1530289b29ebe86be4a</t>
  </si>
  <si>
    <t>24/09/2026 17:27:36</t>
  </si>
  <si>
    <t>6ab5a1530289b29ebe86be44</t>
  </si>
  <si>
    <t>24/09/2026 17:22:18</t>
  </si>
  <si>
    <t>6ab5a1530289b29ebe86be3e</t>
  </si>
  <si>
    <t>24/09/2026 16:13:16</t>
  </si>
  <si>
    <t>6ab584bae3b3b33e06ed3d36</t>
  </si>
  <si>
    <t>23/09/2026 12:36:34</t>
  </si>
  <si>
    <t>24/09/2026 17:14:50</t>
  </si>
  <si>
    <t>6ab58492e3b3b33e06ed3cfc</t>
  </si>
  <si>
    <t>24/09/2026 17:11:17</t>
  </si>
  <si>
    <t>24/09/2026 17:14:10</t>
  </si>
  <si>
    <t>6abb47852d48c2171f434110</t>
  </si>
  <si>
    <t>28/09/2026 23:53:45</t>
  </si>
  <si>
    <t>29/09/2026 02:07:17</t>
  </si>
  <si>
    <t>28/09/2026</t>
  </si>
  <si>
    <t>6abb47852d48c2171f43410a</t>
  </si>
  <si>
    <t>28/09/2026 23:50:30</t>
  </si>
  <si>
    <t>6abb47842d48c2171f4340fe</t>
  </si>
  <si>
    <t>28/09/2026 22:56:24</t>
  </si>
  <si>
    <t>29/09/2026 02:07:16</t>
  </si>
  <si>
    <t>6abb47842d48c2171f4340f8</t>
  </si>
  <si>
    <t>28/09/2026 22:52:44</t>
  </si>
  <si>
    <t>6abb47842d48c2171f4340f2</t>
  </si>
  <si>
    <t>28/09/2026 22:48:33</t>
  </si>
  <si>
    <t>6abb47842d48c2171f4340ec</t>
  </si>
  <si>
    <t>28/09/2026 22:43:55</t>
  </si>
  <si>
    <t>6abb47842d48c2171f4340e6</t>
  </si>
  <si>
    <t>28/09/2026 22:40:14</t>
  </si>
  <si>
    <t>6abb47842d48c2171f4340e0</t>
  </si>
  <si>
    <t>28/09/2026 22:35:56</t>
  </si>
  <si>
    <t>6abb47842d48c2171f4340da</t>
  </si>
  <si>
    <t>28/09/2026 22:32:48</t>
  </si>
  <si>
    <t>6abb47842d48c2171f4340d4</t>
  </si>
  <si>
    <t>28/09/2026 22:28:00</t>
  </si>
  <si>
    <t>6abb47842d48c2171f4340c8</t>
  </si>
  <si>
    <t>28/09/2026 19:34:24</t>
  </si>
  <si>
    <t>6abb47842d48c2171f4340c2</t>
  </si>
  <si>
    <t>28/09/2026 19:12:00</t>
  </si>
  <si>
    <t>6abb47842d48c2171f4340bc</t>
  </si>
  <si>
    <t>28/09/2026 19:05:50</t>
  </si>
  <si>
    <t>6abb47832d48c2171f4340b0</t>
  </si>
  <si>
    <t>28/09/2026 18:09:08</t>
  </si>
  <si>
    <t>29/09/2026 02:07:15</t>
  </si>
  <si>
    <t>6abb47832d48c2171f4340a8</t>
  </si>
  <si>
    <t>28/09/2026 18:06:11</t>
  </si>
  <si>
    <t>6abb47832d48c2171f4340a2</t>
  </si>
  <si>
    <t>28/09/2026 17:28:59</t>
  </si>
  <si>
    <t>6abb47832d48c2171f43409c</t>
  </si>
  <si>
    <t>28/09/2026 17:24:03</t>
  </si>
  <si>
    <t>6abb47832d48c2171f434096</t>
  </si>
  <si>
    <t>28/09/2026 17:21:21</t>
  </si>
  <si>
    <t>6abb1a1411cbfa0f2c7adc29</t>
  </si>
  <si>
    <t>28/09/2026 22:47:24</t>
  </si>
  <si>
    <t>28/09/2026 22:53:24</t>
  </si>
  <si>
    <t>6abb18cb11cbfa0f2c7adb90</t>
  </si>
  <si>
    <t>28/09/2026 22:12:30</t>
  </si>
  <si>
    <t>28/09/2026 22:47:55</t>
  </si>
  <si>
    <t>6abac9651990ff984e8060f9</t>
  </si>
  <si>
    <t>28/09/2026 17:06:56</t>
  </si>
  <si>
    <t>28/09/2026 17:09:09</t>
  </si>
  <si>
    <t>6abac8de2d48c2171f42d9ae</t>
  </si>
  <si>
    <t>28/09/2026 16:45:29</t>
  </si>
  <si>
    <t>28/09/2026 17:06:54</t>
  </si>
  <si>
    <t>6aba7e60310c830f7ae31dd7</t>
  </si>
  <si>
    <t>28/09/2026 11:44:34</t>
  </si>
  <si>
    <t>28/09/2026 11:49:04</t>
  </si>
  <si>
    <t>6aba7d5697a0ca5bd754647d</t>
  </si>
  <si>
    <t>28/09/2026 08:40:49</t>
  </si>
  <si>
    <t>28/09/2026 11:44:38</t>
  </si>
  <si>
    <t>6aba7d5697a0ca5bd7546477</t>
  </si>
  <si>
    <t>28/09/2026 08:32:37</t>
  </si>
  <si>
    <t>6abd08af43ce2b65efec1a4e</t>
  </si>
  <si>
    <t>30/09/2026 10:00:22</t>
  </si>
  <si>
    <t>30/09/2026 10:03:43</t>
  </si>
  <si>
    <t>30/09/2026</t>
  </si>
  <si>
    <t>6abd08af43ce2b65efec1a48</t>
  </si>
  <si>
    <t>30/09/2026 09:41:36</t>
  </si>
  <si>
    <t>6abd08af43ce2b65efec1a42</t>
  </si>
  <si>
    <t>30/09/2026 08:28:19</t>
  </si>
  <si>
    <t>6abd08af43ce2b65efec1a3c</t>
  </si>
  <si>
    <t>30/09/2026 08:23:18</t>
  </si>
  <si>
    <t>6abd08af43ce2b65efec1a36</t>
  </si>
  <si>
    <t>30/09/2026 08:18:39</t>
  </si>
  <si>
    <t>6abd08af43ce2b65efec1a30</t>
  </si>
  <si>
    <t>30/09/2026 08:14:07</t>
  </si>
  <si>
    <t>6abd08af43ce2b65efec1a2a</t>
  </si>
  <si>
    <t>30/09/2026 08:08:38</t>
  </si>
  <si>
    <t>6abd08af43ce2b65efec1a24</t>
  </si>
  <si>
    <t>30/09/2026 08:04:01</t>
  </si>
  <si>
    <t>6abc9cb898694d34bda8ddf3</t>
  </si>
  <si>
    <t>30/09/2026 01:08:15</t>
  </si>
  <si>
    <t>30/09/2026 02:23:04</t>
  </si>
  <si>
    <t>29/09/2026</t>
  </si>
  <si>
    <t>6abc9cb898694d34bda8dded</t>
  </si>
  <si>
    <t>29/09/2026 23:48:38</t>
  </si>
  <si>
    <t>6abc9cb798694d34bda8dde1</t>
  </si>
  <si>
    <t>29/09/2026 22:35:25</t>
  </si>
  <si>
    <t>30/09/2026 02:23:03</t>
  </si>
  <si>
    <t>6abc9cb798694d34bda8dddb</t>
  </si>
  <si>
    <t>29/09/2026 22:32:36</t>
  </si>
  <si>
    <t>6abc9cb798694d34bda8ddd3</t>
  </si>
  <si>
    <t>29/09/2026 22:29:15</t>
  </si>
  <si>
    <t>6abc9cb798694d34bda8ddcd</t>
  </si>
  <si>
    <t>29/09/2026 22:19:49</t>
  </si>
  <si>
    <t>6abc9cb798694d34bda8ddc1</t>
  </si>
  <si>
    <t>29/09/2026 19:24:55</t>
  </si>
  <si>
    <t>6abc9cb798694d34bda8ddbb</t>
  </si>
  <si>
    <t>29/09/2026 19:16:37</t>
  </si>
  <si>
    <t>6abc9cb798694d34bda8ddb5</t>
  </si>
  <si>
    <t>29/09/2026 19:15:05</t>
  </si>
  <si>
    <t>6abc9cb798694d34bda8ddaf</t>
  </si>
  <si>
    <t>29/09/2026 19:12:09</t>
  </si>
  <si>
    <t>6abc9cb798694d34bda8dda9</t>
  </si>
  <si>
    <t>29/09/2026 19:06:07</t>
  </si>
  <si>
    <t>6abc9cb698694d34bda8dd9d</t>
  </si>
  <si>
    <t>29/09/2026 18:21:38</t>
  </si>
  <si>
    <t>30/09/2026 02:23:02</t>
  </si>
  <si>
    <t>6abc9cb698694d34bda8dd97</t>
  </si>
  <si>
    <t>29/09/2026 18:15:22</t>
  </si>
  <si>
    <t>6abc9cb698694d34bda8dd91</t>
  </si>
  <si>
    <t>29/09/2026 18:06:13</t>
  </si>
  <si>
    <t>6abc9cb698694d34bda8dd8b</t>
  </si>
  <si>
    <t>29/09/2026 18:01:35</t>
  </si>
  <si>
    <t>6abc9cb698694d34bda8dd85</t>
  </si>
  <si>
    <t>29/09/2026 17:57:31</t>
  </si>
  <si>
    <t>6abc9cb698694d34bda8dd7f</t>
  </si>
  <si>
    <t>29/09/2026 17:32:56</t>
  </si>
  <si>
    <t>6abc9cb698694d34bda8dd79</t>
  </si>
  <si>
    <t>29/09/2026 17:28:53</t>
  </si>
  <si>
    <t>6abc6975200cee3d5facd542</t>
  </si>
  <si>
    <t>29/09/2026 22:22:29</t>
  </si>
  <si>
    <t>29/09/2026 22:44:21</t>
  </si>
  <si>
    <t>6abc6975200cee3d5facd53c</t>
  </si>
  <si>
    <t>29/09/2026 22:17:03</t>
  </si>
  <si>
    <t>6abc6975200cee3d5facd536</t>
  </si>
  <si>
    <t>29/09/2026 22:14:57</t>
  </si>
  <si>
    <t>6abc61827f3e0285f259bf65</t>
  </si>
  <si>
    <t>29/09/2026 22:03:16</t>
  </si>
  <si>
    <t>29/09/2026 22:10:26</t>
  </si>
  <si>
    <t>6abc61827f3e0285f259bf5f</t>
  </si>
  <si>
    <t>29/09/2026 21:59:55</t>
  </si>
  <si>
    <t>6abc61827f3e0285f259bf59</t>
  </si>
  <si>
    <t>29/09/2026 21:54:51</t>
  </si>
  <si>
    <t>6abc61827f3e0285f259bf53</t>
  </si>
  <si>
    <t>29/09/2026 21:51:45</t>
  </si>
  <si>
    <t>6abc61827f3e0285f259bf4d</t>
  </si>
  <si>
    <t>29/09/2026 21:47:24</t>
  </si>
  <si>
    <t>6abc61827f3e0285f259bf47</t>
  </si>
  <si>
    <t>29/09/2026 21:42:02</t>
  </si>
  <si>
    <t>6abc61827f3e0285f259bf41</t>
  </si>
  <si>
    <t>29/09/2026 21:36:32</t>
  </si>
  <si>
    <t>6abc61827f3e0285f259bf39</t>
  </si>
  <si>
    <t>29/09/2026 21:33:05</t>
  </si>
  <si>
    <t>6abc34c94535e34def6bcad5</t>
  </si>
  <si>
    <t>29/09/2026 18:20:41</t>
  </si>
  <si>
    <t>29/09/2026 18:59:37</t>
  </si>
  <si>
    <t>6abc2427fde5ec03d7606fe7</t>
  </si>
  <si>
    <t>29/09/2026 17:40:00</t>
  </si>
  <si>
    <t>29/09/2026 17:48:39</t>
  </si>
  <si>
    <t>6abc2427fde5ec03d7606fe1</t>
  </si>
  <si>
    <t>29/09/2026 17:38:56</t>
  </si>
  <si>
    <t>6abc2427fde5ec03d7606fdb</t>
  </si>
  <si>
    <t>29/09/2026 16:52:31</t>
  </si>
  <si>
    <t>6abc162be92aaaa972d589fd</t>
  </si>
  <si>
    <t>29/09/2026 16:45:34</t>
  </si>
  <si>
    <t>29/09/2026 16:48:59</t>
  </si>
  <si>
    <t>6abc05ee5255bb2a51052595</t>
  </si>
  <si>
    <t>29/09/2026 09:20:00</t>
  </si>
  <si>
    <t>29/09/2026 15:39:42</t>
  </si>
  <si>
    <t>6abc05ee5255bb2a5105258f</t>
  </si>
  <si>
    <t>29/09/2026 09:02:47</t>
  </si>
  <si>
    <t>6abc05ee5255bb2a51052589</t>
  </si>
  <si>
    <t>29/09/2026 08:53:01</t>
  </si>
  <si>
    <t>6abc05ee5255bb2a51052583</t>
  </si>
  <si>
    <t>28/09/2026 11:34:36</t>
  </si>
  <si>
    <t>6abc05ee5255bb2a5105257d</t>
  </si>
  <si>
    <t>25/09/2026 15:04:23</t>
  </si>
  <si>
    <t>6abc05ee5255bb2a51052577</t>
  </si>
  <si>
    <t>25/09/2026 14:10:06</t>
  </si>
  <si>
    <t>6abdeedbfa7807c931a7e3d4</t>
  </si>
  <si>
    <t>30/09/2026 22:46:05</t>
  </si>
  <si>
    <t>01/10/2026 02:25:47</t>
  </si>
  <si>
    <t>6abdeedbfa7807c931a7e3ce</t>
  </si>
  <si>
    <t>30/09/2026 22:36:11</t>
  </si>
  <si>
    <t>6abdeedbfa7807c931a7e3c8</t>
  </si>
  <si>
    <t>30/09/2026 22:29:52</t>
  </si>
  <si>
    <t>6abdeedbfa7807c931a7e3c2</t>
  </si>
  <si>
    <t>30/09/2026 22:27:22</t>
  </si>
  <si>
    <t>6abdeedbfa7807c931a7e3bc</t>
  </si>
  <si>
    <t>30/09/2026 22:23:25</t>
  </si>
  <si>
    <t>6abdeedbfa7807c931a7e3b0</t>
  </si>
  <si>
    <t>30/09/2026 21:27:36</t>
  </si>
  <si>
    <t>6abdeedbfa7807c931a7e3aa</t>
  </si>
  <si>
    <t>30/09/2026 19:21:28</t>
  </si>
  <si>
    <t>6abdeedafa7807c931a7e3a4</t>
  </si>
  <si>
    <t>30/09/2026 19:17:43</t>
  </si>
  <si>
    <t>01/10/2026 02:25:46</t>
  </si>
  <si>
    <t>6abdeedafa7807c931a7e39c</t>
  </si>
  <si>
    <t>30/09/2026 19:16:22</t>
  </si>
  <si>
    <t>6abdeedafa7807c931a7e396</t>
  </si>
  <si>
    <t>30/09/2026 19:12:45</t>
  </si>
  <si>
    <t>6abdeedafa7807c931a7e390</t>
  </si>
  <si>
    <t>30/09/2026 19:11:05</t>
  </si>
  <si>
    <t>6abdeedafa7807c931a7e38a</t>
  </si>
  <si>
    <t>30/09/2026 19:02:33</t>
  </si>
  <si>
    <t>6abdeedafa7807c931a7e37e</t>
  </si>
  <si>
    <t>30/09/2026 17:39:33</t>
  </si>
  <si>
    <t>6abdeedafa7807c931a7e378</t>
  </si>
  <si>
    <t>30/09/2026 17:28:38</t>
  </si>
  <si>
    <t>6abdeedafa7807c931a7e372</t>
  </si>
  <si>
    <t>30/09/2026 17:25:03</t>
  </si>
  <si>
    <t>6abdeedafa7807c931a7e36c</t>
  </si>
  <si>
    <t>30/09/2026 17:21:07</t>
  </si>
  <si>
    <t>6abdeedafa7807c931a7e366</t>
  </si>
  <si>
    <t>30/09/2026 17:11:45</t>
  </si>
  <si>
    <t>6abdc4b67b027318e0208b27</t>
  </si>
  <si>
    <t>30/09/2026 22:26:17</t>
  </si>
  <si>
    <t>30/09/2026 23:25:58</t>
  </si>
  <si>
    <t>6abdc4b67b027318e0208b21</t>
  </si>
  <si>
    <t>30/09/2026 22:13:36</t>
  </si>
  <si>
    <t>6abdc4b67b027318e0208b19</t>
  </si>
  <si>
    <t>30/09/2026 22:06:29</t>
  </si>
  <si>
    <t>6abdbe8e7b027318e02088e3</t>
  </si>
  <si>
    <t>30/09/2026 22:18:52</t>
  </si>
  <si>
    <t>30/09/2026 22:59:42</t>
  </si>
  <si>
    <t>6abdbe8e7b027318e02088dd</t>
  </si>
  <si>
    <t>30/09/2026 22:16:02</t>
  </si>
  <si>
    <t>6abdbe8e7b027318e02088d7</t>
  </si>
  <si>
    <t>30/09/2026 22:04:42</t>
  </si>
  <si>
    <t>6abd7ef01dccde3e7e103406</t>
  </si>
  <si>
    <t>30/09/2026 18:10:27</t>
  </si>
  <si>
    <t>30/09/2026 18:28:16</t>
  </si>
  <si>
    <t>6abd7ef01dccde3e7e103400</t>
  </si>
  <si>
    <t>30/09/2026 18:08:00</t>
  </si>
  <si>
    <t>6abd7ef01dccde3e7e1033fa</t>
  </si>
  <si>
    <t>30/09/2026 18:03:19</t>
  </si>
  <si>
    <t>6abd7ef01dccde3e7e1033f4</t>
  </si>
  <si>
    <t>30/09/2026 18:01:29</t>
  </si>
  <si>
    <t>6abd7ef01dccde3e7e1033ee</t>
  </si>
  <si>
    <t>30/09/2026 17:58:53</t>
  </si>
  <si>
    <t>6abd7ef01dccde3e7e1033e8</t>
  </si>
  <si>
    <t>30/09/2026 17:09:59</t>
  </si>
  <si>
    <t>6abd7eef1dccde3e7e1033e2</t>
  </si>
  <si>
    <t>30/09/2026 16:58:25</t>
  </si>
  <si>
    <t>30/09/2026 18:28:15</t>
  </si>
  <si>
    <t>6abd4fcdff6ac25cf5259064</t>
  </si>
  <si>
    <t>30/09/2026 13:46:39</t>
  </si>
  <si>
    <t>30/09/2026 15:07:09</t>
  </si>
  <si>
    <t>6abd4253f9405e4814028384</t>
  </si>
  <si>
    <t>30/09/2026 13:59:38</t>
  </si>
  <si>
    <t>30/09/2026 14:09:39</t>
  </si>
  <si>
    <t>6abd4253f9405e481402837e</t>
  </si>
  <si>
    <t>30/09/2026 13:52:46</t>
  </si>
  <si>
    <t>6abd4253f9405e4814028378</t>
  </si>
  <si>
    <t>30/09/2026 13:48:55</t>
  </si>
  <si>
    <t>6abd4253f9405e4814028372</t>
  </si>
  <si>
    <t>30/09/2026 13:42:54</t>
  </si>
  <si>
    <t>6abd4253f9405e481402836c</t>
  </si>
  <si>
    <t>30/09/2026 13:37:20</t>
  </si>
  <si>
    <t>6abd255e7b027318e01fc90a</t>
  </si>
  <si>
    <t>30/09/2026 12:01:23</t>
  </si>
  <si>
    <t>30/09/2026 12:06:06</t>
  </si>
  <si>
    <t>6abd255e7b027318e01fc904</t>
  </si>
  <si>
    <t>30/09/2026 11:53:02</t>
  </si>
  <si>
    <t>6abd255e7b027318e01fc8fe</t>
  </si>
  <si>
    <t>30/09/2026 11:47:41</t>
  </si>
  <si>
    <t>6abd255e7b027318e01fc8f8</t>
  </si>
  <si>
    <t>30/09/2026 11:42:50</t>
  </si>
  <si>
    <t>6abd255e7b027318e01fc8f2</t>
  </si>
  <si>
    <t>30/09/2026 11:40:12</t>
  </si>
  <si>
    <t>6abf3b742a994604e4a010c2</t>
  </si>
  <si>
    <t>01/10/2026 22:41:45</t>
  </si>
  <si>
    <t>02/10/2026 02:04:52</t>
  </si>
  <si>
    <t>01/10/2026</t>
  </si>
  <si>
    <t>6abf3ad13cf16866fa66609d</t>
  </si>
  <si>
    <t>01/10/2026 17:37:11</t>
  </si>
  <si>
    <t>02/10/2026 02:02:09</t>
  </si>
  <si>
    <t>6abf3abcfeff8ad157fab5a3</t>
  </si>
  <si>
    <t>01/10/2026 22:36:06</t>
  </si>
  <si>
    <t>02/10/2026 02:01:48</t>
  </si>
  <si>
    <t>6abf3abcfeff8ad157fab59d</t>
  </si>
  <si>
    <t>01/10/2026 22:22:08</t>
  </si>
  <si>
    <t>6abf3abcfeff8ad157fab597</t>
  </si>
  <si>
    <t>01/10/2026 22:19:50</t>
  </si>
  <si>
    <t>6abf3abcfeff8ad157fab591</t>
  </si>
  <si>
    <t>01/10/2026 22:17:38</t>
  </si>
  <si>
    <t>6abf3abcfeff8ad157fab58b</t>
  </si>
  <si>
    <t>01/10/2026 22:15:29</t>
  </si>
  <si>
    <t>6abf3abcfeff8ad157fab585</t>
  </si>
  <si>
    <t>01/10/2026 22:06:30</t>
  </si>
  <si>
    <t>6abf3abbfeff8ad157fab579</t>
  </si>
  <si>
    <t>01/10/2026 19:13:46</t>
  </si>
  <si>
    <t>02/10/2026 02:01:47</t>
  </si>
  <si>
    <t>6abf3abbfeff8ad157fab573</t>
  </si>
  <si>
    <t>01/10/2026 19:06:44</t>
  </si>
  <si>
    <t>6abf3abbfeff8ad157fab56d</t>
  </si>
  <si>
    <t>01/10/2026 19:00:32</t>
  </si>
  <si>
    <t>6abf3abbfeff8ad157fab565</t>
  </si>
  <si>
    <t>01/10/2026 18:57:49</t>
  </si>
  <si>
    <t>6abf3abbfeff8ad157fab55f</t>
  </si>
  <si>
    <t>01/10/2026 17:41:14</t>
  </si>
  <si>
    <t>6abf3abbfeff8ad157fab559</t>
  </si>
  <si>
    <t>01/10/2026 17:35:05</t>
  </si>
  <si>
    <t>6abf3abbfeff8ad157fab553</t>
  </si>
  <si>
    <t>01/10/2026 17:29:50</t>
  </si>
  <si>
    <t>6abf3abbfeff8ad157fab54d</t>
  </si>
  <si>
    <t>01/10/2026 17:26:01</t>
  </si>
  <si>
    <t>6abf3abbfeff8ad157fab547</t>
  </si>
  <si>
    <t>01/10/2026 17:22:16</t>
  </si>
  <si>
    <t>6abf1c7676e463e032f56571</t>
  </si>
  <si>
    <t>01/10/2026 23:38:12</t>
  </si>
  <si>
    <t>01/10/2026 23:52:38</t>
  </si>
  <si>
    <t>6abf1c7676e463e032f5656b</t>
  </si>
  <si>
    <t>01/10/2026 23:30:30</t>
  </si>
  <si>
    <t>6abf1c7676e463e032f56565</t>
  </si>
  <si>
    <t>01/10/2026 23:23:23</t>
  </si>
  <si>
    <t>6abf1c7676e463e032f5655f</t>
  </si>
  <si>
    <t>01/10/2026 23:19:41</t>
  </si>
  <si>
    <t>6abf1c7676e463e032f56559</t>
  </si>
  <si>
    <t>01/10/2026 23:16:29</t>
  </si>
  <si>
    <t>6abf0b369b405ad761b0c713</t>
  </si>
  <si>
    <t>01/10/2026 22:06:37</t>
  </si>
  <si>
    <t>01/10/2026 22:39:02</t>
  </si>
  <si>
    <t>6abeef192a994604e49ff4e5</t>
  </si>
  <si>
    <t>01/10/2026 18:20:27</t>
  </si>
  <si>
    <t>01/10/2026 20:39:05</t>
  </si>
  <si>
    <t>6abeeef8bd86e569124905b8</t>
  </si>
  <si>
    <t>01/10/2026 19:05:48</t>
  </si>
  <si>
    <t>01/10/2026 20:38:32</t>
  </si>
  <si>
    <t>6abeeef8bd86e569124905b0</t>
  </si>
  <si>
    <t>30/09/2026 22:46:57</t>
  </si>
  <si>
    <t>6abe86154535e34def6f29fc</t>
  </si>
  <si>
    <t>01/10/2026 08:56:55</t>
  </si>
  <si>
    <t>01/10/2026 13:11:01</t>
  </si>
  <si>
    <t>6abe86154535e34def6f29f6</t>
  </si>
  <si>
    <t>01/10/2026 08:53:43</t>
  </si>
  <si>
    <t>6abe86154535e34def6f29f0</t>
  </si>
  <si>
    <t>01/10/2026 08:48:56</t>
  </si>
  <si>
    <t>OUT</t>
  </si>
  <si>
    <t>6ac486f64854db7e48d93b4a</t>
  </si>
  <si>
    <t>05/10/2026 22:57:12</t>
  </si>
  <si>
    <t>06/10/2026 02:28:22</t>
  </si>
  <si>
    <t>05/10/2026</t>
  </si>
  <si>
    <t>6ac486f64854db7e48d93b44</t>
  </si>
  <si>
    <t>05/10/2026 22:51:45</t>
  </si>
  <si>
    <t>6ac486f64854db7e48d93b3e</t>
  </si>
  <si>
    <t>05/10/2026 22:39:21</t>
  </si>
  <si>
    <t>6ac486f64854db7e48d93b38</t>
  </si>
  <si>
    <t>05/10/2026 22:34:37</t>
  </si>
  <si>
    <t>6ac486f64854db7e48d93b32</t>
  </si>
  <si>
    <t>05/10/2026 22:32:25</t>
  </si>
  <si>
    <t>6ac486f54854db7e48d93b20</t>
  </si>
  <si>
    <t>05/10/2026 19:35:40</t>
  </si>
  <si>
    <t>06/10/2026 02:28:21</t>
  </si>
  <si>
    <t>6ac486f54854db7e48d93b1a</t>
  </si>
  <si>
    <t>05/10/2026 18:58:19</t>
  </si>
  <si>
    <t>6ac486f54854db7e48d93b14</t>
  </si>
  <si>
    <t>05/10/2026 18:54:58</t>
  </si>
  <si>
    <t>6ac486f54854db7e48d93b0e</t>
  </si>
  <si>
    <t>05/10/2026 18:50:26</t>
  </si>
  <si>
    <t>6ac486f54854db7e48d93b08</t>
  </si>
  <si>
    <t>05/10/2026 18:43:05</t>
  </si>
  <si>
    <t>6ac486f54854db7e48d93b02</t>
  </si>
  <si>
    <t>05/10/2026 18:41:18</t>
  </si>
  <si>
    <t>6ac486f54854db7e48d93afc</t>
  </si>
  <si>
    <t>05/10/2026 18:36:21</t>
  </si>
  <si>
    <t>6ac486f54854db7e48d93af6</t>
  </si>
  <si>
    <t>05/10/2026 18:34:15</t>
  </si>
  <si>
    <t>6ac486f54854db7e48d93af0</t>
  </si>
  <si>
    <t>05/10/2026 18:27:02</t>
  </si>
  <si>
    <t>6ac486f54854db7e48d93aea</t>
  </si>
  <si>
    <t>05/10/2026 17:57:27</t>
  </si>
  <si>
    <t>6ac486f54854db7e48d93ae2</t>
  </si>
  <si>
    <t>05/10/2026 17:55:18</t>
  </si>
  <si>
    <t>6ac486f54854db7e48d93adc</t>
  </si>
  <si>
    <t>05/10/2026 17:51:49</t>
  </si>
  <si>
    <t>6ac459469b7db2ba7646aa77</t>
  </si>
  <si>
    <t>05/10/2026 22:37:12</t>
  </si>
  <si>
    <t>05/10/2026 23:13:26</t>
  </si>
  <si>
    <t>6ac44fa7826700b8f0e72f45</t>
  </si>
  <si>
    <t>05/10/2026 22:21:15</t>
  </si>
  <si>
    <t>05/10/2026 22:32:23</t>
  </si>
  <si>
    <t>6ac44fa7826700b8f0e72f3f</t>
  </si>
  <si>
    <t>05/10/2026 22:16:22</t>
  </si>
  <si>
    <t>6ac44fa7826700b8f0e72f39</t>
  </si>
  <si>
    <t>05/10/2026 22:07:04</t>
  </si>
  <si>
    <t>6ac44fa7826700b8f0e72f33</t>
  </si>
  <si>
    <t>05/10/2026 22:03:40</t>
  </si>
  <si>
    <t>6ac44fa7826700b8f0e72f2d</t>
  </si>
  <si>
    <t>05/10/2026 21:58:02</t>
  </si>
  <si>
    <t>6ac44fa7826700b8f0e72f27</t>
  </si>
  <si>
    <t>05/10/2026 21:54:17</t>
  </si>
  <si>
    <t>6ac443e3826700b8f0e72ad0</t>
  </si>
  <si>
    <t>05/10/2026 21:33:37</t>
  </si>
  <si>
    <t>05/10/2026 21:42:11</t>
  </si>
  <si>
    <t>6ac093abdb68f2f72a0ff095</t>
  </si>
  <si>
    <t>02/10/2026 23:33:02</t>
  </si>
  <si>
    <t>03/10/2026 02:33:31</t>
  </si>
  <si>
    <t>02/10/2026</t>
  </si>
  <si>
    <t>6ac093abdb68f2f72a0ff08f</t>
  </si>
  <si>
    <t>02/10/2026 23:16:04</t>
  </si>
  <si>
    <t>6ac093aadb68f2f72a0ff089</t>
  </si>
  <si>
    <t>02/10/2026 23:11:23</t>
  </si>
  <si>
    <t>03/10/2026 02:33:30</t>
  </si>
  <si>
    <t>6ac093aadb68f2f72a0ff07d</t>
  </si>
  <si>
    <t>02/10/2026 21:47:32</t>
  </si>
  <si>
    <t>6ac093aadb68f2f72a0ff077</t>
  </si>
  <si>
    <t>02/10/2026 21:44:58</t>
  </si>
  <si>
    <t>6ac093aadb68f2f72a0ff071</t>
  </si>
  <si>
    <t>02/10/2026 21:43:54</t>
  </si>
  <si>
    <t>6ac093aadb68f2f72a0ff06b</t>
  </si>
  <si>
    <t>02/10/2026 21:42:40</t>
  </si>
  <si>
    <t>6ac093aadb68f2f72a0ff065</t>
  </si>
  <si>
    <t>02/10/2026 21:34:46</t>
  </si>
  <si>
    <t>6ac093aadb68f2f72a0ff05f</t>
  </si>
  <si>
    <t>02/10/2026 21:31:49</t>
  </si>
  <si>
    <t>6ac093aadb68f2f72a0ff059</t>
  </si>
  <si>
    <t>02/10/2026 21:28:42</t>
  </si>
  <si>
    <t>6ac093aadb68f2f72a0ff04d</t>
  </si>
  <si>
    <t>02/10/2026 20:44:27</t>
  </si>
  <si>
    <t>6ac093a9db68f2f72a0ff041</t>
  </si>
  <si>
    <t>02/10/2026 17:43:03</t>
  </si>
  <si>
    <t>03/10/2026 02:33:29</t>
  </si>
  <si>
    <t>6ac093a9db68f2f72a0ff03b</t>
  </si>
  <si>
    <t>02/10/2026 17:37:32</t>
  </si>
  <si>
    <t>6ac093a9db68f2f72a0ff035</t>
  </si>
  <si>
    <t>02/10/2026 17:34:21</t>
  </si>
  <si>
    <t>6ac093a9db68f2f72a0ff02f</t>
  </si>
  <si>
    <t>02/10/2026 17:19:17</t>
  </si>
  <si>
    <t>6ac093a9db68f2f72a0ff029</t>
  </si>
  <si>
    <t>02/10/2026 17:15:03</t>
  </si>
  <si>
    <t>6ac062bedb68f2f72a0fe1ca</t>
  </si>
  <si>
    <t>02/10/2026 22:44:23</t>
  </si>
  <si>
    <t>02/10/2026 23:04:46</t>
  </si>
  <si>
    <t>6ac062bedb68f2f72a0fe1c4</t>
  </si>
  <si>
    <t>02/10/2026 22:42:34</t>
  </si>
  <si>
    <t>6ac062bddb68f2f72a0fe1be</t>
  </si>
  <si>
    <t>02/10/2026 22:37:58</t>
  </si>
  <si>
    <t>02/10/2026 23:04:45</t>
  </si>
  <si>
    <t>6ac04e47486c261c1ca08e9a</t>
  </si>
  <si>
    <t>02/10/2026 20:58:50</t>
  </si>
  <si>
    <t>02/10/2026 21:37:27</t>
  </si>
  <si>
    <t>6ac04e37feff8ad157fd67e5</t>
  </si>
  <si>
    <t>02/10/2026 21:16:28</t>
  </si>
  <si>
    <t>02/10/2026 21:37:11</t>
  </si>
  <si>
    <t>6ac04e37feff8ad157fd67df</t>
  </si>
  <si>
    <t>02/10/2026 21:13:27</t>
  </si>
  <si>
    <t>6ac04e37feff8ad157fd67d9</t>
  </si>
  <si>
    <t>02/10/2026 21:09:28</t>
  </si>
  <si>
    <t>6ac04e37feff8ad157fd67d3</t>
  </si>
  <si>
    <t>02/10/2026 21:06:07</t>
  </si>
  <si>
    <t>6ac04e37feff8ad157fd67cd</t>
  </si>
  <si>
    <t>02/10/2026 21:03:53</t>
  </si>
  <si>
    <t>6ac04e37feff8ad157fd67c7</t>
  </si>
  <si>
    <t>02/10/2026 20:53:22</t>
  </si>
  <si>
    <t>6ac043b81363200b808a2986</t>
  </si>
  <si>
    <t>02/10/2026 18:49:18</t>
  </si>
  <si>
    <t>02/10/2026 20:52:24</t>
  </si>
  <si>
    <t>6ac043b81363200b808a2980</t>
  </si>
  <si>
    <t>02/10/2026 18:38:29</t>
  </si>
  <si>
    <t>6ac043b81363200b808a297a</t>
  </si>
  <si>
    <t>02/10/2026 17:34:02</t>
  </si>
  <si>
    <t>6ac02b992a994604e4a14824</t>
  </si>
  <si>
    <t>02/10/2026 14:56:41</t>
  </si>
  <si>
    <t>02/10/2026 19:09:29</t>
  </si>
  <si>
    <t>6abff25b4854db7e48d4c58b</t>
  </si>
  <si>
    <t>02/10/2026 15:02:41</t>
  </si>
  <si>
    <t>02/10/2026 15:05:15</t>
  </si>
  <si>
    <t>6abff1be78034b104e18e60e</t>
  </si>
  <si>
    <t>02/10/2026 10:27:07</t>
  </si>
  <si>
    <t>02/10/2026 15:02:38</t>
  </si>
  <si>
    <t>6abff1be78034b104e18e608</t>
  </si>
  <si>
    <t>02/10/2026 10:21:44</t>
  </si>
  <si>
    <t>6abff1be78034b104e18e602</t>
  </si>
  <si>
    <t>01/10/2026 12:14:22</t>
  </si>
  <si>
    <t>6abff1be78034b104e18e5fc</t>
  </si>
  <si>
    <t>01/10/2026 12:10:33</t>
  </si>
  <si>
    <t>6abfdcdd36d49b922976381c</t>
  </si>
  <si>
    <t>02/10/2026 09:00:20</t>
  </si>
  <si>
    <t>02/10/2026 13:33:33</t>
  </si>
  <si>
    <t>6abfdcdd36d49b9229763816</t>
  </si>
  <si>
    <t>02/10/2026 08:55:32</t>
  </si>
  <si>
    <t>6abfdcdd36d49b9229763810</t>
  </si>
  <si>
    <t>02/10/2026 08:50:40</t>
  </si>
  <si>
    <t>6abfdcdd36d49b922976380a</t>
  </si>
  <si>
    <t>02/10/2026 08:48:05</t>
  </si>
  <si>
    <t>6abfdcdd36d49b9229763804</t>
  </si>
  <si>
    <t>01/10/2026 16:58:10</t>
  </si>
  <si>
    <t>6ac7dc6978034b104e266dd2</t>
  </si>
  <si>
    <t>08/10/2026 14:59:11</t>
  </si>
  <si>
    <t>08/10/2026 15:09:45</t>
  </si>
  <si>
    <t>08/10/2026</t>
  </si>
  <si>
    <t>6ac7dc6978034b104e266dcc</t>
  </si>
  <si>
    <t>08/10/2026 14:55:39</t>
  </si>
  <si>
    <t>6ac7dc6978034b104e266dc6</t>
  </si>
  <si>
    <t>08/10/2026 14:50:50</t>
  </si>
  <si>
    <t>6ac7dc6978034b104e266dc0</t>
  </si>
  <si>
    <t>08/10/2026 14:45:55</t>
  </si>
  <si>
    <t>6ac7dc6978034b104e266dba</t>
  </si>
  <si>
    <t>08/10/2026 14:39:24</t>
  </si>
  <si>
    <t>6ac7dc6978034b104e266db4</t>
  </si>
  <si>
    <t>08/10/2026 14:36:45</t>
  </si>
  <si>
    <t>6ac7dc6878034b104e266da2</t>
  </si>
  <si>
    <t>08/10/2026 11:55:49</t>
  </si>
  <si>
    <t>08/10/2026 15:09:44</t>
  </si>
  <si>
    <t>6ac7dc6878034b104e266d9c</t>
  </si>
  <si>
    <t>08/10/2026 11:53:51</t>
  </si>
  <si>
    <t>6ac7ac879b7db2ba764ec897</t>
  </si>
  <si>
    <t>08/10/2026 11:42:01</t>
  </si>
  <si>
    <t>08/10/2026 11:45:27</t>
  </si>
  <si>
    <t>6ac781b69b405ad761bd268b</t>
  </si>
  <si>
    <t>07/10/2026 11:40:51</t>
  </si>
  <si>
    <t>08/10/2026 08:42:46</t>
  </si>
  <si>
    <t>07/10/2026</t>
  </si>
  <si>
    <t>6ac7819f5981b750ab218432</t>
  </si>
  <si>
    <t>07/10/2026 11:43:48</t>
  </si>
  <si>
    <t>08/10/2026 08:42:23</t>
  </si>
  <si>
    <t>6ac78171898c48a2f44843d8</t>
  </si>
  <si>
    <t>08/10/2026 08:35:52</t>
  </si>
  <si>
    <t>08/10/2026 08:41:37</t>
  </si>
  <si>
    <t>6ac78171898c48a2f44843d2</t>
  </si>
  <si>
    <t>07/10/2026 17:19:07</t>
  </si>
  <si>
    <t>6ac77862486c261c1cacc92e</t>
  </si>
  <si>
    <t>08/10/2026 00:53:41</t>
  </si>
  <si>
    <t>08/10/2026 08:02:58</t>
  </si>
  <si>
    <t>6ac77861486c261c1cacc922</t>
  </si>
  <si>
    <t>07/10/2026 17:28:14</t>
  </si>
  <si>
    <t>08/10/2026 08:02:57</t>
  </si>
  <si>
    <t>6ac777aa1255169047e834d4</t>
  </si>
  <si>
    <t>08/10/2026 00:59:19</t>
  </si>
  <si>
    <t>08/10/2026 07:59:54</t>
  </si>
  <si>
    <t>6ac777aa1255169047e834ce</t>
  </si>
  <si>
    <t>08/10/2026 00:45:28</t>
  </si>
  <si>
    <t>6ac777aa1255169047e834c8</t>
  </si>
  <si>
    <t>07/10/2026 21:56:23</t>
  </si>
  <si>
    <t>6ac777aa1255169047e834c2</t>
  </si>
  <si>
    <t>07/10/2026 21:40:29</t>
  </si>
  <si>
    <t>6ac777aa1255169047e834bc</t>
  </si>
  <si>
    <t>07/10/2026 21:36:21</t>
  </si>
  <si>
    <t>6ac777aa1255169047e834b6</t>
  </si>
  <si>
    <t>07/10/2026 21:32:11</t>
  </si>
  <si>
    <t>6ac777aa1255169047e834b0</t>
  </si>
  <si>
    <t>07/10/2026 21:28:19</t>
  </si>
  <si>
    <t>6ac777aa1255169047e834a8</t>
  </si>
  <si>
    <t>07/10/2026 21:23:14</t>
  </si>
  <si>
    <t>6ac777aa1255169047e834a2</t>
  </si>
  <si>
    <t>07/10/2026 20:35:47</t>
  </si>
  <si>
    <t>6ac777aa1255169047e8349c</t>
  </si>
  <si>
    <t>07/10/2026 20:33:22</t>
  </si>
  <si>
    <t>6ac777a91255169047e83496</t>
  </si>
  <si>
    <t>07/10/2026 20:30:56</t>
  </si>
  <si>
    <t>08/10/2026 07:59:53</t>
  </si>
  <si>
    <t>6ac777a91255169047e83490</t>
  </si>
  <si>
    <t>07/10/2026 20:28:49</t>
  </si>
  <si>
    <t>6ac777a91255169047e8348a</t>
  </si>
  <si>
    <t>07/10/2026 20:26:50</t>
  </si>
  <si>
    <t>6ac777a91255169047e83484</t>
  </si>
  <si>
    <t>07/10/2026 17:25:17</t>
  </si>
  <si>
    <t>6ac6a64b9b405ad761bc76bd</t>
  </si>
  <si>
    <t>07/10/2026 17:02:46</t>
  </si>
  <si>
    <t>07/10/2026 17:06:35</t>
  </si>
  <si>
    <t>6ac65e0d36d49b92297ff332</t>
  </si>
  <si>
    <t>07/10/2026 11:36:49</t>
  </si>
  <si>
    <t>07/10/2026 11:58:21</t>
  </si>
  <si>
    <t>6ac658f776e463e032ff4e35</t>
  </si>
  <si>
    <t>07/10/2026 08:53:16</t>
  </si>
  <si>
    <t>07/10/2026 11:36:39</t>
  </si>
  <si>
    <t>6ac631a23cf16866fa6da237</t>
  </si>
  <si>
    <t>07/10/2026 08:37:15</t>
  </si>
  <si>
    <t>07/10/2026 08:48:50</t>
  </si>
  <si>
    <t>6ac6318c1255169047e2370f</t>
  </si>
  <si>
    <t>07/10/2026 08:41:39</t>
  </si>
  <si>
    <t>07/10/2026 08:48:28</t>
  </si>
  <si>
    <t>6ac5da4a636e383ab3c2e99e</t>
  </si>
  <si>
    <t>06/10/2026 23:34:39</t>
  </si>
  <si>
    <t>07/10/2026 02:36:10</t>
  </si>
  <si>
    <t>06/10/2026</t>
  </si>
  <si>
    <t>6ac5da4a636e383ab3c2e998</t>
  </si>
  <si>
    <t>06/10/2026 22:34:46</t>
  </si>
  <si>
    <t>6ac5da4a636e383ab3c2e992</t>
  </si>
  <si>
    <t>06/10/2026 22:23:22</t>
  </si>
  <si>
    <t>6ac5da4a636e383ab3c2e98c</t>
  </si>
  <si>
    <t>06/10/2026 22:19:49</t>
  </si>
  <si>
    <t>6ac5da4a636e383ab3c2e984</t>
  </si>
  <si>
    <t>06/10/2026 22:17:31</t>
  </si>
  <si>
    <t>6ac5da49636e383ab3c2e972</t>
  </si>
  <si>
    <t>06/10/2026 19:21:23</t>
  </si>
  <si>
    <t>07/10/2026 02:36:09</t>
  </si>
  <si>
    <t>6ac5da49636e383ab3c2e96c</t>
  </si>
  <si>
    <t>06/10/2026 19:10:51</t>
  </si>
  <si>
    <t>6ac5da49636e383ab3c2e966</t>
  </si>
  <si>
    <t>06/10/2026 19:06:55</t>
  </si>
  <si>
    <t>6ac5da49636e383ab3c2e960</t>
  </si>
  <si>
    <t>06/10/2026 19:04:55</t>
  </si>
  <si>
    <t>6ac5da49636e383ab3c2e95a</t>
  </si>
  <si>
    <t>06/10/2026 19:02:40</t>
  </si>
  <si>
    <t>6ac5da49636e383ab3c2e954</t>
  </si>
  <si>
    <t>06/10/2026 19:00:59</t>
  </si>
  <si>
    <t>6ac5da49636e383ab3c2e94e</t>
  </si>
  <si>
    <t>06/10/2026 18:58:49</t>
  </si>
  <si>
    <t>6ac5da48636e383ab3c2e942</t>
  </si>
  <si>
    <t>06/10/2026 17:26:14</t>
  </si>
  <si>
    <t>07/10/2026 02:36:08</t>
  </si>
  <si>
    <t>6ac5da48636e383ab3c2e93c</t>
  </si>
  <si>
    <t>06/10/2026 17:18:01</t>
  </si>
  <si>
    <t>6ac5da48636e383ab3c2e936</t>
  </si>
  <si>
    <t>06/10/2026 17:13:27</t>
  </si>
  <si>
    <t>6ac5bc7a6bcca7f96f5042df</t>
  </si>
  <si>
    <t>07/10/2026 00:20:10</t>
  </si>
  <si>
    <t>07/10/2026 00:28:58</t>
  </si>
  <si>
    <t>6ac5bc7a6bcca7f96f5042d9</t>
  </si>
  <si>
    <t>07/10/2026 00:18:30</t>
  </si>
  <si>
    <t>6ac5bc7a6bcca7f96f5042d3</t>
  </si>
  <si>
    <t>07/10/2026 00:15:35</t>
  </si>
  <si>
    <t>6ac5bc7a6bcca7f96f5042cd</t>
  </si>
  <si>
    <t>07/10/2026 00:12:25</t>
  </si>
  <si>
    <t>6ac5bc796bcca7f96f5042c7</t>
  </si>
  <si>
    <t>07/10/2026 00:06:44</t>
  </si>
  <si>
    <t>07/10/2026 00:28:57</t>
  </si>
  <si>
    <t>6ac5bc796bcca7f96f5042af</t>
  </si>
  <si>
    <t>06/10/2026 23:52:30</t>
  </si>
  <si>
    <t>6ac53b984854db7e48dab89e</t>
  </si>
  <si>
    <t>06/10/2026 11:48:10</t>
  </si>
  <si>
    <t>06/10/2026 15:19:04</t>
  </si>
  <si>
    <t>6ac53b984854db7e48dab898</t>
  </si>
  <si>
    <t>06/10/2026 11:41:36</t>
  </si>
  <si>
    <t>6ac53b984854db7e48dab892</t>
  </si>
  <si>
    <t>06/10/2026 11:30:24</t>
  </si>
  <si>
    <t>6ac53b984854db7e48dab88c</t>
  </si>
  <si>
    <t>06/10/2026 08:46:46</t>
  </si>
  <si>
    <t>6ac50accfeff8ad15700bb18</t>
  </si>
  <si>
    <t>06/10/2026 08:25:14</t>
  </si>
  <si>
    <t>06/10/2026 11:50:52</t>
  </si>
  <si>
    <t>6ac50accfeff8ad15700bb12</t>
  </si>
  <si>
    <t>06/10/2026 08:20:42</t>
  </si>
  <si>
    <t>6ac50accfeff8ad15700bb0c</t>
  </si>
  <si>
    <t>06/10/2026 08:16:28</t>
  </si>
  <si>
    <t>6ac50accfeff8ad15700bb06</t>
  </si>
  <si>
    <t>05/10/2026 08:43:51</t>
  </si>
  <si>
    <t>6ace48a85a635f293af8320d</t>
  </si>
  <si>
    <t>13/10/2026 12:01:12</t>
  </si>
  <si>
    <t>13/10/2026 12:05:12</t>
  </si>
  <si>
    <t>13/10/2026</t>
  </si>
  <si>
    <t>6ac9cdb20fd30db1b9055a15</t>
  </si>
  <si>
    <t>09/10/2026 22:33:26</t>
  </si>
  <si>
    <t>10/10/2026 02:31:30</t>
  </si>
  <si>
    <t>09/10/2026</t>
  </si>
  <si>
    <t>6ac9cdb20fd30db1b9055a09</t>
  </si>
  <si>
    <t>09/10/2026 21:54:07</t>
  </si>
  <si>
    <t>6ac9cdb20fd30db1b9055a03</t>
  </si>
  <si>
    <t>09/10/2026 21:51:24</t>
  </si>
  <si>
    <t>6ac9cdb20fd30db1b90559fd</t>
  </si>
  <si>
    <t>09/10/2026 21:43:29</t>
  </si>
  <si>
    <t>6ac9cdb20fd30db1b90559f7</t>
  </si>
  <si>
    <t>09/10/2026 21:39:46</t>
  </si>
  <si>
    <t>6ac9cdb20fd30db1b90559f1</t>
  </si>
  <si>
    <t>09/10/2026 21:37:32</t>
  </si>
  <si>
    <t>6ac9cdb20fd30db1b90559eb</t>
  </si>
  <si>
    <t>09/10/2026 21:35:46</t>
  </si>
  <si>
    <t>6ac9cdb20fd30db1b90559e5</t>
  </si>
  <si>
    <t>09/10/2026 21:33:44</t>
  </si>
  <si>
    <t>6ac9cdb20fd30db1b90559df</t>
  </si>
  <si>
    <t>09/10/2026 20:51:42</t>
  </si>
  <si>
    <t>6ac9cdb20fd30db1b90559d9</t>
  </si>
  <si>
    <t>09/10/2026 20:47:21</t>
  </si>
  <si>
    <t>6ac9cdb20fd30db1b90559d3</t>
  </si>
  <si>
    <t>09/10/2026 20:45:01</t>
  </si>
  <si>
    <t>6ac9cdb20fd30db1b90559cd</t>
  </si>
  <si>
    <t>09/10/2026 20:38:14</t>
  </si>
  <si>
    <t>6ac9cdb10fd30db1b90559bb</t>
  </si>
  <si>
    <t>09/10/2026 17:11:51</t>
  </si>
  <si>
    <t>10/10/2026 02:31:29</t>
  </si>
  <si>
    <t>6ac999347db71d3e24d6f178</t>
  </si>
  <si>
    <t>09/10/2026 22:33:47</t>
  </si>
  <si>
    <t>09/10/2026 22:47:32</t>
  </si>
  <si>
    <t>6ac999347db71d3e24d6f172</t>
  </si>
  <si>
    <t>09/10/2026 22:28:46</t>
  </si>
  <si>
    <t>6ac999347db71d3e24d6f16c</t>
  </si>
  <si>
    <t>09/10/2026 22:26:12</t>
  </si>
  <si>
    <t>6ac999347db71d3e24d6f166</t>
  </si>
  <si>
    <t>09/10/2026 22:23:28</t>
  </si>
  <si>
    <t>6ac999347db71d3e24d6f160</t>
  </si>
  <si>
    <t>09/10/2026 22:18:15</t>
  </si>
  <si>
    <t>6ac991f6493a357f396cdd99</t>
  </si>
  <si>
    <t>09/10/2026 22:08:34</t>
  </si>
  <si>
    <t>09/10/2026 22:16:38</t>
  </si>
  <si>
    <t>6ac991f6493a357f396cdd93</t>
  </si>
  <si>
    <t>09/10/2026 22:04:39</t>
  </si>
  <si>
    <t>6ac991f6493a357f396cdd8d</t>
  </si>
  <si>
    <t>09/10/2026 22:00:46</t>
  </si>
  <si>
    <t>6ac95339456997e73a0c5ac0</t>
  </si>
  <si>
    <t>09/10/2026 17:43:20</t>
  </si>
  <si>
    <t>09/10/2026 17:48:57</t>
  </si>
  <si>
    <t>6ac95339456997e73a0c5aba</t>
  </si>
  <si>
    <t>09/10/2026 17:40:23</t>
  </si>
  <si>
    <t>6ac95339456997e73a0c5ab4</t>
  </si>
  <si>
    <t>09/10/2026 17:38:05</t>
  </si>
  <si>
    <t>6ac95339456997e73a0c5aae</t>
  </si>
  <si>
    <t>09/10/2026 17:33:45</t>
  </si>
  <si>
    <t>6ac92b0f3cf16866fa79883a</t>
  </si>
  <si>
    <t>09/10/2026 10:22:35</t>
  </si>
  <si>
    <t>09/10/2026 14:57:35</t>
  </si>
  <si>
    <t>6ac877fc898c48a2f44ba6f7</t>
  </si>
  <si>
    <t>09/10/2026 01:24:03</t>
  </si>
  <si>
    <t>09/10/2026 02:13:32</t>
  </si>
  <si>
    <t>6ac877fc898c48a2f44ba6f1</t>
  </si>
  <si>
    <t>08/10/2026 23:08:18</t>
  </si>
  <si>
    <t>6ac877fc898c48a2f44ba6e5</t>
  </si>
  <si>
    <t>08/10/2026 22:50:33</t>
  </si>
  <si>
    <t>6ac877fb898c48a2f44ba6d3</t>
  </si>
  <si>
    <t>08/10/2026 19:28:41</t>
  </si>
  <si>
    <t>09/10/2026 02:13:31</t>
  </si>
  <si>
    <t>6ac877fb898c48a2f44ba6cd</t>
  </si>
  <si>
    <t>08/10/2026 19:24:54</t>
  </si>
  <si>
    <t>6ac877fb898c48a2f44ba6c7</t>
  </si>
  <si>
    <t>08/10/2026 19:23:11</t>
  </si>
  <si>
    <t>6ac877fb898c48a2f44ba6bf</t>
  </si>
  <si>
    <t>08/10/2026 19:20:35</t>
  </si>
  <si>
    <t>6ac877fb898c48a2f44ba6b9</t>
  </si>
  <si>
    <t>08/10/2026 19:11:03</t>
  </si>
  <si>
    <t>6ac877fb898c48a2f44ba6ad</t>
  </si>
  <si>
    <t>08/10/2026 17:37:18</t>
  </si>
  <si>
    <t>6ac877fb898c48a2f44ba6a7</t>
  </si>
  <si>
    <t>08/10/2026 17:33:39</t>
  </si>
  <si>
    <t>6ac877fb898c48a2f44ba6a1</t>
  </si>
  <si>
    <t>08/10/2026 17:19:58</t>
  </si>
  <si>
    <t>6ac84f589b36bf80de8a9ecd</t>
  </si>
  <si>
    <t>08/10/2026 23:00:57</t>
  </si>
  <si>
    <t>08/10/2026 23:20:08</t>
  </si>
  <si>
    <t>6ac84f589b36bf80de8a9ec7</t>
  </si>
  <si>
    <t>08/10/2026 22:58:47</t>
  </si>
  <si>
    <t>6ac84f589b36bf80de8a9ec1</t>
  </si>
  <si>
    <t>08/10/2026 22:57:33</t>
  </si>
  <si>
    <t>6ac8483536d49b922988da1b</t>
  </si>
  <si>
    <t>08/10/2026 22:44:36</t>
  </si>
  <si>
    <t>08/10/2026 22:49:41</t>
  </si>
  <si>
    <t>6ac8483536d49b922988da15</t>
  </si>
  <si>
    <t>08/10/2026 22:42:13</t>
  </si>
  <si>
    <t>6ac8483536d49b922988da0f</t>
  </si>
  <si>
    <t>08/10/2026 22:40:41</t>
  </si>
  <si>
    <t>6ac8483536d49b922988da09</t>
  </si>
  <si>
    <t>08/10/2026 22:35:47</t>
  </si>
  <si>
    <t>6ac8483536d49b922988da03</t>
  </si>
  <si>
    <t>08/10/2026 22:33:37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</si>
</sst>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/yyyy\ hh:mm:ss"/>
    <numFmt numFmtId="165" formatCode="[$-416]d\-mmm;@"/>
    <numFmt numFmtId="166" formatCode="0.0"/>
    <numFmt numFmtId="167" formatCode="#,##0&quot;g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8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theme="1" tint="0.249977111117893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14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0" fontId="0" fillId="0" borderId="0" xfId="0" applyNumberFormat="1"/>
    <xf numFmtId="0" fontId="3" fillId="3" borderId="3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0" fillId="0" borderId="2" xfId="0" applyBorder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3" fontId="0" fillId="4" borderId="0" xfId="0" applyNumberFormat="1" applyFill="1"/>
    <xf numFmtId="3" fontId="0" fillId="0" borderId="0" xfId="0" applyNumberFormat="1"/>
    <xf numFmtId="0" fontId="0" fillId="0" borderId="0" xfId="0" applyAlignment="1">
      <alignment horizontal="left" indent="1"/>
    </xf>
    <xf numFmtId="10" fontId="5" fillId="4" borderId="0" xfId="1" applyNumberFormat="1" applyFont="1" applyFill="1" applyAlignment="1">
      <alignment horizontal="center"/>
    </xf>
    <xf numFmtId="166" fontId="5" fillId="4" borderId="0" xfId="1" applyNumberFormat="1" applyFont="1" applyFill="1" applyAlignment="1">
      <alignment horizontal="center"/>
    </xf>
    <xf numFmtId="0" fontId="6" fillId="5" borderId="5" xfId="0" applyFont="1" applyFill="1" applyBorder="1"/>
    <xf numFmtId="166" fontId="7" fillId="4" borderId="0" xfId="1" applyNumberFormat="1" applyFont="1" applyFill="1" applyAlignment="1">
      <alignment horizontal="center"/>
    </xf>
    <xf numFmtId="166" fontId="8" fillId="4" borderId="0" xfId="1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166" fontId="9" fillId="4" borderId="0" xfId="1" applyNumberFormat="1" applyFont="1" applyFill="1" applyAlignment="1">
      <alignment horizontal="center"/>
    </xf>
    <xf numFmtId="165" fontId="0" fillId="0" borderId="0" xfId="0" applyNumberFormat="1"/>
    <xf numFmtId="166" fontId="10" fillId="4" borderId="0" xfId="1" applyNumberFormat="1" applyFont="1" applyFill="1" applyAlignment="1">
      <alignment horizontal="center"/>
    </xf>
    <xf numFmtId="0" fontId="0" fillId="0" borderId="0" xfId="0" applyAlignment="1">
      <alignment horizontal="left" indent="2"/>
    </xf>
    <xf numFmtId="166" fontId="11" fillId="4" borderId="0" xfId="1" applyNumberFormat="1" applyFont="1" applyFill="1" applyAlignment="1">
      <alignment horizontal="center"/>
    </xf>
    <xf numFmtId="167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79">
    <dxf>
      <alignment horizontal="center" readingOrder="0"/>
    </dxf>
    <dxf>
      <alignment horizontal="center" readingOrder="0"/>
    </dxf>
    <dxf>
      <font>
        <sz val="10"/>
      </font>
    </dxf>
    <dxf>
      <numFmt numFmtId="167" formatCode="#,##0&quot;g&quot;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numFmt numFmtId="167" formatCode="#,##0&quot;g&quot;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7" formatCode="#,##0&quot;g&quot;"/>
    </dxf>
    <dxf>
      <font>
        <b/>
        <i val="0"/>
        <u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u/>
        <color rgb="FFC00000"/>
      </font>
    </dxf>
    <dxf>
      <alignment horizontal="center" readingOrder="0"/>
    </dxf>
    <dxf>
      <alignment horizontal="center" readingOrder="0"/>
    </dxf>
    <dxf>
      <font>
        <sz val="10"/>
      </font>
    </dxf>
    <dxf>
      <numFmt numFmtId="167" formatCode="#,##0&quot;g&quot;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10"/>
      </font>
    </dxf>
    <dxf>
      <font>
        <sz val="10"/>
      </font>
    </dxf>
    <dxf>
      <numFmt numFmtId="167" formatCode="#,##0&quot;g&quot;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7" formatCode="#,##0&quot;g&quot;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0.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/>
      </font>
      <numFmt numFmtId="14" formatCode="0.00%"/>
      <fill>
        <patternFill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theme="0" tint="-0.14999847407452621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dd/mm/yyyy"/>
    </dxf>
    <dxf>
      <numFmt numFmtId="164" formatCode="dd/mm/yyyy\ hh:mm:ss"/>
    </dxf>
    <dxf>
      <numFmt numFmtId="19" formatCode="dd/mm/yyyy"/>
    </dxf>
    <dxf>
      <numFmt numFmtId="0" formatCode="General"/>
    </dxf>
    <dxf>
      <numFmt numFmtId="19" formatCode="dd/mm/yyyy"/>
    </dxf>
    <dxf>
      <numFmt numFmtId="167" formatCode="#,##0&quot;g&quot;"/>
    </dxf>
    <dxf>
      <font>
        <sz val="10"/>
      </font>
    </dxf>
    <dxf>
      <alignment horizontal="center" readingOrder="0"/>
    </dxf>
    <dxf>
      <alignment horizontal="center" readingOrder="0"/>
    </dxf>
    <dxf>
      <numFmt numFmtId="167" formatCode="#,##0&quot;g&quot;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67" formatCode="#,##0&quot;g&quot;"/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FDD9D9"/>
      <color rgb="FFFD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microsoft.com/office/2011/relationships/timelineCache" Target="timelineCaches/timelineCach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447675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2619375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476250</xdr:colOff>
      <xdr:row>0</xdr:row>
      <xdr:rowOff>0</xdr:rowOff>
    </xdr:from>
    <xdr:to>
      <xdr:col>7</xdr:col>
      <xdr:colOff>561975</xdr:colOff>
      <xdr:row>2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 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57750" y="0"/>
              <a:ext cx="1828800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0</xdr:row>
      <xdr:rowOff>0</xdr:rowOff>
    </xdr:from>
    <xdr:to>
      <xdr:col>4</xdr:col>
      <xdr:colOff>485775</xdr:colOff>
      <xdr:row>3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amíli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íl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8425" y="0"/>
              <a:ext cx="222885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552450</xdr:colOff>
      <xdr:row>0</xdr:row>
      <xdr:rowOff>0</xdr:rowOff>
    </xdr:from>
    <xdr:to>
      <xdr:col>15</xdr:col>
      <xdr:colOff>342900</xdr:colOff>
      <xdr:row>3</xdr:row>
      <xdr:rowOff>180975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a Corrigid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 Corrigi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7025" y="0"/>
              <a:ext cx="443865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no Excel 2013 ou versões superiores. Não mova ou redimensione.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514350</xdr:colOff>
      <xdr:row>1</xdr:row>
      <xdr:rowOff>447675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ês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327660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542925</xdr:colOff>
      <xdr:row>0</xdr:row>
      <xdr:rowOff>1</xdr:rowOff>
    </xdr:from>
    <xdr:to>
      <xdr:col>10</xdr:col>
      <xdr:colOff>47625</xdr:colOff>
      <xdr:row>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rn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r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9275" y="1"/>
              <a:ext cx="1828800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523875</xdr:colOff>
      <xdr:row>0</xdr:row>
      <xdr:rowOff>0</xdr:rowOff>
    </xdr:from>
    <xdr:to>
      <xdr:col>6</xdr:col>
      <xdr:colOff>428625</xdr:colOff>
      <xdr:row>2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amília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míl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6125" y="0"/>
              <a:ext cx="222885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IC%20Hashdata%20Sobrepeso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Autor" refreshedDate="46308.565480555553" createdVersion="5" refreshedVersion="5" minRefreshableVersion="3" recordCount="1532">
  <cacheSource type="worksheet">
    <worksheetSource name="Tabela1" r:id="rId2"/>
  </cacheSource>
  <cacheFields count="29">
    <cacheField name="Data Corrigida" numFmtId="14">
      <sharedItems containsSemiMixedTypes="0" containsNonDate="0" containsDate="1" containsString="0" minDate="2026-07-30T00:00:00" maxDate="2026-10-14T00:00:00" count="57">
        <d v="2026-07-30T00:00:00"/>
        <d v="2026-08-03T00:00:00"/>
        <d v="2026-08-04T00:00:00"/>
        <d v="2026-08-05T00:00:00"/>
        <d v="2026-08-06T00:00:00"/>
        <d v="2026-08-07T00:00:00"/>
        <d v="2026-08-10T00:00:00"/>
        <d v="2026-08-19T00:00:00"/>
        <d v="2026-08-11T00:00:00"/>
        <d v="2026-08-20T00:00:00"/>
        <d v="2026-08-12T00:00:00"/>
        <d v="2026-08-13T00:00:00"/>
        <d v="2026-08-14T00:00:00"/>
        <d v="2026-08-17T00:00:00"/>
        <d v="2026-08-16T00:00:00"/>
        <d v="2026-08-18T00:00:00"/>
        <d v="2026-08-21T00:00:00"/>
        <d v="2026-08-24T00:00:00"/>
        <d v="2026-08-25T00:00:00"/>
        <d v="2026-08-26T00:00:00"/>
        <d v="2026-08-27T00:00:00"/>
        <d v="2026-08-28T00:00:00"/>
        <d v="2026-09-01T00:00:00"/>
        <d v="2026-08-31T00:00:00"/>
        <d v="2026-09-03T00:00:00"/>
        <d v="2026-09-02T00:00:00"/>
        <d v="2026-09-08T00:00:00"/>
        <d v="2026-09-10T00:00:00"/>
        <d v="2026-09-09T00:00:00"/>
        <d v="2026-09-12T00:00:00"/>
        <d v="2026-09-11T00:00:00"/>
        <d v="2026-09-14T00:00:00"/>
        <d v="2026-09-15T00:00:00"/>
        <d v="2026-09-16T00:00:00"/>
        <d v="2026-09-18T00:00:00"/>
        <d v="2026-09-17T00:00:00"/>
        <d v="2026-09-22T00:00:00"/>
        <d v="2026-09-21T00:00:00"/>
        <d v="2026-09-23T00:00:00"/>
        <d v="2026-09-25T00:00:00"/>
        <d v="2026-09-24T00:00:00"/>
        <d v="2026-09-28T00:00:00"/>
        <d v="2026-09-30T00:00:00"/>
        <d v="2026-09-29T00:00:00"/>
        <d v="2026-10-01T00:00:00"/>
        <d v="2026-10-05T00:00:00"/>
        <d v="2026-10-02T00:00:00"/>
        <d v="2026-10-08T00:00:00"/>
        <d v="2026-10-07T00:00:00"/>
        <d v="2026-10-06T00:00:00"/>
        <d v="2026-10-13T00:00:00"/>
        <d v="2026-10-09T00:00:00"/>
        <d v="2026-08-22T00:00:00" u="1"/>
        <d v="2026-08-15T00:00:00" u="1"/>
        <d v="2026-08-08T00:00:00" u="1"/>
        <d v="2026-09-26T00:00:00" u="1"/>
        <d v="2026-09-19T00:00:00" u="1"/>
      </sharedItems>
    </cacheField>
    <cacheField name="Mês" numFmtId="0">
      <sharedItems count="4">
        <s v="JUL"/>
        <s v="AGO"/>
        <s v="SET"/>
        <s v="OUT"/>
      </sharedItems>
    </cacheField>
    <cacheField name="ID" numFmtId="0">
      <sharedItems/>
    </cacheField>
    <cacheField name="Data e Hora" numFmtId="14">
      <sharedItems/>
    </cacheField>
    <cacheField name="Data recebimento" numFmtId="164">
      <sharedItems/>
    </cacheField>
    <cacheField name="Usuário" numFmtId="0">
      <sharedItems/>
    </cacheField>
    <cacheField name="Data e Hora2" numFmtId="14">
      <sharedItems/>
    </cacheField>
    <cacheField name="Turno" numFmtId="0">
      <sharedItems count="3">
        <s v="Turno 2"/>
        <s v="Turno 1"/>
        <s v="" u="1"/>
      </sharedItems>
    </cacheField>
    <cacheField name="Agente de Monitoramento" numFmtId="0">
      <sharedItems/>
    </cacheField>
    <cacheField name="SKU" numFmtId="0">
      <sharedItems containsSemiMixedTypes="0" containsString="0" containsNumber="1" containsInteger="1" minValue="13188" maxValue="997939"/>
    </cacheField>
    <cacheField name="Peso  1" numFmtId="3">
      <sharedItems containsMixedTypes="1" containsNumber="1" containsInteger="1" minValue="669" maxValue="18250"/>
    </cacheField>
    <cacheField name="Peso  2" numFmtId="3">
      <sharedItems containsMixedTypes="1" containsNumber="1" containsInteger="1" minValue="668" maxValue="18330"/>
    </cacheField>
    <cacheField name="Peso  3" numFmtId="3">
      <sharedItems containsSemiMixedTypes="0" containsString="0" containsNumber="1" containsInteger="1" minValue="678" maxValue="18440"/>
    </cacheField>
    <cacheField name="Peso  4" numFmtId="3">
      <sharedItems containsSemiMixedTypes="0" containsString="0" containsNumber="1" containsInteger="1" minValue="665" maxValue="18570"/>
    </cacheField>
    <cacheField name="Peso  5" numFmtId="3">
      <sharedItems containsSemiMixedTypes="0" containsString="0" containsNumber="1" containsInteger="1" minValue="100" maxValue="18400"/>
    </cacheField>
    <cacheField name="Peso  6" numFmtId="3">
      <sharedItems containsSemiMixedTypes="0" containsString="0" containsNumber="1" containsInteger="1" minValue="668" maxValue="18315"/>
    </cacheField>
    <cacheField name="Peso  7" numFmtId="3">
      <sharedItems containsMixedTypes="1" containsNumber="1" containsInteger="1" minValue="686" maxValue="18450"/>
    </cacheField>
    <cacheField name="Peso  8" numFmtId="3">
      <sharedItems containsMixedTypes="1" containsNumber="1" containsInteger="1" minValue="663" maxValue="18360"/>
    </cacheField>
    <cacheField name="Peso  9" numFmtId="3">
      <sharedItems containsSemiMixedTypes="0" containsString="0" containsNumber="1" containsInteger="1" minValue="668" maxValue="18470"/>
    </cacheField>
    <cacheField name="Peso  10" numFmtId="3">
      <sharedItems containsString="0" containsBlank="1" containsNumber="1" containsInteger="1" minValue="669" maxValue="18445"/>
    </cacheField>
    <cacheField name="Média" numFmtId="3">
      <sharedItems containsSemiMixedTypes="0" containsString="0" containsNumber="1" minValue="673.9" maxValue="18260.5"/>
    </cacheField>
    <cacheField name="Média (Comentário)" numFmtId="0">
      <sharedItems/>
    </cacheField>
    <cacheField name="Colunas1" numFmtId="0">
      <sharedItems/>
    </cacheField>
    <cacheField name="Tempo de resposta" numFmtId="0">
      <sharedItems containsSemiMixedTypes="0" containsString="0" containsNumber="1" containsInteger="1" minValue="69" maxValue="1047580"/>
    </cacheField>
    <cacheField name="Meta" numFmtId="3">
      <sharedItems containsSemiMixedTypes="0" containsString="0" containsNumber="1" containsInteger="1" minValue="700" maxValue="18000"/>
    </cacheField>
    <cacheField name="% Sobrepeso" numFmtId="10">
      <sharedItems containsSemiMixedTypes="0" containsString="0" containsNumber="1" minValue="-9.1700000000000045E-2" maxValue="8.1400000000000097E-2"/>
    </cacheField>
    <cacheField name="Desvio" numFmtId="166">
      <sharedItems containsSemiMixedTypes="0" containsString="0" containsNumber="1" minValue="-620.5" maxValue="260.5"/>
    </cacheField>
    <cacheField name="Item" numFmtId="0">
      <sharedItems count="41">
        <s v="FILE PEITO MET CG BDJ SE"/>
        <s v="COXA SEM PELE IQF 1KG"/>
        <s v="FILEZINHO FRANGO IQF ALM SE"/>
        <s v="COXA SBCX LQ FG LP"/>
        <s v="COXA SBCX S/O FG 260-280g PB"/>
        <s v="COXA SBCX S/O FG 280-300g PB"/>
        <s v="COXA SBCX S/O FG 240-260g PB"/>
        <s v="COXA SBCX S/O FG 220-240g PB"/>
        <s v="SOBRECOXA CG BDJ SE"/>
        <s v="COXA CG BDJ SE"/>
        <s v="COXA SBCX S/O FG 200-220g PB"/>
        <s v="COXA SBCX S/O BDJ CG"/>
        <s v="ASAS FG 100g UP LP"/>
        <s v="PONTA ASA FG PB CG"/>
        <s v="OSTRINHA CG PCT 700G SWIFT"/>
        <s v="COXINHA DA ASA FG CG PCT"/>
        <s v="MOELA FRANGO CG ALM SE"/>
        <s v="MEIO DA ASA IQF"/>
        <s v="MEIO ASA CG BDJ SE"/>
        <s v="COXINHA ASA IQF ALM 1KG"/>
        <s v="MEIO DE ASA 2,5KG  IQF"/>
        <s v="MEIO DA ASA 40-50G LP"/>
        <s v="DORSO DE FRANGO BACK"/>
        <s v="COXINHA ASA IQF ALM SE"/>
        <s v="FILE PEITO  CG IQF"/>
        <s v="COXA SBCX  S/O CG MP"/>
        <s v="COXA SBCX S/O 200g FG UP PB"/>
        <s v="CORACAO FGO CG ALM SE"/>
        <s v="FILE PEITO CG IQF1KG"/>
        <s v="FILEZINHO PEITO CG BDJ SE"/>
        <s v="SBCOXA SEM PELE IQF 1KG"/>
        <s v="FILE DE SOBRECOXA IQF"/>
        <s v="COXA SBCX S/O FG 180-200g PB"/>
        <s v="SOBRECOXA FG RF PCT"/>
        <s v="SOBRECOXA IQF ALM 1KG"/>
        <s v="CARTILAGEM PEITO FG PB"/>
        <s v="COXA SBCX S/O FG 200g UP PB"/>
        <s v="CARTILAGEM JOELHO FG PB"/>
        <s v="COXA IQF ALM SE"/>
        <s v="FILEZINHO FRANGO IQF ALM"/>
        <e v="#N/A" u="1"/>
      </sharedItems>
    </cacheField>
    <cacheField name="Família" numFmtId="0">
      <sharedItems count="10">
        <s v="PEITO"/>
        <s v="PERNA"/>
        <s v="SASSAMI"/>
        <s v="ASA"/>
        <s v="MOELA"/>
        <s v="DORSO"/>
        <s v="CORAÇÃO"/>
        <s v="CARTILAGEM PEITO"/>
        <s v="CARTILAGEM PERNA"/>
        <e v="#N/A" u="1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2">
  <r>
    <x v="0"/>
    <x v="0"/>
    <s v="6a707861ec887be342f966e3"/>
    <s v="30/07/2026 17:10:33"/>
    <s v="03/08/2026 08:15:45"/>
    <s v="Ranieli"/>
    <s v="30/07/2026"/>
    <x v="0"/>
    <s v="RANIELI MARIA MASQUIETI DOURADO"/>
    <n v="15105"/>
    <n v="1020"/>
    <n v="1035"/>
    <n v="1048"/>
    <n v="995"/>
    <n v="1003"/>
    <n v="1038"/>
    <n v="1027"/>
    <n v="1028"/>
    <n v="1025"/>
    <n v="957"/>
    <n v="1017.6"/>
    <s v=""/>
    <s v="assinatura"/>
    <n v="382"/>
    <n v="1000"/>
    <n v="1.7600000000000022E-2"/>
    <n v="17.600000000000023"/>
    <x v="0"/>
    <x v="0"/>
  </r>
  <r>
    <x v="1"/>
    <x v="1"/>
    <s v="6a71180b0aa978fc27edf554"/>
    <s v="03/08/2026 19:26:04"/>
    <s v="03/08/2026 19:36:59"/>
    <s v="- -"/>
    <s v="03/08/2026"/>
    <x v="0"/>
    <s v="JULIANE GOMES NOVAIS"/>
    <n v="209009"/>
    <n v="1014"/>
    <n v="1009"/>
    <n v="1000"/>
    <n v="1037"/>
    <n v="1051"/>
    <n v="1010"/>
    <n v="1019"/>
    <n v="1012"/>
    <n v="1000"/>
    <n v="1007"/>
    <n v="1015.9"/>
    <s v=""/>
    <s v="assinatura"/>
    <n v="627"/>
    <n v="1000"/>
    <n v="1.5899999999999977E-2"/>
    <n v="15.899999999999977"/>
    <x v="1"/>
    <x v="1"/>
  </r>
  <r>
    <x v="2"/>
    <x v="1"/>
    <s v="6a7299a076deefbbdc48e79a"/>
    <s v="04/08/2026 22:57:14"/>
    <s v="04/08/2026 23:02:08"/>
    <s v="- -"/>
    <s v="04/08/2026"/>
    <x v="0"/>
    <s v="JULIANE GOMES NOVAIS"/>
    <n v="197734"/>
    <n v="1000"/>
    <n v="1006"/>
    <n v="999"/>
    <n v="1010"/>
    <n v="1063"/>
    <n v="1004"/>
    <n v="1008"/>
    <n v="1013"/>
    <n v="997"/>
    <n v="1001"/>
    <n v="1010.1"/>
    <s v=""/>
    <s v="assinatura"/>
    <n v="292"/>
    <n v="1000"/>
    <n v="1.0100000000000022E-2"/>
    <n v="10.100000000000023"/>
    <x v="2"/>
    <x v="2"/>
  </r>
  <r>
    <x v="3"/>
    <x v="1"/>
    <s v="6a739f5ba971cc45da77df15"/>
    <s v="05/08/2026 16:23:50"/>
    <s v="05/08/2026 17:38:51"/>
    <s v="- -"/>
    <s v="05/08/2026"/>
    <x v="0"/>
    <s v="RANIELI MARIA MASQUIETI DOURADO"/>
    <n v="40762"/>
    <n v="10045"/>
    <n v="10080"/>
    <n v="10010"/>
    <n v="10035"/>
    <n v="9975"/>
    <n v="10090"/>
    <n v="9980"/>
    <n v="10005"/>
    <n v="10065"/>
    <n v="9970"/>
    <n v="10025.5"/>
    <s v=""/>
    <s v="assinatura"/>
    <n v="4451"/>
    <n v="10000"/>
    <n v="2.5500000000000002E-3"/>
    <n v="25.5"/>
    <x v="3"/>
    <x v="1"/>
  </r>
  <r>
    <x v="3"/>
    <x v="1"/>
    <s v="6a73a4a0e24bea36d87cf4ab"/>
    <s v="05/08/2026 17:55:40"/>
    <s v="05/08/2026 18:01:20"/>
    <s v="- -"/>
    <s v="05/08/2026"/>
    <x v="0"/>
    <s v="JOSEFA KELY NUNES DE SOUSA"/>
    <n v="15105"/>
    <n v="1004"/>
    <n v="1015"/>
    <n v="1004"/>
    <n v="1009"/>
    <n v="1012"/>
    <n v="1008"/>
    <n v="1023"/>
    <n v="1011"/>
    <n v="1024"/>
    <n v="1011"/>
    <n v="1012.1"/>
    <s v=""/>
    <s v="assinatura"/>
    <n v="338"/>
    <n v="1000"/>
    <n v="1.2100000000000022E-2"/>
    <n v="12.100000000000023"/>
    <x v="0"/>
    <x v="0"/>
  </r>
  <r>
    <x v="3"/>
    <x v="1"/>
    <s v="6a73a7f2a3e210342a26a79a"/>
    <s v="05/08/2026 18:01:42"/>
    <s v="05/08/2026 18:15:30"/>
    <s v="- -"/>
    <s v="05/08/2026"/>
    <x v="0"/>
    <s v="JOSEFA KELY NUNES DE SOUSA"/>
    <n v="42854"/>
    <n v="2082"/>
    <s v=""/>
    <n v="2082"/>
    <n v="2085"/>
    <n v="2069"/>
    <n v="2003"/>
    <n v="2151"/>
    <n v="2084"/>
    <n v="2155"/>
    <n v="2099"/>
    <n v="2090"/>
    <s v=""/>
    <s v="assinatura"/>
    <n v="826"/>
    <n v="2080"/>
    <n v="4.807692307692308E-3"/>
    <n v="10"/>
    <x v="4"/>
    <x v="1"/>
  </r>
  <r>
    <x v="3"/>
    <x v="1"/>
    <s v="6a73a9177d11d89e2f351df7"/>
    <s v="05/08/2026 18:15:34"/>
    <s v="05/08/2026 18:20:23"/>
    <s v="- -"/>
    <s v="05/08/2026"/>
    <x v="0"/>
    <s v="JOSEFA KELY NUNES DE SOUSA"/>
    <n v="42862"/>
    <n v="2019"/>
    <n v="2008"/>
    <n v="1993"/>
    <n v="2017"/>
    <n v="2003"/>
    <n v="2044"/>
    <n v="2009"/>
    <n v="2017"/>
    <n v="2023"/>
    <n v="2025"/>
    <n v="2015.8"/>
    <s v=""/>
    <s v="assinatura"/>
    <n v="288"/>
    <n v="2000"/>
    <n v="7.8999999999999765E-3"/>
    <n v="15.799999999999955"/>
    <x v="5"/>
    <x v="1"/>
  </r>
  <r>
    <x v="3"/>
    <x v="1"/>
    <s v="6a73aa3f9a3f99d409c1af0c"/>
    <s v="05/08/2026 18:20:24"/>
    <s v="05/08/2026 18:25:19"/>
    <s v="- -"/>
    <s v="05/08/2026"/>
    <x v="0"/>
    <s v="JOSEFA KELY NUNES DE SOUSA"/>
    <n v="42846"/>
    <n v="2025"/>
    <n v="2039"/>
    <n v="2002"/>
    <n v="2199"/>
    <n v="2128"/>
    <n v="1994"/>
    <n v="2032"/>
    <n v="1981"/>
    <n v="2015"/>
    <n v="2016"/>
    <n v="2043.1"/>
    <s v=""/>
    <s v="assinatura"/>
    <n v="293"/>
    <n v="2000"/>
    <n v="2.1549999999999955E-2"/>
    <n v="43.099999999999909"/>
    <x v="6"/>
    <x v="1"/>
  </r>
  <r>
    <x v="3"/>
    <x v="1"/>
    <s v="6a73aba2ef0d98d29d5b81b3"/>
    <s v="05/08/2026 18:25:21"/>
    <s v="05/08/2026 18:31:14"/>
    <s v="- -"/>
    <s v="05/08/2026"/>
    <x v="0"/>
    <s v="JOSEFA KELY NUNES DE SOUSA"/>
    <n v="42838"/>
    <n v="2030"/>
    <n v="1997"/>
    <n v="1996"/>
    <n v="2006"/>
    <n v="2023"/>
    <n v="2113"/>
    <n v="2006"/>
    <n v="2013"/>
    <n v="2018"/>
    <n v="2007"/>
    <n v="2020.9"/>
    <s v=""/>
    <s v="assinatura"/>
    <n v="351"/>
    <n v="2000"/>
    <n v="1.0450000000000046E-2"/>
    <n v="20.900000000000091"/>
    <x v="7"/>
    <x v="1"/>
  </r>
  <r>
    <x v="3"/>
    <x v="1"/>
    <s v="6a73acfe76deefbbdc4bb386"/>
    <s v="05/08/2026 18:31:15"/>
    <s v="05/08/2026 18:37:02"/>
    <s v="- -"/>
    <s v="05/08/2026"/>
    <x v="0"/>
    <s v="JOSEFA KELY NUNES DE SOUSA"/>
    <n v="13188"/>
    <n v="1006"/>
    <n v="1016"/>
    <n v="1012"/>
    <n v="1025"/>
    <n v="1025"/>
    <n v="1012"/>
    <n v="1001"/>
    <n v="1017"/>
    <n v="1024"/>
    <n v="1017"/>
    <n v="1015.5"/>
    <s v=""/>
    <s v="assinatura"/>
    <n v="344"/>
    <n v="1000"/>
    <n v="1.55E-2"/>
    <n v="15.5"/>
    <x v="8"/>
    <x v="1"/>
  </r>
  <r>
    <x v="3"/>
    <x v="1"/>
    <s v="6a73b48c9a3f99d409c1b4d5"/>
    <s v="05/08/2026 19:04:16"/>
    <s v="05/08/2026 19:09:16"/>
    <s v="- -"/>
    <s v="05/08/2026"/>
    <x v="0"/>
    <s v="JULIANE GOMES NOVAIS"/>
    <n v="209009"/>
    <n v="1026"/>
    <n v="1005"/>
    <n v="1011"/>
    <n v="1046"/>
    <n v="1010"/>
    <n v="1049"/>
    <n v="1003"/>
    <n v="1050"/>
    <n v="1032"/>
    <n v="1027"/>
    <n v="1025.9000000000001"/>
    <s v=""/>
    <s v="assinatura"/>
    <n v="291"/>
    <n v="1000"/>
    <n v="2.590000000000009E-2"/>
    <n v="25.900000000000091"/>
    <x v="1"/>
    <x v="1"/>
  </r>
  <r>
    <x v="3"/>
    <x v="1"/>
    <s v="6a73ec07e9cbec6cab797c5b"/>
    <s v="05/08/2026 22:58:57"/>
    <s v="05/08/2026 23:05:59"/>
    <s v="- -"/>
    <s v="05/08/2026"/>
    <x v="0"/>
    <s v="JOSEFA KELY NUNES DE SOUSA"/>
    <n v="15105"/>
    <n v="1013"/>
    <n v="990"/>
    <n v="1203"/>
    <n v="1037"/>
    <n v="1025"/>
    <n v="1035"/>
    <n v="991"/>
    <n v="1014"/>
    <n v="1039"/>
    <n v="1034"/>
    <n v="1038.0999999999999"/>
    <s v=""/>
    <s v="assinatura"/>
    <n v="384"/>
    <n v="1000"/>
    <n v="3.8099999999999912E-2"/>
    <n v="38.099999999999909"/>
    <x v="0"/>
    <x v="0"/>
  </r>
  <r>
    <x v="3"/>
    <x v="1"/>
    <s v="6a74069b20a96cfc4b4e285d"/>
    <s v="06/08/2026 00:49:36"/>
    <s v="06/08/2026 00:59:23"/>
    <s v="- -"/>
    <s v="05/08/2026"/>
    <x v="0"/>
    <s v="JOSEFA KELY NUNES DE SOUSA"/>
    <n v="15229"/>
    <n v="1019"/>
    <n v="1018"/>
    <n v="1016"/>
    <n v="1021"/>
    <n v="1017"/>
    <n v="1023"/>
    <n v="997"/>
    <n v="1022"/>
    <n v="1020"/>
    <n v="999"/>
    <n v="1015.2"/>
    <s v=""/>
    <s v="assinatura"/>
    <n v="587"/>
    <n v="1000"/>
    <n v="1.5200000000000045E-2"/>
    <n v="15.200000000000045"/>
    <x v="9"/>
    <x v="1"/>
  </r>
  <r>
    <x v="3"/>
    <x v="1"/>
    <s v="6a740886f40feae6226636ee"/>
    <s v="06/08/2026 01:00:00"/>
    <s v="06/08/2026 01:07:34"/>
    <s v="- -"/>
    <s v="05/08/2026"/>
    <x v="0"/>
    <s v="JOSEFA KELY NUNES DE SOUSA"/>
    <n v="42846"/>
    <n v="2055"/>
    <n v="2071"/>
    <n v="2048"/>
    <n v="2070"/>
    <n v="2018"/>
    <n v="2003"/>
    <n v="2013"/>
    <n v="2073"/>
    <n v="2042"/>
    <n v="2039"/>
    <n v="2043.2"/>
    <s v=""/>
    <s v="assinatura"/>
    <n v="453"/>
    <n v="2000"/>
    <n v="2.1600000000000022E-2"/>
    <n v="43.200000000000045"/>
    <x v="6"/>
    <x v="1"/>
  </r>
  <r>
    <x v="3"/>
    <x v="1"/>
    <s v="6a7409d8f40feae622663743"/>
    <s v="06/08/2026 01:07:38"/>
    <s v="06/08/2026 01:13:12"/>
    <s v="- -"/>
    <s v="05/08/2026"/>
    <x v="0"/>
    <s v="JOSEFA KELY NUNES DE SOUSA"/>
    <n v="42862"/>
    <n v="2093"/>
    <n v="2024"/>
    <n v="2010"/>
    <n v="1978"/>
    <n v="1974"/>
    <n v="2026"/>
    <n v="2028"/>
    <n v="2020"/>
    <n v="2001"/>
    <n v="2003"/>
    <n v="2015.7"/>
    <s v=""/>
    <s v="assinatura"/>
    <n v="332"/>
    <n v="2000"/>
    <n v="7.8500000000000219E-3"/>
    <n v="15.700000000000045"/>
    <x v="5"/>
    <x v="1"/>
  </r>
  <r>
    <x v="3"/>
    <x v="1"/>
    <s v="6a740b3876deefbbdc4bdd28"/>
    <s v="06/08/2026 01:13:16"/>
    <s v="06/08/2026 01:19:04"/>
    <s v="- -"/>
    <s v="05/08/2026"/>
    <x v="0"/>
    <s v="JOSEFA KELY NUNES DE SOUSA"/>
    <n v="42854"/>
    <n v="2066"/>
    <n v="2022"/>
    <n v="2038"/>
    <n v="2109"/>
    <n v="2140"/>
    <n v="2133"/>
    <n v="2144"/>
    <n v="2125"/>
    <n v="2165"/>
    <n v="2190"/>
    <n v="2113.1999999999998"/>
    <s v=""/>
    <s v="assinatura"/>
    <n v="347"/>
    <n v="2080"/>
    <n v="1.5961538461538374E-2"/>
    <n v="33.199999999999818"/>
    <x v="4"/>
    <x v="1"/>
  </r>
  <r>
    <x v="3"/>
    <x v="1"/>
    <s v="6a740d80b671965c6502efd8"/>
    <s v="06/08/2026 01:19:06"/>
    <s v="06/08/2026 01:28:48"/>
    <s v="- -"/>
    <s v="05/08/2026"/>
    <x v="0"/>
    <s v="JOSEFA KELY NUNES DE SOUSA"/>
    <n v="42838"/>
    <n v="2073"/>
    <n v="1987"/>
    <n v="2066"/>
    <n v="2040"/>
    <n v="2141"/>
    <n v="2015"/>
    <n v="2013"/>
    <n v="2078"/>
    <n v="2075"/>
    <n v="2065"/>
    <n v="2055.3000000000002"/>
    <s v=""/>
    <s v="assinatura"/>
    <n v="581"/>
    <n v="2000"/>
    <n v="2.7650000000000091E-2"/>
    <n v="55.300000000000182"/>
    <x v="7"/>
    <x v="1"/>
  </r>
  <r>
    <x v="4"/>
    <x v="1"/>
    <s v="6a74f6dc9a3f99d409cf0ade"/>
    <s v="06/08/2026 17:53:56"/>
    <s v="06/08/2026 18:04:28"/>
    <s v="- -"/>
    <s v="06/08/2026"/>
    <x v="0"/>
    <s v="JOSEFA KELY NUNES DE SOUSA"/>
    <n v="15105"/>
    <n v="1007"/>
    <n v="998"/>
    <n v="992"/>
    <n v="1040"/>
    <n v="1035"/>
    <n v="1049"/>
    <n v="1022"/>
    <n v="1009"/>
    <n v="1005"/>
    <n v="1018"/>
    <n v="1017.5"/>
    <s v=""/>
    <s v="assinatura"/>
    <n v="622"/>
    <n v="1000"/>
    <n v="1.7500000000000002E-2"/>
    <n v="17.5"/>
    <x v="0"/>
    <x v="0"/>
  </r>
  <r>
    <x v="4"/>
    <x v="1"/>
    <s v="6a74f8b43b26ad6681a56f4a"/>
    <s v="06/08/2026 18:10:40"/>
    <s v="06/08/2026 18:12:20"/>
    <s v="- -"/>
    <s v="06/08/2026"/>
    <x v="0"/>
    <s v="JOSEFA KELY NUNES DE SOUSA"/>
    <n v="42862"/>
    <n v="2024"/>
    <n v="2005"/>
    <n v="2069"/>
    <n v="2008"/>
    <n v="2032"/>
    <n v="2018"/>
    <n v="2062"/>
    <n v="2033"/>
    <n v="2048"/>
    <n v="2023"/>
    <n v="2032.2"/>
    <s v=""/>
    <s v="assinatura"/>
    <n v="100"/>
    <n v="2000"/>
    <n v="1.6100000000000024E-2"/>
    <n v="32.200000000000045"/>
    <x v="5"/>
    <x v="1"/>
  </r>
  <r>
    <x v="4"/>
    <x v="1"/>
    <s v="6a74fead4935a21ebba839c8"/>
    <s v="06/08/2026 18:30:19"/>
    <s v="06/08/2026 18:37:49"/>
    <s v="- -"/>
    <s v="06/08/2026"/>
    <x v="0"/>
    <s v="JOSEFA KELY NUNES DE SOUSA"/>
    <n v="42846"/>
    <n v="2022"/>
    <n v="2000"/>
    <n v="2009"/>
    <n v="2015"/>
    <n v="1993"/>
    <n v="2015"/>
    <n v="1996"/>
    <n v="2001"/>
    <n v="2004"/>
    <n v="2053"/>
    <n v="2010.8"/>
    <s v=""/>
    <s v="assinatura"/>
    <n v="449"/>
    <n v="2000"/>
    <n v="5.3999999999999769E-3"/>
    <n v="10.799999999999955"/>
    <x v="6"/>
    <x v="1"/>
  </r>
  <r>
    <x v="4"/>
    <x v="1"/>
    <s v="6a74ff64ef842c3746a8779f"/>
    <s v="06/08/2026 18:37:52"/>
    <s v="06/08/2026 18:40:52"/>
    <s v="- -"/>
    <s v="06/08/2026"/>
    <x v="0"/>
    <s v="JOSEFA KELY NUNES DE SOUSA"/>
    <n v="42854"/>
    <n v="2045"/>
    <n v="2118"/>
    <n v="2075"/>
    <n v="2045"/>
    <n v="2116"/>
    <n v="2054"/>
    <n v="1979"/>
    <n v="2030"/>
    <n v="2077"/>
    <n v="2152"/>
    <n v="2069.1"/>
    <s v=""/>
    <s v="assinatura"/>
    <n v="180"/>
    <n v="2080"/>
    <n v="-5.2403846153846589E-3"/>
    <n v="-10.900000000000091"/>
    <x v="4"/>
    <x v="1"/>
  </r>
  <r>
    <x v="4"/>
    <x v="1"/>
    <s v="6a750067ef842c3746a87827"/>
    <s v="06/08/2026 18:40:54"/>
    <s v="06/08/2026 18:45:11"/>
    <s v="- -"/>
    <s v="06/08/2026"/>
    <x v="0"/>
    <s v="JOSEFA KELY NUNES DE SOUSA"/>
    <n v="13188"/>
    <n v="1025"/>
    <n v="1024"/>
    <n v="1023"/>
    <n v="1014"/>
    <n v="1023"/>
    <n v="1006"/>
    <n v="1022"/>
    <n v="1028"/>
    <n v="1029"/>
    <n v="1014"/>
    <n v="1020.8"/>
    <s v=""/>
    <s v="assinatura"/>
    <n v="256"/>
    <n v="1000"/>
    <n v="2.0799999999999954E-2"/>
    <n v="20.799999999999955"/>
    <x v="8"/>
    <x v="1"/>
  </r>
  <r>
    <x v="4"/>
    <x v="1"/>
    <s v="6a7501e7a971cc45da84fc03"/>
    <s v="06/08/2026 18:45:19"/>
    <s v="06/08/2026 18:51:35"/>
    <s v="- -"/>
    <s v="06/08/2026"/>
    <x v="0"/>
    <s v="JOSEFA KELY NUNES DE SOUSA"/>
    <n v="15229"/>
    <n v="993"/>
    <n v="1012"/>
    <n v="987"/>
    <n v="987"/>
    <n v="984"/>
    <n v="992"/>
    <n v="985"/>
    <n v="989"/>
    <n v="985"/>
    <n v="1012"/>
    <n v="992.6"/>
    <s v=""/>
    <s v="assinatura"/>
    <n v="374"/>
    <n v="1000"/>
    <n v="-7.3999999999999769E-3"/>
    <n v="-7.3999999999999773"/>
    <x v="9"/>
    <x v="1"/>
  </r>
  <r>
    <x v="4"/>
    <x v="1"/>
    <s v="6a754bd9c50334f4b4071d63"/>
    <s v="07/08/2026 00:01:31"/>
    <s v="07/08/2026 00:07:05"/>
    <s v="- -"/>
    <s v="06/08/2026"/>
    <x v="0"/>
    <s v="JOSEFA KELY NUNES DE SOUSA"/>
    <n v="15105"/>
    <n v="1013"/>
    <n v="1040"/>
    <n v="999"/>
    <n v="1032"/>
    <n v="998"/>
    <n v="1025"/>
    <n v="1033"/>
    <n v="1015"/>
    <n v="1003"/>
    <n v="1014"/>
    <n v="1017.2"/>
    <s v=""/>
    <s v="assinatura"/>
    <n v="334"/>
    <n v="1000"/>
    <n v="1.7200000000000045E-2"/>
    <n v="17.200000000000045"/>
    <x v="0"/>
    <x v="0"/>
  </r>
  <r>
    <x v="4"/>
    <x v="1"/>
    <s v="6a754d2da3e210342a305f87"/>
    <s v="07/08/2026 00:07:10"/>
    <s v="07/08/2026 00:12:45"/>
    <s v="- -"/>
    <s v="06/08/2026"/>
    <x v="0"/>
    <s v="JOSEFA KELY NUNES DE SOUSA"/>
    <n v="42862"/>
    <n v="2000"/>
    <n v="2014"/>
    <n v="2017"/>
    <n v="2030"/>
    <n v="2100"/>
    <n v="2029"/>
    <n v="2019"/>
    <n v="2068"/>
    <n v="2055"/>
    <n v="2012"/>
    <n v="2034.4"/>
    <s v=""/>
    <s v="assinatura"/>
    <n v="334"/>
    <n v="2000"/>
    <n v="1.7200000000000045E-2"/>
    <n v="34.400000000000091"/>
    <x v="5"/>
    <x v="1"/>
  </r>
  <r>
    <x v="4"/>
    <x v="1"/>
    <s v="6a754e9276deefbbdc5971d1"/>
    <s v="07/08/2026 00:12:46"/>
    <s v="07/08/2026 00:18:42"/>
    <s v="- -"/>
    <s v="06/08/2026"/>
    <x v="0"/>
    <s v="JOSEFA KELY NUNES DE SOUSA"/>
    <n v="42862"/>
    <n v="2259"/>
    <n v="1988"/>
    <n v="2019"/>
    <n v="2018"/>
    <n v="2004"/>
    <n v="2038"/>
    <n v="2001"/>
    <n v="2045"/>
    <n v="1993"/>
    <n v="2005"/>
    <n v="2037"/>
    <s v=""/>
    <s v="assinatura"/>
    <n v="353"/>
    <n v="2000"/>
    <n v="1.8499999999999999E-2"/>
    <n v="37"/>
    <x v="5"/>
    <x v="1"/>
  </r>
  <r>
    <x v="4"/>
    <x v="1"/>
    <s v="6a755027a971cc45da851af2"/>
    <s v="07/08/2026 00:18:55"/>
    <s v="07/08/2026 00:25:27"/>
    <s v="- -"/>
    <s v="06/08/2026"/>
    <x v="0"/>
    <s v="JOSEFA KELY NUNES DE SOUSA"/>
    <n v="42854"/>
    <n v="2107"/>
    <n v="2164"/>
    <n v="2170"/>
    <n v="2091"/>
    <n v="2104"/>
    <n v="2111"/>
    <n v="2115"/>
    <n v="2105"/>
    <n v="2095"/>
    <n v="2173"/>
    <n v="2123.5"/>
    <s v=""/>
    <s v="assinatura"/>
    <n v="390"/>
    <n v="2080"/>
    <n v="2.0913461538461537E-2"/>
    <n v="43.5"/>
    <x v="4"/>
    <x v="1"/>
  </r>
  <r>
    <x v="4"/>
    <x v="1"/>
    <s v="6a75510051fee0ceb3d8b764"/>
    <s v="07/08/2026 00:25:28"/>
    <s v="07/08/2026 00:29:04"/>
    <s v="- -"/>
    <s v="06/08/2026"/>
    <x v="0"/>
    <s v="JOSEFA KELY NUNES DE SOUSA"/>
    <n v="42820"/>
    <n v="2015"/>
    <n v="2014"/>
    <n v="2034"/>
    <n v="2026"/>
    <n v="2070"/>
    <n v="2059"/>
    <n v="1987"/>
    <n v="2024"/>
    <n v="2046"/>
    <n v="2029"/>
    <n v="2030.4"/>
    <s v=""/>
    <s v="assinatura"/>
    <n v="215"/>
    <n v="2000"/>
    <n v="1.5200000000000045E-2"/>
    <n v="30.400000000000091"/>
    <x v="10"/>
    <x v="1"/>
  </r>
  <r>
    <x v="4"/>
    <x v="1"/>
    <s v="6a7552a2ef0d98d29d68eb31"/>
    <s v="07/08/2026 00:29:05"/>
    <s v="07/08/2026 00:36:02"/>
    <s v="- -"/>
    <s v="06/08/2026"/>
    <x v="0"/>
    <s v="JOSEFA KELY NUNES DE SOUSA"/>
    <n v="54632"/>
    <n v="1022"/>
    <n v="1016"/>
    <n v="1023"/>
    <n v="1015"/>
    <n v="1021"/>
    <n v="1017"/>
    <n v="1019"/>
    <n v="1009"/>
    <n v="1020"/>
    <n v="1018"/>
    <n v="1018"/>
    <s v=""/>
    <s v="assinatura"/>
    <n v="416"/>
    <n v="1000"/>
    <n v="1.7999999999999999E-2"/>
    <n v="18"/>
    <x v="11"/>
    <x v="1"/>
  </r>
  <r>
    <x v="4"/>
    <x v="1"/>
    <s v="6a7554cf7d11d89e2f42171d"/>
    <s v="07/08/2026 00:36:04"/>
    <s v="07/08/2026 00:45:19"/>
    <s v="- -"/>
    <s v="06/08/2026"/>
    <x v="0"/>
    <s v="JOSEFA KELY NUNES DE SOUSA"/>
    <n v="792799"/>
    <n v="15060"/>
    <n v="15080"/>
    <n v="15055"/>
    <n v="15090"/>
    <n v="15065"/>
    <n v="15035"/>
    <n v="15020"/>
    <n v="15000"/>
    <n v="15055"/>
    <n v="15000"/>
    <n v="15046"/>
    <s v=""/>
    <s v="assinatura"/>
    <n v="554"/>
    <n v="15000"/>
    <n v="3.0666666666666668E-3"/>
    <n v="46"/>
    <x v="12"/>
    <x v="3"/>
  </r>
  <r>
    <x v="4"/>
    <x v="1"/>
    <s v="6a7557307d11d89e2f421791"/>
    <s v="07/08/2026 00:45:21"/>
    <s v="07/08/2026 00:55:28"/>
    <s v="- -"/>
    <s v="06/08/2026"/>
    <x v="0"/>
    <s v=""/>
    <n v="992093"/>
    <n v="5008"/>
    <n v="5002"/>
    <n v="5022"/>
    <n v="5008"/>
    <n v="5005"/>
    <n v="5008"/>
    <n v="5012"/>
    <n v="5009"/>
    <n v="5002"/>
    <n v="5001"/>
    <n v="5007.7"/>
    <s v=""/>
    <s v="assinatura"/>
    <n v="606"/>
    <n v="5000"/>
    <n v="1.5399999999999637E-3"/>
    <n v="7.6999999999998181"/>
    <x v="13"/>
    <x v="3"/>
  </r>
  <r>
    <x v="5"/>
    <x v="1"/>
    <s v="6a79aef44b165449d5bfd7b9"/>
    <s v="07/08/2026 17:41:25"/>
    <s v="10/08/2026 07:59:00"/>
    <s v="Ranieli"/>
    <s v="07/08/2026"/>
    <x v="0"/>
    <s v="JOSEFA KELY NUNES DE SOUSA"/>
    <n v="42820"/>
    <n v="1999"/>
    <n v="2085"/>
    <n v="2000"/>
    <n v="2033"/>
    <n v="2033"/>
    <n v="2051"/>
    <n v="2023"/>
    <n v="2016"/>
    <n v="2035"/>
    <n v="1989"/>
    <n v="2026.4"/>
    <s v=""/>
    <s v="assinatura"/>
    <n v="2758"/>
    <n v="2000"/>
    <n v="1.3200000000000045E-2"/>
    <n v="26.400000000000091"/>
    <x v="10"/>
    <x v="1"/>
  </r>
  <r>
    <x v="5"/>
    <x v="1"/>
    <s v="6a79aef54b165449d5bfd7bf"/>
    <s v="07/08/2026 18:27:25"/>
    <s v="10/08/2026 07:59:01"/>
    <s v="Ranieli"/>
    <s v="07/08/2026"/>
    <x v="0"/>
    <s v="JOSEFA KELY NUNES DE SOUSA"/>
    <n v="42854"/>
    <n v="2002"/>
    <n v="2119"/>
    <n v="2151"/>
    <n v="2100"/>
    <n v="2099"/>
    <n v="2110"/>
    <n v="2117"/>
    <n v="2079"/>
    <n v="2139"/>
    <n v="2115"/>
    <n v="2103.1"/>
    <s v=""/>
    <s v=""/>
    <n v="181"/>
    <n v="2080"/>
    <n v="1.1105769230769186E-2"/>
    <n v="23.099999999999909"/>
    <x v="4"/>
    <x v="1"/>
  </r>
  <r>
    <x v="5"/>
    <x v="1"/>
    <s v="6a79aef54b165449d5bfd7c5"/>
    <s v="07/08/2026 18:30:28"/>
    <s v="10/08/2026 07:59:01"/>
    <s v="Ranieli"/>
    <s v="07/08/2026"/>
    <x v="0"/>
    <s v="JOSEFA KELY NUNES DE SOUSA"/>
    <n v="42846"/>
    <n v="2000"/>
    <n v="2013"/>
    <n v="2010"/>
    <n v="2013"/>
    <n v="2016"/>
    <n v="2003"/>
    <n v="1994"/>
    <n v="2009"/>
    <n v="1770"/>
    <n v="1999"/>
    <n v="1982.7"/>
    <s v=""/>
    <s v="assinatura"/>
    <n v="233"/>
    <n v="2000"/>
    <n v="-8.6499999999999772E-3"/>
    <n v="-17.299999999999955"/>
    <x v="6"/>
    <x v="1"/>
  </r>
  <r>
    <x v="5"/>
    <x v="1"/>
    <s v="6a79aef54b165449d5bfd7cb"/>
    <s v="07/08/2026 18:34:24"/>
    <s v="10/08/2026 07:59:01"/>
    <s v="Ranieli"/>
    <s v="07/08/2026"/>
    <x v="0"/>
    <s v="JOSEFA KELY NUNES DE SOUSA"/>
    <n v="42862"/>
    <n v="2016"/>
    <n v="2009"/>
    <n v="2057"/>
    <n v="2040"/>
    <n v="2059"/>
    <n v="2001"/>
    <n v="2017"/>
    <n v="2016"/>
    <n v="2003"/>
    <n v="2023"/>
    <n v="2024.1"/>
    <s v=""/>
    <s v=""/>
    <n v="148"/>
    <n v="2000"/>
    <n v="1.2049999999999955E-2"/>
    <n v="24.099999999999909"/>
    <x v="5"/>
    <x v="1"/>
  </r>
  <r>
    <x v="5"/>
    <x v="1"/>
    <s v="6a79aef54b165449d5bfd7d3"/>
    <s v="07/08/2026 18:36:55"/>
    <s v="10/08/2026 07:59:01"/>
    <s v="Ranieli"/>
    <s v="07/08/2026"/>
    <x v="0"/>
    <s v="JOSEFA KELY NUNES DE SOUSA"/>
    <n v="13188"/>
    <n v="1014"/>
    <n v="1020"/>
    <n v="1023"/>
    <n v="994"/>
    <n v="993"/>
    <n v="1013"/>
    <n v="998"/>
    <n v="1007"/>
    <n v="1023"/>
    <n v="997"/>
    <n v="1008.2"/>
    <s v=""/>
    <s v=""/>
    <n v="210"/>
    <n v="1000"/>
    <n v="8.2000000000000458E-3"/>
    <n v="8.2000000000000455"/>
    <x v="8"/>
    <x v="1"/>
  </r>
  <r>
    <x v="5"/>
    <x v="1"/>
    <s v="6a79aef54b165449d5bfd7d9"/>
    <s v="07/08/2026 18:40:29"/>
    <s v="10/08/2026 07:59:01"/>
    <s v="Ranieli"/>
    <s v="07/08/2026"/>
    <x v="0"/>
    <s v="JOSEFA KELY NUNES DE SOUSA"/>
    <n v="15105"/>
    <n v="992"/>
    <n v="998"/>
    <n v="1011"/>
    <n v="1018"/>
    <n v="957"/>
    <n v="920"/>
    <n v="1021"/>
    <n v="1020"/>
    <n v="1060"/>
    <n v="1014"/>
    <n v="1001.1"/>
    <s v=""/>
    <s v="assinatura"/>
    <n v="533"/>
    <n v="1000"/>
    <n v="1.1000000000000228E-3"/>
    <n v="1.1000000000000227"/>
    <x v="0"/>
    <x v="0"/>
  </r>
  <r>
    <x v="5"/>
    <x v="1"/>
    <s v="6a79aef54b165449d5bfd7df"/>
    <s v="07/08/2026 18:49:24"/>
    <s v="10/08/2026 07:59:01"/>
    <s v="Ranieli"/>
    <s v="07/08/2026"/>
    <x v="0"/>
    <s v="JOSEFA KELY NUNES DE SOUSA"/>
    <n v="992093"/>
    <n v="5014"/>
    <n v="5015"/>
    <n v="5014"/>
    <n v="5021"/>
    <n v="5014"/>
    <n v="5015"/>
    <n v="5017"/>
    <n v="5010"/>
    <n v="5014"/>
    <n v="5014"/>
    <n v="5014.8"/>
    <s v=""/>
    <s v="assinatura"/>
    <n v="465"/>
    <n v="5000"/>
    <n v="2.9600000000000364E-3"/>
    <n v="14.800000000000182"/>
    <x v="13"/>
    <x v="3"/>
  </r>
  <r>
    <x v="5"/>
    <x v="1"/>
    <s v="6a79aef54b165449d5bfd7fd"/>
    <s v="08/08/2026 00:28:19"/>
    <s v="10/08/2026 07:59:01"/>
    <s v="Ranieli"/>
    <s v="07/08/2026"/>
    <x v="0"/>
    <s v="JOSEFA KELY NUNES DE SOUSA"/>
    <n v="15105"/>
    <n v="1009"/>
    <n v="1025"/>
    <n v="1003"/>
    <n v="1035"/>
    <n v="1029"/>
    <n v="1004"/>
    <n v="1000"/>
    <n v="1004"/>
    <n v="1013"/>
    <n v="1007"/>
    <n v="1012.9"/>
    <s v=""/>
    <s v="assinatura"/>
    <n v="440"/>
    <n v="1000"/>
    <n v="1.2899999999999977E-2"/>
    <n v="12.899999999999977"/>
    <x v="0"/>
    <x v="0"/>
  </r>
  <r>
    <x v="5"/>
    <x v="1"/>
    <s v="6a79aef54b165449d5bfd803"/>
    <s v="08/08/2026 00:35:45"/>
    <s v="10/08/2026 07:59:01"/>
    <s v="Ranieli"/>
    <s v="07/08/2026"/>
    <x v="0"/>
    <s v="JOSEFA KELY NUNES DE SOUSA"/>
    <n v="13188"/>
    <n v="1014"/>
    <n v="1019"/>
    <n v="1005"/>
    <n v="994"/>
    <n v="1024"/>
    <n v="1022"/>
    <n v="1027"/>
    <n v="1016"/>
    <n v="1009"/>
    <n v="1038"/>
    <n v="1016.8"/>
    <s v=""/>
    <s v="assinatura"/>
    <n v="574"/>
    <n v="1000"/>
    <n v="1.6799999999999954E-2"/>
    <n v="16.799999999999955"/>
    <x v="8"/>
    <x v="1"/>
  </r>
  <r>
    <x v="5"/>
    <x v="1"/>
    <s v="6a79aef54b165449d5bfd809"/>
    <s v="08/08/2026 00:45:27"/>
    <s v="10/08/2026 07:59:01"/>
    <s v="Ranieli"/>
    <s v="07/08/2026"/>
    <x v="0"/>
    <s v=""/>
    <n v="40762"/>
    <n v="10070"/>
    <n v="9885"/>
    <n v="9875"/>
    <n v="9955"/>
    <n v="9985"/>
    <n v="9965"/>
    <n v="9885"/>
    <n v="10060"/>
    <n v="10010"/>
    <n v="9885"/>
    <n v="9957.5"/>
    <s v=""/>
    <s v=""/>
    <n v="472"/>
    <n v="10000"/>
    <n v="-4.2500000000000003E-3"/>
    <n v="-42.5"/>
    <x v="3"/>
    <x v="1"/>
  </r>
  <r>
    <x v="6"/>
    <x v="1"/>
    <s v="6a7ab139f77da7ef00271bbb"/>
    <s v="10/08/2026 17:42:33"/>
    <s v="11/08/2026 02:20:57"/>
    <s v="Ranieli"/>
    <s v="10/08/2026"/>
    <x v="0"/>
    <s v="JOSEFA KELY NUNES DE SOUSA"/>
    <n v="42846"/>
    <n v="2010"/>
    <n v="2019"/>
    <n v="2010"/>
    <n v="2021"/>
    <n v="2005"/>
    <n v="2062"/>
    <n v="2005"/>
    <n v="2104"/>
    <n v="2015"/>
    <n v="1997"/>
    <n v="2024.8"/>
    <s v=""/>
    <s v="assinatura"/>
    <n v="299"/>
    <n v="2000"/>
    <n v="1.2399999999999977E-2"/>
    <n v="24.799999999999955"/>
    <x v="6"/>
    <x v="1"/>
  </r>
  <r>
    <x v="6"/>
    <x v="1"/>
    <s v="6a7ab139f77da7ef00271bc1"/>
    <s v="10/08/2026 17:47:34"/>
    <s v="11/08/2026 02:20:57"/>
    <s v="Ranieli"/>
    <s v="10/08/2026"/>
    <x v="0"/>
    <s v="JOSEFA KELY NUNES DE SOUSA"/>
    <n v="42838"/>
    <n v="2025"/>
    <n v="2043"/>
    <n v="2034"/>
    <n v="2046"/>
    <n v="2032"/>
    <n v="2017"/>
    <n v="2031"/>
    <n v="2031"/>
    <n v="2082"/>
    <n v="2140"/>
    <n v="2048.1"/>
    <s v=""/>
    <s v=""/>
    <n v="153"/>
    <n v="2000"/>
    <n v="2.4049999999999953E-2"/>
    <n v="48.099999999999909"/>
    <x v="7"/>
    <x v="1"/>
  </r>
  <r>
    <x v="6"/>
    <x v="1"/>
    <s v="6a7ab139f77da7ef00271bc7"/>
    <s v="10/08/2026 17:50:09"/>
    <s v="11/08/2026 02:20:57"/>
    <s v="Ranieli"/>
    <s v="10/08/2026"/>
    <x v="0"/>
    <s v="JOSEFA KELY NUNES DE SOUSA"/>
    <n v="42854"/>
    <n v="2098"/>
    <n v="2133"/>
    <n v="2114"/>
    <n v="2088"/>
    <n v="2079"/>
    <n v="2092"/>
    <n v="2097"/>
    <n v="2126"/>
    <n v="2099"/>
    <n v="2119"/>
    <n v="2104.5"/>
    <s v=""/>
    <s v=""/>
    <n v="239"/>
    <n v="2080"/>
    <n v="1.1778846153846154E-2"/>
    <n v="24.5"/>
    <x v="4"/>
    <x v="1"/>
  </r>
  <r>
    <x v="6"/>
    <x v="1"/>
    <s v="6a7ab139f77da7ef00271bcd"/>
    <s v="10/08/2026 17:54:09"/>
    <s v="11/08/2026 02:20:57"/>
    <s v="Ranieli"/>
    <s v="10/08/2026"/>
    <x v="0"/>
    <s v="JOSEFA KELY NUNES DE SOUSA"/>
    <n v="13188"/>
    <n v="1000"/>
    <n v="1014"/>
    <n v="994"/>
    <n v="1025"/>
    <n v="1021"/>
    <n v="997"/>
    <n v="1008"/>
    <n v="1013"/>
    <n v="1018"/>
    <n v="1014"/>
    <n v="1010.4"/>
    <s v=""/>
    <s v=""/>
    <n v="201"/>
    <n v="1000"/>
    <n v="1.0399999999999977E-2"/>
    <n v="10.399999999999977"/>
    <x v="8"/>
    <x v="1"/>
  </r>
  <r>
    <x v="6"/>
    <x v="1"/>
    <s v="6a7ab139f77da7ef00271bd3"/>
    <s v="10/08/2026 17:57:31"/>
    <s v="11/08/2026 02:20:57"/>
    <s v="Ranieli"/>
    <s v="10/08/2026"/>
    <x v="0"/>
    <s v="JOSEFA KELY NUNES DE SOUSA"/>
    <n v="15229"/>
    <n v="972"/>
    <n v="1030"/>
    <n v="1040"/>
    <n v="1025"/>
    <n v="972"/>
    <n v="984"/>
    <n v="1069"/>
    <n v="1039"/>
    <n v="1035"/>
    <n v="969"/>
    <n v="1013.5"/>
    <s v=""/>
    <s v=""/>
    <n v="337"/>
    <n v="1000"/>
    <n v="1.35E-2"/>
    <n v="13.5"/>
    <x v="9"/>
    <x v="1"/>
  </r>
  <r>
    <x v="6"/>
    <x v="1"/>
    <s v="6a7ab139f77da7ef00271bd9"/>
    <s v="10/08/2026 18:04:12"/>
    <s v="11/08/2026 02:20:57"/>
    <s v="Ranieli"/>
    <s v="10/08/2026"/>
    <x v="0"/>
    <s v="JOSEFA KELY NUNES DE SOUSA"/>
    <n v="15105"/>
    <n v="1044"/>
    <n v="997"/>
    <n v="1009"/>
    <n v="1022"/>
    <n v="1019"/>
    <n v="1011"/>
    <n v="1031"/>
    <n v="1040"/>
    <n v="1015"/>
    <n v="1078"/>
    <n v="1026.5999999999999"/>
    <s v=""/>
    <s v="assinatura"/>
    <n v="235"/>
    <n v="1000"/>
    <n v="2.6599999999999908E-2"/>
    <n v="26.599999999999909"/>
    <x v="0"/>
    <x v="0"/>
  </r>
  <r>
    <x v="6"/>
    <x v="1"/>
    <s v="6a7ab139f77da7ef00271bdf"/>
    <s v="10/08/2026 18:08:11"/>
    <s v="11/08/2026 02:20:57"/>
    <s v="Ranieli"/>
    <s v="10/08/2026"/>
    <x v="0"/>
    <s v="JOSEFA KELY NUNES DE SOUSA"/>
    <n v="992093"/>
    <n v="4983"/>
    <n v="4998"/>
    <n v="4869"/>
    <n v="4978"/>
    <n v="4949"/>
    <n v="4986"/>
    <n v="4996"/>
    <n v="5004"/>
    <n v="5020"/>
    <n v="4989"/>
    <n v="4977.2"/>
    <s v=""/>
    <s v="assinatura"/>
    <n v="513"/>
    <n v="5000"/>
    <n v="-4.5600000000000362E-3"/>
    <n v="-22.800000000000182"/>
    <x v="13"/>
    <x v="3"/>
  </r>
  <r>
    <x v="6"/>
    <x v="1"/>
    <s v="6a7ab139f77da7ef00271bf1"/>
    <s v="10/08/2026 22:43:22"/>
    <s v="11/08/2026 02:20:57"/>
    <s v="Ranieli"/>
    <s v="10/08/2026"/>
    <x v="0"/>
    <s v="JOSEFA KELY NUNES DE SOUSA"/>
    <n v="15105"/>
    <n v="1004"/>
    <n v="1157"/>
    <n v="1033"/>
    <n v="1023"/>
    <n v="1024"/>
    <n v="1022"/>
    <n v="1006"/>
    <n v="1013"/>
    <n v="1042"/>
    <n v="1007"/>
    <n v="1033.0999999999999"/>
    <s v=""/>
    <s v="assinatura"/>
    <n v="324"/>
    <n v="1000"/>
    <n v="3.3099999999999907E-2"/>
    <n v="33.099999999999909"/>
    <x v="0"/>
    <x v="0"/>
  </r>
  <r>
    <x v="6"/>
    <x v="1"/>
    <s v="6a7ab13af77da7ef00271bfd"/>
    <s v="10/08/2026 23:51:21"/>
    <s v="11/08/2026 02:20:58"/>
    <s v="Ranieli"/>
    <s v="10/08/2026"/>
    <x v="0"/>
    <s v="JOSEFA KELY NUNES DE SOUSA"/>
    <n v="792799"/>
    <n v="15055"/>
    <n v="15040"/>
    <n v="15025"/>
    <n v="15045"/>
    <n v="15040"/>
    <n v="15035"/>
    <n v="15030"/>
    <n v="15030"/>
    <n v="15060"/>
    <n v="15045"/>
    <n v="15040.5"/>
    <s v=""/>
    <s v="assinatura"/>
    <n v="3543"/>
    <n v="15000"/>
    <n v="2.7000000000000001E-3"/>
    <n v="40.5"/>
    <x v="12"/>
    <x v="3"/>
  </r>
  <r>
    <x v="6"/>
    <x v="1"/>
    <s v="6a7ab13af77da7ef00271c03"/>
    <s v="11/08/2026 00:50:53"/>
    <s v="11/08/2026 02:20:58"/>
    <s v="Ranieli"/>
    <s v="10/08/2026"/>
    <x v="0"/>
    <s v="JOSEFA KELY NUNES DE SOUSA"/>
    <n v="40762"/>
    <n v="9950"/>
    <n v="9900"/>
    <n v="9910"/>
    <n v="10145"/>
    <n v="9960"/>
    <n v="10150"/>
    <n v="10235"/>
    <n v="10170"/>
    <n v="10045"/>
    <n v="10030"/>
    <n v="10049.5"/>
    <s v=""/>
    <s v="assinatura"/>
    <n v="554"/>
    <n v="10000"/>
    <n v="4.9500000000000004E-3"/>
    <n v="49.5"/>
    <x v="3"/>
    <x v="1"/>
  </r>
  <r>
    <x v="6"/>
    <x v="1"/>
    <s v="6a7ab13af77da7ef00271c09"/>
    <s v="11/08/2026 01:00:09"/>
    <s v="11/08/2026 02:20:58"/>
    <s v="Ranieli"/>
    <s v="10/08/2026"/>
    <x v="0"/>
    <s v=""/>
    <n v="13188"/>
    <n v="1000"/>
    <n v="1004"/>
    <n v="997"/>
    <n v="997"/>
    <n v="1014"/>
    <n v="993"/>
    <n v="1008"/>
    <n v="997"/>
    <n v="1012"/>
    <n v="1009"/>
    <n v="1003.1"/>
    <s v=""/>
    <s v=""/>
    <n v="247"/>
    <n v="1000"/>
    <n v="3.1000000000000229E-3"/>
    <n v="3.1000000000000227"/>
    <x v="8"/>
    <x v="1"/>
  </r>
  <r>
    <x v="6"/>
    <x v="1"/>
    <s v="6a7ab13af77da7ef00271c0f"/>
    <s v="11/08/2026 01:04:22"/>
    <s v="11/08/2026 02:20:58"/>
    <s v="Ranieli"/>
    <s v="10/08/2026"/>
    <x v="0"/>
    <s v="JOSEFA KELY NUNES DE SOUSA"/>
    <n v="992014"/>
    <n v="702"/>
    <n v="700"/>
    <n v="704"/>
    <n v="709"/>
    <n v="707"/>
    <n v="703"/>
    <n v="709"/>
    <n v="699"/>
    <n v="698"/>
    <n v="700"/>
    <n v="703.1"/>
    <s v=""/>
    <s v=""/>
    <n v="2890"/>
    <n v="700"/>
    <n v="4.4285714285714614E-3"/>
    <n v="3.1000000000000227"/>
    <x v="14"/>
    <x v="1"/>
  </r>
  <r>
    <x v="7"/>
    <x v="1"/>
    <s v="6a85b1dd0ee09dfd59469dfd"/>
    <s v="19/08/2026 09:00:11"/>
    <s v="19/08/2026 10:38:37"/>
    <s v="Ranieli"/>
    <s v="19/08/2026"/>
    <x v="1"/>
    <s v="ALANA DA SILVA MARTINS"/>
    <n v="963925"/>
    <n v="18225"/>
    <n v="18160"/>
    <n v="18075"/>
    <n v="18390"/>
    <n v="18150"/>
    <n v="18150"/>
    <n v="18015"/>
    <n v="18005"/>
    <n v="18180"/>
    <n v="18035"/>
    <n v="18138.5"/>
    <s v=""/>
    <s v="assinatura"/>
    <n v="1068"/>
    <n v="18000"/>
    <n v="7.6944444444444447E-3"/>
    <n v="138.5"/>
    <x v="15"/>
    <x v="3"/>
  </r>
  <r>
    <x v="8"/>
    <x v="1"/>
    <s v="6a7b0eccb557e8f899eab1a4"/>
    <s v="11/08/2026 08:54:44"/>
    <s v="11/08/2026 09:00:12"/>
    <s v="Ranieli"/>
    <s v="11/08/2026"/>
    <x v="1"/>
    <s v="RANIELI MARIA MASQUIETI DOURADO"/>
    <n v="18228"/>
    <n v="1010"/>
    <n v="1000"/>
    <n v="1001"/>
    <n v="1002"/>
    <n v="1002"/>
    <n v="999"/>
    <n v="1001"/>
    <n v="1007"/>
    <n v="1010"/>
    <n v="1009"/>
    <n v="1004.1"/>
    <s v=""/>
    <s v="assinatura"/>
    <n v="314"/>
    <n v="1000"/>
    <n v="4.1000000000000229E-3"/>
    <n v="4.1000000000000227"/>
    <x v="16"/>
    <x v="4"/>
  </r>
  <r>
    <x v="9"/>
    <x v="1"/>
    <s v="6a8726a4d21019c032fd9738"/>
    <s v="20/08/2026 12:36:41"/>
    <s v="20/08/2026 13:09:08"/>
    <s v="Ranieli"/>
    <s v="20/08/2026"/>
    <x v="1"/>
    <s v="ALANA DA SILVA MARTINS"/>
    <n v="18228"/>
    <n v="1014"/>
    <n v="1010"/>
    <n v="1005"/>
    <n v="1019"/>
    <n v="1005"/>
    <n v="1007"/>
    <n v="1010"/>
    <n v="1025"/>
    <n v="1014"/>
    <n v="1012"/>
    <n v="1012.1"/>
    <s v=""/>
    <s v="assinatura"/>
    <n v="741"/>
    <n v="1000"/>
    <n v="1.2100000000000022E-2"/>
    <n v="12.100000000000023"/>
    <x v="16"/>
    <x v="4"/>
  </r>
  <r>
    <x v="8"/>
    <x v="1"/>
    <s v="6a7c03a8f77da7ef002a6210"/>
    <s v="11/08/2026 17:56:05"/>
    <s v="12/08/2026 02:24:56"/>
    <s v="Ranieli"/>
    <s v="11/08/2026"/>
    <x v="0"/>
    <s v="JOSEFA KELY NUNES DE SOUSA"/>
    <n v="15105"/>
    <n v="1027"/>
    <n v="1042"/>
    <n v="1031"/>
    <n v="1062"/>
    <n v="1003"/>
    <n v="1063"/>
    <n v="1029"/>
    <n v="1031"/>
    <n v="1028"/>
    <n v="1025"/>
    <n v="1034.0999999999999"/>
    <s v=""/>
    <s v="assinatura"/>
    <n v="417"/>
    <n v="1000"/>
    <n v="3.4099999999999908E-2"/>
    <n v="34.099999999999909"/>
    <x v="0"/>
    <x v="0"/>
  </r>
  <r>
    <x v="8"/>
    <x v="1"/>
    <s v="6a7c03a8f77da7ef002a6216"/>
    <s v="11/08/2026 18:03:10"/>
    <s v="12/08/2026 02:24:56"/>
    <s v="Ranieli"/>
    <s v="11/08/2026"/>
    <x v="0"/>
    <s v="JOSEFA KELY NUNES DE SOUSA"/>
    <n v="958611"/>
    <n v="999"/>
    <n v="1012"/>
    <n v="1013"/>
    <n v="1014"/>
    <n v="1002"/>
    <n v="1000"/>
    <n v="1017"/>
    <n v="996"/>
    <n v="1012"/>
    <n v="1015"/>
    <n v="1008"/>
    <s v=""/>
    <s v="assinatura"/>
    <n v="832"/>
    <n v="1000"/>
    <n v="8.0000000000000002E-3"/>
    <n v="8"/>
    <x v="17"/>
    <x v="3"/>
  </r>
  <r>
    <x v="8"/>
    <x v="1"/>
    <s v="6a7c03a8f77da7ef002a621c"/>
    <s v="11/08/2026 18:17:04"/>
    <s v="12/08/2026 02:24:56"/>
    <s v="Ranieli"/>
    <s v="11/08/2026"/>
    <x v="0"/>
    <s v="JOSEFA KELY NUNES DE SOUSA"/>
    <n v="992093"/>
    <n v="5019"/>
    <n v="5017"/>
    <n v="5017"/>
    <n v="5021"/>
    <n v="5018"/>
    <n v="5008"/>
    <n v="5002"/>
    <n v="5022"/>
    <n v="5015"/>
    <n v="5011"/>
    <n v="5015"/>
    <s v=""/>
    <s v=""/>
    <n v="1120"/>
    <n v="5000"/>
    <n v="3.0000000000000001E-3"/>
    <n v="15"/>
    <x v="13"/>
    <x v="3"/>
  </r>
  <r>
    <x v="8"/>
    <x v="1"/>
    <s v="6a7c03a8f77da7ef002a6222"/>
    <s v="11/08/2026 18:35:47"/>
    <s v="12/08/2026 02:24:56"/>
    <s v="Ranieli"/>
    <s v="11/08/2026"/>
    <x v="0"/>
    <s v="JOSEFA KELY NUNES DE SOUSA"/>
    <n v="42838"/>
    <n v="2016"/>
    <n v="2002"/>
    <n v="2064"/>
    <n v="2029"/>
    <n v="2002"/>
    <n v="2059"/>
    <n v="2035"/>
    <n v="2057"/>
    <n v="2028"/>
    <n v="2074"/>
    <n v="2036.6"/>
    <s v=""/>
    <s v="assinatura"/>
    <n v="716"/>
    <n v="2000"/>
    <n v="1.8299999999999955E-2"/>
    <n v="36.599999999999909"/>
    <x v="7"/>
    <x v="1"/>
  </r>
  <r>
    <x v="8"/>
    <x v="1"/>
    <s v="6a7c03a8f77da7ef002a6228"/>
    <s v="11/08/2026 18:47:45"/>
    <s v="12/08/2026 02:24:56"/>
    <s v="Ranieli"/>
    <s v="11/08/2026"/>
    <x v="0"/>
    <s v="JOSEFA KELY NUNES DE SOUSA"/>
    <n v="42854"/>
    <n v="1998"/>
    <n v="2090"/>
    <n v="2101"/>
    <n v="2001"/>
    <n v="2115"/>
    <n v="1997"/>
    <n v="2133"/>
    <n v="2147"/>
    <n v="2119"/>
    <n v="2100"/>
    <n v="2080.1"/>
    <s v=""/>
    <s v=""/>
    <n v="138"/>
    <n v="2080"/>
    <n v="4.807692307687935E-5"/>
    <n v="9.9999999999909051E-2"/>
    <x v="4"/>
    <x v="1"/>
  </r>
  <r>
    <x v="8"/>
    <x v="1"/>
    <s v="6a7c03a8f77da7ef002a622e"/>
    <s v="11/08/2026 18:50:05"/>
    <s v="12/08/2026 02:24:56"/>
    <s v="Ranieli"/>
    <s v="11/08/2026"/>
    <x v="0"/>
    <s v="JOSEFA KELY NUNES DE SOUSA"/>
    <n v="42846"/>
    <n v="2008"/>
    <n v="2010"/>
    <n v="2010"/>
    <n v="2004"/>
    <n v="2033"/>
    <n v="2027"/>
    <n v="2010"/>
    <n v="2009"/>
    <n v="2013"/>
    <n v="2010"/>
    <n v="2013.4"/>
    <s v=""/>
    <s v=""/>
    <n v="181"/>
    <n v="2000"/>
    <n v="6.7000000000000453E-3"/>
    <n v="13.400000000000091"/>
    <x v="6"/>
    <x v="1"/>
  </r>
  <r>
    <x v="8"/>
    <x v="1"/>
    <s v="6a7c03a8f77da7ef002a6234"/>
    <s v="11/08/2026 18:53:08"/>
    <s v="12/08/2026 02:24:56"/>
    <s v="Ranieli"/>
    <s v="11/08/2026"/>
    <x v="0"/>
    <s v="JOSEFA KELY NUNES DE SOUSA"/>
    <n v="42862"/>
    <n v="2025"/>
    <n v="2020"/>
    <n v="2027"/>
    <n v="2004"/>
    <n v="2025"/>
    <n v="1993"/>
    <n v="1996"/>
    <n v="2009"/>
    <n v="2041"/>
    <n v="2003"/>
    <n v="2014.3"/>
    <s v=""/>
    <s v=""/>
    <n v="139"/>
    <n v="2000"/>
    <n v="7.1499999999999776E-3"/>
    <n v="14.299999999999955"/>
    <x v="5"/>
    <x v="1"/>
  </r>
  <r>
    <x v="8"/>
    <x v="1"/>
    <s v="6a7c03a8f77da7ef002a623a"/>
    <s v="11/08/2026 18:55:30"/>
    <s v="12/08/2026 02:24:56"/>
    <s v="Ranieli"/>
    <s v="11/08/2026"/>
    <x v="0"/>
    <s v="JOSEFA KELY NUNES DE SOUSA"/>
    <n v="13188"/>
    <n v="1028"/>
    <n v="1017"/>
    <n v="1011"/>
    <n v="1023"/>
    <n v="1004"/>
    <n v="1033"/>
    <n v="1005"/>
    <n v="1011"/>
    <n v="1015"/>
    <n v="1011"/>
    <n v="1015.8"/>
    <s v=""/>
    <s v=""/>
    <n v="280"/>
    <n v="1000"/>
    <n v="1.5799999999999953E-2"/>
    <n v="15.799999999999955"/>
    <x v="8"/>
    <x v="1"/>
  </r>
  <r>
    <x v="8"/>
    <x v="1"/>
    <s v="6a7c03a9f77da7ef002a6252"/>
    <s v="12/08/2026 00:07:33"/>
    <s v="12/08/2026 02:24:57"/>
    <s v="Ranieli"/>
    <s v="11/08/2026"/>
    <x v="0"/>
    <s v="JOSEFA KELY NUNES DE SOUSA"/>
    <n v="15105"/>
    <n v="1004"/>
    <n v="1028"/>
    <n v="1048"/>
    <n v="1030"/>
    <n v="1002"/>
    <n v="1009"/>
    <n v="1021"/>
    <n v="1040"/>
    <n v="1011"/>
    <n v="1008"/>
    <n v="1020.1"/>
    <s v=""/>
    <s v="assinatura"/>
    <n v="1125"/>
    <n v="1000"/>
    <n v="2.0100000000000024E-2"/>
    <n v="20.100000000000023"/>
    <x v="0"/>
    <x v="0"/>
  </r>
  <r>
    <x v="8"/>
    <x v="1"/>
    <s v="6a7c03a9f77da7ef002a6258"/>
    <s v="12/08/2026 00:26:21"/>
    <s v="12/08/2026 02:24:57"/>
    <s v="Ranieli"/>
    <s v="11/08/2026"/>
    <x v="0"/>
    <s v="JOSEFA KELY NUNES DE SOUSA"/>
    <n v="15229"/>
    <n v="1001"/>
    <n v="1005"/>
    <n v="1008"/>
    <n v="1000"/>
    <n v="1026"/>
    <n v="1004"/>
    <n v="1005"/>
    <n v="1003"/>
    <n v="1015"/>
    <n v="1005"/>
    <n v="1007.2"/>
    <s v=""/>
    <s v="assinatura"/>
    <n v="388"/>
    <n v="1000"/>
    <n v="7.2000000000000458E-3"/>
    <n v="7.2000000000000455"/>
    <x v="9"/>
    <x v="1"/>
  </r>
  <r>
    <x v="8"/>
    <x v="1"/>
    <s v="6a7c03a9f77da7ef002a625e"/>
    <s v="12/08/2026 00:32:52"/>
    <s v="12/08/2026 02:24:57"/>
    <s v="Ranieli"/>
    <s v="11/08/2026"/>
    <x v="0"/>
    <s v="JOSEFA KELY NUNES DE SOUSA"/>
    <n v="40762"/>
    <n v="10205"/>
    <n v="10085"/>
    <n v="10160"/>
    <n v="10120"/>
    <n v="10105"/>
    <n v="9985"/>
    <n v="10100"/>
    <n v="10150"/>
    <n v="10125"/>
    <n v="10080"/>
    <n v="10111.5"/>
    <s v=""/>
    <s v=""/>
    <n v="540"/>
    <n v="10000"/>
    <n v="1.115E-2"/>
    <n v="111.5"/>
    <x v="3"/>
    <x v="1"/>
  </r>
  <r>
    <x v="10"/>
    <x v="1"/>
    <s v="6a7d4daf8646cdc8463d56d3"/>
    <s v="12/08/2026 17:47:29"/>
    <s v="13/08/2026 01:53:03"/>
    <s v="Ranieli"/>
    <s v="12/08/2026"/>
    <x v="0"/>
    <s v="JOSEFA KELY NUNES DE SOUSA"/>
    <n v="15105"/>
    <n v="1018"/>
    <n v="1010"/>
    <n v="1018"/>
    <n v="1016"/>
    <n v="992"/>
    <n v="1006"/>
    <n v="1023"/>
    <n v="1059"/>
    <n v="1015"/>
    <n v="939"/>
    <n v="1009.6"/>
    <s v=""/>
    <s v="assinatura"/>
    <n v="234"/>
    <n v="1000"/>
    <n v="9.6000000000000234E-3"/>
    <n v="9.6000000000000227"/>
    <x v="0"/>
    <x v="0"/>
  </r>
  <r>
    <x v="10"/>
    <x v="1"/>
    <s v="6a7d4daf8646cdc8463d56d9"/>
    <s v="12/08/2026 17:51:25"/>
    <s v="13/08/2026 01:53:03"/>
    <s v="Ranieli"/>
    <s v="12/08/2026"/>
    <x v="0"/>
    <s v="JOSEFA KELY NUNES DE SOUSA"/>
    <n v="992093"/>
    <n v="5015"/>
    <n v="5018"/>
    <n v="5019"/>
    <n v="5024"/>
    <n v="5015"/>
    <n v="5019"/>
    <n v="5014"/>
    <n v="5020"/>
    <n v="5008"/>
    <n v="5012"/>
    <n v="5016.3999999999996"/>
    <s v=""/>
    <s v="assinatura"/>
    <n v="322"/>
    <n v="5000"/>
    <n v="3.2799999999999271E-3"/>
    <n v="16.399999999999636"/>
    <x v="13"/>
    <x v="3"/>
  </r>
  <r>
    <x v="10"/>
    <x v="1"/>
    <s v="6a7d4daf8646cdc8463d56df"/>
    <s v="12/08/2026 17:56:49"/>
    <s v="13/08/2026 01:53:03"/>
    <s v="Ranieli"/>
    <s v="12/08/2026"/>
    <x v="0"/>
    <s v=""/>
    <n v="42854"/>
    <n v="2125"/>
    <n v="2115"/>
    <n v="2077"/>
    <n v="2155"/>
    <n v="2092"/>
    <n v="2141"/>
    <n v="1885"/>
    <n v="2111"/>
    <n v="2074"/>
    <n v="2149"/>
    <n v="2092.4"/>
    <s v=""/>
    <s v="assinatura"/>
    <n v="800"/>
    <n v="2080"/>
    <n v="5.9615384615385051E-3"/>
    <n v="12.400000000000091"/>
    <x v="4"/>
    <x v="1"/>
  </r>
  <r>
    <x v="10"/>
    <x v="1"/>
    <s v="6a7d4daf8646cdc8463d56e5"/>
    <s v="12/08/2026 18:10:11"/>
    <s v="13/08/2026 01:53:03"/>
    <s v="Ranieli"/>
    <s v="12/08/2026"/>
    <x v="0"/>
    <s v="JOSEFA KELY NUNES DE SOUSA"/>
    <n v="42838"/>
    <n v="2095"/>
    <n v="2010"/>
    <n v="2163"/>
    <n v="2019"/>
    <n v="2030"/>
    <n v="2090"/>
    <n v="2030"/>
    <n v="2014"/>
    <n v="2068"/>
    <n v="2035"/>
    <n v="2055.4"/>
    <s v=""/>
    <s v=""/>
    <n v="145"/>
    <n v="2000"/>
    <n v="2.7700000000000044E-2"/>
    <n v="55.400000000000091"/>
    <x v="7"/>
    <x v="1"/>
  </r>
  <r>
    <x v="10"/>
    <x v="1"/>
    <s v="6a7d4daf8646cdc8463d56eb"/>
    <s v="12/08/2026 18:12:38"/>
    <s v="13/08/2026 01:53:03"/>
    <s v="Ranieli"/>
    <s v="12/08/2026"/>
    <x v="0"/>
    <s v="JOSEFA KELY NUNES DE SOUSA"/>
    <n v="42862"/>
    <n v="2010"/>
    <n v="2022"/>
    <n v="2042"/>
    <n v="1934"/>
    <n v="2015"/>
    <n v="2023"/>
    <n v="2278"/>
    <n v="2014"/>
    <n v="2009"/>
    <n v="2056"/>
    <n v="2040.3"/>
    <s v=""/>
    <s v=""/>
    <n v="129"/>
    <n v="2000"/>
    <n v="2.0149999999999977E-2"/>
    <n v="40.299999999999955"/>
    <x v="5"/>
    <x v="1"/>
  </r>
  <r>
    <x v="10"/>
    <x v="1"/>
    <s v="6a7d4daf8646cdc8463d56f1"/>
    <s v="12/08/2026 18:14:49"/>
    <s v="13/08/2026 01:53:03"/>
    <s v="Ranieli"/>
    <s v="12/08/2026"/>
    <x v="0"/>
    <s v="JOSEFA KELY NUNES DE SOUSA"/>
    <n v="42820"/>
    <n v="1885"/>
    <n v="2009"/>
    <n v="2014"/>
    <n v="2046"/>
    <n v="2025"/>
    <n v="2014"/>
    <n v="2047"/>
    <n v="2025"/>
    <n v="2003"/>
    <n v="2007"/>
    <n v="2007.5"/>
    <s v=""/>
    <s v=""/>
    <n v="126"/>
    <n v="2000"/>
    <n v="3.7499999999999999E-3"/>
    <n v="7.5"/>
    <x v="10"/>
    <x v="1"/>
  </r>
  <r>
    <x v="10"/>
    <x v="1"/>
    <s v="6a7d4daf8646cdc8463d56f7"/>
    <s v="12/08/2026 18:16:59"/>
    <s v="13/08/2026 01:53:03"/>
    <s v="Ranieli"/>
    <s v="12/08/2026"/>
    <x v="0"/>
    <s v="JOSEFA KELY NUNES DE SOUSA"/>
    <n v="13188"/>
    <n v="1011"/>
    <n v="1001"/>
    <n v="996"/>
    <n v="1008"/>
    <n v="1019"/>
    <n v="1029"/>
    <n v="1016"/>
    <n v="1006"/>
    <n v="1022"/>
    <n v="1026"/>
    <n v="1013.4"/>
    <s v=""/>
    <s v=""/>
    <n v="361"/>
    <n v="1000"/>
    <n v="1.3399999999999978E-2"/>
    <n v="13.399999999999977"/>
    <x v="8"/>
    <x v="1"/>
  </r>
  <r>
    <x v="10"/>
    <x v="1"/>
    <s v="6a7d4daf8646cdc8463d56fd"/>
    <s v="12/08/2026 18:23:01"/>
    <s v="13/08/2026 01:53:03"/>
    <s v="Ranieli"/>
    <s v="12/08/2026"/>
    <x v="0"/>
    <s v=""/>
    <n v="15229"/>
    <n v="1005"/>
    <n v="1048"/>
    <n v="1012"/>
    <n v="1027"/>
    <n v="995"/>
    <n v="1003"/>
    <n v="1045"/>
    <n v="944"/>
    <n v="1000"/>
    <n v="948"/>
    <n v="1002.7"/>
    <s v=""/>
    <s v=""/>
    <n v="200"/>
    <n v="1000"/>
    <n v="2.7000000000000457E-3"/>
    <n v="2.7000000000000455"/>
    <x v="9"/>
    <x v="1"/>
  </r>
  <r>
    <x v="10"/>
    <x v="1"/>
    <s v="6a7d4daf8646cdc8463d5711"/>
    <s v="12/08/2026 22:30:36"/>
    <s v="13/08/2026 01:53:03"/>
    <s v="Ranieli"/>
    <s v="12/08/2026"/>
    <x v="0"/>
    <s v="JOSEFA KELY NUNES DE SOUSA"/>
    <n v="15105"/>
    <n v="1006"/>
    <n v="1043"/>
    <n v="1001"/>
    <n v="997"/>
    <n v="996"/>
    <n v="1046"/>
    <n v="1004"/>
    <n v="1022"/>
    <n v="1049"/>
    <n v="1052"/>
    <n v="1021.6"/>
    <s v=""/>
    <s v="assinatura"/>
    <n v="206"/>
    <n v="1000"/>
    <n v="2.1600000000000022E-2"/>
    <n v="21.600000000000023"/>
    <x v="0"/>
    <x v="0"/>
  </r>
  <r>
    <x v="10"/>
    <x v="1"/>
    <s v="6a7d4daf8646cdc8463d5717"/>
    <s v="12/08/2026 22:34:06"/>
    <s v="13/08/2026 01:53:03"/>
    <s v="Ranieli"/>
    <s v="12/08/2026"/>
    <x v="0"/>
    <s v="JOSEFA KELY NUNES DE SOUSA"/>
    <n v="197815"/>
    <n v="1003"/>
    <n v="1002"/>
    <n v="999"/>
    <n v="1003"/>
    <n v="1006"/>
    <n v="997"/>
    <n v="1002"/>
    <n v="996"/>
    <n v="1001"/>
    <n v="997"/>
    <n v="1000.6"/>
    <s v=""/>
    <s v="assinatura"/>
    <n v="419"/>
    <n v="1000"/>
    <n v="6.0000000000002272E-4"/>
    <n v="0.60000000000002274"/>
    <x v="18"/>
    <x v="3"/>
  </r>
  <r>
    <x v="10"/>
    <x v="1"/>
    <s v="6a7d4daf8646cdc8463d5723"/>
    <s v="13/08/2026 00:41:52"/>
    <s v="13/08/2026 01:53:03"/>
    <s v="Ranieli"/>
    <s v="12/08/2026"/>
    <x v="0"/>
    <s v="JOSEFA KELY NUNES DE SOUSA"/>
    <n v="40762"/>
    <n v="9850"/>
    <n v="10060"/>
    <n v="10080"/>
    <n v="10025"/>
    <n v="10075"/>
    <n v="10105"/>
    <n v="9930"/>
    <n v="9970"/>
    <n v="10020"/>
    <n v="9885"/>
    <n v="10000"/>
    <s v=""/>
    <s v="assinatura"/>
    <n v="1004"/>
    <n v="10000"/>
    <n v="0"/>
    <n v="0"/>
    <x v="3"/>
    <x v="1"/>
  </r>
  <r>
    <x v="10"/>
    <x v="1"/>
    <s v="6a7d4daf8646cdc8463d5729"/>
    <s v="13/08/2026 00:58:38"/>
    <s v="13/08/2026 01:53:03"/>
    <s v="Ranieli"/>
    <s v="12/08/2026"/>
    <x v="0"/>
    <s v="JOSEFA KELY NUNES DE SOUSA"/>
    <n v="792799"/>
    <n v="15055"/>
    <n v="15040"/>
    <n v="15035"/>
    <n v="15030"/>
    <n v="15050"/>
    <n v="15040"/>
    <n v="15085"/>
    <n v="15030"/>
    <n v="15080"/>
    <n v="15110"/>
    <n v="15055.5"/>
    <s v=""/>
    <s v="assinatura"/>
    <n v="473"/>
    <n v="15000"/>
    <n v="3.7000000000000002E-3"/>
    <n v="55.5"/>
    <x v="12"/>
    <x v="3"/>
  </r>
  <r>
    <x v="11"/>
    <x v="1"/>
    <s v="6a7ea367f68f6f3a4276ca95"/>
    <s v="13/08/2026 17:28:08"/>
    <s v="14/08/2026 02:11:03"/>
    <s v="Ranieli"/>
    <s v="13/08/2026"/>
    <x v="0"/>
    <s v="JOSEFA KELY NUNES DE SOUSA"/>
    <n v="15105"/>
    <n v="1001"/>
    <n v="995"/>
    <n v="1048"/>
    <n v="1020"/>
    <n v="1044"/>
    <n v="1005"/>
    <n v="1030"/>
    <n v="1050"/>
    <n v="1069"/>
    <n v="988"/>
    <n v="1025"/>
    <s v=""/>
    <s v="assinatura"/>
    <n v="303"/>
    <n v="1000"/>
    <n v="2.5000000000000001E-2"/>
    <n v="25"/>
    <x v="0"/>
    <x v="0"/>
  </r>
  <r>
    <x v="11"/>
    <x v="1"/>
    <s v="6a7ea367f68f6f3a4276ca9b"/>
    <s v="13/08/2026 17:56:04"/>
    <s v="14/08/2026 02:11:03"/>
    <s v="Ranieli"/>
    <s v="13/08/2026"/>
    <x v="0"/>
    <s v="JOSEFA KELY NUNES DE SOUSA"/>
    <n v="42838"/>
    <n v="2041"/>
    <n v="2076"/>
    <n v="2031"/>
    <n v="2051"/>
    <n v="2066"/>
    <n v="2060"/>
    <n v="2029"/>
    <n v="2014"/>
    <n v="2050"/>
    <n v="2036"/>
    <n v="2045.4"/>
    <s v=""/>
    <s v="assinatura"/>
    <n v="166"/>
    <n v="2000"/>
    <n v="2.2700000000000047E-2"/>
    <n v="45.400000000000091"/>
    <x v="7"/>
    <x v="1"/>
  </r>
  <r>
    <x v="11"/>
    <x v="1"/>
    <s v="6a7ea367f68f6f3a4276caa1"/>
    <s v="13/08/2026 17:58:51"/>
    <s v="14/08/2026 02:11:03"/>
    <s v="Ranieli"/>
    <s v="13/08/2026"/>
    <x v="0"/>
    <s v="JOSEFA KELY NUNES DE SOUSA"/>
    <n v="42846"/>
    <n v="2049"/>
    <n v="2098"/>
    <n v="2013"/>
    <n v="2011"/>
    <n v="2013"/>
    <n v="2010"/>
    <n v="2010"/>
    <n v="2017"/>
    <n v="2002"/>
    <n v="2096"/>
    <n v="2031.9"/>
    <s v=""/>
    <s v=""/>
    <n v="326"/>
    <n v="2000"/>
    <n v="1.5950000000000044E-2"/>
    <n v="31.900000000000091"/>
    <x v="6"/>
    <x v="1"/>
  </r>
  <r>
    <x v="10"/>
    <x v="1"/>
    <s v="6a7ea367f68f6f3a4276caa7"/>
    <s v="13/08/2026 18:04:18"/>
    <s v="14/08/2026 02:11:03"/>
    <s v="Ranieli"/>
    <s v="12/08/2026"/>
    <x v="0"/>
    <s v="JOSEFA KELY NUNES DE SOUSA"/>
    <n v="42862"/>
    <n v="2023"/>
    <n v="2015"/>
    <n v="2004"/>
    <n v="2018"/>
    <n v="2003"/>
    <n v="2004"/>
    <n v="2005"/>
    <n v="2013"/>
    <n v="2019"/>
    <n v="2063"/>
    <n v="2016.7"/>
    <s v=""/>
    <s v=""/>
    <n v="115"/>
    <n v="2000"/>
    <n v="8.3500000000000223E-3"/>
    <n v="16.700000000000045"/>
    <x v="5"/>
    <x v="1"/>
  </r>
  <r>
    <x v="11"/>
    <x v="1"/>
    <s v="6a7ea367f68f6f3a4276caad"/>
    <s v="13/08/2026 18:06:15"/>
    <s v="14/08/2026 02:11:03"/>
    <s v="Ranieli"/>
    <s v="13/08/2026"/>
    <x v="0"/>
    <s v="JOSEFA KELY NUNES DE SOUSA"/>
    <n v="42854"/>
    <n v="2087"/>
    <n v="2119"/>
    <n v="1535"/>
    <n v="2087"/>
    <n v="2103"/>
    <n v="2117"/>
    <n v="2118"/>
    <n v="2109"/>
    <n v="2122"/>
    <n v="2123"/>
    <n v="2052"/>
    <s v=""/>
    <s v=""/>
    <n v="157"/>
    <n v="2080"/>
    <n v="-1.3461538461538462E-2"/>
    <n v="-28"/>
    <x v="4"/>
    <x v="1"/>
  </r>
  <r>
    <x v="11"/>
    <x v="1"/>
    <s v="6a7ea367f68f6f3a4276cab3"/>
    <s v="13/08/2026 18:08:54"/>
    <s v="14/08/2026 02:11:03"/>
    <s v="Ranieli"/>
    <s v="13/08/2026"/>
    <x v="0"/>
    <s v="JOSEFA KELY NUNES DE SOUSA"/>
    <n v="992093"/>
    <n v="4992"/>
    <n v="5020"/>
    <n v="5013"/>
    <n v="5014"/>
    <n v="5019"/>
    <n v="5008"/>
    <n v="5013"/>
    <n v="5008"/>
    <n v="5012"/>
    <n v="5009"/>
    <n v="5010.8"/>
    <s v=""/>
    <s v="assinatura"/>
    <n v="474"/>
    <n v="5000"/>
    <n v="2.1600000000000365E-3"/>
    <n v="10.800000000000182"/>
    <x v="13"/>
    <x v="3"/>
  </r>
  <r>
    <x v="11"/>
    <x v="1"/>
    <s v="6a7e6a7af77da7ef00378137"/>
    <s v="13/08/2026 22:01:04"/>
    <s v="13/08/2026 22:08:10"/>
    <s v="- -"/>
    <s v="13/08/2026"/>
    <x v="0"/>
    <s v="JULIANE GOMES NOVAIS"/>
    <n v="209039"/>
    <n v="990"/>
    <n v="991"/>
    <n v="996"/>
    <n v="1000"/>
    <n v="986"/>
    <n v="1000"/>
    <n v="1006"/>
    <n v="997"/>
    <n v="1010"/>
    <n v="943"/>
    <n v="991.9"/>
    <s v=""/>
    <s v="assinatura"/>
    <n v="426"/>
    <n v="1000"/>
    <n v="-8.1000000000000221E-3"/>
    <n v="-8.1000000000000227"/>
    <x v="19"/>
    <x v="3"/>
  </r>
  <r>
    <x v="11"/>
    <x v="1"/>
    <s v="6a7ea368f68f6f3a4276cacd"/>
    <s v="14/08/2026 00:44:56"/>
    <s v="14/08/2026 02:11:04"/>
    <s v="Ranieli"/>
    <s v="13/08/2026"/>
    <x v="0"/>
    <s v="JOSEFA KELY NUNES DE SOUSA"/>
    <n v="15105"/>
    <n v="1023"/>
    <n v="1002"/>
    <n v="1012"/>
    <n v="1044"/>
    <n v="975"/>
    <n v="1015"/>
    <n v="1013"/>
    <n v="996"/>
    <n v="1001"/>
    <n v="1014"/>
    <n v="1009.5"/>
    <s v=""/>
    <s v="assinatura"/>
    <n v="206"/>
    <n v="1000"/>
    <n v="9.4999999999999998E-3"/>
    <n v="9.5"/>
    <x v="0"/>
    <x v="0"/>
  </r>
  <r>
    <x v="11"/>
    <x v="1"/>
    <s v="6a7ea368f68f6f3a4276cad3"/>
    <s v="14/08/2026 00:48:24"/>
    <s v="14/08/2026 02:11:04"/>
    <s v="Ranieli"/>
    <s v="13/08/2026"/>
    <x v="0"/>
    <s v="JOSEFA KELY NUNES DE SOUSA"/>
    <n v="40762"/>
    <n v="9965"/>
    <n v="10020"/>
    <n v="9850"/>
    <n v="10040"/>
    <n v="9945"/>
    <n v="10310"/>
    <n v="9970"/>
    <n v="9795"/>
    <n v="10080"/>
    <n v="9990"/>
    <n v="9996.5"/>
    <s v=""/>
    <s v="assinatura"/>
    <n v="845"/>
    <n v="10000"/>
    <n v="-3.5E-4"/>
    <n v="-3.5"/>
    <x v="3"/>
    <x v="1"/>
  </r>
  <r>
    <x v="12"/>
    <x v="1"/>
    <s v="6a7fe9dcacd6cb3b421e1b20"/>
    <s v="14/08/2026 17:40:12"/>
    <s v="15/08/2026 01:23:56"/>
    <s v="Ranieli"/>
    <s v="14/08/2026"/>
    <x v="0"/>
    <s v="JOSEFA KELY NUNES DE SOUSA"/>
    <n v="15105"/>
    <n v="1001"/>
    <n v="1019"/>
    <n v="1017"/>
    <n v="1017"/>
    <n v="1025"/>
    <n v="1005"/>
    <n v="1045"/>
    <n v="1025"/>
    <n v="1037"/>
    <n v="1060"/>
    <n v="1025.0999999999999"/>
    <s v=""/>
    <s v="assinatura"/>
    <n v="188"/>
    <n v="1000"/>
    <n v="2.5099999999999911E-2"/>
    <n v="25.099999999999909"/>
    <x v="0"/>
    <x v="0"/>
  </r>
  <r>
    <x v="12"/>
    <x v="1"/>
    <s v="6a7fe9dcacd6cb3b421e1b26"/>
    <s v="14/08/2026 17:43:21"/>
    <s v="15/08/2026 01:23:56"/>
    <s v="Ranieli"/>
    <s v="14/08/2026"/>
    <x v="0"/>
    <s v="JOSEFA KELY NUNES DE SOUSA"/>
    <n v="992093"/>
    <n v="5033"/>
    <n v="5052"/>
    <n v="5037"/>
    <n v="5017"/>
    <n v="5016"/>
    <n v="4999"/>
    <n v="5023"/>
    <n v="5022"/>
    <n v="5081"/>
    <n v="5017"/>
    <n v="5029.7"/>
    <s v=""/>
    <s v="assinatura"/>
    <n v="690"/>
    <n v="5000"/>
    <n v="5.9399999999999635E-3"/>
    <n v="29.699999999999818"/>
    <x v="13"/>
    <x v="3"/>
  </r>
  <r>
    <x v="12"/>
    <x v="1"/>
    <s v="6a7fe9dcacd6cb3b421e1b2c"/>
    <s v="14/08/2026 17:54:53"/>
    <s v="15/08/2026 01:23:56"/>
    <s v="Ranieli"/>
    <s v="14/08/2026"/>
    <x v="0"/>
    <s v="JOSEFA KELY NUNES DE SOUSA"/>
    <n v="15229"/>
    <n v="1078"/>
    <n v="956"/>
    <n v="1025"/>
    <n v="1011"/>
    <n v="1079"/>
    <n v="992"/>
    <n v="983"/>
    <n v="985"/>
    <n v="927"/>
    <n v="991"/>
    <n v="1002.7"/>
    <s v=""/>
    <s v="assinatura"/>
    <n v="312"/>
    <n v="1000"/>
    <n v="2.7000000000000457E-3"/>
    <n v="2.7000000000000455"/>
    <x v="9"/>
    <x v="1"/>
  </r>
  <r>
    <x v="11"/>
    <x v="1"/>
    <s v="6a7fe9dcacd6cb3b421e1b32"/>
    <s v="14/08/2026 18:00:08"/>
    <s v="15/08/2026 01:23:56"/>
    <s v="Ranieli"/>
    <s v="13/08/2026"/>
    <x v="0"/>
    <s v="JOSEFA KELY NUNES DE SOUSA"/>
    <n v="13188"/>
    <n v="1020"/>
    <n v="1025"/>
    <n v="1023"/>
    <n v="1024"/>
    <n v="1008"/>
    <n v="1021"/>
    <n v="1017"/>
    <n v="1029"/>
    <n v="1015"/>
    <n v="1012"/>
    <n v="1019.4"/>
    <s v=""/>
    <s v=""/>
    <n v="271"/>
    <n v="1000"/>
    <n v="1.9399999999999976E-2"/>
    <n v="19.399999999999977"/>
    <x v="8"/>
    <x v="1"/>
  </r>
  <r>
    <x v="12"/>
    <x v="1"/>
    <s v="6a7fe9dcacd6cb3b421e1b38"/>
    <s v="14/08/2026 18:04:41"/>
    <s v="15/08/2026 01:23:56"/>
    <s v="Ranieli"/>
    <s v="14/08/2026"/>
    <x v="0"/>
    <s v="JOSEFA KELY NUNES DE SOUSA"/>
    <n v="42862"/>
    <n v="2009"/>
    <n v="2011"/>
    <n v="2010"/>
    <n v="2071"/>
    <n v="2006"/>
    <n v="2003"/>
    <n v="2065"/>
    <n v="2008"/>
    <n v="1996"/>
    <n v="2010"/>
    <n v="2018.9"/>
    <s v=""/>
    <s v=""/>
    <n v="294"/>
    <n v="2000"/>
    <n v="9.4500000000000452E-3"/>
    <n v="18.900000000000091"/>
    <x v="5"/>
    <x v="1"/>
  </r>
  <r>
    <x v="12"/>
    <x v="1"/>
    <s v="6a7fe9dcacd6cb3b421e1b3e"/>
    <s v="14/08/2026 18:09:37"/>
    <s v="15/08/2026 01:23:56"/>
    <s v="Ranieli"/>
    <s v="14/08/2026"/>
    <x v="0"/>
    <s v="JOSEFA KELY NUNES DE SOUSA"/>
    <n v="42854"/>
    <n v="2137"/>
    <n v="2147"/>
    <n v="2096"/>
    <n v="2133"/>
    <n v="2113"/>
    <n v="2131"/>
    <n v="2108"/>
    <n v="2073"/>
    <n v="2125"/>
    <n v="2074"/>
    <n v="2113.6999999999998"/>
    <s v=""/>
    <s v=""/>
    <n v="177"/>
    <n v="2080"/>
    <n v="1.6201923076922989E-2"/>
    <n v="33.699999999999818"/>
    <x v="4"/>
    <x v="1"/>
  </r>
  <r>
    <x v="12"/>
    <x v="1"/>
    <s v="6a7fe9dcacd6cb3b421e1b44"/>
    <s v="14/08/2026 18:12:35"/>
    <s v="15/08/2026 01:23:56"/>
    <s v="Ranieli"/>
    <s v="14/08/2026"/>
    <x v="0"/>
    <s v="JOSEFA KELY NUNES DE SOUSA"/>
    <n v="42846"/>
    <n v="2000"/>
    <n v="2010"/>
    <n v="2012"/>
    <n v="2014"/>
    <n v="2018"/>
    <n v="2012"/>
    <n v="2003"/>
    <n v="2006"/>
    <n v="2008"/>
    <n v="2010"/>
    <n v="2009.3"/>
    <s v=""/>
    <s v="assinatura"/>
    <n v="177"/>
    <n v="2000"/>
    <n v="4.6499999999999771E-3"/>
    <n v="9.2999999999999545"/>
    <x v="6"/>
    <x v="1"/>
  </r>
  <r>
    <x v="12"/>
    <x v="1"/>
    <s v="6a7fe9dcacd6cb3b421e1b4a"/>
    <s v="14/08/2026 18:15:34"/>
    <s v="15/08/2026 01:23:56"/>
    <s v="Ranieli"/>
    <s v="14/08/2026"/>
    <x v="0"/>
    <s v="JOSEFA KELY NUNES DE SOUSA"/>
    <n v="42820"/>
    <n v="2162"/>
    <n v="2027"/>
    <n v="2014"/>
    <n v="2008"/>
    <n v="2009"/>
    <n v="2018"/>
    <n v="2007"/>
    <n v="2009"/>
    <n v="2028"/>
    <n v="2038"/>
    <n v="2032"/>
    <s v=""/>
    <s v=""/>
    <n v="322"/>
    <n v="2000"/>
    <n v="1.6E-2"/>
    <n v="32"/>
    <x v="10"/>
    <x v="1"/>
  </r>
  <r>
    <x v="12"/>
    <x v="1"/>
    <s v="6a7fe9dcacd6cb3b421e1b50"/>
    <s v="14/08/2026 18:20:58"/>
    <s v="15/08/2026 01:23:56"/>
    <s v="Ranieli"/>
    <s v="14/08/2026"/>
    <x v="0"/>
    <s v="JOSEFA KELY NUNES DE SOUSA"/>
    <n v="42838"/>
    <n v="2077"/>
    <n v="2052"/>
    <n v="2035"/>
    <n v="2078"/>
    <n v="2047"/>
    <n v="2082"/>
    <n v="2062"/>
    <n v="2030"/>
    <n v="2095"/>
    <n v="2052"/>
    <n v="2061"/>
    <s v=""/>
    <s v="assinatura"/>
    <n v="155"/>
    <n v="2000"/>
    <n v="3.0499999999999999E-2"/>
    <n v="61"/>
    <x v="7"/>
    <x v="1"/>
  </r>
  <r>
    <x v="12"/>
    <x v="1"/>
    <s v="6a7fb9ef7f1bf5e066343bc8"/>
    <s v="14/08/2026 21:51:12"/>
    <s v="14/08/2026 21:59:27"/>
    <s v="- -"/>
    <s v="14/08/2026"/>
    <x v="0"/>
    <s v="JULIANE GOMES NOVAIS"/>
    <n v="31454"/>
    <n v="2238"/>
    <n v="2484"/>
    <n v="2485"/>
    <n v="2489"/>
    <n v="2497"/>
    <n v="2565"/>
    <n v="2502"/>
    <n v="2169"/>
    <n v="2567"/>
    <n v="2532"/>
    <n v="2452.8000000000002"/>
    <s v=""/>
    <s v="assinatura"/>
    <n v="486"/>
    <n v="2500"/>
    <n v="-1.8879999999999928E-2"/>
    <n v="-47.199999999999818"/>
    <x v="20"/>
    <x v="3"/>
  </r>
  <r>
    <x v="12"/>
    <x v="1"/>
    <s v="6a7fc879f68f6f3a427a5232"/>
    <s v="14/08/2026 22:43:10"/>
    <s v="14/08/2026 23:01:29"/>
    <s v="- -"/>
    <s v="14/08/2026"/>
    <x v="0"/>
    <s v="JULIANE GOMES NOVAIS"/>
    <n v="18228"/>
    <n v="994"/>
    <n v="974"/>
    <n v="997"/>
    <n v="992"/>
    <n v="1003"/>
    <n v="987"/>
    <n v="998"/>
    <n v="993"/>
    <n v="1000"/>
    <n v="1000"/>
    <n v="993.8"/>
    <s v=""/>
    <s v="assinatura"/>
    <n v="1098"/>
    <n v="1000"/>
    <n v="-6.2000000000000458E-3"/>
    <n v="-6.2000000000000455"/>
    <x v="16"/>
    <x v="4"/>
  </r>
  <r>
    <x v="12"/>
    <x v="1"/>
    <s v="6a7fc9c5798ff06183813648"/>
    <s v="14/08/2026 23:03:37"/>
    <s v="14/08/2026 23:07:01"/>
    <s v="- -"/>
    <s v="14/08/2026"/>
    <x v="0"/>
    <s v="JULIANE GOMES NOVAIS"/>
    <n v="197734"/>
    <n v="1004"/>
    <n v="1000"/>
    <n v="1005"/>
    <n v="1002"/>
    <n v="1018"/>
    <n v="1029"/>
    <n v="993"/>
    <n v="1002"/>
    <n v="998"/>
    <n v="996"/>
    <n v="1004.7"/>
    <s v=""/>
    <s v="assinatura"/>
    <n v="203"/>
    <n v="1000"/>
    <n v="4.7000000000000453E-3"/>
    <n v="4.7000000000000455"/>
    <x v="2"/>
    <x v="2"/>
  </r>
  <r>
    <x v="12"/>
    <x v="1"/>
    <s v="6a7fe9ddacd6cb3b421e1b62"/>
    <s v="14/08/2026 23:06:48"/>
    <s v="15/08/2026 01:23:57"/>
    <s v="Ranieli"/>
    <s v="14/08/2026"/>
    <x v="0"/>
    <s v=""/>
    <n v="15105"/>
    <n v="1019"/>
    <n v="1001"/>
    <n v="1000"/>
    <n v="1000"/>
    <n v="1003"/>
    <n v="997"/>
    <n v="1039"/>
    <n v="1034"/>
    <n v="1006"/>
    <n v="1021"/>
    <n v="1012"/>
    <s v=""/>
    <s v="assinatura"/>
    <n v="1282"/>
    <n v="1000"/>
    <n v="1.2E-2"/>
    <n v="12"/>
    <x v="0"/>
    <x v="0"/>
  </r>
  <r>
    <x v="12"/>
    <x v="1"/>
    <s v="6a7fe9ddacd6cb3b421e1b68"/>
    <s v="14/08/2026 23:28:13"/>
    <s v="15/08/2026 01:23:57"/>
    <s v="Ranieli"/>
    <s v="14/08/2026"/>
    <x v="0"/>
    <s v="JOSEFA KELY NUNES DE SOUSA"/>
    <n v="40762"/>
    <n v="9955"/>
    <n v="10065"/>
    <n v="9990"/>
    <n v="9980"/>
    <n v="10030"/>
    <n v="10065"/>
    <n v="10110"/>
    <n v="10050"/>
    <n v="10025"/>
    <n v="10115"/>
    <n v="10038.5"/>
    <s v=""/>
    <s v="assinatura"/>
    <n v="490"/>
    <n v="10000"/>
    <n v="3.8500000000000001E-3"/>
    <n v="38.5"/>
    <x v="3"/>
    <x v="1"/>
  </r>
  <r>
    <x v="12"/>
    <x v="1"/>
    <s v="6a7fd30f7f1bf5e0663446c8"/>
    <s v="14/08/2026 23:44:15"/>
    <s v="14/08/2026 23:46:39"/>
    <s v="- -"/>
    <s v="14/08/2026"/>
    <x v="0"/>
    <s v="JULIANE GOMES NOVAIS"/>
    <n v="15105"/>
    <n v="1000"/>
    <n v="1026"/>
    <n v="1014"/>
    <n v="994"/>
    <n v="992"/>
    <n v="1011"/>
    <n v="1129"/>
    <n v="1031"/>
    <n v="1047"/>
    <n v="1026"/>
    <n v="1027"/>
    <s v=""/>
    <s v="assinatura"/>
    <n v="143"/>
    <n v="1000"/>
    <n v="2.7E-2"/>
    <n v="27"/>
    <x v="0"/>
    <x v="0"/>
  </r>
  <r>
    <x v="12"/>
    <x v="1"/>
    <s v="6a7fe9ddacd6cb3b421e1b74"/>
    <s v="15/08/2026 00:26:46"/>
    <s v="15/08/2026 01:23:57"/>
    <s v="Ranieli"/>
    <s v="14/08/2026"/>
    <x v="0"/>
    <s v="JOSEFA KELY NUNES DE SOUSA"/>
    <n v="792799"/>
    <n v="15105"/>
    <n v="15065"/>
    <n v="15270"/>
    <n v="14555"/>
    <n v="15085"/>
    <n v="15062"/>
    <n v="15075"/>
    <n v="15005"/>
    <n v="15035"/>
    <n v="15055"/>
    <n v="15031.2"/>
    <s v=""/>
    <s v="assinatura"/>
    <n v="2695"/>
    <n v="15000"/>
    <n v="2.0800000000000484E-3"/>
    <n v="31.200000000000728"/>
    <x v="12"/>
    <x v="3"/>
  </r>
  <r>
    <x v="13"/>
    <x v="1"/>
    <s v="6a8365f07e148bbac283bb01"/>
    <s v="17/08/2026 16:36:23"/>
    <s v="17/08/2026 16:50:08"/>
    <s v="- -"/>
    <s v="17/08/2026"/>
    <x v="0"/>
    <s v="JULIANE GOMES NOVAIS"/>
    <n v="15105"/>
    <n v="1018"/>
    <n v="1010"/>
    <n v="990"/>
    <n v="1024"/>
    <n v="999"/>
    <n v="1026"/>
    <n v="1013"/>
    <n v="1021"/>
    <n v="989"/>
    <n v="1001"/>
    <n v="1009.1"/>
    <s v=""/>
    <s v="assinatura"/>
    <n v="824"/>
    <n v="1000"/>
    <n v="9.100000000000023E-3"/>
    <n v="9.1000000000000227"/>
    <x v="0"/>
    <x v="0"/>
  </r>
  <r>
    <x v="13"/>
    <x v="1"/>
    <s v="6a83685d8dbad1217e3a9fb7"/>
    <s v="17/08/2026 16:50:11"/>
    <s v="17/08/2026 17:00:29"/>
    <s v="- -"/>
    <s v="17/08/2026"/>
    <x v="0"/>
    <s v="JULIANE GOMES NOVAIS"/>
    <n v="40762"/>
    <n v="10045"/>
    <n v="10040"/>
    <n v="9995"/>
    <n v="9895"/>
    <n v="10085"/>
    <n v="9570"/>
    <n v="10105"/>
    <n v="10080"/>
    <n v="10410"/>
    <n v="10135"/>
    <n v="10036"/>
    <s v=""/>
    <s v="assinatura"/>
    <n v="612"/>
    <n v="10000"/>
    <n v="3.5999999999999999E-3"/>
    <n v="36"/>
    <x v="3"/>
    <x v="1"/>
  </r>
  <r>
    <x v="13"/>
    <x v="1"/>
    <s v="6a836d9a3013de393c39feef"/>
    <s v="17/08/2026 17:00:31"/>
    <s v="17/08/2026 17:22:50"/>
    <s v="- -"/>
    <s v="17/08/2026"/>
    <x v="0"/>
    <s v=""/>
    <n v="42862"/>
    <n v="2006"/>
    <n v="2000"/>
    <n v="2014"/>
    <n v="2010"/>
    <n v="2024"/>
    <n v="2005"/>
    <n v="2001"/>
    <n v="2019"/>
    <n v="2032"/>
    <n v="1997"/>
    <n v="2010.8"/>
    <s v=""/>
    <s v="assinatura"/>
    <n v="1337"/>
    <n v="2000"/>
    <n v="5.3999999999999769E-3"/>
    <n v="10.799999999999955"/>
    <x v="5"/>
    <x v="1"/>
  </r>
  <r>
    <x v="13"/>
    <x v="1"/>
    <s v="6a836edfefe2559bb1e6afca"/>
    <s v="17/08/2026 17:22:53"/>
    <s v="17/08/2026 17:28:15"/>
    <s v="- -"/>
    <s v="17/08/2026"/>
    <x v="0"/>
    <s v="JULIANE GOMES NOVAIS"/>
    <n v="42854"/>
    <n v="2086"/>
    <n v="2125"/>
    <n v="2107"/>
    <n v="2077"/>
    <n v="2092"/>
    <n v="2073"/>
    <n v="2094"/>
    <n v="2096"/>
    <n v="2129"/>
    <n v="2095"/>
    <n v="2097.4"/>
    <s v=""/>
    <s v="assinatura"/>
    <n v="322"/>
    <n v="2080"/>
    <n v="8.3653846153846599E-3"/>
    <n v="17.400000000000091"/>
    <x v="4"/>
    <x v="1"/>
  </r>
  <r>
    <x v="13"/>
    <x v="1"/>
    <s v="6a83ec6704bb7d55d7f0652b"/>
    <s v="17/08/2026 17:28:16"/>
    <s v="18/08/2026 02:23:51"/>
    <s v="Ranieli"/>
    <s v="17/08/2026"/>
    <x v="0"/>
    <s v="JOSEFA KELY NUNES DE SOUSA"/>
    <n v="15105"/>
    <n v="1010"/>
    <n v="1025"/>
    <n v="1015"/>
    <n v="1033"/>
    <n v="1025"/>
    <n v="971"/>
    <n v="1011"/>
    <n v="993"/>
    <n v="1008"/>
    <n v="1041"/>
    <n v="1013.2"/>
    <s v=""/>
    <s v="assinatura"/>
    <n v="299"/>
    <n v="1000"/>
    <n v="1.3200000000000045E-2"/>
    <n v="13.200000000000045"/>
    <x v="0"/>
    <x v="0"/>
  </r>
  <r>
    <x v="13"/>
    <x v="1"/>
    <s v="6a8370433dcd2d6730912167"/>
    <s v="17/08/2026 17:28:22"/>
    <s v="17/08/2026 17:34:11"/>
    <s v="- -"/>
    <s v="17/08/2026"/>
    <x v="0"/>
    <s v="JULIANE GOMES NOVAIS"/>
    <n v="42846"/>
    <n v="2014"/>
    <n v="2010"/>
    <n v="2024"/>
    <n v="2020"/>
    <n v="2011"/>
    <n v="1979"/>
    <n v="2060"/>
    <n v="2017"/>
    <n v="2002"/>
    <n v="2013"/>
    <n v="2015"/>
    <s v=""/>
    <s v="assinatura"/>
    <n v="336"/>
    <n v="2000"/>
    <n v="7.4999999999999997E-3"/>
    <n v="15"/>
    <x v="6"/>
    <x v="1"/>
  </r>
  <r>
    <x v="13"/>
    <x v="1"/>
    <s v="6a83ec6704bb7d55d7f06531"/>
    <s v="17/08/2026 17:33:18"/>
    <s v="18/08/2026 02:23:51"/>
    <s v="Ranieli"/>
    <s v="17/08/2026"/>
    <x v="0"/>
    <s v="JOSEFA KELY NUNES DE SOUSA"/>
    <n v="992093"/>
    <n v="5013"/>
    <n v="5016"/>
    <n v="5018"/>
    <n v="5014"/>
    <n v="5018"/>
    <n v="5024"/>
    <n v="5022"/>
    <n v="5022"/>
    <n v="5018"/>
    <n v="5011"/>
    <n v="5017.6000000000004"/>
    <s v=""/>
    <s v="assinatura"/>
    <n v="258"/>
    <n v="5000"/>
    <n v="3.5200000000000726E-3"/>
    <n v="17.600000000000364"/>
    <x v="13"/>
    <x v="3"/>
  </r>
  <r>
    <x v="13"/>
    <x v="1"/>
    <s v="6a83717003b9535acf13b230"/>
    <s v="17/08/2026 17:34:12"/>
    <s v="17/08/2026 17:39:12"/>
    <s v="- -"/>
    <s v="17/08/2026"/>
    <x v="0"/>
    <s v="JULIANE GOMES NOVAIS"/>
    <n v="15105"/>
    <n v="1005"/>
    <n v="1009"/>
    <n v="998"/>
    <n v="1019"/>
    <n v="1011"/>
    <n v="1014"/>
    <n v="1024"/>
    <n v="1021"/>
    <n v="1036"/>
    <n v="1015"/>
    <n v="1015.2"/>
    <s v=""/>
    <s v="assinatura"/>
    <n v="299"/>
    <n v="1000"/>
    <n v="1.5200000000000045E-2"/>
    <n v="15.200000000000045"/>
    <x v="0"/>
    <x v="0"/>
  </r>
  <r>
    <x v="13"/>
    <x v="1"/>
    <s v="6a83ec6704bb7d55d7f06537"/>
    <s v="17/08/2026 17:37:42"/>
    <s v="18/08/2026 02:23:51"/>
    <s v="Ranieli"/>
    <s v="17/08/2026"/>
    <x v="0"/>
    <s v="JOSEFA KELY NUNES DE SOUSA"/>
    <n v="13188"/>
    <n v="1004"/>
    <n v="1018"/>
    <n v="1014"/>
    <n v="1009"/>
    <n v="1021"/>
    <n v="992"/>
    <n v="1004"/>
    <n v="996"/>
    <n v="1003"/>
    <n v="1004"/>
    <n v="1006.5"/>
    <s v=""/>
    <s v="assinatura"/>
    <n v="535"/>
    <n v="1000"/>
    <n v="6.4999999999999997E-3"/>
    <n v="6.5"/>
    <x v="8"/>
    <x v="1"/>
  </r>
  <r>
    <x v="13"/>
    <x v="1"/>
    <s v="6a8373a77e148bbac283fe6b"/>
    <s v="17/08/2026 17:44:19"/>
    <s v="17/08/2026 17:48:39"/>
    <s v="- -"/>
    <s v="17/08/2026"/>
    <x v="0"/>
    <s v="JULIANE GOMES NOVAIS"/>
    <n v="13188"/>
    <n v="1006"/>
    <n v="996"/>
    <n v="1001"/>
    <n v="1002"/>
    <n v="1005"/>
    <n v="998"/>
    <n v="1006"/>
    <n v="1008"/>
    <n v="1015"/>
    <n v="1008"/>
    <n v="1004.5"/>
    <s v=""/>
    <s v="assinatura"/>
    <n v="258"/>
    <n v="1000"/>
    <n v="4.4999999999999997E-3"/>
    <n v="4.5"/>
    <x v="8"/>
    <x v="1"/>
  </r>
  <r>
    <x v="13"/>
    <x v="1"/>
    <s v="6a83ec6704bb7d55d7f0653d"/>
    <s v="17/08/2026 17:46:39"/>
    <s v="18/08/2026 02:23:51"/>
    <s v="Ranieli"/>
    <s v="17/08/2026"/>
    <x v="0"/>
    <s v="JOSEFA KELY NUNES DE SOUSA"/>
    <n v="15229"/>
    <n v="1003"/>
    <n v="984"/>
    <n v="997"/>
    <n v="1002"/>
    <n v="1012"/>
    <n v="1017"/>
    <n v="1002"/>
    <n v="1002"/>
    <n v="1016"/>
    <n v="1007"/>
    <n v="1004.2"/>
    <s v=""/>
    <s v=""/>
    <n v="211"/>
    <n v="1000"/>
    <n v="4.2000000000000457E-3"/>
    <n v="4.2000000000000455"/>
    <x v="9"/>
    <x v="1"/>
  </r>
  <r>
    <x v="14"/>
    <x v="1"/>
    <s v="6a83ec6704bb7d55d7f06543"/>
    <s v="17/08/2026 17:50:13"/>
    <s v="18/08/2026 02:23:51"/>
    <s v="Ranieli"/>
    <s v="16/08/2026"/>
    <x v="0"/>
    <s v="JOSEFA KELY NUNES DE SOUSA"/>
    <n v="42838"/>
    <n v="2029"/>
    <n v="2038"/>
    <n v="2026"/>
    <n v="2052"/>
    <n v="2001"/>
    <n v="2052"/>
    <n v="2020"/>
    <n v="1994"/>
    <n v="1997"/>
    <n v="2039"/>
    <n v="2024.8"/>
    <s v=""/>
    <s v="assinatura"/>
    <n v="2858"/>
    <n v="2000"/>
    <n v="1.2399999999999977E-2"/>
    <n v="24.799999999999955"/>
    <x v="7"/>
    <x v="1"/>
  </r>
  <r>
    <x v="13"/>
    <x v="1"/>
    <s v="6a83ec6704bb7d55d7f06549"/>
    <s v="17/08/2026 18:37:52"/>
    <s v="18/08/2026 02:23:51"/>
    <s v="Ranieli"/>
    <s v="17/08/2026"/>
    <x v="0"/>
    <s v="JOSEFA KELY NUNES DE SOUSA"/>
    <n v="42854"/>
    <n v="2129"/>
    <n v="2070"/>
    <n v="2118"/>
    <n v="2121"/>
    <n v="2064"/>
    <n v="2105"/>
    <n v="2093"/>
    <n v="2059"/>
    <n v="2113"/>
    <n v="2117"/>
    <n v="2098.9"/>
    <s v=""/>
    <s v=""/>
    <n v="268"/>
    <n v="2080"/>
    <n v="9.0865384615385052E-3"/>
    <n v="18.900000000000091"/>
    <x v="4"/>
    <x v="1"/>
  </r>
  <r>
    <x v="13"/>
    <x v="1"/>
    <s v="6a83ec6704bb7d55d7f0654f"/>
    <s v="17/08/2026 18:42:23"/>
    <s v="18/08/2026 02:23:51"/>
    <s v="Ranieli"/>
    <s v="17/08/2026"/>
    <x v="0"/>
    <s v="JOSEFA KELY NUNES DE SOUSA"/>
    <n v="42846"/>
    <n v="2007"/>
    <n v="2012"/>
    <n v="2008"/>
    <n v="2017"/>
    <n v="2022"/>
    <n v="2010"/>
    <n v="2028"/>
    <n v="2015"/>
    <n v="2015"/>
    <n v="2035"/>
    <n v="2016.9"/>
    <s v=""/>
    <s v=""/>
    <n v="222"/>
    <n v="2000"/>
    <n v="8.450000000000046E-3"/>
    <n v="16.900000000000091"/>
    <x v="6"/>
    <x v="1"/>
  </r>
  <r>
    <x v="13"/>
    <x v="1"/>
    <s v="6a83ec6704bb7d55d7f06555"/>
    <s v="17/08/2026 18:46:06"/>
    <s v="18/08/2026 02:23:51"/>
    <s v="Ranieli"/>
    <s v="17/08/2026"/>
    <x v="0"/>
    <s v="JOSEFA KELY NUNES DE SOUSA"/>
    <n v="42820"/>
    <n v="2016"/>
    <n v="2014"/>
    <n v="2028"/>
    <n v="2011"/>
    <n v="2017"/>
    <n v="2012"/>
    <n v="1987"/>
    <n v="2025"/>
    <n v="2077"/>
    <n v="2068"/>
    <n v="2025.5"/>
    <s v=""/>
    <s v="assinatura"/>
    <n v="343"/>
    <n v="2000"/>
    <n v="1.2749999999999999E-2"/>
    <n v="25.5"/>
    <x v="10"/>
    <x v="1"/>
  </r>
  <r>
    <x v="15"/>
    <x v="1"/>
    <s v="6a853c5d1fd846202c31d1a9"/>
    <s v="18/08/2026 23:51:39"/>
    <s v="19/08/2026 02:17:17"/>
    <s v="Ranieli"/>
    <s v="18/08/2026"/>
    <x v="0"/>
    <s v="JOSEFA KELY NUNES DE SOUSA"/>
    <n v="15105"/>
    <n v="996"/>
    <n v="1006"/>
    <n v="995"/>
    <n v="999"/>
    <n v="994"/>
    <n v="1023"/>
    <n v="1000"/>
    <n v="999"/>
    <n v="1001"/>
    <n v="1010"/>
    <n v="1002.3"/>
    <s v=""/>
    <s v="assinatura"/>
    <n v="1832"/>
    <n v="1000"/>
    <n v="2.2999999999999544E-3"/>
    <n v="2.2999999999999545"/>
    <x v="0"/>
    <x v="0"/>
  </r>
  <r>
    <x v="15"/>
    <x v="1"/>
    <s v="6a853c5d1fd846202c31d1a3"/>
    <s v="18/08/2026 23:41:58"/>
    <s v="19/08/2026 02:17:17"/>
    <s v="Ranieli"/>
    <s v="18/08/2026"/>
    <x v="0"/>
    <s v="JOSEFA KELY NUNES DE SOUSA"/>
    <n v="40762"/>
    <n v="10120"/>
    <n v="10055"/>
    <n v="10245"/>
    <n v="10215"/>
    <n v="10245"/>
    <n v="10185"/>
    <n v="9950"/>
    <n v="10235"/>
    <n v="10020"/>
    <n v="10065"/>
    <n v="10133.5"/>
    <s v=""/>
    <s v="assinatura"/>
    <n v="579"/>
    <n v="10000"/>
    <n v="1.3350000000000001E-2"/>
    <n v="133.5"/>
    <x v="3"/>
    <x v="1"/>
  </r>
  <r>
    <x v="15"/>
    <x v="1"/>
    <s v="6a853c5d1fd846202c31d19d"/>
    <s v="18/08/2026 23:36:58"/>
    <s v="19/08/2026 02:17:17"/>
    <s v="Ranieli"/>
    <s v="18/08/2026"/>
    <x v="0"/>
    <s v="JOSEFA KELY NUNES DE SOUSA"/>
    <n v="15229"/>
    <n v="987"/>
    <n v="1005"/>
    <n v="1018"/>
    <n v="1009"/>
    <n v="1003"/>
    <n v="1022"/>
    <n v="1007"/>
    <n v="1007"/>
    <n v="1003"/>
    <n v="1022"/>
    <n v="1008.3"/>
    <s v=""/>
    <s v=""/>
    <n v="299"/>
    <n v="1000"/>
    <n v="8.299999999999955E-3"/>
    <n v="8.2999999999999545"/>
    <x v="9"/>
    <x v="1"/>
  </r>
  <r>
    <x v="15"/>
    <x v="1"/>
    <s v="6a853c5d1fd846202c31d197"/>
    <s v="18/08/2026 23:33:02"/>
    <s v="19/08/2026 02:17:17"/>
    <s v="Ranieli"/>
    <s v="18/08/2026"/>
    <x v="0"/>
    <s v="JOSEFA KELY NUNES DE SOUSA"/>
    <n v="13188"/>
    <n v="1015"/>
    <n v="1017"/>
    <n v="1013"/>
    <n v="1010"/>
    <n v="1007"/>
    <n v="1009"/>
    <n v="1015"/>
    <n v="1021"/>
    <n v="1012"/>
    <n v="1017"/>
    <n v="1013.6"/>
    <s v=""/>
    <s v="assinatura"/>
    <n v="234"/>
    <n v="1000"/>
    <n v="1.3600000000000024E-2"/>
    <n v="13.600000000000023"/>
    <x v="8"/>
    <x v="1"/>
  </r>
  <r>
    <x v="15"/>
    <x v="1"/>
    <s v="6a853c5d1fd846202c31d185"/>
    <s v="18/08/2026 18:56:28"/>
    <s v="19/08/2026 02:17:17"/>
    <s v="Ranieli"/>
    <s v="18/08/2026"/>
    <x v="0"/>
    <s v="JOSEFA KELY NUNES DE SOUSA"/>
    <n v="42846"/>
    <n v="2021"/>
    <n v="2040"/>
    <n v="2019"/>
    <n v="2021"/>
    <n v="2038"/>
    <n v="2027"/>
    <n v="2014"/>
    <n v="2062"/>
    <n v="2009"/>
    <n v="2030"/>
    <n v="2028.1"/>
    <s v=""/>
    <s v="assinatura"/>
    <n v="248"/>
    <n v="2000"/>
    <n v="1.4049999999999955E-2"/>
    <n v="28.099999999999909"/>
    <x v="6"/>
    <x v="1"/>
  </r>
  <r>
    <x v="15"/>
    <x v="1"/>
    <s v="6a853c5d1fd846202c31d17f"/>
    <s v="18/08/2026 18:53:33"/>
    <s v="19/08/2026 02:17:17"/>
    <s v="Ranieli"/>
    <s v="18/08/2026"/>
    <x v="0"/>
    <s v="JOSEFA KELY NUNES DE SOUSA"/>
    <n v="42862"/>
    <n v="2036"/>
    <n v="2023"/>
    <n v="2061"/>
    <n v="2031"/>
    <n v="2146"/>
    <n v="2024"/>
    <n v="2033"/>
    <n v="2019"/>
    <n v="2006"/>
    <n v="2011"/>
    <n v="2039"/>
    <s v=""/>
    <s v="assinatura"/>
    <n v="173"/>
    <n v="2000"/>
    <n v="1.95E-2"/>
    <n v="39"/>
    <x v="5"/>
    <x v="1"/>
  </r>
  <r>
    <x v="15"/>
    <x v="1"/>
    <s v="6a853c5d1fd846202c31d179"/>
    <s v="18/08/2026 18:51:24"/>
    <s v="19/08/2026 02:17:17"/>
    <s v="Ranieli"/>
    <s v="18/08/2026"/>
    <x v="0"/>
    <s v="JOSEFA KELY NUNES DE SOUSA"/>
    <n v="42854"/>
    <n v="2109"/>
    <n v="2119"/>
    <n v="2124"/>
    <n v="2128"/>
    <n v="2055"/>
    <n v="2102"/>
    <n v="2093"/>
    <n v="2100"/>
    <n v="2116"/>
    <n v="2136"/>
    <n v="2108.1999999999998"/>
    <s v=""/>
    <s v=""/>
    <n v="128"/>
    <n v="2080"/>
    <n v="1.355769230769222E-2"/>
    <n v="28.199999999999818"/>
    <x v="4"/>
    <x v="1"/>
  </r>
  <r>
    <x v="15"/>
    <x v="1"/>
    <s v="6a853c5c1fd846202c31d173"/>
    <s v="18/08/2026 18:40:12"/>
    <s v="19/08/2026 02:17:16"/>
    <s v="Ranieli"/>
    <s v="18/08/2026"/>
    <x v="0"/>
    <s v="JOSEFA KELY NUNES DE SOUSA"/>
    <n v="42838"/>
    <n v="2054"/>
    <n v="2072"/>
    <n v="2021"/>
    <n v="2043"/>
    <n v="2021"/>
    <n v="2096"/>
    <n v="2103"/>
    <n v="2068"/>
    <n v="2065"/>
    <n v="2083"/>
    <n v="2062.6"/>
    <s v=""/>
    <s v="assinatura"/>
    <n v="670"/>
    <n v="2000"/>
    <n v="3.1299999999999953E-2"/>
    <n v="62.599999999999909"/>
    <x v="7"/>
    <x v="1"/>
  </r>
  <r>
    <x v="15"/>
    <x v="1"/>
    <s v="6a853c5c1fd846202c31d16d"/>
    <s v="18/08/2026 18:32:36"/>
    <s v="19/08/2026 02:17:16"/>
    <s v="Ranieli"/>
    <s v="18/08/2026"/>
    <x v="0"/>
    <s v="JOSEFA KELY NUNES DE SOUSA"/>
    <n v="792799"/>
    <n v="15005"/>
    <n v="15020"/>
    <n v="15000"/>
    <n v="15010"/>
    <n v="15010"/>
    <n v="15030"/>
    <n v="15025"/>
    <n v="15055"/>
    <n v="15025"/>
    <n v="15025"/>
    <n v="15020.5"/>
    <s v=""/>
    <s v="assinatura"/>
    <n v="453"/>
    <n v="15000"/>
    <n v="1.3666666666666666E-3"/>
    <n v="20.5"/>
    <x v="12"/>
    <x v="3"/>
  </r>
  <r>
    <x v="15"/>
    <x v="1"/>
    <s v="6a853c5c1fd846202c31d167"/>
    <s v="18/08/2026 18:28:59"/>
    <s v="19/08/2026 02:17:16"/>
    <s v="Ranieli"/>
    <s v="18/08/2026"/>
    <x v="0"/>
    <s v="JOSEFA KELY NUNES DE SOUSA"/>
    <n v="992093"/>
    <n v="5013"/>
    <n v="5018"/>
    <n v="5017"/>
    <n v="5007"/>
    <n v="5004"/>
    <n v="5013"/>
    <n v="5018"/>
    <n v="5017"/>
    <n v="5018"/>
    <n v="5018"/>
    <n v="5014.3"/>
    <s v=""/>
    <s v="assinatura"/>
    <n v="210"/>
    <n v="5000"/>
    <n v="2.8600000000000366E-3"/>
    <n v="14.300000000000182"/>
    <x v="13"/>
    <x v="3"/>
  </r>
  <r>
    <x v="15"/>
    <x v="1"/>
    <s v="6a853c5c1fd846202c31d161"/>
    <s v="18/08/2026 18:24:50"/>
    <s v="19/08/2026 02:17:16"/>
    <s v="Ranieli"/>
    <s v="18/08/2026"/>
    <x v="0"/>
    <s v="JOSEFA KELY NUNES DE SOUSA"/>
    <n v="15105"/>
    <n v="1038"/>
    <n v="992"/>
    <n v="1024"/>
    <n v="1018"/>
    <n v="1044"/>
    <n v="1020"/>
    <n v="1009"/>
    <n v="1026"/>
    <n v="1013"/>
    <n v="1017"/>
    <n v="1020.1"/>
    <s v=""/>
    <s v="assinatura"/>
    <n v="246"/>
    <n v="1000"/>
    <n v="2.0100000000000024E-2"/>
    <n v="20.100000000000023"/>
    <x v="0"/>
    <x v="0"/>
  </r>
  <r>
    <x v="15"/>
    <x v="1"/>
    <s v="6a84c13fefe2559bb1ee2325"/>
    <s v="18/08/2026 17:06:35"/>
    <s v="18/08/2026 17:31:59"/>
    <s v="- -"/>
    <s v="18/08/2026"/>
    <x v="0"/>
    <s v="JULIANE GOMES NOVAIS"/>
    <n v="15105"/>
    <n v="994"/>
    <n v="984"/>
    <n v="1046"/>
    <n v="1013"/>
    <n v="1021"/>
    <n v="1038"/>
    <n v="1003"/>
    <n v="1015"/>
    <n v="1002"/>
    <n v="1014"/>
    <n v="1013"/>
    <s v=""/>
    <s v="assinatura"/>
    <n v="1520"/>
    <n v="1000"/>
    <n v="1.2999999999999999E-2"/>
    <n v="13"/>
    <x v="0"/>
    <x v="0"/>
  </r>
  <r>
    <x v="15"/>
    <x v="1"/>
    <s v="6a84bb470382cc9bbb01cd60"/>
    <s v="18/08/2026 16:57:15"/>
    <s v="18/08/2026 17:06:31"/>
    <s v="- -"/>
    <s v="18/08/2026"/>
    <x v="0"/>
    <s v="JULIANE GOMES NOVAIS"/>
    <n v="40762"/>
    <n v="10105"/>
    <n v="9875"/>
    <n v="9930"/>
    <n v="9925"/>
    <n v="9860"/>
    <n v="10220"/>
    <n v="10005"/>
    <n v="10030"/>
    <n v="10045"/>
    <n v="10195"/>
    <n v="10019"/>
    <s v=""/>
    <s v="assinatura"/>
    <n v="545"/>
    <n v="10000"/>
    <n v="1.9E-3"/>
    <n v="19"/>
    <x v="3"/>
    <x v="1"/>
  </r>
  <r>
    <x v="13"/>
    <x v="1"/>
    <s v="6a83ec6804bb7d55d7f06579"/>
    <s v="18/08/2026 01:03:12"/>
    <s v="18/08/2026 02:23:52"/>
    <s v="Ranieli"/>
    <s v="17/08/2026"/>
    <x v="0"/>
    <s v="JOSEFA KELY NUNES DE SOUSA"/>
    <n v="40762"/>
    <n v="10140"/>
    <n v="10225"/>
    <n v="10055"/>
    <n v="10165"/>
    <n v="10100"/>
    <n v="10180"/>
    <n v="10150"/>
    <n v="10110"/>
    <n v="10255"/>
    <n v="10065"/>
    <n v="10144.5"/>
    <s v=""/>
    <s v="assinatura"/>
    <n v="3172"/>
    <n v="10000"/>
    <n v="1.4449999999999999E-2"/>
    <n v="144.5"/>
    <x v="3"/>
    <x v="1"/>
  </r>
  <r>
    <x v="13"/>
    <x v="1"/>
    <s v="6a83ec6804bb7d55d7f06573"/>
    <s v="18/08/2026 00:44:02"/>
    <s v="18/08/2026 02:23:52"/>
    <s v="Ranieli"/>
    <s v="17/08/2026"/>
    <x v="0"/>
    <s v="JOSEFA KELY NUNES DE SOUSA"/>
    <n v="995638"/>
    <n v="15065"/>
    <n v="15060"/>
    <n v="15005"/>
    <n v="15055"/>
    <n v="15045"/>
    <n v="15050"/>
    <n v="15025"/>
    <n v="15060"/>
    <n v="15000"/>
    <n v="15035"/>
    <n v="15040"/>
    <s v=""/>
    <s v="assinatura"/>
    <n v="425"/>
    <n v="15000"/>
    <n v="2.6666666666666666E-3"/>
    <n v="40"/>
    <x v="21"/>
    <x v="3"/>
  </r>
  <r>
    <x v="13"/>
    <x v="1"/>
    <s v="6a83ec6804bb7d55d7f0656d"/>
    <s v="18/08/2026 00:34:45"/>
    <s v="18/08/2026 02:23:52"/>
    <s v="Ranieli"/>
    <s v="17/08/2026"/>
    <x v="0"/>
    <s v="JOSEFA KELY NUNES DE SOUSA"/>
    <n v="15105"/>
    <n v="1002"/>
    <n v="952"/>
    <n v="999"/>
    <n v="1000"/>
    <n v="999"/>
    <n v="1024"/>
    <n v="1016"/>
    <n v="1007"/>
    <n v="1001"/>
    <n v="950"/>
    <n v="995"/>
    <s v=""/>
    <s v="assinatura"/>
    <n v="542"/>
    <n v="1000"/>
    <n v="-5.0000000000000001E-3"/>
    <n v="-5"/>
    <x v="0"/>
    <x v="0"/>
  </r>
  <r>
    <x v="7"/>
    <x v="1"/>
    <s v="6a868bb5fdafc0a09889692d"/>
    <s v="19/08/2026 23:38:29"/>
    <s v="20/08/2026 02:08:05"/>
    <s v="Ranieli"/>
    <s v="19/08/2026"/>
    <x v="0"/>
    <s v="JOSEFA KELY NUNES DE SOUSA"/>
    <n v="40762"/>
    <n v="10090"/>
    <n v="10085"/>
    <n v="10080"/>
    <n v="10035"/>
    <n v="9985"/>
    <n v="10075"/>
    <n v="9975"/>
    <n v="10010"/>
    <n v="10005"/>
    <n v="9995"/>
    <n v="10033.5"/>
    <s v=""/>
    <s v="assinatura"/>
    <n v="1177"/>
    <n v="10000"/>
    <n v="3.3500000000000001E-3"/>
    <n v="33.5"/>
    <x v="3"/>
    <x v="1"/>
  </r>
  <r>
    <x v="7"/>
    <x v="1"/>
    <s v="6a868bb5fdafc0a098896927"/>
    <s v="19/08/2026 23:30:52"/>
    <s v="20/08/2026 02:08:05"/>
    <s v="Ranieli"/>
    <s v="19/08/2026"/>
    <x v="0"/>
    <s v="JOSEFA KELY NUNES DE SOUSA"/>
    <n v="15229"/>
    <n v="1010"/>
    <n v="994"/>
    <n v="1013"/>
    <n v="1010"/>
    <n v="1007"/>
    <n v="1016"/>
    <n v="998"/>
    <n v="992"/>
    <n v="1014"/>
    <n v="1016"/>
    <n v="1007"/>
    <s v=""/>
    <s v="assinatura"/>
    <n v="455"/>
    <n v="1000"/>
    <n v="7.0000000000000001E-3"/>
    <n v="7"/>
    <x v="9"/>
    <x v="1"/>
  </r>
  <r>
    <x v="7"/>
    <x v="1"/>
    <s v="6a868bb5fdafc0a098896921"/>
    <s v="19/08/2026 23:27:04"/>
    <s v="20/08/2026 02:08:05"/>
    <s v="Ranieli"/>
    <s v="19/08/2026"/>
    <x v="0"/>
    <s v="JOSEFA KELY NUNES DE SOUSA"/>
    <n v="15105"/>
    <n v="1055"/>
    <n v="1014"/>
    <n v="1013"/>
    <n v="1007"/>
    <n v="1045"/>
    <n v="1057"/>
    <n v="1040"/>
    <n v="1034"/>
    <n v="1050"/>
    <n v="1028"/>
    <n v="1034.3"/>
    <s v=""/>
    <s v="assinatura"/>
    <n v="227"/>
    <n v="1000"/>
    <n v="3.4299999999999956E-2"/>
    <n v="34.299999999999955"/>
    <x v="0"/>
    <x v="0"/>
  </r>
  <r>
    <x v="7"/>
    <x v="1"/>
    <s v="6a868bb4fdafc0a09889690d"/>
    <s v="19/08/2026 19:03:13"/>
    <s v="20/08/2026 02:08:04"/>
    <s v="Ranieli"/>
    <s v="19/08/2026"/>
    <x v="0"/>
    <s v="JOSEFA KELY NUNES DE SOUSA"/>
    <n v="42838"/>
    <n v="2027"/>
    <n v="2080"/>
    <n v="2007"/>
    <n v="2128"/>
    <n v="2033"/>
    <n v="2027"/>
    <n v="1999"/>
    <n v="2083"/>
    <n v="2039"/>
    <n v="2025"/>
    <n v="2044.8"/>
    <s v=""/>
    <s v=""/>
    <n v="1718"/>
    <n v="2000"/>
    <n v="2.2399999999999979E-2"/>
    <n v="44.799999999999955"/>
    <x v="7"/>
    <x v="1"/>
  </r>
  <r>
    <x v="7"/>
    <x v="1"/>
    <s v="6a868bb4fdafc0a098896907"/>
    <s v="19/08/2026 19:00:51"/>
    <s v="20/08/2026 02:08:04"/>
    <s v="Ranieli"/>
    <s v="19/08/2026"/>
    <x v="0"/>
    <s v="JOSEFA KELY NUNES DE SOUSA"/>
    <n v="42862"/>
    <n v="2051"/>
    <n v="2019"/>
    <n v="2032"/>
    <n v="2002"/>
    <n v="2021"/>
    <n v="2044"/>
    <n v="2024"/>
    <n v="2018"/>
    <n v="2041"/>
    <n v="2003"/>
    <n v="2025.5"/>
    <s v=""/>
    <s v=""/>
    <n v="141"/>
    <n v="2000"/>
    <n v="1.2749999999999999E-2"/>
    <n v="25.5"/>
    <x v="5"/>
    <x v="1"/>
  </r>
  <r>
    <x v="7"/>
    <x v="1"/>
    <s v="6a868bb4fdafc0a098896901"/>
    <s v="19/08/2026 18:57:43"/>
    <s v="20/08/2026 02:08:04"/>
    <s v="Ranieli"/>
    <s v="19/08/2026"/>
    <x v="0"/>
    <s v="JOSEFA KELY NUNES DE SOUSA"/>
    <n v="42854"/>
    <n v="2058"/>
    <n v="2070"/>
    <n v="2117"/>
    <n v="2095"/>
    <n v="2132"/>
    <n v="2065"/>
    <n v="2033"/>
    <n v="2097"/>
    <n v="2100"/>
    <n v="2102"/>
    <n v="2086.9"/>
    <s v=""/>
    <s v="assinatura"/>
    <n v="186"/>
    <n v="2080"/>
    <n v="3.3173076923077361E-3"/>
    <n v="6.9000000000000909"/>
    <x v="4"/>
    <x v="1"/>
  </r>
  <r>
    <x v="7"/>
    <x v="1"/>
    <s v="6a868bb4fdafc0a0988968fb"/>
    <s v="19/08/2026 18:52:54"/>
    <s v="20/08/2026 02:08:04"/>
    <s v="Ranieli"/>
    <s v="19/08/2026"/>
    <x v="0"/>
    <s v="JOSEFA KELY NUNES DE SOUSA"/>
    <n v="42846"/>
    <n v="2084"/>
    <n v="2031"/>
    <n v="2011"/>
    <n v="2015"/>
    <n v="2002"/>
    <n v="2000"/>
    <n v="2077"/>
    <n v="2010"/>
    <n v="2015"/>
    <n v="2055"/>
    <n v="2030"/>
    <s v=""/>
    <s v=""/>
    <n v="288"/>
    <n v="2000"/>
    <n v="1.4999999999999999E-2"/>
    <n v="30"/>
    <x v="6"/>
    <x v="1"/>
  </r>
  <r>
    <x v="7"/>
    <x v="1"/>
    <s v="6a868bb4fdafc0a0988968f5"/>
    <s v="19/08/2026 18:48:21"/>
    <s v="20/08/2026 02:08:04"/>
    <s v="Ranieli"/>
    <s v="19/08/2026"/>
    <x v="0"/>
    <s v="JOSEFA KELY NUNES DE SOUSA"/>
    <n v="13188"/>
    <s v=""/>
    <s v=""/>
    <n v="1001"/>
    <n v="1022"/>
    <n v="1008"/>
    <n v="997"/>
    <n v="1025"/>
    <n v="1016"/>
    <n v="1001"/>
    <n v="1008"/>
    <n v="1009.75"/>
    <s v=""/>
    <s v="assinatura"/>
    <n v="272"/>
    <n v="1000"/>
    <n v="9.75E-3"/>
    <n v="9.75"/>
    <x v="8"/>
    <x v="1"/>
  </r>
  <r>
    <x v="7"/>
    <x v="1"/>
    <s v="6a868bb4fdafc0a0988968ef"/>
    <s v="19/08/2026 18:40:11"/>
    <s v="20/08/2026 02:08:04"/>
    <s v="Ranieli"/>
    <s v="19/08/2026"/>
    <x v="0"/>
    <s v="JOSEFA KELY NUNES DE SOUSA"/>
    <n v="995638"/>
    <n v="15060"/>
    <n v="15035"/>
    <n v="15015"/>
    <n v="14995"/>
    <n v="15080"/>
    <n v="15075"/>
    <n v="15055"/>
    <n v="15090"/>
    <n v="15055"/>
    <n v="15085"/>
    <n v="15054.5"/>
    <s v=""/>
    <s v=""/>
    <n v="471"/>
    <n v="15000"/>
    <n v="3.6333333333333335E-3"/>
    <n v="54.5"/>
    <x v="21"/>
    <x v="3"/>
  </r>
  <r>
    <x v="7"/>
    <x v="1"/>
    <s v="6a868bb4fdafc0a0988968e9"/>
    <s v="19/08/2026 18:28:52"/>
    <s v="20/08/2026 02:08:04"/>
    <s v="Ranieli"/>
    <s v="19/08/2026"/>
    <x v="0"/>
    <s v="JOSEFA KELY NUNES DE SOUSA"/>
    <n v="995638"/>
    <n v="15020"/>
    <n v="15015"/>
    <n v="15020"/>
    <n v="15025"/>
    <n v="15020"/>
    <n v="15010"/>
    <n v="14995"/>
    <n v="15020"/>
    <n v="15010"/>
    <n v="15035"/>
    <n v="15017"/>
    <s v=""/>
    <s v="assinatura"/>
    <n v="672"/>
    <n v="15000"/>
    <n v="1.1333333333333334E-3"/>
    <n v="17"/>
    <x v="21"/>
    <x v="3"/>
  </r>
  <r>
    <x v="7"/>
    <x v="1"/>
    <s v="6a868bb4fdafc0a0988968e3"/>
    <s v="19/08/2026 18:24:55"/>
    <s v="20/08/2026 02:08:04"/>
    <s v="Ranieli"/>
    <s v="19/08/2026"/>
    <x v="0"/>
    <s v="JOSEFA KELY NUNES DE SOUSA"/>
    <n v="15105"/>
    <n v="998"/>
    <n v="1005"/>
    <n v="1014"/>
    <n v="1022"/>
    <n v="1004"/>
    <n v="1025"/>
    <n v="1031"/>
    <n v="1001"/>
    <n v="1035"/>
    <n v="1059"/>
    <n v="1019.4"/>
    <s v=""/>
    <s v="assinatura"/>
    <n v="235"/>
    <n v="1000"/>
    <n v="1.9399999999999976E-2"/>
    <n v="19.399999999999977"/>
    <x v="0"/>
    <x v="0"/>
  </r>
  <r>
    <x v="8"/>
    <x v="1"/>
    <s v="6a7b1465b557e8f899eaba8c"/>
    <s v="11/08/2026 09:13:04"/>
    <s v="11/08/2026 09:24:05"/>
    <s v="Ranieli"/>
    <s v="11/08/2026"/>
    <x v="1"/>
    <s v="RANIELI MARIA MASQUIETI DOURADO"/>
    <n v="15105"/>
    <n v="1003"/>
    <n v="1007"/>
    <n v="1018"/>
    <n v="993"/>
    <n v="995"/>
    <n v="1051"/>
    <n v="1019"/>
    <n v="1003"/>
    <n v="994"/>
    <n v="1026"/>
    <n v="1010.9"/>
    <s v=""/>
    <s v="assinatura"/>
    <n v="171"/>
    <n v="1000"/>
    <n v="1.0899999999999977E-2"/>
    <n v="10.899999999999977"/>
    <x v="0"/>
    <x v="0"/>
  </r>
  <r>
    <x v="7"/>
    <x v="1"/>
    <s v="6a85f3db1a16c0f1bfb95c29"/>
    <s v="19/08/2026 13:46:52"/>
    <s v="19/08/2026 15:20:11"/>
    <s v="Ranieli"/>
    <s v="19/08/2026"/>
    <x v="1"/>
    <s v="ALANA DA SILVA MARTINS"/>
    <n v="15105"/>
    <n v="1044"/>
    <n v="1048"/>
    <n v="1048"/>
    <n v="1039"/>
    <n v="986"/>
    <n v="1060"/>
    <n v="1021"/>
    <n v="992"/>
    <n v="1015"/>
    <n v="1003"/>
    <n v="1025.5999999999999"/>
    <s v=""/>
    <s v="assinatura"/>
    <n v="268"/>
    <n v="1000"/>
    <n v="2.5599999999999908E-2"/>
    <n v="25.599999999999909"/>
    <x v="0"/>
    <x v="0"/>
  </r>
  <r>
    <x v="7"/>
    <x v="1"/>
    <s v="6a85d3e97f1e19841d19c05a"/>
    <s v="19/08/2026 11:47:44"/>
    <s v="19/08/2026 13:03:53"/>
    <s v="Ranieli"/>
    <s v="19/08/2026"/>
    <x v="1"/>
    <s v="ALANA DA SILVA MARTINS"/>
    <n v="15105"/>
    <n v="1018"/>
    <n v="998"/>
    <n v="1000"/>
    <n v="999"/>
    <n v="995"/>
    <n v="990"/>
    <n v="1019"/>
    <n v="1024"/>
    <n v="1055"/>
    <n v="1011"/>
    <n v="1010.9"/>
    <s v=""/>
    <s v="assinatura"/>
    <n v="373"/>
    <n v="1000"/>
    <n v="1.0899999999999977E-2"/>
    <n v="10.899999999999977"/>
    <x v="0"/>
    <x v="0"/>
  </r>
  <r>
    <x v="7"/>
    <x v="1"/>
    <s v="6a85b1dd0ee09dfd59469df7"/>
    <s v="19/08/2026 08:48:20"/>
    <s v="19/08/2026 10:38:37"/>
    <s v="Ranieli"/>
    <s v="19/08/2026"/>
    <x v="1"/>
    <s v="ALANA DA SILVA MARTINS"/>
    <n v="15105"/>
    <n v="1139"/>
    <n v="994"/>
    <n v="1126"/>
    <n v="1016"/>
    <n v="1014"/>
    <n v="997"/>
    <n v="1138"/>
    <n v="1041"/>
    <n v="1022"/>
    <n v="1014"/>
    <n v="1050.0999999999999"/>
    <s v=""/>
    <s v="assinatura"/>
    <n v="507"/>
    <n v="1000"/>
    <n v="5.0099999999999908E-2"/>
    <n v="50.099999999999909"/>
    <x v="0"/>
    <x v="0"/>
  </r>
  <r>
    <x v="9"/>
    <x v="1"/>
    <s v="6a8726a4d21019c032fd973e"/>
    <s v="20/08/2026 12:51:58"/>
    <s v="20/08/2026 13:09:08"/>
    <s v="Ranieli"/>
    <s v="20/08/2026"/>
    <x v="1"/>
    <s v="ALANA DA SILVA MARTINS"/>
    <n v="15105"/>
    <n v="1007"/>
    <n v="998"/>
    <n v="989"/>
    <n v="1028"/>
    <n v="1007"/>
    <n v="999"/>
    <n v="984"/>
    <n v="995"/>
    <n v="1010"/>
    <n v="992"/>
    <n v="1000.9"/>
    <s v=""/>
    <s v="assinatura"/>
    <n v="1022"/>
    <n v="1000"/>
    <n v="8.9999999999997732E-4"/>
    <n v="0.89999999999997726"/>
    <x v="0"/>
    <x v="0"/>
  </r>
  <r>
    <x v="9"/>
    <x v="1"/>
    <s v="6a8726a4d21019c032fd972c"/>
    <s v="20/08/2026 08:52:42"/>
    <s v="20/08/2026 13:09:08"/>
    <s v="Ranieli"/>
    <s v="20/08/2026"/>
    <x v="1"/>
    <s v="ALANA DA SILVA MARTINS"/>
    <n v="15105"/>
    <n v="995"/>
    <n v="1032"/>
    <n v="1014"/>
    <n v="1010"/>
    <n v="1027"/>
    <n v="1010"/>
    <n v="1174"/>
    <n v="1086"/>
    <n v="1013"/>
    <n v="1050"/>
    <n v="1041.0999999999999"/>
    <s v=""/>
    <s v="assinatura"/>
    <n v="260"/>
    <n v="1000"/>
    <n v="4.1099999999999907E-2"/>
    <n v="41.099999999999909"/>
    <x v="0"/>
    <x v="0"/>
  </r>
  <r>
    <x v="16"/>
    <x v="1"/>
    <s v="6a88925f40c77c1959454ed6"/>
    <s v="21/08/2026 08:26:31"/>
    <s v="21/08/2026 15:01:03"/>
    <s v="Ranieli"/>
    <s v="21/08/2026"/>
    <x v="1"/>
    <s v="ALANA DA SILVA MARTINS"/>
    <n v="15105"/>
    <n v="1066"/>
    <n v="1002"/>
    <n v="1044"/>
    <n v="1030"/>
    <n v="1003"/>
    <n v="1017"/>
    <n v="1004"/>
    <n v="1025"/>
    <n v="1016"/>
    <n v="1025"/>
    <n v="1023.2"/>
    <s v=""/>
    <s v="assinatura"/>
    <n v="244"/>
    <n v="1000"/>
    <n v="2.3200000000000047E-2"/>
    <n v="23.200000000000045"/>
    <x v="0"/>
    <x v="0"/>
  </r>
  <r>
    <x v="8"/>
    <x v="1"/>
    <s v="6a7b1464b557e8f899eaba86"/>
    <s v="11/08/2026 09:03:13"/>
    <s v="11/08/2026 09:24:04"/>
    <s v="Ranieli"/>
    <s v="11/08/2026"/>
    <x v="1"/>
    <s v="RANIELI MARIA MASQUIETI DOURADO"/>
    <n v="40762"/>
    <n v="9980"/>
    <n v="10115"/>
    <n v="10090"/>
    <n v="10130"/>
    <n v="10060"/>
    <n v="9875"/>
    <n v="9980"/>
    <n v="10070"/>
    <n v="10110"/>
    <n v="10040"/>
    <n v="10045"/>
    <s v=""/>
    <s v="assinatura"/>
    <n v="560"/>
    <n v="10000"/>
    <n v="4.4999999999999997E-3"/>
    <n v="45"/>
    <x v="3"/>
    <x v="1"/>
  </r>
  <r>
    <x v="7"/>
    <x v="1"/>
    <s v="6a85f3db1a16c0f1bfb95c35"/>
    <s v="19/08/2026 14:07:58"/>
    <s v="19/08/2026 15:20:11"/>
    <s v="Ranieli"/>
    <s v="19/08/2026"/>
    <x v="1"/>
    <s v="ALANA DA SILVA MARTINS"/>
    <n v="54632"/>
    <n v="1011"/>
    <n v="991"/>
    <n v="992"/>
    <n v="1018"/>
    <n v="1007"/>
    <n v="1034"/>
    <n v="1003"/>
    <n v="1006"/>
    <n v="1018"/>
    <n v="1014"/>
    <n v="1009.4"/>
    <s v=""/>
    <s v="assinatura"/>
    <n v="231"/>
    <n v="1000"/>
    <n v="9.3999999999999778E-3"/>
    <n v="9.3999999999999773"/>
    <x v="11"/>
    <x v="1"/>
  </r>
  <r>
    <x v="7"/>
    <x v="1"/>
    <s v="6a85f3db1a16c0f1bfb95c2f"/>
    <s v="19/08/2026 13:53:30"/>
    <s v="19/08/2026 15:20:11"/>
    <s v="Ranieli"/>
    <s v="19/08/2026"/>
    <x v="1"/>
    <s v="ALANA DA SILVA MARTINS"/>
    <n v="40762"/>
    <n v="10079"/>
    <n v="10050"/>
    <n v="10120"/>
    <n v="10030"/>
    <n v="10075"/>
    <n v="10085"/>
    <n v="10095"/>
    <n v="10090"/>
    <n v="10100"/>
    <n v="10140"/>
    <n v="10086.4"/>
    <s v=""/>
    <s v="assinatura"/>
    <n v="749"/>
    <n v="10000"/>
    <n v="8.6399999999999637E-3"/>
    <n v="86.399999999999636"/>
    <x v="3"/>
    <x v="1"/>
  </r>
  <r>
    <x v="9"/>
    <x v="1"/>
    <s v="6a87d81a13f324b2ed9451fa"/>
    <s v="20/08/2026 23:45:46"/>
    <s v="21/08/2026 01:46:18"/>
    <s v="Ranieli"/>
    <s v="20/08/2026"/>
    <x v="0"/>
    <s v="JOSEFA KELY NUNES DE SOUSA"/>
    <n v="15105"/>
    <n v="1017"/>
    <n v="1012"/>
    <n v="1063"/>
    <n v="1002"/>
    <n v="1026"/>
    <n v="998"/>
    <n v="1006"/>
    <n v="1042"/>
    <n v="1000"/>
    <n v="999"/>
    <n v="1016.5"/>
    <s v=""/>
    <s v="assinatura"/>
    <n v="1611"/>
    <n v="1000"/>
    <n v="1.6500000000000001E-2"/>
    <n v="16.5"/>
    <x v="0"/>
    <x v="0"/>
  </r>
  <r>
    <x v="9"/>
    <x v="1"/>
    <s v="6a87d81a13f324b2ed9451f4"/>
    <s v="20/08/2026 23:39:37"/>
    <s v="21/08/2026 01:46:18"/>
    <s v="Ranieli"/>
    <s v="20/08/2026"/>
    <x v="0"/>
    <s v="JOSEFA KELY NUNES DE SOUSA"/>
    <n v="40762"/>
    <n v="9950"/>
    <n v="10010"/>
    <n v="10015"/>
    <n v="9960"/>
    <n v="10105"/>
    <n v="9855"/>
    <n v="10030"/>
    <n v="10070"/>
    <n v="10010"/>
    <n v="9950"/>
    <n v="9995.5"/>
    <s v=""/>
    <s v=""/>
    <n v="361"/>
    <n v="10000"/>
    <n v="-4.4999999999999999E-4"/>
    <n v="-4.5"/>
    <x v="3"/>
    <x v="1"/>
  </r>
  <r>
    <x v="9"/>
    <x v="1"/>
    <s v="6a87d81a13f324b2ed9451e8"/>
    <s v="20/08/2026 23:28:30"/>
    <s v="21/08/2026 01:46:18"/>
    <s v="Ranieli"/>
    <s v="20/08/2026"/>
    <x v="0"/>
    <s v="JOSEFA KELY NUNES DE SOUSA"/>
    <n v="42854"/>
    <n v="2087"/>
    <n v="2114"/>
    <n v="2093"/>
    <n v="2070"/>
    <n v="2115"/>
    <n v="2105"/>
    <n v="2098"/>
    <n v="2084"/>
    <n v="2096"/>
    <n v="2125"/>
    <n v="2098.6999999999998"/>
    <s v=""/>
    <s v=""/>
    <n v="176"/>
    <n v="2080"/>
    <n v="8.9903846153845286E-3"/>
    <n v="18.699999999999818"/>
    <x v="4"/>
    <x v="1"/>
  </r>
  <r>
    <x v="9"/>
    <x v="1"/>
    <s v="6a87d81a13f324b2ed9451e2"/>
    <s v="20/08/2026 23:24:45"/>
    <s v="21/08/2026 01:46:18"/>
    <s v="Ranieli"/>
    <s v="20/08/2026"/>
    <x v="0"/>
    <s v="JOSEFA KELY NUNES DE SOUSA"/>
    <n v="42862"/>
    <n v="2073"/>
    <n v="2056"/>
    <n v="2033"/>
    <n v="2055"/>
    <n v="2019"/>
    <n v="1992"/>
    <n v="2009"/>
    <n v="2035"/>
    <n v="2026"/>
    <n v="2010"/>
    <n v="2030.8"/>
    <s v=""/>
    <s v="assinatura"/>
    <n v="223"/>
    <n v="2000"/>
    <n v="1.5399999999999978E-2"/>
    <n v="30.799999999999955"/>
    <x v="5"/>
    <x v="1"/>
  </r>
  <r>
    <x v="9"/>
    <x v="1"/>
    <s v="6a87d81a13f324b2ed9451dc"/>
    <s v="20/08/2026 23:22:37"/>
    <s v="21/08/2026 01:46:18"/>
    <s v="Ranieli"/>
    <s v="20/08/2026"/>
    <x v="0"/>
    <s v="JOSEFA KELY NUNES DE SOUSA"/>
    <n v="42846"/>
    <n v="1983"/>
    <n v="1998"/>
    <n v="2014"/>
    <n v="2007"/>
    <n v="2010"/>
    <n v="1997"/>
    <n v="2006"/>
    <n v="2025"/>
    <n v="2017"/>
    <n v="2002"/>
    <n v="2005.9"/>
    <s v=""/>
    <s v=""/>
    <n v="126"/>
    <n v="2000"/>
    <n v="2.9500000000000455E-3"/>
    <n v="5.9000000000000909"/>
    <x v="6"/>
    <x v="1"/>
  </r>
  <r>
    <x v="9"/>
    <x v="1"/>
    <s v="6a87d81a13f324b2ed9451d6"/>
    <s v="20/08/2026 23:18:19"/>
    <s v="21/08/2026 01:46:18"/>
    <s v="Ranieli"/>
    <s v="20/08/2026"/>
    <x v="0"/>
    <s v="JOSEFA KELY NUNES DE SOUSA"/>
    <n v="42838"/>
    <n v="2069"/>
    <n v="2054"/>
    <n v="2012"/>
    <n v="2069"/>
    <n v="2035"/>
    <n v="2061"/>
    <n v="2033"/>
    <n v="2036"/>
    <n v="2045"/>
    <n v="2064"/>
    <n v="2047.8"/>
    <s v=""/>
    <s v="assinatura"/>
    <n v="256"/>
    <n v="2000"/>
    <n v="2.3899999999999977E-2"/>
    <n v="47.799999999999955"/>
    <x v="7"/>
    <x v="1"/>
  </r>
  <r>
    <x v="9"/>
    <x v="1"/>
    <s v="6a87d81a13f324b2ed9451c2"/>
    <s v="20/08/2026 18:51:35"/>
    <s v="21/08/2026 01:46:18"/>
    <s v="Ranieli"/>
    <s v="20/08/2026"/>
    <x v="0"/>
    <s v="JOSEFA KELY NUNES DE SOUSA"/>
    <n v="40762"/>
    <n v="10090"/>
    <n v="10030"/>
    <n v="10105"/>
    <n v="9870"/>
    <n v="10175"/>
    <n v="10035"/>
    <n v="10660"/>
    <n v="10010"/>
    <n v="10120"/>
    <n v="9925"/>
    <n v="10102"/>
    <s v=""/>
    <s v="assinatura"/>
    <n v="2592"/>
    <n v="10000"/>
    <n v="1.0200000000000001E-2"/>
    <n v="102"/>
    <x v="3"/>
    <x v="1"/>
  </r>
  <r>
    <x v="9"/>
    <x v="1"/>
    <s v="6a87d81a13f324b2ed9451bc"/>
    <s v="20/08/2026 18:44:17"/>
    <s v="21/08/2026 01:46:18"/>
    <s v="Ranieli"/>
    <s v="20/08/2026"/>
    <x v="0"/>
    <s v="JOSEFA KELY NUNES DE SOUSA"/>
    <n v="995638"/>
    <n v="15020"/>
    <n v="15000"/>
    <n v="15030"/>
    <n v="15000"/>
    <n v="15035"/>
    <n v="15035"/>
    <n v="15055"/>
    <n v="15030"/>
    <n v="15000"/>
    <n v="15040"/>
    <n v="15024.5"/>
    <s v=""/>
    <s v=""/>
    <n v="436"/>
    <n v="15000"/>
    <n v="1.6333333333333334E-3"/>
    <n v="24.5"/>
    <x v="21"/>
    <x v="3"/>
  </r>
  <r>
    <x v="9"/>
    <x v="1"/>
    <s v="6a87d81913f324b2ed9451b6"/>
    <s v="20/08/2026 18:35:24"/>
    <s v="21/08/2026 01:46:17"/>
    <s v="Ranieli"/>
    <s v="20/08/2026"/>
    <x v="0"/>
    <s v="JOSEFA KELY NUNES DE SOUSA"/>
    <n v="992093"/>
    <n v="5017"/>
    <n v="5024"/>
    <n v="5022"/>
    <n v="5016"/>
    <n v="5022"/>
    <n v="5011"/>
    <n v="5014"/>
    <n v="5010"/>
    <n v="5016"/>
    <n v="5015"/>
    <n v="5016.7"/>
    <s v=""/>
    <s v="assinatura"/>
    <n v="530"/>
    <n v="5000"/>
    <n v="3.3399999999999637E-3"/>
    <n v="16.699999999999818"/>
    <x v="13"/>
    <x v="3"/>
  </r>
  <r>
    <x v="9"/>
    <x v="1"/>
    <s v="6a87d81913f324b2ed9451b0"/>
    <s v="20/08/2026 18:30:46"/>
    <s v="21/08/2026 01:46:17"/>
    <s v="Ranieli"/>
    <s v="20/08/2026"/>
    <x v="0"/>
    <s v="JOSEFA KELY NUNES DE SOUSA"/>
    <n v="15105"/>
    <n v="1004"/>
    <n v="1016"/>
    <n v="1024"/>
    <n v="1038"/>
    <n v="1005"/>
    <n v="1049"/>
    <n v="999"/>
    <n v="1038"/>
    <n v="1030"/>
    <n v="1004"/>
    <n v="1020.7"/>
    <s v=""/>
    <s v="assinatura"/>
    <n v="276"/>
    <n v="1000"/>
    <n v="2.0700000000000045E-2"/>
    <n v="20.700000000000045"/>
    <x v="0"/>
    <x v="0"/>
  </r>
  <r>
    <x v="9"/>
    <x v="1"/>
    <s v="6a87d81913f324b2ed9451aa"/>
    <s v="20/08/2026 18:22:57"/>
    <s v="21/08/2026 01:46:17"/>
    <s v="Ranieli"/>
    <s v="20/08/2026"/>
    <x v="0"/>
    <s v="JOSEFA KELY NUNES DE SOUSA"/>
    <n v="15229"/>
    <n v="1010"/>
    <n v="1010"/>
    <n v="1011"/>
    <n v="1002"/>
    <n v="1014"/>
    <n v="1010"/>
    <n v="1002"/>
    <n v="1009"/>
    <n v="1014"/>
    <n v="995"/>
    <n v="1007.7"/>
    <s v=""/>
    <s v="assinatura"/>
    <n v="463"/>
    <n v="1000"/>
    <n v="7.7000000000000453E-3"/>
    <n v="7.7000000000000455"/>
    <x v="9"/>
    <x v="1"/>
  </r>
  <r>
    <x v="9"/>
    <x v="1"/>
    <s v="6a87d81913f324b2ed9451a4"/>
    <s v="20/08/2026 18:14:01"/>
    <s v="21/08/2026 01:46:17"/>
    <s v="Ranieli"/>
    <s v="20/08/2026"/>
    <x v="0"/>
    <s v="JOSEFA KELY NUNES DE SOUSA"/>
    <n v="13188"/>
    <n v="987"/>
    <n v="1017"/>
    <n v="1013"/>
    <n v="1009"/>
    <n v="995"/>
    <n v="1001"/>
    <n v="990"/>
    <n v="1008"/>
    <n v="1013"/>
    <n v="995"/>
    <n v="1002.8"/>
    <s v=""/>
    <s v="assinatura"/>
    <n v="490"/>
    <n v="1000"/>
    <n v="2.7999999999999544E-3"/>
    <n v="2.7999999999999545"/>
    <x v="8"/>
    <x v="1"/>
  </r>
  <r>
    <x v="9"/>
    <x v="1"/>
    <s v="6a877bc4a12fe1209e6baa9e"/>
    <s v="20/08/2026 18:36:28"/>
    <s v="20/08/2026 19:12:20"/>
    <s v="- -"/>
    <s v="20/08/2026"/>
    <x v="0"/>
    <s v="JULIANE GOMES NOVAIS"/>
    <n v="15105"/>
    <n v="1009"/>
    <n v="1008"/>
    <n v="1022"/>
    <n v="1001"/>
    <n v="1034"/>
    <n v="1031"/>
    <n v="992"/>
    <n v="1002"/>
    <n v="1034"/>
    <n v="992"/>
    <n v="1012.5"/>
    <s v=""/>
    <s v="assinatura"/>
    <n v="2150"/>
    <n v="1000"/>
    <n v="1.2500000000000001E-2"/>
    <n v="12.5"/>
    <x v="0"/>
    <x v="0"/>
  </r>
  <r>
    <x v="9"/>
    <x v="1"/>
    <s v="6a87735ac3ab6b206e8324b1"/>
    <s v="20/08/2026 18:29:29"/>
    <s v="20/08/2026 18:36:26"/>
    <s v="- -"/>
    <s v="20/08/2026"/>
    <x v="0"/>
    <s v="JULIANE GOMES NOVAIS"/>
    <n v="40762"/>
    <n v="9715"/>
    <n v="10150"/>
    <n v="10115"/>
    <n v="9925"/>
    <n v="10105"/>
    <n v="9895"/>
    <n v="10150"/>
    <n v="9930"/>
    <n v="10095"/>
    <n v="10015"/>
    <n v="10009.5"/>
    <s v=""/>
    <s v="assinatura"/>
    <n v="415"/>
    <n v="10000"/>
    <n v="9.5E-4"/>
    <n v="9.5"/>
    <x v="3"/>
    <x v="1"/>
  </r>
  <r>
    <x v="7"/>
    <x v="1"/>
    <s v="6a85d3e97f1e19841d19c066"/>
    <s v="19/08/2026 12:45:10"/>
    <s v="19/08/2026 13:03:53"/>
    <s v="Ranieli"/>
    <s v="19/08/2026"/>
    <x v="1"/>
    <s v="ALANA DA SILVA MARTINS"/>
    <n v="42854"/>
    <n v="2083"/>
    <n v="2126"/>
    <n v="2161"/>
    <n v="2061"/>
    <n v="2075"/>
    <n v="2132"/>
    <n v="2141"/>
    <n v="2183"/>
    <n v="2182"/>
    <n v="2064"/>
    <n v="2120.8000000000002"/>
    <s v=""/>
    <s v="assinatura"/>
    <n v="380"/>
    <n v="2080"/>
    <n v="1.9615384615384701E-2"/>
    <n v="40.800000000000182"/>
    <x v="4"/>
    <x v="1"/>
  </r>
  <r>
    <x v="7"/>
    <x v="1"/>
    <s v="6a85d3e97f1e19841d19c060"/>
    <s v="19/08/2026 11:57:11"/>
    <s v="19/08/2026 13:03:53"/>
    <s v="Ranieli"/>
    <s v="19/08/2026"/>
    <x v="1"/>
    <s v=""/>
    <n v="42846"/>
    <n v="2019"/>
    <n v="2086"/>
    <n v="2180"/>
    <n v="2165"/>
    <n v="2051"/>
    <n v="2070"/>
    <n v="2032"/>
    <n v="2188"/>
    <n v="2090"/>
    <n v="2155"/>
    <n v="2103.6"/>
    <s v=""/>
    <s v="assinatura"/>
    <n v="2796"/>
    <n v="2000"/>
    <n v="5.1799999999999957E-2"/>
    <n v="103.59999999999991"/>
    <x v="6"/>
    <x v="1"/>
  </r>
  <r>
    <x v="7"/>
    <x v="1"/>
    <s v="6a85b1dd0ee09dfd59469e09"/>
    <s v="19/08/2026 09:49:20"/>
    <s v="19/08/2026 10:38:37"/>
    <s v="Ranieli"/>
    <s v="19/08/2026"/>
    <x v="1"/>
    <s v="ALANA DA SILVA MARTINS"/>
    <n v="40762"/>
    <n v="10105"/>
    <n v="10525"/>
    <n v="10070"/>
    <n v="9600"/>
    <n v="10055"/>
    <n v="10570"/>
    <n v="9925"/>
    <n v="10395"/>
    <n v="10115"/>
    <n v="10125"/>
    <n v="10148.5"/>
    <s v=""/>
    <s v="assinatura"/>
    <n v="630"/>
    <n v="10000"/>
    <n v="1.485E-2"/>
    <n v="148.5"/>
    <x v="3"/>
    <x v="1"/>
  </r>
  <r>
    <x v="7"/>
    <x v="1"/>
    <s v="6a85b1dd0ee09dfd59469e03"/>
    <s v="19/08/2026 09:26:19"/>
    <s v="19/08/2026 10:38:37"/>
    <s v="Ranieli"/>
    <s v="19/08/2026"/>
    <x v="1"/>
    <s v="ALANA DA SILVA MARTINS"/>
    <n v="42862"/>
    <n v="2053"/>
    <n v="2175"/>
    <n v="2066"/>
    <n v="2094"/>
    <n v="2002"/>
    <n v="2035"/>
    <n v="2058"/>
    <n v="2277"/>
    <n v="2018"/>
    <n v="2068"/>
    <n v="2084.6"/>
    <s v=""/>
    <s v="assinatura"/>
    <n v="433"/>
    <n v="2000"/>
    <n v="4.2299999999999956E-2"/>
    <n v="84.599999999999909"/>
    <x v="5"/>
    <x v="1"/>
  </r>
  <r>
    <x v="9"/>
    <x v="1"/>
    <s v="6a87432be868572ccad7a56a"/>
    <s v="20/08/2026 14:47:13"/>
    <s v="20/08/2026 15:10:51"/>
    <s v="Ranieli"/>
    <s v="20/08/2026"/>
    <x v="1"/>
    <s v="ALANA DA SILVA MARTINS"/>
    <n v="42854"/>
    <n v="2205"/>
    <n v="2175"/>
    <n v="2147"/>
    <n v="2189"/>
    <n v="2210"/>
    <n v="2170"/>
    <n v="2168"/>
    <n v="2150"/>
    <n v="2134"/>
    <n v="2152"/>
    <n v="2170"/>
    <s v=""/>
    <s v="assinatura"/>
    <n v="326"/>
    <n v="2080"/>
    <n v="4.3269230769230768E-2"/>
    <n v="90"/>
    <x v="4"/>
    <x v="1"/>
  </r>
  <r>
    <x v="9"/>
    <x v="1"/>
    <s v="6a87432be868572ccad7a564"/>
    <s v="20/08/2026 13:36:10"/>
    <s v="20/08/2026 15:10:51"/>
    <s v="Ranieli"/>
    <s v="20/08/2026"/>
    <x v="1"/>
    <s v="ALANA DA SILVA MARTINS"/>
    <n v="54632"/>
    <n v="997"/>
    <n v="1034"/>
    <n v="1051"/>
    <n v="1018"/>
    <n v="995"/>
    <n v="992"/>
    <n v="996"/>
    <n v="1047"/>
    <n v="999"/>
    <n v="1021"/>
    <n v="1015"/>
    <s v=""/>
    <s v="assinatura"/>
    <n v="399"/>
    <n v="1000"/>
    <n v="1.4999999999999999E-2"/>
    <n v="15"/>
    <x v="11"/>
    <x v="1"/>
  </r>
  <r>
    <x v="9"/>
    <x v="1"/>
    <s v="6a87432be868572ccad7a55e"/>
    <s v="20/08/2026 13:29:39"/>
    <s v="20/08/2026 15:10:51"/>
    <s v="Ranieli"/>
    <s v="20/08/2026"/>
    <x v="1"/>
    <s v="ALANA DA SILVA MARTINS"/>
    <n v="42846"/>
    <n v="2018"/>
    <n v="2066"/>
    <n v="2020"/>
    <n v="2027"/>
    <n v="2012"/>
    <n v="2028"/>
    <n v="2004"/>
    <n v="2051"/>
    <n v="2020"/>
    <n v="2063"/>
    <n v="2030.9"/>
    <s v=""/>
    <s v="assinatura"/>
    <n v="349"/>
    <n v="2000"/>
    <n v="1.5450000000000045E-2"/>
    <n v="30.900000000000091"/>
    <x v="6"/>
    <x v="1"/>
  </r>
  <r>
    <x v="9"/>
    <x v="1"/>
    <s v="6a8726a4d21019c032fd9732"/>
    <s v="20/08/2026 11:48:22"/>
    <s v="20/08/2026 13:09:08"/>
    <s v="Ranieli"/>
    <s v="20/08/2026"/>
    <x v="1"/>
    <s v="ALANA DA SILVA MARTINS"/>
    <n v="40762"/>
    <n v="10075"/>
    <n v="10055"/>
    <n v="10040"/>
    <n v="10165"/>
    <n v="9960"/>
    <n v="10195"/>
    <n v="10395"/>
    <n v="10215"/>
    <n v="10060"/>
    <n v="9960"/>
    <n v="10112"/>
    <s v=""/>
    <s v="assinatura"/>
    <n v="2431"/>
    <n v="10000"/>
    <n v="1.12E-2"/>
    <n v="112"/>
    <x v="3"/>
    <x v="1"/>
  </r>
  <r>
    <x v="9"/>
    <x v="1"/>
    <s v="6a8726a4d21019c032fd9726"/>
    <s v="20/08/2026 08:16:43"/>
    <s v="20/08/2026 13:09:08"/>
    <s v="Ranieli"/>
    <s v="20/08/2026"/>
    <x v="1"/>
    <s v="ALANA DA SILVA MARTINS"/>
    <n v="54632"/>
    <n v="1004"/>
    <n v="1009"/>
    <n v="1004"/>
    <n v="1018"/>
    <n v="994"/>
    <n v="1017"/>
    <n v="1008"/>
    <n v="1029"/>
    <n v="1020"/>
    <n v="1014"/>
    <n v="1011.7"/>
    <s v=""/>
    <s v="assinatura"/>
    <n v="650"/>
    <n v="1000"/>
    <n v="1.1700000000000045E-2"/>
    <n v="11.700000000000045"/>
    <x v="11"/>
    <x v="1"/>
  </r>
  <r>
    <x v="9"/>
    <x v="1"/>
    <s v="6a8726a4d21019c032fd9720"/>
    <s v="20/08/2026 08:09:27"/>
    <s v="20/08/2026 13:09:08"/>
    <s v="Ranieli"/>
    <s v="20/08/2026"/>
    <x v="1"/>
    <s v="ALANA DA SILVA MARTINS"/>
    <n v="42862"/>
    <n v="2095"/>
    <n v="2228"/>
    <n v="2083"/>
    <n v="2056"/>
    <n v="2082"/>
    <n v="2070"/>
    <n v="2074"/>
    <n v="2099"/>
    <n v="2114"/>
    <n v="1995"/>
    <n v="2089.6"/>
    <s v=""/>
    <s v="assinatura"/>
    <n v="368"/>
    <n v="2000"/>
    <n v="4.4799999999999958E-2"/>
    <n v="89.599999999999909"/>
    <x v="5"/>
    <x v="1"/>
  </r>
  <r>
    <x v="16"/>
    <x v="1"/>
    <s v="6a89357ca12fe1209e6da312"/>
    <s v="22/08/2026 00:11:58"/>
    <s v="22/08/2026 02:37:00"/>
    <s v="Ranieli"/>
    <s v="21/08/2026"/>
    <x v="0"/>
    <s v="JOSEFA KELY NUNES DE SOUSA"/>
    <n v="42854"/>
    <n v="2096"/>
    <n v="2129"/>
    <n v="2103"/>
    <n v="2107"/>
    <n v="2093"/>
    <n v="2101"/>
    <n v="2103"/>
    <n v="2033"/>
    <n v="2115"/>
    <n v="2040"/>
    <n v="2092"/>
    <s v=""/>
    <s v="assinatura"/>
    <n v="8511"/>
    <n v="2080"/>
    <n v="5.7692307692307696E-3"/>
    <n v="12"/>
    <x v="4"/>
    <x v="1"/>
  </r>
  <r>
    <x v="16"/>
    <x v="1"/>
    <s v="6a89357ca12fe1209e6da30c"/>
    <s v="22/08/2026 00:08:40"/>
    <s v="22/08/2026 02:37:00"/>
    <s v="Ranieli"/>
    <s v="21/08/2026"/>
    <x v="0"/>
    <s v="JOSEFA KELY NUNES DE SOUSA"/>
    <n v="42846"/>
    <n v="2011"/>
    <n v="2009"/>
    <n v="2011"/>
    <n v="1999"/>
    <n v="2015"/>
    <n v="2009"/>
    <n v="2009"/>
    <n v="1994"/>
    <n v="1994"/>
    <n v="1991"/>
    <n v="2004.2"/>
    <s v=""/>
    <s v=""/>
    <n v="197"/>
    <n v="2000"/>
    <n v="2.1000000000000229E-3"/>
    <n v="4.2000000000000455"/>
    <x v="6"/>
    <x v="1"/>
  </r>
  <r>
    <x v="16"/>
    <x v="1"/>
    <s v="6a89357ca12fe1209e6da306"/>
    <s v="21/08/2026 23:57:10"/>
    <s v="22/08/2026 02:37:00"/>
    <s v="Ranieli"/>
    <s v="21/08/2026"/>
    <x v="0"/>
    <s v="JOSEFA KELY NUNES DE SOUSA"/>
    <n v="42862"/>
    <n v="2175"/>
    <n v="2008"/>
    <n v="2158"/>
    <n v="2128"/>
    <n v="2123"/>
    <n v="2001"/>
    <n v="2163"/>
    <n v="2008"/>
    <n v="2013"/>
    <n v="2020"/>
    <n v="2079.6999999999998"/>
    <s v=""/>
    <s v="assinatura"/>
    <n v="648"/>
    <n v="2000"/>
    <n v="3.9849999999999906E-2"/>
    <n v="79.699999999999818"/>
    <x v="5"/>
    <x v="1"/>
  </r>
  <r>
    <x v="16"/>
    <x v="1"/>
    <s v="6a89357ca12fe1209e6da300"/>
    <s v="21/08/2026 23:51:55"/>
    <s v="22/08/2026 02:37:00"/>
    <s v="Ranieli"/>
    <s v="21/08/2026"/>
    <x v="0"/>
    <s v="JOSEFA KELY NUNES DE SOUSA"/>
    <n v="42838"/>
    <n v="2077"/>
    <n v="2037"/>
    <n v="2093"/>
    <n v="2052"/>
    <n v="2058"/>
    <n v="2066"/>
    <n v="2097"/>
    <n v="2063"/>
    <n v="2053"/>
    <n v="2073"/>
    <n v="2066.9"/>
    <s v=""/>
    <s v=""/>
    <n v="308"/>
    <n v="2000"/>
    <n v="3.3450000000000042E-2"/>
    <n v="66.900000000000091"/>
    <x v="7"/>
    <x v="1"/>
  </r>
  <r>
    <x v="16"/>
    <x v="1"/>
    <s v="6a89357ca12fe1209e6da2fa"/>
    <s v="21/08/2026 23:45:00"/>
    <s v="22/08/2026 02:37:00"/>
    <s v="Ranieli"/>
    <s v="21/08/2026"/>
    <x v="0"/>
    <s v="JOSEFA KELY NUNES DE SOUSA"/>
    <n v="40762"/>
    <n v="10090"/>
    <n v="10060"/>
    <n v="10105"/>
    <n v="10155"/>
    <n v="10090"/>
    <n v="10045"/>
    <n v="10070"/>
    <n v="10085"/>
    <n v="10065"/>
    <n v="10125"/>
    <n v="10089"/>
    <s v=""/>
    <s v="assinatura"/>
    <n v="412"/>
    <n v="10000"/>
    <n v="8.8999999999999999E-3"/>
    <n v="89"/>
    <x v="3"/>
    <x v="1"/>
  </r>
  <r>
    <x v="16"/>
    <x v="1"/>
    <s v="6a89357ca12fe1209e6da2f4"/>
    <s v="21/08/2026 23:40:38"/>
    <s v="22/08/2026 02:37:00"/>
    <s v="Ranieli"/>
    <s v="21/08/2026"/>
    <x v="0"/>
    <s v="JOSEFA KELY NUNES DE SOUSA"/>
    <n v="15105"/>
    <n v="1023"/>
    <n v="1032"/>
    <n v="1015"/>
    <n v="998"/>
    <n v="1029"/>
    <n v="989"/>
    <n v="1026"/>
    <n v="1021"/>
    <n v="1040"/>
    <n v="1031"/>
    <n v="1020.4"/>
    <s v=""/>
    <s v="assinatura"/>
    <n v="260"/>
    <n v="1000"/>
    <n v="2.0399999999999977E-2"/>
    <n v="20.399999999999977"/>
    <x v="0"/>
    <x v="0"/>
  </r>
  <r>
    <x v="16"/>
    <x v="1"/>
    <s v="6a89357ca12fe1209e6da2ee"/>
    <s v="21/08/2026 23:07:28"/>
    <s v="22/08/2026 02:37:00"/>
    <s v="Ranieli"/>
    <s v="21/08/2026"/>
    <x v="0"/>
    <s v="JOSEFA KELY NUNES DE SOUSA"/>
    <n v="992093"/>
    <n v="5013"/>
    <n v="5005"/>
    <n v="5004"/>
    <n v="5015"/>
    <n v="5013"/>
    <n v="5011"/>
    <n v="5013"/>
    <n v="5011"/>
    <n v="5009"/>
    <n v="5005"/>
    <n v="5009.8999999999996"/>
    <s v=""/>
    <s v="assinatura"/>
    <n v="1987"/>
    <n v="5000"/>
    <n v="1.9799999999999271E-3"/>
    <n v="9.8999999999996362"/>
    <x v="13"/>
    <x v="3"/>
  </r>
  <r>
    <x v="16"/>
    <x v="1"/>
    <s v="6a89357ca12fe1209e6da2dc"/>
    <s v="21/08/2026 20:45:46"/>
    <s v="22/08/2026 02:37:00"/>
    <s v="Ranieli"/>
    <s v="21/08/2026"/>
    <x v="0"/>
    <s v="JOSEFA KELY NUNES DE SOUSA"/>
    <n v="15105"/>
    <n v="992"/>
    <n v="1009"/>
    <n v="1009"/>
    <n v="1047"/>
    <n v="976"/>
    <n v="1012"/>
    <n v="1015"/>
    <n v="998"/>
    <n v="979"/>
    <n v="1055"/>
    <n v="1009.2"/>
    <s v=""/>
    <s v="assinatura"/>
    <n v="307"/>
    <n v="1000"/>
    <n v="9.2000000000000449E-3"/>
    <n v="9.2000000000000455"/>
    <x v="0"/>
    <x v="0"/>
  </r>
  <r>
    <x v="16"/>
    <x v="1"/>
    <s v="6a89357ca12fe1209e6da2d6"/>
    <s v="21/08/2026 20:40:19"/>
    <s v="22/08/2026 02:37:00"/>
    <s v="Ranieli"/>
    <s v="21/08/2026"/>
    <x v="0"/>
    <s v="JOSEFA KELY NUNES DE SOUSA"/>
    <n v="13188"/>
    <n v="1008"/>
    <n v="1006"/>
    <n v="991"/>
    <n v="999"/>
    <n v="1002"/>
    <n v="1012"/>
    <n v="1007"/>
    <n v="1014"/>
    <n v="996"/>
    <n v="1005"/>
    <n v="1004"/>
    <s v=""/>
    <s v="assinatura"/>
    <n v="292"/>
    <n v="1000"/>
    <n v="4.0000000000000001E-3"/>
    <n v="4"/>
    <x v="8"/>
    <x v="1"/>
  </r>
  <r>
    <x v="16"/>
    <x v="1"/>
    <s v="6a89357ca12fe1209e6da2d0"/>
    <s v="21/08/2026 20:36:23"/>
    <s v="22/08/2026 02:37:00"/>
    <s v="Ranieli"/>
    <s v="21/08/2026"/>
    <x v="0"/>
    <s v="JOSEFA KELY NUNES DE SOUSA"/>
    <n v="15229"/>
    <n v="1005"/>
    <n v="999"/>
    <n v="1004"/>
    <n v="997"/>
    <n v="1000"/>
    <n v="992"/>
    <n v="1006"/>
    <n v="1023"/>
    <n v="1011"/>
    <n v="1005"/>
    <n v="1004.2"/>
    <s v=""/>
    <s v=""/>
    <n v="234"/>
    <n v="1000"/>
    <n v="4.2000000000000457E-3"/>
    <n v="4.2000000000000455"/>
    <x v="9"/>
    <x v="1"/>
  </r>
  <r>
    <x v="16"/>
    <x v="1"/>
    <s v="6a89357ca12fe1209e6da2c8"/>
    <s v="21/08/2026 20:30:44"/>
    <s v="22/08/2026 02:37:00"/>
    <s v="Ranieli"/>
    <s v="21/08/2026"/>
    <x v="0"/>
    <s v="JOSEFA KELY NUNES DE SOUSA"/>
    <n v="54632"/>
    <n v="1026"/>
    <n v="1031"/>
    <n v="1037"/>
    <n v="1010"/>
    <n v="1031"/>
    <n v="1028"/>
    <n v="1036"/>
    <n v="1015"/>
    <n v="1025"/>
    <n v="1015"/>
    <n v="1025.4000000000001"/>
    <s v=""/>
    <s v="assinatura"/>
    <n v="338"/>
    <n v="1000"/>
    <n v="2.5400000000000093E-2"/>
    <n v="25.400000000000091"/>
    <x v="11"/>
    <x v="1"/>
  </r>
  <r>
    <x v="16"/>
    <x v="1"/>
    <s v="6a89357ca12fe1209e6da2c2"/>
    <s v="21/08/2026 18:15:26"/>
    <s v="22/08/2026 02:37:00"/>
    <s v="Ranieli"/>
    <s v="21/08/2026"/>
    <x v="0"/>
    <s v="JOSEFA KELY NUNES DE SOUSA"/>
    <n v="42862"/>
    <n v="2025"/>
    <n v="2019"/>
    <n v="2022"/>
    <n v="2012"/>
    <n v="2045"/>
    <n v="2009"/>
    <n v="2045"/>
    <n v="2015"/>
    <n v="2023"/>
    <n v="2200"/>
    <n v="2041.5"/>
    <s v=""/>
    <s v="assinatura"/>
    <n v="323"/>
    <n v="2000"/>
    <n v="2.0750000000000001E-2"/>
    <n v="41.5"/>
    <x v="5"/>
    <x v="1"/>
  </r>
  <r>
    <x v="16"/>
    <x v="1"/>
    <s v="6a89357ca12fe1209e6da2bc"/>
    <s v="21/08/2026 18:09:46"/>
    <s v="22/08/2026 02:37:00"/>
    <s v="Ranieli"/>
    <s v="21/08/2026"/>
    <x v="0"/>
    <s v="JOSEFA KELY NUNES DE SOUSA"/>
    <n v="42838"/>
    <n v="2054"/>
    <n v="2018"/>
    <n v="2053"/>
    <n v="2046"/>
    <n v="2033"/>
    <n v="2068"/>
    <n v="2064"/>
    <n v="2041"/>
    <n v="2031"/>
    <n v="2039"/>
    <n v="2044.7"/>
    <s v=""/>
    <s v="assinatura"/>
    <n v="327"/>
    <n v="2000"/>
    <n v="2.2350000000000023E-2"/>
    <n v="44.700000000000045"/>
    <x v="7"/>
    <x v="1"/>
  </r>
  <r>
    <x v="16"/>
    <x v="1"/>
    <s v="6a88b4b53fb5e2e92beff6fe"/>
    <s v="21/08/2026 17:21:34"/>
    <s v="21/08/2026 17:27:33"/>
    <s v="- -"/>
    <s v="21/08/2026"/>
    <x v="0"/>
    <s v="JULIANE GOMES NOVAIS"/>
    <n v="15105"/>
    <n v="1001"/>
    <n v="1002"/>
    <n v="1018"/>
    <n v="1011"/>
    <n v="1023"/>
    <n v="1034"/>
    <n v="1022"/>
    <n v="1045"/>
    <n v="1035"/>
    <n v="1016"/>
    <n v="1020.7"/>
    <s v=""/>
    <s v="assinatura"/>
    <n v="358"/>
    <n v="1000"/>
    <n v="2.0700000000000045E-2"/>
    <n v="20.700000000000045"/>
    <x v="0"/>
    <x v="0"/>
  </r>
  <r>
    <x v="16"/>
    <x v="1"/>
    <s v="6a88b34d40c77c195945b803"/>
    <s v="21/08/2026 17:11:06"/>
    <s v="21/08/2026 17:21:33"/>
    <s v="- -"/>
    <s v="21/08/2026"/>
    <x v="0"/>
    <s v="JULIANE GOMES NOVAIS"/>
    <n v="40762"/>
    <n v="10000"/>
    <n v="10065"/>
    <n v="10085"/>
    <n v="10080"/>
    <n v="10075"/>
    <n v="10040"/>
    <n v="10045"/>
    <n v="10100"/>
    <n v="10065"/>
    <n v="10060"/>
    <n v="10061.5"/>
    <s v=""/>
    <s v="assinatura"/>
    <n v="624"/>
    <n v="10000"/>
    <n v="6.1500000000000001E-3"/>
    <n v="61.5"/>
    <x v="3"/>
    <x v="1"/>
  </r>
  <r>
    <x v="16"/>
    <x v="1"/>
    <s v="6a88925f40c77c1959454edc"/>
    <s v="21/08/2026 08:45:31"/>
    <s v="21/08/2026 15:01:03"/>
    <s v="Ranieli"/>
    <s v="21/08/2026"/>
    <x v="1"/>
    <s v="ALANA DA SILVA MARTINS"/>
    <n v="54632"/>
    <n v="993"/>
    <n v="1038"/>
    <n v="963"/>
    <n v="1026"/>
    <n v="1030"/>
    <n v="1006"/>
    <n v="1057"/>
    <n v="985"/>
    <n v="990"/>
    <n v="988"/>
    <n v="1007.6"/>
    <s v=""/>
    <s v="assinatura"/>
    <n v="288"/>
    <n v="1000"/>
    <n v="7.6000000000000225E-3"/>
    <n v="7.6000000000000227"/>
    <x v="11"/>
    <x v="1"/>
  </r>
  <r>
    <x v="9"/>
    <x v="1"/>
    <s v="6a87432ce868572ccad7a570"/>
    <s v="20/08/2026 14:58:37"/>
    <s v="20/08/2026 15:10:52"/>
    <s v="Ranieli"/>
    <s v="20/08/2026"/>
    <x v="1"/>
    <s v="ALANA DA SILVA MARTINS"/>
    <n v="197734"/>
    <n v="1047"/>
    <n v="1005"/>
    <n v="992"/>
    <n v="1004"/>
    <n v="1066"/>
    <n v="993"/>
    <n v="998"/>
    <n v="1001"/>
    <n v="1062"/>
    <n v="1031"/>
    <n v="1019.9"/>
    <s v=""/>
    <s v=""/>
    <n v="724"/>
    <n v="1000"/>
    <n v="1.9899999999999977E-2"/>
    <n v="19.899999999999977"/>
    <x v="2"/>
    <x v="2"/>
  </r>
  <r>
    <x v="17"/>
    <x v="1"/>
    <s v="6a8d2135d3c61efffc667410"/>
    <s v="24/08/2026 23:20:18"/>
    <s v="25/08/2026 01:59:33"/>
    <s v="Ranieli"/>
    <s v="24/08/2026"/>
    <x v="0"/>
    <s v="JOSEFA KELY NUNES DE SOUSA"/>
    <n v="40762"/>
    <n v="10015"/>
    <n v="9995"/>
    <n v="9960"/>
    <n v="9995"/>
    <n v="10110"/>
    <n v="9980"/>
    <n v="9910"/>
    <n v="10025"/>
    <n v="10040"/>
    <n v="9965"/>
    <n v="9999.5"/>
    <s v=""/>
    <s v="assinatura"/>
    <n v="3006"/>
    <n v="10000"/>
    <n v="-5.0000000000000002E-5"/>
    <n v="-0.5"/>
    <x v="3"/>
    <x v="1"/>
  </r>
  <r>
    <x v="17"/>
    <x v="1"/>
    <s v="6a8d2135d3c61efffc66740a"/>
    <s v="24/08/2026 23:13:40"/>
    <s v="25/08/2026 01:59:33"/>
    <s v="Ranieli"/>
    <s v="24/08/2026"/>
    <x v="0"/>
    <s v="JOSEFA KELY NUNES DE SOUSA"/>
    <n v="42838"/>
    <n v="2004"/>
    <n v="2025"/>
    <n v="2001"/>
    <n v="2032"/>
    <n v="2013"/>
    <n v="2031"/>
    <n v="2036"/>
    <n v="2036"/>
    <n v="2059"/>
    <n v="2032"/>
    <n v="2026.9"/>
    <s v=""/>
    <s v=""/>
    <n v="351"/>
    <n v="2000"/>
    <n v="1.3450000000000045E-2"/>
    <n v="26.900000000000091"/>
    <x v="7"/>
    <x v="1"/>
  </r>
  <r>
    <x v="17"/>
    <x v="1"/>
    <s v="6a8d2135d3c61efffc667404"/>
    <s v="24/08/2026 23:08:15"/>
    <s v="25/08/2026 01:59:33"/>
    <s v="Ranieli"/>
    <s v="24/08/2026"/>
    <x v="0"/>
    <s v="JOSEFA KELY NUNES DE SOUSA"/>
    <n v="54632"/>
    <n v="1002"/>
    <n v="1000"/>
    <n v="1005"/>
    <n v="1014"/>
    <n v="1007"/>
    <n v="998"/>
    <n v="1001"/>
    <n v="1006"/>
    <n v="1008"/>
    <n v="1002"/>
    <n v="1004.3"/>
    <s v=""/>
    <s v="assinatura"/>
    <n v="322"/>
    <n v="1000"/>
    <n v="4.2999999999999549E-3"/>
    <n v="4.2999999999999545"/>
    <x v="11"/>
    <x v="1"/>
  </r>
  <r>
    <x v="17"/>
    <x v="1"/>
    <s v="6a8d2135d3c61efffc6673fe"/>
    <s v="24/08/2026 23:00:43"/>
    <s v="25/08/2026 01:59:33"/>
    <s v="Ranieli"/>
    <s v="24/08/2026"/>
    <x v="0"/>
    <s v="JOSEFA KELY NUNES DE SOUSA"/>
    <n v="995638"/>
    <n v="15025"/>
    <n v="15035"/>
    <n v="15010"/>
    <n v="15060"/>
    <n v="15075"/>
    <n v="15070"/>
    <n v="15030"/>
    <n v="15030"/>
    <n v="15025"/>
    <n v="15035"/>
    <n v="15039.5"/>
    <s v=""/>
    <s v="assinatura"/>
    <n v="445"/>
    <n v="15000"/>
    <n v="2.6333333333333334E-3"/>
    <n v="39.5"/>
    <x v="21"/>
    <x v="3"/>
  </r>
  <r>
    <x v="17"/>
    <x v="1"/>
    <s v="6a8d2135d3c61efffc6673f2"/>
    <s v="24/08/2026 21:04:33"/>
    <s v="25/08/2026 01:59:33"/>
    <s v="Ranieli"/>
    <s v="24/08/2026"/>
    <x v="0"/>
    <s v="JOSEFA KELY NUNES DE SOUSA"/>
    <n v="992093"/>
    <n v="5011"/>
    <n v="5020"/>
    <n v="5011"/>
    <n v="5010"/>
    <n v="5009"/>
    <n v="5013"/>
    <n v="5019"/>
    <n v="5003"/>
    <n v="5009"/>
    <n v="5022"/>
    <n v="5012.7"/>
    <s v=""/>
    <s v="assinatura"/>
    <n v="349"/>
    <n v="5000"/>
    <n v="2.5399999999999637E-3"/>
    <n v="12.699999999999818"/>
    <x v="13"/>
    <x v="3"/>
  </r>
  <r>
    <x v="17"/>
    <x v="1"/>
    <s v="6a8d2135d3c61efffc6673ec"/>
    <s v="24/08/2026 20:41:37"/>
    <s v="25/08/2026 01:59:33"/>
    <s v="Ranieli"/>
    <s v="24/08/2026"/>
    <x v="0"/>
    <s v="JOSEFA KELY NUNES DE SOUSA"/>
    <n v="15105"/>
    <n v="1017"/>
    <n v="1018"/>
    <n v="1036"/>
    <n v="1006"/>
    <n v="1023"/>
    <n v="1004"/>
    <n v="1002"/>
    <n v="1001"/>
    <n v="1019"/>
    <n v="1003"/>
    <n v="1012.9"/>
    <s v=""/>
    <s v="assinatura"/>
    <n v="1367"/>
    <n v="1000"/>
    <n v="1.2899999999999977E-2"/>
    <n v="12.899999999999977"/>
    <x v="0"/>
    <x v="0"/>
  </r>
  <r>
    <x v="17"/>
    <x v="1"/>
    <s v="6a8d2135d3c61efffc6673e6"/>
    <s v="24/08/2026 20:36:24"/>
    <s v="25/08/2026 01:59:33"/>
    <s v="Ranieli"/>
    <s v="24/08/2026"/>
    <x v="0"/>
    <s v="JOSEFA KELY NUNES DE SOUSA"/>
    <n v="15229"/>
    <n v="997"/>
    <n v="1011"/>
    <n v="1016"/>
    <n v="1006"/>
    <n v="1006"/>
    <n v="1014"/>
    <n v="1002"/>
    <n v="997"/>
    <n v="1004"/>
    <n v="1015"/>
    <n v="1006.8"/>
    <s v=""/>
    <s v="assinatura"/>
    <n v="299"/>
    <n v="1000"/>
    <n v="6.7999999999999545E-3"/>
    <n v="6.7999999999999545"/>
    <x v="9"/>
    <x v="1"/>
  </r>
  <r>
    <x v="17"/>
    <x v="1"/>
    <s v="6a8d2135d3c61efffc6673e0"/>
    <s v="24/08/2026 20:33:17"/>
    <s v="25/08/2026 01:59:33"/>
    <s v="Ranieli"/>
    <s v="24/08/2026"/>
    <x v="0"/>
    <s v="JOSEFA KELY NUNES DE SOUSA"/>
    <n v="13188"/>
    <n v="1014"/>
    <n v="1007"/>
    <n v="1011"/>
    <n v="1014"/>
    <n v="1015"/>
    <n v="994"/>
    <n v="1020"/>
    <n v="1015"/>
    <n v="1005"/>
    <n v="1011"/>
    <n v="1010.6"/>
    <s v=""/>
    <s v=""/>
    <n v="185"/>
    <n v="1000"/>
    <n v="1.0600000000000023E-2"/>
    <n v="10.600000000000023"/>
    <x v="8"/>
    <x v="1"/>
  </r>
  <r>
    <x v="17"/>
    <x v="1"/>
    <s v="6a8d2135d3c61efffc6673da"/>
    <s v="24/08/2026 20:26:27"/>
    <s v="25/08/2026 01:59:33"/>
    <s v="Ranieli"/>
    <s v="24/08/2026"/>
    <x v="0"/>
    <s v="JOSEFA KELY NUNES DE SOUSA"/>
    <n v="42846"/>
    <n v="1997"/>
    <n v="2030"/>
    <n v="1964"/>
    <n v="1964"/>
    <n v="2001"/>
    <n v="2006"/>
    <n v="1935"/>
    <n v="1986"/>
    <n v="2009"/>
    <n v="2008"/>
    <n v="1990"/>
    <s v=""/>
    <s v="assinatura"/>
    <n v="408"/>
    <n v="2000"/>
    <n v="-5.0000000000000001E-3"/>
    <n v="-10"/>
    <x v="6"/>
    <x v="1"/>
  </r>
  <r>
    <x v="17"/>
    <x v="1"/>
    <s v="6a8d2135d3c61efffc6673d4"/>
    <s v="24/08/2026 20:24:05"/>
    <s v="25/08/2026 01:59:33"/>
    <s v="Ranieli"/>
    <s v="24/08/2026"/>
    <x v="0"/>
    <s v="JOSEFA KELY NUNES DE SOUSA"/>
    <n v="42862"/>
    <n v="2013"/>
    <n v="2011"/>
    <n v="2004"/>
    <n v="1967"/>
    <n v="2020"/>
    <n v="2024"/>
    <n v="2014"/>
    <n v="1998"/>
    <n v="2012"/>
    <n v="2052"/>
    <n v="2011.5"/>
    <s v=""/>
    <s v=""/>
    <n v="141"/>
    <n v="2000"/>
    <n v="5.7499999999999999E-3"/>
    <n v="11.5"/>
    <x v="5"/>
    <x v="1"/>
  </r>
  <r>
    <x v="17"/>
    <x v="1"/>
    <s v="6a8d2135d3c61efffc6673ce"/>
    <s v="24/08/2026 20:20:24"/>
    <s v="25/08/2026 01:59:33"/>
    <s v="Ranieli"/>
    <s v="24/08/2026"/>
    <x v="0"/>
    <s v="JOSEFA KELY NUNES DE SOUSA"/>
    <n v="42854"/>
    <n v="2095"/>
    <n v="2103"/>
    <n v="2108"/>
    <n v="2107"/>
    <n v="2105"/>
    <n v="2094"/>
    <n v="2080"/>
    <n v="2075"/>
    <n v="2103"/>
    <n v="2110"/>
    <n v="2098"/>
    <s v=""/>
    <s v="assinatura"/>
    <n v="219"/>
    <n v="2080"/>
    <n v="8.6538461538461543E-3"/>
    <n v="18"/>
    <x v="4"/>
    <x v="1"/>
  </r>
  <r>
    <x v="17"/>
    <x v="1"/>
    <s v="6a8cfbedf7a664c819473772"/>
    <s v="24/08/2026 23:17:14"/>
    <s v="24/08/2026 23:20:29"/>
    <s v="- -"/>
    <s v="24/08/2026"/>
    <x v="0"/>
    <s v="JULIANE GOMES NOVAIS"/>
    <n v="197734"/>
    <n v="1000"/>
    <n v="997"/>
    <n v="1005"/>
    <n v="998"/>
    <n v="1003"/>
    <n v="998"/>
    <n v="1019"/>
    <n v="1004"/>
    <n v="997"/>
    <n v="994"/>
    <n v="1001.5"/>
    <s v=""/>
    <s v="assinatura"/>
    <n v="191"/>
    <n v="1000"/>
    <n v="1.5E-3"/>
    <n v="1.5"/>
    <x v="2"/>
    <x v="2"/>
  </r>
  <r>
    <x v="17"/>
    <x v="1"/>
    <s v="6a8cfa5f93b1cfd737a7f665"/>
    <s v="24/08/2026 23:07:51"/>
    <s v="24/08/2026 23:13:51"/>
    <s v="- -"/>
    <s v="24/08/2026"/>
    <x v="0"/>
    <s v="JULIANE GOMES NOVAIS"/>
    <n v="15105"/>
    <n v="1004"/>
    <n v="990"/>
    <n v="1041"/>
    <n v="1014"/>
    <n v="1010"/>
    <n v="1069"/>
    <n v="999"/>
    <n v="1003"/>
    <n v="1002"/>
    <n v="955"/>
    <n v="1008.7"/>
    <s v=""/>
    <s v="assinatura"/>
    <n v="359"/>
    <n v="1000"/>
    <n v="8.7000000000000462E-3"/>
    <n v="8.7000000000000455"/>
    <x v="0"/>
    <x v="0"/>
  </r>
  <r>
    <x v="17"/>
    <x v="1"/>
    <s v="6a8cf8f3fc8ac6104fcc78cf"/>
    <s v="24/08/2026 22:58:19"/>
    <s v="24/08/2026 23:07:47"/>
    <s v="- -"/>
    <s v="24/08/2026"/>
    <x v="0"/>
    <s v="JULIANE GOMES NOVAIS"/>
    <n v="40762"/>
    <n v="9995"/>
    <n v="10055"/>
    <n v="10085"/>
    <n v="9960"/>
    <n v="10020"/>
    <n v="10050"/>
    <n v="10015"/>
    <n v="10025"/>
    <n v="9885"/>
    <n v="9995"/>
    <n v="10008.5"/>
    <s v=""/>
    <s v="assinatura"/>
    <n v="562"/>
    <n v="10000"/>
    <n v="8.4999999999999995E-4"/>
    <n v="8.5"/>
    <x v="3"/>
    <x v="1"/>
  </r>
  <r>
    <x v="17"/>
    <x v="1"/>
    <s v="6a8cf6ba01139f2b91842d33"/>
    <s v="24/08/2026 22:38:56"/>
    <s v="24/08/2026 22:58:18"/>
    <s v="- -"/>
    <s v="24/08/2026"/>
    <x v="0"/>
    <s v="JULIANE GOMES NOVAIS"/>
    <n v="13188"/>
    <n v="1031"/>
    <n v="1036"/>
    <n v="1019"/>
    <n v="1037"/>
    <n v="985"/>
    <n v="1020"/>
    <n v="1028"/>
    <n v="1010"/>
    <n v="986"/>
    <n v="1008"/>
    <n v="1016"/>
    <s v=""/>
    <s v="assinatura"/>
    <n v="1158"/>
    <n v="1000"/>
    <n v="1.6E-2"/>
    <n v="16"/>
    <x v="8"/>
    <x v="1"/>
  </r>
  <r>
    <x v="17"/>
    <x v="1"/>
    <s v="6a8cf22ea7ca961a319ef213"/>
    <s v="24/08/2026 22:32:09"/>
    <s v="24/08/2026 22:38:54"/>
    <s v="- -"/>
    <s v="24/08/2026"/>
    <x v="0"/>
    <s v="JULIANE GOMES NOVAIS"/>
    <n v="15229"/>
    <n v="1012"/>
    <n v="1011"/>
    <n v="1015"/>
    <n v="1017"/>
    <n v="1009"/>
    <n v="1002"/>
    <n v="1016"/>
    <n v="1002"/>
    <n v="1014"/>
    <n v="1016"/>
    <n v="1011.4"/>
    <s v=""/>
    <s v="assinatura"/>
    <n v="403"/>
    <n v="1000"/>
    <n v="1.1399999999999978E-2"/>
    <n v="11.399999999999977"/>
    <x v="9"/>
    <x v="1"/>
  </r>
  <r>
    <x v="17"/>
    <x v="1"/>
    <s v="6a8cccbddbb1ce56e19d2c05"/>
    <s v="24/08/2026 19:50:31"/>
    <s v="24/08/2026 19:59:09"/>
    <s v="- -"/>
    <s v="24/08/2026"/>
    <x v="0"/>
    <s v="JULIANE GOMES NOVAIS"/>
    <n v="15105"/>
    <n v="1028"/>
    <n v="943"/>
    <n v="1005"/>
    <n v="1032"/>
    <n v="1007"/>
    <n v="1016"/>
    <n v="991"/>
    <n v="999"/>
    <n v="1014"/>
    <n v="1009"/>
    <n v="1004.4"/>
    <s v=""/>
    <s v="assinatura"/>
    <n v="510"/>
    <n v="1000"/>
    <n v="4.3999999999999768E-3"/>
    <n v="4.3999999999999773"/>
    <x v="0"/>
    <x v="0"/>
  </r>
  <r>
    <x v="17"/>
    <x v="1"/>
    <s v="6a8ccab6b400fbff8f01f122"/>
    <s v="24/08/2026 19:40:40"/>
    <s v="24/08/2026 19:50:30"/>
    <s v="- -"/>
    <s v="24/08/2026"/>
    <x v="0"/>
    <s v="JULIANE GOMES NOVAIS"/>
    <n v="40762"/>
    <n v="10015"/>
    <n v="10010"/>
    <n v="10010"/>
    <n v="10060"/>
    <n v="10070"/>
    <n v="10010"/>
    <n v="10015"/>
    <n v="10085"/>
    <n v="10045"/>
    <n v="10780"/>
    <n v="10110"/>
    <s v=""/>
    <s v="assinatura"/>
    <n v="588"/>
    <n v="10000"/>
    <n v="1.0999999999999999E-2"/>
    <n v="110"/>
    <x v="3"/>
    <x v="1"/>
  </r>
  <r>
    <x v="17"/>
    <x v="1"/>
    <s v="6a8cbde6dbb1ce56e19d12c9"/>
    <s v="24/08/2026 18:46:36"/>
    <s v="24/08/2026 18:55:50"/>
    <s v="- -"/>
    <s v="24/08/2026"/>
    <x v="0"/>
    <s v="JULIANE GOMES NOVAIS"/>
    <n v="15105"/>
    <n v="1017"/>
    <n v="1023"/>
    <n v="1007"/>
    <n v="1044"/>
    <n v="1036"/>
    <n v="1016"/>
    <n v="1025"/>
    <n v="996"/>
    <n v="1010"/>
    <n v="1024"/>
    <n v="1019.8"/>
    <s v=""/>
    <s v="assinatura"/>
    <n v="553"/>
    <n v="1000"/>
    <n v="1.9799999999999953E-2"/>
    <n v="19.799999999999955"/>
    <x v="0"/>
    <x v="0"/>
  </r>
  <r>
    <x v="17"/>
    <x v="1"/>
    <s v="6a8c8e69b400fbff8f019c91"/>
    <s v="24/08/2026 11:04:24"/>
    <s v="24/08/2026 15:33:13"/>
    <s v="Ranieli"/>
    <s v="24/08/2026"/>
    <x v="1"/>
    <s v="RANIELI MARIA MASQUIETI DOURADO"/>
    <n v="40762"/>
    <n v="10135"/>
    <n v="9995"/>
    <n v="10035"/>
    <n v="9925"/>
    <n v="10115"/>
    <n v="10120"/>
    <n v="9940"/>
    <n v="10140"/>
    <n v="9980"/>
    <n v="10310"/>
    <n v="10069.5"/>
    <s v=""/>
    <s v="assinatura"/>
    <n v="992"/>
    <n v="10000"/>
    <n v="6.9499999999999996E-3"/>
    <n v="69.5"/>
    <x v="3"/>
    <x v="1"/>
  </r>
  <r>
    <x v="17"/>
    <x v="1"/>
    <s v="6a8c8d69a259c4c024357fcd"/>
    <s v="24/08/2026 13:58:20"/>
    <s v="24/08/2026 15:28:57"/>
    <s v="Ranieli"/>
    <s v="24/08/2026"/>
    <x v="1"/>
    <s v="ALANA DA SILVA MARTINS"/>
    <n v="54632"/>
    <n v="1010"/>
    <n v="1020"/>
    <n v="1005"/>
    <n v="1018"/>
    <n v="1026"/>
    <n v="1008"/>
    <n v="1012"/>
    <n v="1004"/>
    <n v="1016"/>
    <n v="1016"/>
    <n v="1013.5"/>
    <s v=""/>
    <s v="assinatura"/>
    <n v="196"/>
    <n v="1000"/>
    <n v="1.35E-2"/>
    <n v="13.5"/>
    <x v="11"/>
    <x v="1"/>
  </r>
  <r>
    <x v="17"/>
    <x v="1"/>
    <s v="6a8c8d69a259c4c024357fc7"/>
    <s v="24/08/2026 10:59:27"/>
    <s v="24/08/2026 15:28:57"/>
    <s v="Ranieli"/>
    <s v="24/08/2026"/>
    <x v="1"/>
    <s v="RANIELI MARIA MASQUIETI DOURADO"/>
    <n v="15105"/>
    <n v="1050"/>
    <n v="1030"/>
    <n v="1020"/>
    <n v="1013"/>
    <n v="1086"/>
    <n v="1009"/>
    <n v="1003"/>
    <n v="1055"/>
    <n v="1022"/>
    <n v="1031"/>
    <n v="1031.9000000000001"/>
    <s v=""/>
    <s v="assinatura"/>
    <n v="268"/>
    <n v="1000"/>
    <n v="3.1900000000000088E-2"/>
    <n v="31.900000000000091"/>
    <x v="0"/>
    <x v="0"/>
  </r>
  <r>
    <x v="17"/>
    <x v="1"/>
    <s v="6a8c8d69a259c4c024357fc1"/>
    <s v="24/08/2026 10:46:20"/>
    <s v="24/08/2026 15:28:57"/>
    <s v="Ranieli"/>
    <s v="24/08/2026"/>
    <x v="1"/>
    <s v="RANIELI MARIA MASQUIETI DOURADO"/>
    <n v="997939"/>
    <n v="10030"/>
    <n v="10060"/>
    <n v="10015"/>
    <n v="10045"/>
    <n v="10020"/>
    <n v="10005"/>
    <n v="10050"/>
    <n v="10055"/>
    <n v="10055"/>
    <n v="10090"/>
    <n v="10042.5"/>
    <s v=""/>
    <s v="assinatura"/>
    <n v="745"/>
    <n v="10000"/>
    <n v="4.2500000000000003E-3"/>
    <n v="42.5"/>
    <x v="22"/>
    <x v="5"/>
  </r>
  <r>
    <x v="17"/>
    <x v="1"/>
    <s v="6a8c8d69a259c4c024357fbb"/>
    <s v="24/08/2026 10:40:51"/>
    <s v="24/08/2026 15:28:57"/>
    <s v="Ranieli"/>
    <s v="24/08/2026"/>
    <x v="1"/>
    <s v="RANIELI MARIA MASQUIETI DOURADO"/>
    <n v="40762"/>
    <n v="10050"/>
    <n v="10065"/>
    <n v="9985"/>
    <n v="10100"/>
    <n v="9990"/>
    <n v="9990"/>
    <n v="10055"/>
    <n v="10025"/>
    <n v="9970"/>
    <n v="10005"/>
    <n v="10023.5"/>
    <s v=""/>
    <s v="assinatura"/>
    <n v="327"/>
    <n v="10000"/>
    <n v="2.3500000000000001E-3"/>
    <n v="23.5"/>
    <x v="3"/>
    <x v="1"/>
  </r>
  <r>
    <x v="17"/>
    <x v="1"/>
    <s v="6a8c474b8e4d3d5ab4b6009a"/>
    <s v="24/08/2026 10:09:23"/>
    <s v="24/08/2026 10:29:47"/>
    <s v="Ranieli"/>
    <s v="24/08/2026"/>
    <x v="1"/>
    <s v="ALANA DA SILVA MARTINS"/>
    <n v="15105"/>
    <n v="1009"/>
    <n v="1058"/>
    <n v="1011"/>
    <n v="987"/>
    <n v="995"/>
    <n v="996"/>
    <n v="1011"/>
    <n v="1055"/>
    <n v="1019"/>
    <n v="1009"/>
    <n v="1015"/>
    <s v=""/>
    <s v="assinatura"/>
    <n v="303"/>
    <n v="1000"/>
    <n v="1.4999999999999999E-2"/>
    <n v="15"/>
    <x v="0"/>
    <x v="0"/>
  </r>
  <r>
    <x v="17"/>
    <x v="1"/>
    <s v="6a8c474b8e4d3d5ab4b60094"/>
    <s v="24/08/2026 09:59:18"/>
    <s v="24/08/2026 10:29:47"/>
    <s v="Ranieli"/>
    <s v="24/08/2026"/>
    <x v="1"/>
    <s v="ALANA DA SILVA MARTINS"/>
    <n v="42846"/>
    <n v="2033"/>
    <n v="2191"/>
    <n v="2006"/>
    <n v="2053"/>
    <n v="2024"/>
    <n v="2074"/>
    <n v="2006"/>
    <n v="2026"/>
    <n v="2024"/>
    <n v="2030"/>
    <n v="2046.7"/>
    <s v=""/>
    <s v="assinatura"/>
    <n v="434"/>
    <n v="2000"/>
    <n v="2.3350000000000024E-2"/>
    <n v="46.700000000000045"/>
    <x v="6"/>
    <x v="1"/>
  </r>
  <r>
    <x v="17"/>
    <x v="1"/>
    <s v="6a8c474b8e4d3d5ab4b6008e"/>
    <s v="24/08/2026 09:54:15"/>
    <s v="24/08/2026 10:29:47"/>
    <s v="Ranieli"/>
    <s v="24/08/2026"/>
    <x v="1"/>
    <s v="ALANA DA SILVA MARTINS"/>
    <n v="54632"/>
    <n v="1005"/>
    <n v="1011"/>
    <n v="1008"/>
    <n v="1009"/>
    <n v="1011"/>
    <n v="1004"/>
    <n v="1006"/>
    <n v="1001"/>
    <n v="999"/>
    <n v="1010"/>
    <n v="1006.4"/>
    <s v=""/>
    <s v="assinatura"/>
    <n v="296"/>
    <n v="1000"/>
    <n v="6.3999999999999769E-3"/>
    <n v="6.3999999999999773"/>
    <x v="11"/>
    <x v="1"/>
  </r>
  <r>
    <x v="17"/>
    <x v="1"/>
    <s v="6a8c474b8e4d3d5ab4b60088"/>
    <s v="24/08/2026 08:22:05"/>
    <s v="24/08/2026 10:29:47"/>
    <s v="Ranieli"/>
    <s v="24/08/2026"/>
    <x v="1"/>
    <s v="ALANA DA SILVA MARTINS"/>
    <n v="15105"/>
    <n v="1004"/>
    <n v="1014"/>
    <n v="1020"/>
    <n v="1002"/>
    <n v="1003"/>
    <n v="1020"/>
    <n v="991"/>
    <n v="1017"/>
    <n v="1006"/>
    <n v="1001"/>
    <n v="1007.8"/>
    <s v=""/>
    <s v="assinatura"/>
    <n v="311"/>
    <n v="1000"/>
    <n v="7.7999999999999545E-3"/>
    <n v="7.7999999999999545"/>
    <x v="0"/>
    <x v="0"/>
  </r>
  <r>
    <x v="18"/>
    <x v="1"/>
    <s v="6a8e721cf2190f1532f48fee"/>
    <s v="26/08/2026 00:41:59"/>
    <s v="26/08/2026 01:57:00"/>
    <s v="Ranieli"/>
    <s v="25/08/2026"/>
    <x v="0"/>
    <s v="JOSEFA KELY NUNES DE SOUSA"/>
    <n v="197734"/>
    <n v="999"/>
    <n v="1006"/>
    <n v="1000"/>
    <n v="1013"/>
    <n v="1002"/>
    <n v="997"/>
    <n v="1062"/>
    <n v="990"/>
    <n v="995"/>
    <n v="1001"/>
    <n v="1006.5"/>
    <s v=""/>
    <s v="assinatura"/>
    <n v="252"/>
    <n v="1000"/>
    <n v="6.4999999999999997E-3"/>
    <n v="6.5"/>
    <x v="2"/>
    <x v="2"/>
  </r>
  <r>
    <x v="18"/>
    <x v="1"/>
    <s v="6a8e721cf2190f1532f48fe8"/>
    <s v="25/08/2026 23:19:47"/>
    <s v="26/08/2026 01:57:00"/>
    <s v="Ranieli"/>
    <s v="25/08/2026"/>
    <x v="0"/>
    <s v="JOSEFA KELY NUNES DE SOUSA"/>
    <n v="54632"/>
    <n v="1003"/>
    <n v="1001"/>
    <n v="1000"/>
    <n v="1005"/>
    <n v="1002"/>
    <n v="1012"/>
    <n v="1014"/>
    <n v="1011"/>
    <n v="1019"/>
    <n v="1011"/>
    <n v="1007.8"/>
    <s v=""/>
    <s v="assinatura"/>
    <n v="2428"/>
    <n v="1000"/>
    <n v="7.7999999999999545E-3"/>
    <n v="7.7999999999999545"/>
    <x v="11"/>
    <x v="1"/>
  </r>
  <r>
    <x v="18"/>
    <x v="1"/>
    <s v="6a8e721cf2190f1532f48fe2"/>
    <s v="25/08/2026 23:16:10"/>
    <s v="26/08/2026 01:57:00"/>
    <s v="Ranieli"/>
    <s v="25/08/2026"/>
    <x v="0"/>
    <s v="JOSEFA KELY NUNES DE SOUSA"/>
    <n v="15229"/>
    <n v="993"/>
    <n v="1001"/>
    <n v="1009"/>
    <n v="1015"/>
    <n v="1000"/>
    <n v="1011"/>
    <n v="998"/>
    <n v="1007"/>
    <n v="997"/>
    <n v="999"/>
    <n v="1003"/>
    <s v=""/>
    <s v=""/>
    <n v="132"/>
    <n v="1000"/>
    <n v="3.0000000000000001E-3"/>
    <n v="3"/>
    <x v="9"/>
    <x v="1"/>
  </r>
  <r>
    <x v="18"/>
    <x v="1"/>
    <s v="6a8e721cf2190f1532f48fdc"/>
    <s v="25/08/2026 23:12:54"/>
    <s v="26/08/2026 01:57:00"/>
    <s v="Ranieli"/>
    <s v="25/08/2026"/>
    <x v="0"/>
    <s v="JOSEFA KELY NUNES DE SOUSA"/>
    <n v="54632"/>
    <n v="1001"/>
    <n v="1004"/>
    <n v="992"/>
    <n v="1005"/>
    <n v="1005"/>
    <n v="1003"/>
    <n v="1009"/>
    <n v="993"/>
    <n v="1009"/>
    <n v="1006"/>
    <n v="1002.7"/>
    <s v=""/>
    <s v="assinatura"/>
    <n v="194"/>
    <n v="1000"/>
    <n v="2.7000000000000457E-3"/>
    <n v="2.7000000000000455"/>
    <x v="11"/>
    <x v="1"/>
  </r>
  <r>
    <x v="18"/>
    <x v="1"/>
    <s v="6a8e721cf2190f1532f48fd6"/>
    <s v="25/08/2026 23:05:55"/>
    <s v="26/08/2026 01:57:00"/>
    <s v="Ranieli"/>
    <s v="25/08/2026"/>
    <x v="0"/>
    <s v="JOSEFA KELY NUNES DE SOUSA"/>
    <n v="40762"/>
    <n v="10065"/>
    <n v="9985"/>
    <n v="10070"/>
    <n v="10000"/>
    <n v="9995"/>
    <n v="10080"/>
    <n v="10090"/>
    <n v="10055"/>
    <n v="10075"/>
    <n v="10045"/>
    <n v="10046"/>
    <s v=""/>
    <s v="assinatura"/>
    <n v="417"/>
    <n v="10000"/>
    <n v="4.5999999999999999E-3"/>
    <n v="46"/>
    <x v="3"/>
    <x v="1"/>
  </r>
  <r>
    <x v="18"/>
    <x v="1"/>
    <s v="6a8e721cf2190f1532f48fd0"/>
    <s v="25/08/2026 22:57:54"/>
    <s v="26/08/2026 01:57:00"/>
    <s v="Ranieli"/>
    <s v="25/08/2026"/>
    <x v="0"/>
    <s v="JOSEFA KELY NUNES DE SOUSA"/>
    <n v="15105"/>
    <n v="1006"/>
    <n v="1020"/>
    <n v="999"/>
    <n v="1006"/>
    <n v="997"/>
    <n v="1038"/>
    <n v="1007"/>
    <n v="1028"/>
    <n v="1001"/>
    <n v="1011"/>
    <n v="1011.3"/>
    <s v=""/>
    <s v="assinatura"/>
    <n v="243"/>
    <n v="1000"/>
    <n v="1.1299999999999954E-2"/>
    <n v="11.299999999999955"/>
    <x v="0"/>
    <x v="0"/>
  </r>
  <r>
    <x v="18"/>
    <x v="1"/>
    <s v="6a8e721cf2190f1532f48fbc"/>
    <s v="25/08/2026 18:59:04"/>
    <s v="26/08/2026 01:57:00"/>
    <s v="Ranieli"/>
    <s v="25/08/2026"/>
    <x v="0"/>
    <s v="JOSEFA KELY NUNES DE SOUSA"/>
    <n v="992093"/>
    <n v="5010"/>
    <n v="5015"/>
    <n v="5014"/>
    <n v="5010"/>
    <n v="5007"/>
    <n v="5005"/>
    <n v="5018"/>
    <n v="5010"/>
    <n v="5003"/>
    <n v="5009"/>
    <n v="5010.1000000000004"/>
    <s v=""/>
    <s v="assinatura"/>
    <n v="432"/>
    <n v="5000"/>
    <n v="2.020000000000073E-3"/>
    <n v="10.100000000000364"/>
    <x v="13"/>
    <x v="3"/>
  </r>
  <r>
    <x v="18"/>
    <x v="1"/>
    <s v="6a8e721cf2190f1532f48fb6"/>
    <s v="25/08/2026 18:55:18"/>
    <s v="26/08/2026 01:57:00"/>
    <s v="Ranieli"/>
    <s v="25/08/2026"/>
    <x v="0"/>
    <s v="JOSEFA KELY NUNES DE SOUSA"/>
    <n v="995638"/>
    <n v="15055"/>
    <n v="15050"/>
    <n v="15040"/>
    <n v="15020"/>
    <n v="15015"/>
    <n v="15040"/>
    <n v="15045"/>
    <n v="15025"/>
    <n v="15015"/>
    <n v="15010"/>
    <n v="15031.5"/>
    <s v=""/>
    <s v=""/>
    <n v="225"/>
    <n v="15000"/>
    <n v="2.0999999999999999E-3"/>
    <n v="31.5"/>
    <x v="21"/>
    <x v="3"/>
  </r>
  <r>
    <x v="18"/>
    <x v="1"/>
    <s v="6a8e721cf2190f1532f48fb0"/>
    <s v="25/08/2026 18:49:54"/>
    <s v="26/08/2026 01:57:00"/>
    <s v="Ranieli"/>
    <s v="25/08/2026"/>
    <x v="0"/>
    <s v="JOSEFA KELY NUNES DE SOUSA"/>
    <n v="42862"/>
    <n v="2022"/>
    <n v="2005"/>
    <n v="2016"/>
    <n v="2011"/>
    <n v="2007"/>
    <n v="2009"/>
    <n v="2020"/>
    <n v="2049"/>
    <n v="1996"/>
    <n v="2027"/>
    <n v="2016.2"/>
    <s v=""/>
    <s v="assinatura"/>
    <n v="130"/>
    <n v="2000"/>
    <n v="8.1000000000000221E-3"/>
    <n v="16.200000000000045"/>
    <x v="5"/>
    <x v="1"/>
  </r>
  <r>
    <x v="18"/>
    <x v="1"/>
    <s v="6a8e721cf2190f1532f48faa"/>
    <s v="25/08/2026 18:47:52"/>
    <s v="26/08/2026 01:57:00"/>
    <s v="Ranieli"/>
    <s v="25/08/2026"/>
    <x v="0"/>
    <s v="JOSEFA KELY NUNES DE SOUSA"/>
    <n v="42854"/>
    <n v="2110"/>
    <n v="2100"/>
    <n v="2124"/>
    <n v="2120"/>
    <n v="2106"/>
    <n v="2108"/>
    <n v="2111"/>
    <n v="2114"/>
    <n v="2096"/>
    <n v="2091"/>
    <n v="2108"/>
    <s v=""/>
    <s v=""/>
    <n v="120"/>
    <n v="2080"/>
    <n v="1.3461538461538462E-2"/>
    <n v="28"/>
    <x v="4"/>
    <x v="1"/>
  </r>
  <r>
    <x v="18"/>
    <x v="1"/>
    <s v="6a8e721cf2190f1532f48fa4"/>
    <s v="25/08/2026 18:37:29"/>
    <s v="26/08/2026 01:57:00"/>
    <s v="Ranieli"/>
    <s v="25/08/2026"/>
    <x v="0"/>
    <s v="JOSEFA KELY NUNES DE SOUSA"/>
    <n v="42846"/>
    <n v="2018"/>
    <n v="2002"/>
    <n v="2005"/>
    <n v="2003"/>
    <n v="1999"/>
    <n v="2008"/>
    <n v="2013"/>
    <n v="2002"/>
    <n v="2010"/>
    <n v="2005"/>
    <n v="2006.5"/>
    <s v=""/>
    <s v="assinatura"/>
    <n v="622"/>
    <n v="2000"/>
    <n v="3.2499999999999999E-3"/>
    <n v="6.5"/>
    <x v="6"/>
    <x v="1"/>
  </r>
  <r>
    <x v="18"/>
    <x v="1"/>
    <s v="6a8e721cf2190f1532f48f9e"/>
    <s v="25/08/2026 17:42:55"/>
    <s v="26/08/2026 01:57:00"/>
    <s v="Ranieli"/>
    <s v="25/08/2026"/>
    <x v="0"/>
    <s v="JOSEFA KELY NUNES DE SOUSA"/>
    <n v="15105"/>
    <n v="982"/>
    <n v="1006"/>
    <n v="1006"/>
    <n v="1009"/>
    <n v="1016"/>
    <n v="1009"/>
    <n v="1030"/>
    <n v="1026"/>
    <n v="985"/>
    <n v="1010"/>
    <n v="1007.9"/>
    <s v=""/>
    <s v="assinatura"/>
    <n v="987"/>
    <n v="1000"/>
    <n v="7.8999999999999765E-3"/>
    <n v="7.8999999999999773"/>
    <x v="0"/>
    <x v="0"/>
  </r>
  <r>
    <x v="18"/>
    <x v="1"/>
    <s v="6a8e190c583c42f9e2c31df3"/>
    <s v="25/08/2026 18:49:34"/>
    <s v="25/08/2026 19:37:00"/>
    <s v="- -"/>
    <s v="25/08/2026"/>
    <x v="0"/>
    <s v="JULIANE GOMES NOVAIS"/>
    <n v="15105"/>
    <n v="1007"/>
    <n v="1023"/>
    <n v="1024"/>
    <n v="1038"/>
    <n v="1018"/>
    <n v="1012"/>
    <n v="1049"/>
    <n v="1008"/>
    <n v="1009"/>
    <n v="997"/>
    <n v="1018.5"/>
    <s v=""/>
    <s v="assinatura"/>
    <n v="2845"/>
    <n v="1000"/>
    <n v="1.8499999999999999E-2"/>
    <n v="18.5"/>
    <x v="0"/>
    <x v="0"/>
  </r>
  <r>
    <x v="18"/>
    <x v="1"/>
    <s v="6a8e0dedb029ff26c02ac1b9"/>
    <s v="25/08/2026 18:45:39"/>
    <s v="25/08/2026 18:49:33"/>
    <s v="- -"/>
    <s v="25/08/2026"/>
    <x v="0"/>
    <s v="JULIANE GOMES NOVAIS"/>
    <n v="197742"/>
    <n v="1008"/>
    <n v="1009"/>
    <n v="1012"/>
    <n v="1006"/>
    <n v="1004"/>
    <n v="1006"/>
    <n v="999"/>
    <n v="1004"/>
    <n v="1000"/>
    <n v="1007"/>
    <n v="1005.5"/>
    <s v=""/>
    <s v="assinatura"/>
    <n v="232"/>
    <n v="1000"/>
    <n v="5.4999999999999997E-3"/>
    <n v="5.5"/>
    <x v="23"/>
    <x v="3"/>
  </r>
  <r>
    <x v="18"/>
    <x v="1"/>
    <s v="6a8e0cf9f2190f1532f4684f"/>
    <s v="25/08/2026 18:36:58"/>
    <s v="25/08/2026 18:45:29"/>
    <s v="- -"/>
    <s v="25/08/2026"/>
    <x v="0"/>
    <s v="JULIANE GOMES NOVAIS"/>
    <n v="40762"/>
    <n v="10040"/>
    <n v="10025"/>
    <n v="10005"/>
    <n v="10000"/>
    <n v="9955"/>
    <n v="9995"/>
    <n v="10035"/>
    <n v="10050"/>
    <n v="10080"/>
    <n v="10080"/>
    <n v="10026.5"/>
    <s v=""/>
    <s v="assinatura"/>
    <n v="509"/>
    <n v="10000"/>
    <n v="2.65E-3"/>
    <n v="26.5"/>
    <x v="3"/>
    <x v="1"/>
  </r>
  <r>
    <x v="18"/>
    <x v="1"/>
    <s v="6a8df7d7f2190f1532f45a90"/>
    <s v="25/08/2026 17:02:39"/>
    <s v="25/08/2026 17:15:19"/>
    <s v="- -"/>
    <s v="25/08/2026"/>
    <x v="0"/>
    <s v="JULIANE GOMES NOVAIS"/>
    <n v="15105"/>
    <n v="1007"/>
    <n v="1014"/>
    <n v="1006"/>
    <n v="1016"/>
    <n v="1057"/>
    <n v="1018"/>
    <n v="1008"/>
    <n v="1020"/>
    <n v="1024"/>
    <n v="1034"/>
    <n v="1020.4"/>
    <s v=""/>
    <s v="assinatura"/>
    <n v="757"/>
    <n v="1000"/>
    <n v="2.0399999999999977E-2"/>
    <n v="20.399999999999977"/>
    <x v="0"/>
    <x v="0"/>
  </r>
  <r>
    <x v="18"/>
    <x v="1"/>
    <s v="6a8df4d8cdcbcdf91d987e09"/>
    <s v="25/08/2026 16:39:58"/>
    <s v="25/08/2026 17:02:32"/>
    <s v="- -"/>
    <s v="25/08/2026"/>
    <x v="0"/>
    <s v="JULIANE GOMES NOVAIS"/>
    <n v="40762"/>
    <n v="10085"/>
    <n v="10045"/>
    <n v="10000"/>
    <n v="10040"/>
    <n v="10080"/>
    <n v="10080"/>
    <n v="10010"/>
    <n v="10035"/>
    <n v="10165"/>
    <n v="10180"/>
    <n v="10072"/>
    <s v=""/>
    <s v="assinatura"/>
    <n v="1352"/>
    <n v="10000"/>
    <n v="7.1999999999999998E-3"/>
    <n v="72"/>
    <x v="3"/>
    <x v="1"/>
  </r>
  <r>
    <x v="18"/>
    <x v="1"/>
    <s v="6a8def8baa916229fc2c721c"/>
    <s v="25/08/2026 16:21:29"/>
    <s v="25/08/2026 16:39:55"/>
    <s v="- -"/>
    <s v="25/08/2026"/>
    <x v="0"/>
    <s v="JULIANE GOMES NOVAIS"/>
    <n v="15105"/>
    <n v="1022"/>
    <n v="1004"/>
    <n v="1044"/>
    <n v="1001"/>
    <n v="1000"/>
    <n v="1184"/>
    <n v="1014"/>
    <n v="1030"/>
    <n v="1035"/>
    <n v="1145"/>
    <n v="1047.9000000000001"/>
    <s v=""/>
    <s v="assinatura"/>
    <n v="1105"/>
    <n v="1000"/>
    <n v="4.7900000000000088E-2"/>
    <n v="47.900000000000091"/>
    <x v="0"/>
    <x v="0"/>
  </r>
  <r>
    <x v="18"/>
    <x v="1"/>
    <s v="6a8daa4934b3bc0cf1206e84"/>
    <s v="25/08/2026 11:29:41"/>
    <s v="25/08/2026 11:44:25"/>
    <s v="Ranieli"/>
    <s v="25/08/2026"/>
    <x v="1"/>
    <s v="RANIELI MARIA MASQUIETI DOURADO"/>
    <n v="197734"/>
    <n v="1021"/>
    <n v="1052"/>
    <n v="999"/>
    <n v="1007"/>
    <n v="995"/>
    <n v="1058"/>
    <n v="999"/>
    <n v="1061"/>
    <n v="1003"/>
    <n v="1036"/>
    <n v="1023.1"/>
    <s v=""/>
    <s v="assinatura"/>
    <n v="265"/>
    <n v="1000"/>
    <n v="2.3100000000000023E-2"/>
    <n v="23.100000000000023"/>
    <x v="2"/>
    <x v="2"/>
  </r>
  <r>
    <x v="18"/>
    <x v="1"/>
    <s v="6a8daa4934b3bc0cf1206e7e"/>
    <s v="25/08/2026 11:24:40"/>
    <s v="25/08/2026 11:44:25"/>
    <s v="Ranieli"/>
    <s v="25/08/2026"/>
    <x v="1"/>
    <s v="RANIELI MARIA MASQUIETI DOURADO"/>
    <n v="15105"/>
    <n v="989"/>
    <n v="1026"/>
    <n v="994"/>
    <n v="1030"/>
    <n v="1009"/>
    <n v="992"/>
    <n v="992"/>
    <n v="1015"/>
    <n v="1032"/>
    <n v="992"/>
    <n v="1007.1"/>
    <s v=""/>
    <s v="assinatura"/>
    <n v="244"/>
    <n v="1000"/>
    <n v="7.100000000000023E-3"/>
    <n v="7.1000000000000227"/>
    <x v="0"/>
    <x v="0"/>
  </r>
  <r>
    <x v="19"/>
    <x v="1"/>
    <s v="6a8fc8d91fdad271d636529b"/>
    <s v="27/08/2026 00:18:04"/>
    <s v="27/08/2026 02:19:21"/>
    <s v="Ranieli"/>
    <s v="26/08/2026"/>
    <x v="0"/>
    <s v="JOSEFA KELY NUNES DE SOUSA"/>
    <n v="15105"/>
    <n v="1183"/>
    <n v="1147"/>
    <n v="1010"/>
    <n v="1023"/>
    <n v="1114"/>
    <n v="955"/>
    <n v="1015"/>
    <n v="1007"/>
    <n v="1240"/>
    <n v="1030"/>
    <n v="1072.4000000000001"/>
    <s v=""/>
    <s v="assinatura"/>
    <n v="1093"/>
    <n v="1000"/>
    <n v="7.2400000000000089E-2"/>
    <n v="72.400000000000091"/>
    <x v="0"/>
    <x v="0"/>
  </r>
  <r>
    <x v="20"/>
    <x v="1"/>
    <s v="6a8fc8d91fdad271d6365295"/>
    <s v="27/08/2026 00:05:20"/>
    <s v="27/08/2026 02:19:21"/>
    <s v="Ranieli"/>
    <s v="27/08/2026"/>
    <x v="0"/>
    <s v="JOSEFA KELY NUNES DE SOUSA"/>
    <n v="40762"/>
    <n v="10170"/>
    <n v="10140"/>
    <n v="10000"/>
    <n v="10035"/>
    <n v="10010"/>
    <n v="10065"/>
    <n v="10015"/>
    <n v="10150"/>
    <n v="10135"/>
    <n v="9945"/>
    <n v="10066.5"/>
    <s v=""/>
    <s v="assinatura"/>
    <n v="761"/>
    <n v="10000"/>
    <n v="6.6499999999999997E-3"/>
    <n v="66.5"/>
    <x v="3"/>
    <x v="1"/>
  </r>
  <r>
    <x v="19"/>
    <x v="1"/>
    <s v="6a8fc8d91fdad271d6365289"/>
    <s v="26/08/2026 23:29:27"/>
    <s v="27/08/2026 02:19:21"/>
    <s v="Ranieli"/>
    <s v="26/08/2026"/>
    <x v="0"/>
    <s v="JOSEFA KELY NUNES DE SOUSA"/>
    <n v="15229"/>
    <n v="1000"/>
    <n v="988"/>
    <n v="993"/>
    <n v="1007"/>
    <n v="1006"/>
    <n v="1002"/>
    <n v="993"/>
    <n v="1010"/>
    <n v="996"/>
    <n v="1004"/>
    <n v="999.9"/>
    <s v=""/>
    <s v="assinatura"/>
    <n v="355"/>
    <n v="1000"/>
    <n v="-1.0000000000002273E-4"/>
    <n v="-0.10000000000002274"/>
    <x v="9"/>
    <x v="1"/>
  </r>
  <r>
    <x v="19"/>
    <x v="1"/>
    <s v="6a8fc8d91fdad271d6365283"/>
    <s v="26/08/2026 23:26:18"/>
    <s v="27/08/2026 02:19:21"/>
    <s v="Ranieli"/>
    <s v="26/08/2026"/>
    <x v="0"/>
    <s v="JOSEFA KELY NUNES DE SOUSA"/>
    <n v="13188"/>
    <n v="1003"/>
    <n v="994"/>
    <n v="1002"/>
    <n v="993"/>
    <n v="996"/>
    <n v="1002"/>
    <n v="998"/>
    <n v="1000"/>
    <n v="997"/>
    <n v="992"/>
    <n v="997.7"/>
    <s v=""/>
    <s v=""/>
    <n v="188"/>
    <n v="1000"/>
    <n v="-2.2999999999999544E-3"/>
    <n v="-2.2999999999999545"/>
    <x v="8"/>
    <x v="1"/>
  </r>
  <r>
    <x v="19"/>
    <x v="1"/>
    <s v="6a8fc8d91fdad271d636527d"/>
    <s v="26/08/2026 23:18:50"/>
    <s v="27/08/2026 02:19:21"/>
    <s v="Ranieli"/>
    <s v="26/08/2026"/>
    <x v="0"/>
    <s v="JOSEFA KELY NUNES DE SOUSA"/>
    <n v="54632"/>
    <n v="1016"/>
    <n v="998"/>
    <n v="1006"/>
    <n v="1007"/>
    <n v="1013"/>
    <n v="1006"/>
    <n v="1003"/>
    <n v="1007"/>
    <n v="999"/>
    <n v="1005"/>
    <n v="1006"/>
    <s v=""/>
    <s v="assinatura"/>
    <n v="445"/>
    <n v="1000"/>
    <n v="6.0000000000000001E-3"/>
    <n v="6"/>
    <x v="11"/>
    <x v="1"/>
  </r>
  <r>
    <x v="19"/>
    <x v="1"/>
    <s v="6a8fc8d91fdad271d6365277"/>
    <s v="26/08/2026 23:13:16"/>
    <s v="27/08/2026 02:19:21"/>
    <s v="Ranieli"/>
    <s v="26/08/2026"/>
    <x v="0"/>
    <s v="JOSEFA KELY NUNES DE SOUSA"/>
    <n v="15105"/>
    <n v="1015"/>
    <n v="1034"/>
    <n v="997"/>
    <n v="975"/>
    <n v="1275"/>
    <n v="1014"/>
    <n v="1086"/>
    <n v="1008"/>
    <n v="956"/>
    <n v="1014"/>
    <n v="1037.4000000000001"/>
    <s v=""/>
    <s v=""/>
    <n v="333"/>
    <n v="1000"/>
    <n v="3.7400000000000093E-2"/>
    <n v="37.400000000000091"/>
    <x v="0"/>
    <x v="0"/>
  </r>
  <r>
    <x v="19"/>
    <x v="1"/>
    <s v="6a8fc8d91fdad271d6365271"/>
    <s v="26/08/2026 22:35:48"/>
    <s v="27/08/2026 02:19:21"/>
    <s v="Ranieli"/>
    <s v="26/08/2026"/>
    <x v="0"/>
    <s v="JOSEFA KELY NUNES DE SOUSA"/>
    <n v="792306"/>
    <n v="1040"/>
    <n v="1001"/>
    <n v="1014"/>
    <n v="990"/>
    <n v="1013"/>
    <n v="996"/>
    <n v="1032"/>
    <n v="1039"/>
    <n v="1049"/>
    <n v="1011"/>
    <n v="1018.5"/>
    <s v=""/>
    <s v="assinatura"/>
    <n v="1904"/>
    <n v="1000"/>
    <n v="1.8499999999999999E-2"/>
    <n v="18.5"/>
    <x v="24"/>
    <x v="0"/>
  </r>
  <r>
    <x v="19"/>
    <x v="1"/>
    <s v="6a8fc8d91fdad271d636525d"/>
    <s v="26/08/2026 18:52:41"/>
    <s v="27/08/2026 02:19:21"/>
    <s v="Ranieli"/>
    <s v="26/08/2026"/>
    <x v="0"/>
    <s v="JOSEFA KELY NUNES DE SOUSA"/>
    <n v="40762"/>
    <n v="10080"/>
    <n v="10070"/>
    <n v="10075"/>
    <n v="10065"/>
    <n v="10055"/>
    <n v="10060"/>
    <n v="10060"/>
    <n v="10065"/>
    <n v="9995"/>
    <n v="10000"/>
    <n v="10052.5"/>
    <s v=""/>
    <s v="assinatura"/>
    <n v="326"/>
    <n v="10000"/>
    <n v="5.2500000000000003E-3"/>
    <n v="52.5"/>
    <x v="3"/>
    <x v="1"/>
  </r>
  <r>
    <x v="19"/>
    <x v="1"/>
    <s v="6a8fc8d91fdad271d6365257"/>
    <s v="26/08/2026 18:42:10"/>
    <s v="27/08/2026 02:19:21"/>
    <s v="Ranieli"/>
    <s v="26/08/2026"/>
    <x v="0"/>
    <s v="JOSEFA KELY NUNES DE SOUSA"/>
    <n v="42838"/>
    <n v="2041"/>
    <n v="2051"/>
    <n v="2022"/>
    <n v="2019"/>
    <n v="2037"/>
    <n v="2051"/>
    <n v="2041"/>
    <n v="2048"/>
    <n v="2013"/>
    <n v="2028"/>
    <n v="2035.1"/>
    <s v=""/>
    <s v=""/>
    <n v="629"/>
    <n v="2000"/>
    <n v="1.7549999999999955E-2"/>
    <n v="35.099999999999909"/>
    <x v="7"/>
    <x v="1"/>
  </r>
  <r>
    <x v="19"/>
    <x v="1"/>
    <s v="6a8fc8d91fdad271d6365251"/>
    <s v="26/08/2026 18:38:35"/>
    <s v="27/08/2026 02:19:21"/>
    <s v="Ranieli"/>
    <s v="26/08/2026"/>
    <x v="0"/>
    <s v="JOSEFA KELY NUNES DE SOUSA"/>
    <n v="42854"/>
    <n v="2115"/>
    <n v="2107"/>
    <n v="2055"/>
    <n v="2123"/>
    <n v="2119"/>
    <n v="2115"/>
    <n v="2116"/>
    <n v="2105"/>
    <n v="2115"/>
    <n v="2095"/>
    <n v="2106.5"/>
    <s v=""/>
    <s v="assinatura"/>
    <n v="149"/>
    <n v="2080"/>
    <n v="1.2740384615384615E-2"/>
    <n v="26.5"/>
    <x v="4"/>
    <x v="1"/>
  </r>
  <r>
    <x v="19"/>
    <x v="1"/>
    <s v="6a8fc8d91fdad271d636524b"/>
    <s v="26/08/2026 18:35:57"/>
    <s v="27/08/2026 02:19:21"/>
    <s v="Ranieli"/>
    <s v="26/08/2026"/>
    <x v="0"/>
    <s v="JOSEFA KELY NUNES DE SOUSA"/>
    <n v="42862"/>
    <n v="2001"/>
    <n v="2007"/>
    <n v="2015"/>
    <n v="2016"/>
    <n v="2014"/>
    <n v="2008"/>
    <n v="2009"/>
    <n v="2016"/>
    <n v="2006"/>
    <n v="2012"/>
    <n v="2010.4"/>
    <s v=""/>
    <s v=""/>
    <n v="156"/>
    <n v="2000"/>
    <n v="5.2000000000000457E-3"/>
    <n v="10.400000000000091"/>
    <x v="5"/>
    <x v="1"/>
  </r>
  <r>
    <x v="19"/>
    <x v="1"/>
    <s v="6a8fc8d91fdad271d6365245"/>
    <s v="26/08/2026 18:30:15"/>
    <s v="27/08/2026 02:19:21"/>
    <s v="Ranieli"/>
    <s v="26/08/2026"/>
    <x v="0"/>
    <s v="JOSEFA KELY NUNES DE SOUSA"/>
    <n v="42846"/>
    <n v="2013"/>
    <n v="2009"/>
    <n v="2018"/>
    <n v="2001"/>
    <n v="1987"/>
    <n v="2024"/>
    <n v="2006"/>
    <n v="2016"/>
    <n v="1994"/>
    <n v="2010"/>
    <n v="2007.8"/>
    <s v=""/>
    <s v="assinatura"/>
    <n v="340"/>
    <n v="2000"/>
    <n v="3.8999999999999773E-3"/>
    <n v="7.7999999999999545"/>
    <x v="6"/>
    <x v="1"/>
  </r>
  <r>
    <x v="19"/>
    <x v="1"/>
    <s v="6a8fc8d91fdad271d636523f"/>
    <s v="26/08/2026 17:55:41"/>
    <s v="27/08/2026 02:19:21"/>
    <s v="Ranieli"/>
    <s v="26/08/2026"/>
    <x v="0"/>
    <s v="JOSEFA KELY NUNES DE SOUSA"/>
    <n v="995638"/>
    <n v="15015"/>
    <n v="15025"/>
    <n v="15030"/>
    <n v="15040"/>
    <n v="15005"/>
    <n v="15015"/>
    <n v="15055"/>
    <n v="15025"/>
    <n v="15040"/>
    <n v="15020"/>
    <n v="15027"/>
    <s v=""/>
    <s v="assinatura"/>
    <n v="2072"/>
    <n v="15000"/>
    <n v="1.8E-3"/>
    <n v="27"/>
    <x v="21"/>
    <x v="3"/>
  </r>
  <r>
    <x v="19"/>
    <x v="1"/>
    <s v="6a8fc8d91fdad271d6365239"/>
    <s v="26/08/2026 17:49:32"/>
    <s v="27/08/2026 02:19:21"/>
    <s v="Ranieli"/>
    <s v="26/08/2026"/>
    <x v="0"/>
    <s v="JOSEFA KELY NUNES DE SOUSA"/>
    <n v="15105"/>
    <n v="854"/>
    <n v="1031"/>
    <n v="1036"/>
    <n v="994"/>
    <n v="1002"/>
    <n v="1008"/>
    <n v="1002"/>
    <n v="1019"/>
    <n v="1010"/>
    <n v="1016"/>
    <n v="997.2"/>
    <s v=""/>
    <s v="assinatura"/>
    <n v="322"/>
    <n v="1000"/>
    <n v="-2.7999999999999544E-3"/>
    <n v="-2.7999999999999545"/>
    <x v="0"/>
    <x v="0"/>
  </r>
  <r>
    <x v="19"/>
    <x v="1"/>
    <s v="6a8fc8d81fdad271d6365227"/>
    <s v="26/08/2026 15:05:06"/>
    <s v="27/08/2026 02:19:20"/>
    <s v="Ranieli"/>
    <s v="26/08/2026"/>
    <x v="1"/>
    <s v="ALANA DA SILVA MARTINS"/>
    <n v="197734"/>
    <n v="1018"/>
    <n v="1001"/>
    <n v="1054"/>
    <n v="1009"/>
    <n v="1001"/>
    <n v="1002"/>
    <n v="1044"/>
    <n v="983"/>
    <n v="1030"/>
    <n v="1042"/>
    <n v="1018.4"/>
    <s v=""/>
    <s v="assinatura"/>
    <n v="342"/>
    <n v="1000"/>
    <n v="1.8399999999999979E-2"/>
    <n v="18.399999999999977"/>
    <x v="2"/>
    <x v="2"/>
  </r>
  <r>
    <x v="19"/>
    <x v="1"/>
    <s v="6a8fc8d81fdad271d6365221"/>
    <s v="26/08/2026 14:58:19"/>
    <s v="27/08/2026 02:19:20"/>
    <s v="Ranieli"/>
    <s v="26/08/2026"/>
    <x v="1"/>
    <s v="ALANA DA SILVA MARTINS"/>
    <n v="15105"/>
    <n v="1018"/>
    <n v="1002"/>
    <n v="1014"/>
    <n v="1015"/>
    <n v="1004"/>
    <n v="1025"/>
    <n v="995"/>
    <n v="1000"/>
    <n v="998"/>
    <n v="1005"/>
    <n v="1007.6"/>
    <s v=""/>
    <s v=""/>
    <n v="183"/>
    <n v="1000"/>
    <n v="7.6000000000000225E-3"/>
    <n v="7.6000000000000227"/>
    <x v="0"/>
    <x v="0"/>
  </r>
  <r>
    <x v="19"/>
    <x v="1"/>
    <s v="6a8fc8d81fdad271d636521b"/>
    <s v="26/08/2026 14:55:41"/>
    <s v="27/08/2026 02:19:20"/>
    <s v="Ranieli"/>
    <s v="26/08/2026"/>
    <x v="1"/>
    <s v="ALANA DA SILVA MARTINS"/>
    <n v="42854"/>
    <n v="2123"/>
    <n v="2160"/>
    <n v="2145"/>
    <n v="2181"/>
    <n v="2194"/>
    <n v="2123"/>
    <n v="2134"/>
    <n v="2156"/>
    <n v="2129"/>
    <n v="2155"/>
    <n v="2150"/>
    <s v=""/>
    <s v=""/>
    <n v="152"/>
    <n v="2080"/>
    <n v="3.3653846153846152E-2"/>
    <n v="70"/>
    <x v="4"/>
    <x v="1"/>
  </r>
  <r>
    <x v="19"/>
    <x v="1"/>
    <s v="6a8fc8d81fdad271d6365215"/>
    <s v="26/08/2026 14:52:57"/>
    <s v="27/08/2026 02:19:20"/>
    <s v="Ranieli"/>
    <s v="26/08/2026"/>
    <x v="1"/>
    <s v="ALANA DA SILVA MARTINS"/>
    <n v="54632"/>
    <n v="1064"/>
    <n v="1029"/>
    <n v="1010"/>
    <n v="1003"/>
    <n v="1000"/>
    <n v="992"/>
    <n v="1000"/>
    <n v="1011"/>
    <n v="991"/>
    <n v="1019"/>
    <n v="1011.9"/>
    <s v=""/>
    <s v="assinatura"/>
    <n v="149"/>
    <n v="1000"/>
    <n v="1.1899999999999977E-2"/>
    <n v="11.899999999999977"/>
    <x v="11"/>
    <x v="1"/>
  </r>
  <r>
    <x v="19"/>
    <x v="1"/>
    <s v="6a8f8c391fdad271d6363c03"/>
    <s v="26/08/2026 21:57:10"/>
    <s v="26/08/2026 22:00:41"/>
    <s v="- -"/>
    <s v="26/08/2026"/>
    <x v="0"/>
    <s v="JULIANE GOMES NOVAIS"/>
    <n v="15105"/>
    <n v="1047"/>
    <n v="1002"/>
    <n v="1065"/>
    <n v="1037"/>
    <n v="1067"/>
    <n v="1080"/>
    <n v="1043"/>
    <n v="859"/>
    <n v="1070"/>
    <n v="957"/>
    <n v="1022.7"/>
    <s v=""/>
    <s v="assinatura"/>
    <n v="174"/>
    <n v="1000"/>
    <n v="2.2700000000000047E-2"/>
    <n v="22.700000000000045"/>
    <x v="0"/>
    <x v="0"/>
  </r>
  <r>
    <x v="19"/>
    <x v="1"/>
    <s v="6a8f65d164f0403e70fe2dc3"/>
    <s v="26/08/2026 19:01:01"/>
    <s v="26/08/2026 19:16:49"/>
    <s v="- -"/>
    <s v="26/08/2026"/>
    <x v="0"/>
    <s v="JULIANE GOMES NOVAIS"/>
    <n v="15105"/>
    <n v="1046"/>
    <n v="1029"/>
    <n v="1046"/>
    <n v="1048"/>
    <n v="932"/>
    <n v="1044"/>
    <n v="1013"/>
    <n v="1029"/>
    <n v="995"/>
    <n v="1006"/>
    <n v="1018.8"/>
    <s v=""/>
    <s v="assinatura"/>
    <n v="947"/>
    <n v="1000"/>
    <n v="1.8799999999999956E-2"/>
    <n v="18.799999999999955"/>
    <x v="0"/>
    <x v="0"/>
  </r>
  <r>
    <x v="19"/>
    <x v="1"/>
    <s v="6a8f620f746a74100a5304b5"/>
    <s v="26/08/2026 18:45:47"/>
    <s v="26/08/2026 19:00:47"/>
    <s v="- -"/>
    <s v="26/08/2026"/>
    <x v="0"/>
    <s v="JULIANE GOMES NOVAIS"/>
    <n v="13188"/>
    <n v="1024"/>
    <n v="1008"/>
    <n v="1014"/>
    <n v="1015"/>
    <n v="1021"/>
    <n v="1013"/>
    <n v="1022"/>
    <n v="1021"/>
    <n v="1020"/>
    <n v="1030"/>
    <n v="1018.8"/>
    <s v=""/>
    <s v="assinatura"/>
    <n v="897"/>
    <n v="1000"/>
    <n v="1.8799999999999956E-2"/>
    <n v="18.799999999999955"/>
    <x v="8"/>
    <x v="1"/>
  </r>
  <r>
    <x v="19"/>
    <x v="1"/>
    <s v="6a8f5501cdcbcdf91d9bed95"/>
    <s v="26/08/2026 17:53:14"/>
    <s v="26/08/2026 18:05:05"/>
    <s v="- -"/>
    <s v="26/08/2026"/>
    <x v="0"/>
    <s v="JULIANE GOMES NOVAIS"/>
    <n v="40762"/>
    <n v="10070"/>
    <n v="10005"/>
    <n v="10105"/>
    <n v="10040"/>
    <n v="10005"/>
    <n v="10090"/>
    <n v="10020"/>
    <n v="9965"/>
    <n v="10045"/>
    <n v="10070"/>
    <n v="10041.5"/>
    <s v=""/>
    <s v="assinatura"/>
    <n v="709"/>
    <n v="10000"/>
    <n v="4.15E-3"/>
    <n v="41.5"/>
    <x v="3"/>
    <x v="1"/>
  </r>
  <r>
    <x v="20"/>
    <x v="1"/>
    <s v="6a9116dff2190f1532fa9924"/>
    <s v="28/08/2026 01:28:54"/>
    <s v="28/08/2026 02:04:31"/>
    <s v="Ranieli"/>
    <s v="27/08/2026"/>
    <x v="0"/>
    <s v="JOSEFA KELY NUNES DE SOUSA"/>
    <n v="40762"/>
    <n v="10040"/>
    <n v="10075"/>
    <n v="10050"/>
    <n v="10065"/>
    <n v="10030"/>
    <n v="10030"/>
    <n v="9965"/>
    <n v="10090"/>
    <n v="10075"/>
    <n v="10040"/>
    <n v="10046"/>
    <s v=""/>
    <s v="assinatura"/>
    <n v="1439"/>
    <n v="10000"/>
    <n v="4.5999999999999999E-3"/>
    <n v="46"/>
    <x v="3"/>
    <x v="1"/>
  </r>
  <r>
    <x v="20"/>
    <x v="1"/>
    <s v="6a9116def2190f1532fa9918"/>
    <s v="27/08/2026 23:36:57"/>
    <s v="28/08/2026 02:04:30"/>
    <s v="Ranieli"/>
    <s v="27/08/2026"/>
    <x v="0"/>
    <s v="JOSEFA KELY NUNES DE SOUSA"/>
    <n v="15229"/>
    <n v="1001"/>
    <n v="1000"/>
    <n v="1001"/>
    <n v="1009"/>
    <n v="1004"/>
    <n v="994"/>
    <n v="1006"/>
    <n v="999"/>
    <n v="1003"/>
    <n v="998"/>
    <n v="1001.5"/>
    <s v=""/>
    <s v="assinatura"/>
    <n v="1679"/>
    <n v="1000"/>
    <n v="1.5E-3"/>
    <n v="1.5"/>
    <x v="9"/>
    <x v="1"/>
  </r>
  <r>
    <x v="20"/>
    <x v="1"/>
    <s v="6a9116def2190f1532fa9912"/>
    <s v="27/08/2026 23:33:45"/>
    <s v="28/08/2026 02:04:30"/>
    <s v="Ranieli"/>
    <s v="27/08/2026"/>
    <x v="0"/>
    <s v="JOSEFA KELY NUNES DE SOUSA"/>
    <n v="15229"/>
    <n v="1015"/>
    <n v="1009"/>
    <n v="1015"/>
    <n v="1013"/>
    <n v="1014"/>
    <n v="1001"/>
    <n v="1014"/>
    <n v="1013"/>
    <n v="1003"/>
    <n v="1005"/>
    <n v="1010.2"/>
    <s v=""/>
    <s v=""/>
    <n v="191"/>
    <n v="1000"/>
    <n v="1.0200000000000046E-2"/>
    <n v="10.200000000000045"/>
    <x v="9"/>
    <x v="1"/>
  </r>
  <r>
    <x v="20"/>
    <x v="1"/>
    <s v="6a9116def2190f1532fa990c"/>
    <s v="27/08/2026 23:04:48"/>
    <s v="28/08/2026 02:04:30"/>
    <s v="Ranieli"/>
    <s v="27/08/2026"/>
    <x v="0"/>
    <s v="JOSEFA KELY NUNES DE SOUSA"/>
    <n v="13188"/>
    <n v="1000"/>
    <n v="994"/>
    <n v="1000"/>
    <n v="1003"/>
    <n v="1013"/>
    <n v="1019"/>
    <n v="1016"/>
    <n v="1013"/>
    <n v="1013"/>
    <n v="1011"/>
    <n v="1008.2"/>
    <s v=""/>
    <s v="assinatura"/>
    <n v="1735"/>
    <n v="1000"/>
    <n v="8.2000000000000458E-3"/>
    <n v="8.2000000000000455"/>
    <x v="8"/>
    <x v="1"/>
  </r>
  <r>
    <x v="20"/>
    <x v="1"/>
    <s v="6a9116def2190f1532fa9906"/>
    <s v="27/08/2026 22:57:49"/>
    <s v="28/08/2026 02:04:30"/>
    <s v="Ranieli"/>
    <s v="27/08/2026"/>
    <x v="0"/>
    <s v="JOSEFA KELY NUNES DE SOUSA"/>
    <n v="15105"/>
    <n v="998"/>
    <n v="985"/>
    <n v="1014"/>
    <n v="1003"/>
    <n v="1000"/>
    <n v="1200"/>
    <n v="997"/>
    <n v="1019"/>
    <n v="1039"/>
    <n v="1019"/>
    <n v="1027.4000000000001"/>
    <s v=""/>
    <s v=""/>
    <n v="416"/>
    <n v="1000"/>
    <n v="2.7400000000000091E-2"/>
    <n v="27.400000000000091"/>
    <x v="0"/>
    <x v="0"/>
  </r>
  <r>
    <x v="20"/>
    <x v="1"/>
    <s v="6a9116def2190f1532fa98fe"/>
    <s v="27/08/2026 22:32:04"/>
    <s v="28/08/2026 02:04:30"/>
    <s v="Ranieli"/>
    <s v="27/08/2026"/>
    <x v="0"/>
    <s v="JOSEFA KELY NUNES DE SOUSA"/>
    <n v="197742"/>
    <n v="1032"/>
    <n v="1008"/>
    <n v="1056"/>
    <n v="1017"/>
    <n v="1011"/>
    <n v="1006"/>
    <n v="1001"/>
    <n v="1008"/>
    <n v="1031"/>
    <n v="1031"/>
    <n v="1020.1"/>
    <s v=""/>
    <s v="assinatura"/>
    <n v="1541"/>
    <n v="1000"/>
    <n v="2.0100000000000024E-2"/>
    <n v="20.100000000000023"/>
    <x v="23"/>
    <x v="3"/>
  </r>
  <r>
    <x v="20"/>
    <x v="1"/>
    <s v="6a9116def2190f1532fa98ec"/>
    <s v="27/08/2026 18:39:36"/>
    <s v="28/08/2026 02:04:30"/>
    <s v="Ranieli"/>
    <s v="27/08/2026"/>
    <x v="0"/>
    <s v="JOSEFA KELY NUNES DE SOUSA"/>
    <n v="992093"/>
    <n v="5019"/>
    <n v="5014"/>
    <n v="5019"/>
    <n v="5006"/>
    <n v="5015"/>
    <n v="5013"/>
    <n v="5015"/>
    <n v="5020"/>
    <n v="5010"/>
    <n v="5013"/>
    <n v="5014.3999999999996"/>
    <s v=""/>
    <s v="assinatura"/>
    <n v="149"/>
    <n v="5000"/>
    <n v="2.8799999999999273E-3"/>
    <n v="14.399999999999636"/>
    <x v="13"/>
    <x v="3"/>
  </r>
  <r>
    <x v="20"/>
    <x v="1"/>
    <s v="6a9116def2190f1532fa98e6"/>
    <s v="27/08/2026 18:27:28"/>
    <s v="28/08/2026 02:04:30"/>
    <s v="Ranieli"/>
    <s v="27/08/2026"/>
    <x v="0"/>
    <s v="JOSEFA KELY NUNES DE SOUSA"/>
    <n v="15105"/>
    <n v="988"/>
    <n v="1008"/>
    <n v="1009"/>
    <n v="1010"/>
    <n v="986"/>
    <n v="996"/>
    <n v="996"/>
    <n v="1027"/>
    <n v="967"/>
    <n v="1042"/>
    <n v="1002.9"/>
    <s v=""/>
    <s v="assinatura"/>
    <n v="724"/>
    <n v="1000"/>
    <n v="2.8999999999999772E-3"/>
    <n v="2.8999999999999773"/>
    <x v="0"/>
    <x v="0"/>
  </r>
  <r>
    <x v="20"/>
    <x v="1"/>
    <s v="6a9116def2190f1532fa98e0"/>
    <s v="27/08/2026 18:04:28"/>
    <s v="28/08/2026 02:04:30"/>
    <s v="Ranieli"/>
    <s v="27/08/2026"/>
    <x v="0"/>
    <s v="JOSEFA KELY NUNES DE SOUSA"/>
    <n v="40762"/>
    <n v="10025"/>
    <n v="10055"/>
    <n v="9920"/>
    <n v="9980"/>
    <n v="10065"/>
    <n v="10085"/>
    <n v="9985"/>
    <n v="9935"/>
    <n v="10090"/>
    <n v="10080"/>
    <n v="10022"/>
    <s v=""/>
    <s v="assinatura"/>
    <n v="1378"/>
    <n v="10000"/>
    <n v="2.2000000000000001E-3"/>
    <n v="22"/>
    <x v="3"/>
    <x v="1"/>
  </r>
  <r>
    <x v="20"/>
    <x v="1"/>
    <s v="6a9116def2190f1532fa98da"/>
    <s v="27/08/2026 18:00:09"/>
    <s v="28/08/2026 02:04:30"/>
    <s v="Ranieli"/>
    <s v="27/08/2026"/>
    <x v="0"/>
    <s v="JOSEFA KELY NUNES DE SOUSA"/>
    <n v="42838"/>
    <n v="2049"/>
    <n v="2050"/>
    <n v="2029"/>
    <n v="2025"/>
    <n v="2023"/>
    <n v="2028"/>
    <n v="2030"/>
    <n v="2033"/>
    <n v="2037"/>
    <n v="2029"/>
    <n v="2033.3"/>
    <s v=""/>
    <s v=""/>
    <n v="109"/>
    <n v="2000"/>
    <n v="1.6649999999999977E-2"/>
    <n v="33.299999999999955"/>
    <x v="7"/>
    <x v="1"/>
  </r>
  <r>
    <x v="20"/>
    <x v="1"/>
    <s v="6a9116ddf2190f1532fa98d4"/>
    <s v="27/08/2026 17:54:33"/>
    <s v="28/08/2026 02:04:29"/>
    <s v="Ranieli"/>
    <s v="27/08/2026"/>
    <x v="0"/>
    <s v="JOSEFA KELY NUNES DE SOUSA"/>
    <n v="42862"/>
    <n v="2017"/>
    <n v="2024"/>
    <n v="1998"/>
    <n v="2013"/>
    <n v="2023"/>
    <n v="2010"/>
    <n v="2029"/>
    <n v="2013"/>
    <n v="2011"/>
    <n v="2015"/>
    <n v="2015.3"/>
    <s v=""/>
    <s v="assinatura"/>
    <n v="335"/>
    <n v="2000"/>
    <n v="7.6499999999999771E-3"/>
    <n v="15.299999999999955"/>
    <x v="5"/>
    <x v="1"/>
  </r>
  <r>
    <x v="20"/>
    <x v="1"/>
    <s v="6a9116ddf2190f1532fa98ce"/>
    <s v="27/08/2026 17:52:11"/>
    <s v="28/08/2026 02:04:29"/>
    <s v="Ranieli"/>
    <s v="27/08/2026"/>
    <x v="0"/>
    <s v="JOSEFA KELY NUNES DE SOUSA"/>
    <n v="42854"/>
    <n v="2080"/>
    <n v="2106"/>
    <n v="2105"/>
    <n v="2099"/>
    <n v="2110"/>
    <n v="2105"/>
    <n v="2093"/>
    <n v="2108"/>
    <n v="2088"/>
    <n v="2107"/>
    <n v="2100.1"/>
    <s v=""/>
    <s v=""/>
    <n v="140"/>
    <n v="2080"/>
    <n v="9.6634615384614941E-3"/>
    <n v="20.099999999999909"/>
    <x v="4"/>
    <x v="1"/>
  </r>
  <r>
    <x v="20"/>
    <x v="1"/>
    <s v="6a9116ddf2190f1532fa98c8"/>
    <s v="27/08/2026 17:44:50"/>
    <s v="28/08/2026 02:04:29"/>
    <s v="Ranieli"/>
    <s v="27/08/2026"/>
    <x v="0"/>
    <s v="JOSEFA KELY NUNES DE SOUSA"/>
    <n v="42846"/>
    <n v="2010"/>
    <n v="2008"/>
    <n v="2004"/>
    <n v="2007"/>
    <n v="1999"/>
    <n v="2013"/>
    <n v="2018"/>
    <n v="2015"/>
    <n v="2020"/>
    <n v="2008"/>
    <n v="2010.2"/>
    <s v=""/>
    <s v="assinatura"/>
    <n v="423"/>
    <n v="2000"/>
    <n v="5.1000000000000229E-3"/>
    <n v="10.200000000000045"/>
    <x v="6"/>
    <x v="1"/>
  </r>
  <r>
    <x v="21"/>
    <x v="1"/>
    <s v="6a91031b821e173bb2937921"/>
    <s v="28/08/2026 00:30:59"/>
    <s v="28/08/2026 00:40:11"/>
    <s v="Ranieli"/>
    <s v="28/08/2026"/>
    <x v="0"/>
    <s v="JULIANE GOMES NOVAIS"/>
    <n v="40762"/>
    <n v="10230"/>
    <n v="10080"/>
    <n v="9975"/>
    <n v="10005"/>
    <n v="10070"/>
    <n v="10025"/>
    <n v="10065"/>
    <n v="10035"/>
    <n v="10045"/>
    <n v="10115"/>
    <n v="10064.5"/>
    <s v=""/>
    <s v="assinatura"/>
    <n v="546"/>
    <n v="10000"/>
    <n v="6.45E-3"/>
    <n v="64.5"/>
    <x v="3"/>
    <x v="1"/>
  </r>
  <r>
    <x v="20"/>
    <x v="1"/>
    <s v="6a90edd99901020d0bb093e3"/>
    <s v="27/08/2026 23:00:20"/>
    <s v="27/08/2026 23:09:29"/>
    <s v="Ranieli"/>
    <s v="27/08/2026"/>
    <x v="0"/>
    <s v="JULIANE GOMES NOVAIS"/>
    <n v="40762"/>
    <n v="10050"/>
    <n v="10065"/>
    <n v="10100"/>
    <n v="9975"/>
    <n v="10085"/>
    <n v="10060"/>
    <n v="10080"/>
    <n v="10075"/>
    <n v="10095"/>
    <n v="10055"/>
    <n v="10064"/>
    <s v=""/>
    <s v="assinatura"/>
    <n v="433"/>
    <n v="10000"/>
    <n v="6.4000000000000003E-3"/>
    <n v="64"/>
    <x v="3"/>
    <x v="1"/>
  </r>
  <r>
    <x v="20"/>
    <x v="1"/>
    <s v="6a90edd99901020d0bb093dd"/>
    <s v="27/08/2026 22:57:47"/>
    <s v="27/08/2026 23:09:29"/>
    <s v="Ranieli"/>
    <s v="27/08/2026"/>
    <x v="0"/>
    <s v="JULIANE GOMES NOVAIS"/>
    <n v="13188"/>
    <n v="1010"/>
    <n v="1007"/>
    <n v="1000"/>
    <n v="1018"/>
    <n v="1005"/>
    <n v="1019"/>
    <n v="1013"/>
    <n v="1014"/>
    <n v="1013"/>
    <n v="1014"/>
    <n v="1011.3"/>
    <s v=""/>
    <s v=""/>
    <n v="151"/>
    <n v="1000"/>
    <n v="1.1299999999999954E-2"/>
    <n v="11.299999999999955"/>
    <x v="8"/>
    <x v="1"/>
  </r>
  <r>
    <x v="20"/>
    <x v="1"/>
    <s v="6a90edd99901020d0bb093d7"/>
    <s v="27/08/2026 22:52:50"/>
    <s v="27/08/2026 23:09:29"/>
    <s v="Ranieli"/>
    <s v="27/08/2026"/>
    <x v="0"/>
    <s v="JULIANE GOMES NOVAIS"/>
    <n v="13188"/>
    <n v="1018"/>
    <n v="1006"/>
    <n v="1008"/>
    <n v="1000"/>
    <n v="1022"/>
    <n v="1017"/>
    <n v="1018"/>
    <n v="1019"/>
    <n v="1000"/>
    <n v="1016"/>
    <n v="1012.4"/>
    <s v=""/>
    <s v="assinatura"/>
    <n v="256"/>
    <n v="1000"/>
    <n v="1.2399999999999977E-2"/>
    <n v="12.399999999999977"/>
    <x v="8"/>
    <x v="1"/>
  </r>
  <r>
    <x v="20"/>
    <x v="1"/>
    <s v="6a90edd99901020d0bb093d1"/>
    <s v="27/08/2026 22:45:35"/>
    <s v="27/08/2026 23:09:29"/>
    <s v="Ranieli"/>
    <s v="27/08/2026"/>
    <x v="0"/>
    <s v="JULIANE GOMES NOVAIS"/>
    <n v="13188"/>
    <n v="990"/>
    <n v="1015"/>
    <n v="1009"/>
    <n v="1027"/>
    <n v="1034"/>
    <n v="1001"/>
    <n v="1012"/>
    <n v="1028"/>
    <n v="1014"/>
    <n v="1001"/>
    <n v="1013.1"/>
    <s v=""/>
    <s v="assinatura"/>
    <n v="424"/>
    <n v="1000"/>
    <n v="1.3100000000000023E-2"/>
    <n v="13.100000000000023"/>
    <x v="8"/>
    <x v="1"/>
  </r>
  <r>
    <x v="20"/>
    <x v="1"/>
    <s v="6a90edd99901020d0bb093cb"/>
    <s v="27/08/2026 22:43:08"/>
    <s v="27/08/2026 23:09:29"/>
    <s v="Ranieli"/>
    <s v="27/08/2026"/>
    <x v="0"/>
    <s v="JULIANE GOMES NOVAIS"/>
    <n v="54632"/>
    <n v="1018"/>
    <n v="1000"/>
    <n v="1008"/>
    <n v="1004"/>
    <n v="1011"/>
    <n v="1019"/>
    <n v="1002"/>
    <n v="1006"/>
    <n v="1010"/>
    <n v="1003"/>
    <n v="1008.1"/>
    <s v=""/>
    <s v=""/>
    <n v="146"/>
    <n v="1000"/>
    <n v="8.1000000000000221E-3"/>
    <n v="8.1000000000000227"/>
    <x v="11"/>
    <x v="1"/>
  </r>
  <r>
    <x v="20"/>
    <x v="1"/>
    <s v="6a90edd99901020d0bb093c5"/>
    <s v="27/08/2026 22:39:13"/>
    <s v="27/08/2026 23:09:29"/>
    <s v="Ranieli"/>
    <s v="27/08/2026"/>
    <x v="0"/>
    <s v="JULIANE GOMES NOVAIS"/>
    <n v="54632"/>
    <n v="1014"/>
    <n v="1000"/>
    <n v="1003"/>
    <n v="1010"/>
    <n v="1006"/>
    <n v="1017"/>
    <n v="1002"/>
    <n v="1000"/>
    <n v="1001"/>
    <n v="1014"/>
    <n v="1006.7"/>
    <s v=""/>
    <s v="assinatura"/>
    <n v="234"/>
    <n v="1000"/>
    <n v="6.7000000000000453E-3"/>
    <n v="6.7000000000000455"/>
    <x v="11"/>
    <x v="1"/>
  </r>
  <r>
    <x v="20"/>
    <x v="1"/>
    <s v="6a90edd99901020d0bb093bf"/>
    <s v="27/08/2026 22:27:06"/>
    <s v="27/08/2026 23:09:29"/>
    <s v="Ranieli"/>
    <s v="27/08/2026"/>
    <x v="0"/>
    <s v="JULIANE GOMES NOVAIS"/>
    <n v="197742"/>
    <n v="1056"/>
    <n v="1002"/>
    <n v="1020"/>
    <n v="1027"/>
    <n v="1005"/>
    <n v="998"/>
    <n v="1101"/>
    <n v="1030"/>
    <n v="1001"/>
    <n v="990"/>
    <n v="1023"/>
    <s v=""/>
    <s v="assinatura"/>
    <n v="552"/>
    <n v="1000"/>
    <n v="2.3E-2"/>
    <n v="23"/>
    <x v="23"/>
    <x v="3"/>
  </r>
  <r>
    <x v="20"/>
    <x v="1"/>
    <s v="6a90baf0f2190f1532fa78c6"/>
    <s v="27/08/2026 19:06:56"/>
    <s v="27/08/2026 19:32:16"/>
    <s v="Ranieli"/>
    <s v="27/08/2026"/>
    <x v="0"/>
    <s v="JULIANE GOMES NOVAIS"/>
    <n v="13188"/>
    <n v="1015"/>
    <n v="1006"/>
    <n v="1000"/>
    <n v="1007"/>
    <n v="1009"/>
    <n v="993"/>
    <n v="1001"/>
    <n v="1002"/>
    <n v="996"/>
    <n v="1003"/>
    <n v="1003.2"/>
    <s v=""/>
    <s v="assinatura"/>
    <n v="446"/>
    <n v="1000"/>
    <n v="3.2000000000000457E-3"/>
    <n v="3.2000000000000455"/>
    <x v="8"/>
    <x v="1"/>
  </r>
  <r>
    <x v="20"/>
    <x v="1"/>
    <s v="6a90b262913240bc54713018"/>
    <s v="27/08/2026 18:47:17"/>
    <s v="27/08/2026 18:55:46"/>
    <s v="Ranieli"/>
    <s v="27/08/2026"/>
    <x v="0"/>
    <s v="JULIANE GOMES NOVAIS"/>
    <n v="54632"/>
    <n v="1001"/>
    <n v="1002"/>
    <n v="1007"/>
    <n v="995"/>
    <n v="1011"/>
    <n v="997"/>
    <n v="1003"/>
    <n v="996"/>
    <n v="1003"/>
    <n v="1000"/>
    <n v="1001.5"/>
    <s v=""/>
    <s v="assinatura"/>
    <n v="505"/>
    <n v="1000"/>
    <n v="1.5E-3"/>
    <n v="1.5"/>
    <x v="11"/>
    <x v="1"/>
  </r>
  <r>
    <x v="20"/>
    <x v="1"/>
    <s v="6a90b000821e173bb29352bd"/>
    <s v="27/08/2026 18:40:24"/>
    <s v="27/08/2026 18:45:36"/>
    <s v="Ranieli"/>
    <s v="27/08/2026"/>
    <x v="0"/>
    <s v="JULIANE GOMES NOVAIS"/>
    <n v="54632"/>
    <n v="998"/>
    <n v="1011"/>
    <n v="995"/>
    <n v="1000"/>
    <n v="995"/>
    <n v="1002"/>
    <n v="1010"/>
    <n v="1006"/>
    <n v="996"/>
    <n v="998"/>
    <n v="1001.1"/>
    <s v=""/>
    <s v=""/>
    <n v="263"/>
    <n v="1000"/>
    <n v="1.1000000000000228E-3"/>
    <n v="1.1000000000000227"/>
    <x v="11"/>
    <x v="1"/>
  </r>
  <r>
    <x v="20"/>
    <x v="1"/>
    <s v="6a90a129de22f29e5a8148f6"/>
    <s v="27/08/2026 16:51:26"/>
    <s v="27/08/2026 17:42:17"/>
    <s v="Ranieli"/>
    <s v="27/08/2026"/>
    <x v="0"/>
    <s v="JULIANE GOMES NOVAIS"/>
    <n v="40762"/>
    <n v="9990"/>
    <n v="10095"/>
    <n v="10090"/>
    <n v="10040"/>
    <n v="10080"/>
    <n v="10005"/>
    <n v="10075"/>
    <n v="10010"/>
    <n v="10105"/>
    <n v="10075"/>
    <n v="10056.5"/>
    <s v=""/>
    <s v="assinatura"/>
    <n v="638"/>
    <n v="10000"/>
    <n v="5.6499999999999996E-3"/>
    <n v="56.5"/>
    <x v="3"/>
    <x v="1"/>
  </r>
  <r>
    <x v="20"/>
    <x v="1"/>
    <s v="6a90943054bdb8cac5737e65"/>
    <s v="27/08/2026 16:43:54"/>
    <s v="27/08/2026 16:46:56"/>
    <s v="Ranieli"/>
    <s v="27/08/2026"/>
    <x v="0"/>
    <s v="JULIANE GOMES NOVAIS"/>
    <n v="15105"/>
    <n v="1011"/>
    <n v="1093"/>
    <n v="1015"/>
    <n v="1023"/>
    <n v="1002"/>
    <n v="1000"/>
    <n v="1017"/>
    <n v="996"/>
    <n v="1020"/>
    <n v="997"/>
    <n v="1017.4"/>
    <s v=""/>
    <s v="assinatura"/>
    <n v="178"/>
    <n v="1000"/>
    <n v="1.7399999999999978E-2"/>
    <n v="17.399999999999977"/>
    <x v="0"/>
    <x v="0"/>
  </r>
  <r>
    <x v="20"/>
    <x v="1"/>
    <s v="6a906ed9913240bc547057c0"/>
    <s v="27/08/2026 14:02:00"/>
    <s v="27/08/2026 14:07:37"/>
    <s v="Ranieli"/>
    <s v="27/08/2026"/>
    <x v="1"/>
    <s v="RANIELI MARIA MASQUIETI DOURADO"/>
    <n v="18228"/>
    <n v="999"/>
    <n v="1001"/>
    <n v="998"/>
    <n v="1003"/>
    <n v="1001"/>
    <n v="1005"/>
    <n v="1003"/>
    <n v="1003"/>
    <n v="997"/>
    <n v="1000"/>
    <n v="1001"/>
    <s v=""/>
    <s v="assinatura"/>
    <n v="330"/>
    <n v="1000"/>
    <n v="1E-3"/>
    <n v="1"/>
    <x v="16"/>
    <x v="4"/>
  </r>
  <r>
    <x v="20"/>
    <x v="1"/>
    <s v="6a906a41ff3419aa350ec6ed"/>
    <s v="27/08/2026 13:42:22"/>
    <s v="27/08/2026 13:48:01"/>
    <s v="Ranieli"/>
    <s v="27/08/2026"/>
    <x v="1"/>
    <s v="RANIELI MARIA MASQUIETI DOURADO"/>
    <n v="15105"/>
    <n v="1047"/>
    <n v="999"/>
    <n v="1004"/>
    <n v="1030"/>
    <n v="1024"/>
    <n v="1036"/>
    <n v="1005"/>
    <n v="1032"/>
    <n v="999"/>
    <n v="1030"/>
    <n v="1020.6"/>
    <s v=""/>
    <s v="assinatura"/>
    <n v="293"/>
    <n v="1000"/>
    <n v="2.0600000000000021E-2"/>
    <n v="20.600000000000023"/>
    <x v="0"/>
    <x v="0"/>
  </r>
  <r>
    <x v="20"/>
    <x v="1"/>
    <s v="6a906a40ff3419aa350ec6e7"/>
    <s v="27/08/2026 13:39:01"/>
    <s v="27/08/2026 13:48:00"/>
    <s v="Ranieli"/>
    <s v="27/08/2026"/>
    <x v="1"/>
    <s v="RANIELI MARIA MASQUIETI DOURADO"/>
    <n v="197734"/>
    <n v="1029"/>
    <n v="1037"/>
    <n v="995"/>
    <n v="995"/>
    <n v="1004"/>
    <n v="998"/>
    <n v="1009"/>
    <n v="1004"/>
    <n v="1020"/>
    <n v="1005"/>
    <n v="1009.6"/>
    <s v=""/>
    <s v="assinatura"/>
    <n v="198"/>
    <n v="1000"/>
    <n v="9.6000000000000234E-3"/>
    <n v="9.6000000000000227"/>
    <x v="2"/>
    <x v="2"/>
  </r>
  <r>
    <x v="20"/>
    <x v="1"/>
    <s v="6a9067956bff535e7da7a160"/>
    <s v="27/08/2026 13:27:15"/>
    <s v="27/08/2026 13:36:37"/>
    <s v="Ranieli"/>
    <s v="27/08/2026"/>
    <x v="1"/>
    <s v="RANIELI MARIA MASQUIETI DOURADO"/>
    <n v="40762"/>
    <n v="10055"/>
    <n v="10065"/>
    <n v="10090"/>
    <n v="9995"/>
    <n v="10045"/>
    <n v="10095"/>
    <n v="10005"/>
    <n v="10000"/>
    <n v="10075"/>
    <n v="10020"/>
    <n v="10044.5"/>
    <s v=""/>
    <s v="assinatura"/>
    <n v="559"/>
    <n v="10000"/>
    <n v="4.45E-3"/>
    <n v="44.5"/>
    <x v="3"/>
    <x v="1"/>
  </r>
  <r>
    <x v="20"/>
    <x v="1"/>
    <s v="6a9066be54bdb8cac572b131"/>
    <s v="27/08/2026 13:21:17"/>
    <s v="27/08/2026 13:33:02"/>
    <s v="Ranieli"/>
    <s v="27/08/2026"/>
    <x v="1"/>
    <s v="RANIELI MARIA MASQUIETI DOURADO"/>
    <n v="54632"/>
    <n v="1012"/>
    <n v="1005"/>
    <n v="1007"/>
    <n v="1010"/>
    <n v="995"/>
    <n v="1012"/>
    <n v="1007"/>
    <n v="1016"/>
    <n v="1018"/>
    <n v="1020"/>
    <n v="1010.2"/>
    <s v=""/>
    <s v="assinatura"/>
    <n v="356"/>
    <n v="1000"/>
    <n v="1.0200000000000046E-2"/>
    <n v="10.200000000000045"/>
    <x v="11"/>
    <x v="1"/>
  </r>
  <r>
    <x v="20"/>
    <x v="1"/>
    <s v="6a904801de22f29e5a7ffb7a"/>
    <s v="27/08/2026 09:48:54"/>
    <s v="27/08/2026 11:21:53"/>
    <s v="Ranieli"/>
    <s v="27/08/2026"/>
    <x v="1"/>
    <s v="ALANA DA SILVA MARTINS"/>
    <n v="40762"/>
    <n v="9905"/>
    <n v="9935"/>
    <n v="10015"/>
    <n v="10010"/>
    <n v="10145"/>
    <n v="9985"/>
    <n v="9960"/>
    <n v="10015"/>
    <n v="9925"/>
    <n v="9995"/>
    <n v="9989"/>
    <s v=""/>
    <s v="assinatura"/>
    <n v="398"/>
    <n v="10000"/>
    <n v="-1.1000000000000001E-3"/>
    <n v="-11"/>
    <x v="3"/>
    <x v="1"/>
  </r>
  <r>
    <x v="21"/>
    <x v="1"/>
    <s v="6a9260ee9901020d0bb2cb7f"/>
    <s v="28/08/2026 22:52:44"/>
    <s v="29/08/2026 01:32:46"/>
    <s v="Ranieli"/>
    <s v="28/08/2026"/>
    <x v="0"/>
    <s v="JOSEFA KELY NUNES DE SOUSA"/>
    <n v="54632"/>
    <n v="1009"/>
    <n v="1028"/>
    <n v="1008"/>
    <n v="1018"/>
    <n v="1005"/>
    <n v="1002"/>
    <n v="1000"/>
    <n v="1007"/>
    <n v="1001"/>
    <n v="1008"/>
    <n v="1008.6"/>
    <s v=""/>
    <s v=""/>
    <n v="254"/>
    <n v="1000"/>
    <n v="8.6000000000000226E-3"/>
    <n v="8.6000000000000227"/>
    <x v="11"/>
    <x v="1"/>
  </r>
  <r>
    <x v="21"/>
    <x v="1"/>
    <s v="6a9260ee9901020d0bb2cb79"/>
    <s v="28/08/2026 22:43:15"/>
    <s v="29/08/2026 01:32:46"/>
    <s v="Ranieli"/>
    <s v="28/08/2026"/>
    <x v="0"/>
    <s v="JOSEFA KELY NUNES DE SOUSA"/>
    <n v="40762"/>
    <n v="10045"/>
    <n v="10025"/>
    <n v="10075"/>
    <n v="9970"/>
    <n v="10050"/>
    <n v="9965"/>
    <n v="10040"/>
    <n v="10060"/>
    <n v="10040"/>
    <n v="10075"/>
    <n v="10034.5"/>
    <s v=""/>
    <s v="assinatura"/>
    <n v="568"/>
    <n v="10000"/>
    <n v="3.4499999999999999E-3"/>
    <n v="34.5"/>
    <x v="3"/>
    <x v="1"/>
  </r>
  <r>
    <x v="21"/>
    <x v="1"/>
    <s v="6a9260ee9901020d0bb2cb73"/>
    <s v="28/08/2026 22:40:04"/>
    <s v="29/08/2026 01:32:46"/>
    <s v="Ranieli"/>
    <s v="28/08/2026"/>
    <x v="0"/>
    <s v="JOSEFA KELY NUNES DE SOUSA"/>
    <n v="15229"/>
    <n v="1003"/>
    <n v="999"/>
    <n v="1000"/>
    <n v="1014"/>
    <n v="1013"/>
    <n v="1000"/>
    <n v="1012"/>
    <n v="1010"/>
    <n v="1013"/>
    <n v="1004"/>
    <n v="1006.8"/>
    <s v=""/>
    <s v=""/>
    <n v="184"/>
    <n v="1000"/>
    <n v="6.7999999999999545E-3"/>
    <n v="6.7999999999999545"/>
    <x v="9"/>
    <x v="1"/>
  </r>
  <r>
    <x v="21"/>
    <x v="1"/>
    <s v="6a9260ee9901020d0bb2cb6d"/>
    <s v="28/08/2026 22:33:10"/>
    <s v="29/08/2026 01:32:46"/>
    <s v="Ranieli"/>
    <s v="28/08/2026"/>
    <x v="0"/>
    <s v="JOSEFA KELY NUNES DE SOUSA"/>
    <n v="13188"/>
    <n v="1017"/>
    <n v="985"/>
    <n v="974"/>
    <n v="1008"/>
    <n v="1010"/>
    <n v="1015"/>
    <n v="1016"/>
    <n v="1014"/>
    <n v="1023"/>
    <n v="1011"/>
    <n v="1007.3"/>
    <s v=""/>
    <s v="assinatura"/>
    <n v="412"/>
    <n v="1000"/>
    <n v="7.2999999999999541E-3"/>
    <n v="7.2999999999999545"/>
    <x v="8"/>
    <x v="1"/>
  </r>
  <r>
    <x v="21"/>
    <x v="1"/>
    <s v="6a9260ee9901020d0bb2cb67"/>
    <s v="28/08/2026 22:29:19"/>
    <s v="29/08/2026 01:32:46"/>
    <s v="Ranieli"/>
    <s v="28/08/2026"/>
    <x v="0"/>
    <s v="JOSEFA KELY NUNES DE SOUSA"/>
    <n v="15105"/>
    <n v="1041"/>
    <n v="1024"/>
    <n v="1011"/>
    <n v="1018"/>
    <n v="1013"/>
    <n v="1199"/>
    <n v="999"/>
    <n v="1022"/>
    <n v="1017"/>
    <n v="1048"/>
    <n v="1039.2"/>
    <s v=""/>
    <s v="assinatura"/>
    <n v="228"/>
    <n v="1000"/>
    <n v="3.9200000000000047E-2"/>
    <n v="39.200000000000045"/>
    <x v="0"/>
    <x v="0"/>
  </r>
  <r>
    <x v="21"/>
    <x v="1"/>
    <s v="6a9260ee9901020d0bb2cb5b"/>
    <s v="28/08/2026 20:25:55"/>
    <s v="29/08/2026 01:32:46"/>
    <s v="Ranieli"/>
    <s v="28/08/2026"/>
    <x v="0"/>
    <s v="JOSEFA KELY NUNES DE SOUSA"/>
    <n v="792306"/>
    <n v="1072"/>
    <n v="1004"/>
    <n v="991"/>
    <n v="1031"/>
    <n v="1013"/>
    <n v="1016"/>
    <n v="1004"/>
    <n v="994"/>
    <n v="998"/>
    <n v="996"/>
    <n v="1011.9"/>
    <s v=""/>
    <s v="assinatura"/>
    <n v="98"/>
    <n v="1000"/>
    <n v="1.1899999999999977E-2"/>
    <n v="11.899999999999977"/>
    <x v="24"/>
    <x v="0"/>
  </r>
  <r>
    <x v="21"/>
    <x v="1"/>
    <s v="6a9260ee9901020d0bb2cb55"/>
    <s v="28/08/2026 18:13:33"/>
    <s v="29/08/2026 01:32:46"/>
    <s v="Ranieli"/>
    <s v="28/08/2026"/>
    <x v="0"/>
    <s v="JOSEFA KELY NUNES DE SOUSA"/>
    <n v="54632"/>
    <n v="1002"/>
    <n v="1007"/>
    <n v="1000"/>
    <n v="997"/>
    <n v="1005"/>
    <n v="1000"/>
    <n v="995"/>
    <n v="998"/>
    <n v="1004"/>
    <n v="1005"/>
    <n v="1001.3"/>
    <s v=""/>
    <s v=""/>
    <n v="488"/>
    <n v="1000"/>
    <n v="1.2999999999999546E-3"/>
    <n v="1.2999999999999545"/>
    <x v="11"/>
    <x v="1"/>
  </r>
  <r>
    <x v="21"/>
    <x v="1"/>
    <s v="6a9260ee9901020d0bb2cb4f"/>
    <s v="28/08/2026 18:09:21"/>
    <s v="29/08/2026 01:32:46"/>
    <s v="Ranieli"/>
    <s v="28/08/2026"/>
    <x v="0"/>
    <s v="JOSEFA KELY NUNES DE SOUSA"/>
    <n v="13188"/>
    <n v="1007"/>
    <n v="1006"/>
    <n v="995"/>
    <n v="1011"/>
    <n v="1004"/>
    <n v="1011"/>
    <n v="1005"/>
    <n v="1013"/>
    <n v="1009"/>
    <n v="1007"/>
    <n v="1006.8"/>
    <s v=""/>
    <s v="assinatura"/>
    <n v="246"/>
    <n v="1000"/>
    <n v="6.7999999999999545E-3"/>
    <n v="6.7999999999999545"/>
    <x v="8"/>
    <x v="1"/>
  </r>
  <r>
    <x v="21"/>
    <x v="1"/>
    <s v="6a9260ee9901020d0bb2cb47"/>
    <s v="28/08/2026 18:04:47"/>
    <s v="29/08/2026 01:32:46"/>
    <s v="Ranieli"/>
    <s v="28/08/2026"/>
    <x v="0"/>
    <s v="JOSEFA KELY NUNES DE SOUSA"/>
    <n v="15229"/>
    <n v="1003"/>
    <n v="1007"/>
    <n v="1005"/>
    <n v="1015"/>
    <n v="1013"/>
    <n v="999"/>
    <n v="995"/>
    <n v="1015"/>
    <n v="999"/>
    <n v="1014"/>
    <n v="1006.5"/>
    <s v=""/>
    <s v=""/>
    <n v="189"/>
    <n v="1000"/>
    <n v="6.4999999999999997E-3"/>
    <n v="6.5"/>
    <x v="9"/>
    <x v="1"/>
  </r>
  <r>
    <x v="21"/>
    <x v="1"/>
    <s v="6a9260ee9901020d0bb2cb41"/>
    <s v="28/08/2026 17:59:37"/>
    <s v="29/08/2026 01:32:46"/>
    <s v="Ranieli"/>
    <s v="28/08/2026"/>
    <x v="0"/>
    <s v="JOSEFA KELY NUNES DE SOUSA"/>
    <n v="42846"/>
    <n v="2003"/>
    <n v="2004"/>
    <n v="2010"/>
    <n v="2005"/>
    <n v="2006"/>
    <n v="2013"/>
    <n v="2011"/>
    <n v="2011"/>
    <n v="2020"/>
    <n v="2019"/>
    <n v="2010.2"/>
    <s v=""/>
    <s v="assinatura"/>
    <n v="306"/>
    <n v="2000"/>
    <n v="5.1000000000000229E-3"/>
    <n v="10.200000000000045"/>
    <x v="6"/>
    <x v="1"/>
  </r>
  <r>
    <x v="21"/>
    <x v="1"/>
    <s v="6a9260ee9901020d0bb2cb3b"/>
    <s v="28/08/2026 17:56:24"/>
    <s v="29/08/2026 01:32:46"/>
    <s v="Ranieli"/>
    <s v="28/08/2026"/>
    <x v="0"/>
    <s v="JOSEFA KELY NUNES DE SOUSA"/>
    <n v="42854"/>
    <n v="2129"/>
    <n v="2117"/>
    <n v="2085"/>
    <n v="2126"/>
    <n v="2101"/>
    <n v="2102"/>
    <n v="2191"/>
    <n v="2090"/>
    <n v="2092"/>
    <n v="2125"/>
    <n v="2115.8000000000002"/>
    <s v=""/>
    <s v=""/>
    <n v="192"/>
    <n v="2080"/>
    <n v="1.7211538461538549E-2"/>
    <n v="35.800000000000182"/>
    <x v="4"/>
    <x v="1"/>
  </r>
  <r>
    <x v="21"/>
    <x v="1"/>
    <s v="6a9260ee9901020d0bb2cb35"/>
    <s v="28/08/2026 17:50:40"/>
    <s v="29/08/2026 01:32:46"/>
    <s v="Ranieli"/>
    <s v="28/08/2026"/>
    <x v="0"/>
    <s v="JOSEFA KELY NUNES DE SOUSA"/>
    <n v="42862"/>
    <n v="2013"/>
    <n v="2019"/>
    <n v="2011"/>
    <n v="2012"/>
    <n v="1987"/>
    <n v="2004"/>
    <n v="2014"/>
    <n v="2010"/>
    <n v="2016"/>
    <n v="2011"/>
    <n v="2009.7"/>
    <s v=""/>
    <s v="assinatura"/>
    <n v="337"/>
    <n v="2000"/>
    <n v="4.8500000000000227E-3"/>
    <n v="9.7000000000000455"/>
    <x v="5"/>
    <x v="1"/>
  </r>
  <r>
    <x v="21"/>
    <x v="1"/>
    <s v="6a9260ee9901020d0bb2cb2f"/>
    <s v="28/08/2026 17:45:22"/>
    <s v="29/08/2026 01:32:46"/>
    <s v="Ranieli"/>
    <s v="28/08/2026"/>
    <x v="0"/>
    <s v="JOSEFA KELY NUNES DE SOUSA"/>
    <n v="15105"/>
    <n v="994"/>
    <n v="998"/>
    <n v="1004"/>
    <n v="1016"/>
    <n v="1009"/>
    <n v="1019"/>
    <n v="1017"/>
    <n v="990"/>
    <n v="1027"/>
    <n v="1166"/>
    <n v="1024"/>
    <s v=""/>
    <s v="assinatura"/>
    <n v="316"/>
    <n v="1000"/>
    <n v="2.4E-2"/>
    <n v="24"/>
    <x v="0"/>
    <x v="0"/>
  </r>
  <r>
    <x v="21"/>
    <x v="1"/>
    <s v="6a923f3154bdb8cac5751e08"/>
    <s v="28/08/2026 23:05:46"/>
    <s v="28/08/2026 23:08:49"/>
    <s v="Ranieli"/>
    <s v="28/08/2026"/>
    <x v="0"/>
    <s v="JULIANE GOMES NOVAIS"/>
    <n v="197742"/>
    <n v="997"/>
    <n v="991"/>
    <n v="998"/>
    <n v="1165"/>
    <n v="1005"/>
    <n v="996"/>
    <n v="1000"/>
    <n v="995"/>
    <n v="999"/>
    <n v="1000"/>
    <n v="1014.6"/>
    <s v=""/>
    <s v="assinatura"/>
    <n v="180"/>
    <n v="1000"/>
    <n v="1.4600000000000023E-2"/>
    <n v="14.600000000000023"/>
    <x v="23"/>
    <x v="3"/>
  </r>
  <r>
    <x v="21"/>
    <x v="1"/>
    <s v="6a923d87f32c242bff7b3af1"/>
    <s v="28/08/2026 22:58:51"/>
    <s v="28/08/2026 23:01:43"/>
    <s v="Ranieli"/>
    <s v="28/08/2026"/>
    <x v="0"/>
    <s v="JULIANE GOMES NOVAIS"/>
    <n v="15229"/>
    <n v="1018"/>
    <n v="1005"/>
    <n v="1011"/>
    <n v="1005"/>
    <n v="996"/>
    <n v="1020"/>
    <n v="1007"/>
    <n v="1008"/>
    <n v="1007"/>
    <n v="1020"/>
    <n v="1009.7"/>
    <s v=""/>
    <s v=""/>
    <n v="124"/>
    <n v="1000"/>
    <n v="9.7000000000000454E-3"/>
    <n v="9.7000000000000455"/>
    <x v="9"/>
    <x v="1"/>
  </r>
  <r>
    <x v="21"/>
    <x v="1"/>
    <s v="6a923d87f32c242bff7b3aeb"/>
    <s v="28/08/2026 22:56:22"/>
    <s v="28/08/2026 23:01:43"/>
    <s v="Ranieli"/>
    <s v="28/08/2026"/>
    <x v="0"/>
    <s v=""/>
    <n v="15229"/>
    <n v="1003"/>
    <n v="1016"/>
    <n v="997"/>
    <n v="1010"/>
    <n v="998"/>
    <n v="1012"/>
    <n v="1013"/>
    <n v="999"/>
    <n v="1014"/>
    <n v="1011"/>
    <n v="1007.3"/>
    <s v=""/>
    <s v="assinatura"/>
    <n v="148"/>
    <n v="1000"/>
    <n v="7.2999999999999541E-3"/>
    <n v="7.2999999999999545"/>
    <x v="9"/>
    <x v="1"/>
  </r>
  <r>
    <x v="21"/>
    <x v="1"/>
    <s v="6a9238f2bc1d2960e6699eaf"/>
    <s v="28/08/2026 21:37:20"/>
    <s v="28/08/2026 22:42:10"/>
    <s v="Ranieli"/>
    <s v="28/08/2026"/>
    <x v="0"/>
    <s v="JULIANE GOMES NOVAIS"/>
    <n v="15105"/>
    <n v="1027"/>
    <n v="1017"/>
    <n v="1034"/>
    <n v="1022"/>
    <n v="1003"/>
    <n v="996"/>
    <n v="1040"/>
    <n v="1031"/>
    <n v="1004"/>
    <n v="1060"/>
    <n v="1023.4"/>
    <s v=""/>
    <s v="assinatura"/>
    <n v="3888"/>
    <n v="1000"/>
    <n v="2.3399999999999976E-2"/>
    <n v="23.399999999999977"/>
    <x v="0"/>
    <x v="0"/>
  </r>
  <r>
    <x v="21"/>
    <x v="1"/>
    <s v="6a922b7cadf54cf173829b07"/>
    <s v="28/08/2026 21:24:18"/>
    <s v="28/08/2026 21:44:44"/>
    <s v="Ranieli"/>
    <s v="28/08/2026"/>
    <x v="0"/>
    <s v="JULIANE GOMES NOVAIS"/>
    <n v="55552"/>
    <n v="15080"/>
    <n v="15100"/>
    <n v="15040"/>
    <n v="15025"/>
    <n v="15060"/>
    <n v="15150"/>
    <n v="15120"/>
    <n v="15090"/>
    <n v="15145"/>
    <n v="15080"/>
    <n v="15089"/>
    <s v=""/>
    <s v="assinatura"/>
    <n v="245"/>
    <n v="15000"/>
    <n v="5.933333333333333E-3"/>
    <n v="89"/>
    <x v="25"/>
    <x v="1"/>
  </r>
  <r>
    <x v="21"/>
    <x v="1"/>
    <s v="6a922b7cadf54cf173829b01"/>
    <s v="28/08/2026 20:54:29"/>
    <s v="28/08/2026 21:44:44"/>
    <s v="Ranieli"/>
    <s v="28/08/2026"/>
    <x v="0"/>
    <s v="JULIANE GOMES NOVAIS"/>
    <n v="55552"/>
    <n v="15110"/>
    <n v="15255"/>
    <n v="15050"/>
    <n v="14980"/>
    <n v="15060"/>
    <n v="15080"/>
    <n v="15090"/>
    <n v="15040"/>
    <n v="15015"/>
    <n v="15070"/>
    <n v="15075"/>
    <s v=""/>
    <s v="assinatura"/>
    <n v="2106"/>
    <n v="15000"/>
    <n v="5.0000000000000001E-3"/>
    <n v="75"/>
    <x v="25"/>
    <x v="1"/>
  </r>
  <r>
    <x v="21"/>
    <x v="1"/>
    <s v="6a9220c8746a74100a585a5e"/>
    <s v="28/08/2026 20:50:25"/>
    <s v="28/08/2026 20:59:04"/>
    <s v="Ranieli"/>
    <s v="28/08/2026"/>
    <x v="0"/>
    <s v="JULIANE GOMES NOVAIS"/>
    <n v="13188"/>
    <n v="994"/>
    <n v="996"/>
    <n v="1004"/>
    <n v="994"/>
    <n v="991"/>
    <n v="986"/>
    <n v="993"/>
    <n v="1004"/>
    <n v="994"/>
    <n v="1014"/>
    <n v="997"/>
    <s v=""/>
    <s v="assinatura"/>
    <n v="454"/>
    <n v="1000"/>
    <n v="-3.0000000000000001E-3"/>
    <n v="-3"/>
    <x v="8"/>
    <x v="1"/>
  </r>
  <r>
    <x v="21"/>
    <x v="1"/>
    <s v="6a9220c8746a74100a585a56"/>
    <s v="28/08/2026 20:47:12"/>
    <s v="28/08/2026 20:59:04"/>
    <s v="Ranieli"/>
    <s v="28/08/2026"/>
    <x v="0"/>
    <s v="JULIANE GOMES NOVAIS"/>
    <n v="13188"/>
    <n v="1000"/>
    <n v="1003"/>
    <n v="1024"/>
    <n v="1009"/>
    <n v="1010"/>
    <n v="1008"/>
    <n v="1013"/>
    <n v="1001"/>
    <n v="1005"/>
    <n v="1000"/>
    <n v="1007.3"/>
    <s v=""/>
    <s v="assinatura"/>
    <n v="622"/>
    <n v="1000"/>
    <n v="7.2999999999999541E-3"/>
    <n v="7.2999999999999545"/>
    <x v="8"/>
    <x v="1"/>
  </r>
  <r>
    <x v="21"/>
    <x v="1"/>
    <s v="6a9220c8746a74100a585a50"/>
    <s v="28/08/2026 20:43:45"/>
    <s v="28/08/2026 20:59:04"/>
    <s v="Ranieli"/>
    <s v="28/08/2026"/>
    <x v="0"/>
    <s v="JULIANE GOMES NOVAIS"/>
    <n v="13188"/>
    <n v="1004"/>
    <n v="996"/>
    <n v="1001"/>
    <n v="1008"/>
    <n v="1000"/>
    <n v="1008"/>
    <n v="1007"/>
    <n v="1009"/>
    <n v="1005"/>
    <n v="1011"/>
    <n v="1004.9"/>
    <s v=""/>
    <s v="assinatura"/>
    <n v="801"/>
    <n v="1000"/>
    <n v="4.8999999999999773E-3"/>
    <n v="4.8999999999999773"/>
    <x v="8"/>
    <x v="1"/>
  </r>
  <r>
    <x v="21"/>
    <x v="1"/>
    <s v="6a9220c8746a74100a585a4a"/>
    <s v="28/08/2026 20:35:06"/>
    <s v="28/08/2026 20:59:04"/>
    <s v="Ranieli"/>
    <s v="28/08/2026"/>
    <x v="0"/>
    <s v="JULIANE GOMES NOVAIS"/>
    <n v="13188"/>
    <n v="1018"/>
    <n v="1015"/>
    <n v="1017"/>
    <n v="1020"/>
    <n v="1020"/>
    <n v="1018"/>
    <n v="998"/>
    <n v="1001"/>
    <n v="1002"/>
    <n v="1020"/>
    <n v="1012.9"/>
    <s v=""/>
    <s v="assinatura"/>
    <n v="499"/>
    <n v="1000"/>
    <n v="1.2899999999999977E-2"/>
    <n v="12.899999999999977"/>
    <x v="8"/>
    <x v="1"/>
  </r>
  <r>
    <x v="21"/>
    <x v="1"/>
    <s v="6a91fafcf2190f1532fc46d3"/>
    <s v="28/08/2026 17:39:34"/>
    <s v="28/08/2026 18:17:48"/>
    <s v="Ranieli"/>
    <s v="28/08/2026"/>
    <x v="0"/>
    <s v="JULIANE GOMES NOVAIS"/>
    <n v="13188"/>
    <n v="1006"/>
    <n v="1011"/>
    <n v="1009"/>
    <n v="997"/>
    <n v="1007"/>
    <n v="1006"/>
    <n v="1014"/>
    <n v="1006"/>
    <n v="1010"/>
    <n v="1008"/>
    <n v="1007.4"/>
    <s v=""/>
    <s v="assinatura"/>
    <n v="2293"/>
    <n v="1000"/>
    <n v="7.3999999999999769E-3"/>
    <n v="7.3999999999999773"/>
    <x v="8"/>
    <x v="1"/>
  </r>
  <r>
    <x v="21"/>
    <x v="1"/>
    <s v="6a91fae254bdb8cac574f782"/>
    <s v="28/08/2026 18:08:50"/>
    <s v="28/08/2026 18:17:22"/>
    <s v="Ranieli"/>
    <s v="28/08/2026"/>
    <x v="0"/>
    <s v="JULIANE GOMES NOVAIS"/>
    <n v="15105"/>
    <n v="1189"/>
    <n v="1253"/>
    <n v="1025"/>
    <n v="1007"/>
    <n v="1053"/>
    <n v="995"/>
    <n v="1038"/>
    <n v="949"/>
    <n v="1004"/>
    <n v="998"/>
    <n v="1051.0999999999999"/>
    <s v=""/>
    <s v="assinatura"/>
    <n v="350"/>
    <n v="1000"/>
    <n v="5.1099999999999909E-2"/>
    <n v="51.099999999999909"/>
    <x v="0"/>
    <x v="0"/>
  </r>
  <r>
    <x v="21"/>
    <x v="1"/>
    <s v="6a91fae254bdb8cac574f77c"/>
    <s v="28/08/2026 17:59:53"/>
    <s v="28/08/2026 18:17:22"/>
    <s v="Ranieli"/>
    <s v="28/08/2026"/>
    <x v="0"/>
    <s v="JULIANE GOMES NOVAIS"/>
    <n v="15229"/>
    <n v="1013"/>
    <n v="997"/>
    <n v="994"/>
    <n v="1015"/>
    <n v="1015"/>
    <n v="999"/>
    <n v="1006"/>
    <n v="1003"/>
    <n v="1010"/>
    <n v="1005"/>
    <n v="1005.7"/>
    <s v=""/>
    <s v="assinatura"/>
    <n v="210"/>
    <n v="1000"/>
    <n v="5.7000000000000453E-3"/>
    <n v="5.7000000000000455"/>
    <x v="9"/>
    <x v="1"/>
  </r>
  <r>
    <x v="21"/>
    <x v="1"/>
    <s v="6a91fae254bdb8cac574f776"/>
    <s v="28/08/2026 17:55:42"/>
    <s v="28/08/2026 18:17:22"/>
    <s v="Ranieli"/>
    <s v="28/08/2026"/>
    <x v="0"/>
    <s v="JULIANE GOMES NOVAIS"/>
    <n v="15229"/>
    <n v="1004"/>
    <n v="1008"/>
    <n v="998"/>
    <n v="1007"/>
    <n v="1003"/>
    <n v="991"/>
    <n v="1000"/>
    <n v="1004"/>
    <n v="1002"/>
    <n v="997"/>
    <n v="1001.4"/>
    <s v=""/>
    <s v=""/>
    <n v="250"/>
    <n v="1000"/>
    <n v="1.3999999999999772E-3"/>
    <n v="1.3999999999999773"/>
    <x v="9"/>
    <x v="1"/>
  </r>
  <r>
    <x v="21"/>
    <x v="1"/>
    <s v="6a91fae254bdb8cac574f770"/>
    <s v="28/08/2026 17:50:36"/>
    <s v="28/08/2026 18:17:22"/>
    <s v="Ranieli"/>
    <s v="28/08/2026"/>
    <x v="0"/>
    <s v="JULIANE GOMES NOVAIS"/>
    <n v="15229"/>
    <n v="1003"/>
    <n v="995"/>
    <n v="1006"/>
    <n v="995"/>
    <n v="1009"/>
    <n v="1000"/>
    <n v="998"/>
    <n v="1003"/>
    <n v="1007"/>
    <n v="1011"/>
    <n v="1002.7"/>
    <s v=""/>
    <s v="assinatura"/>
    <n v="300"/>
    <n v="1000"/>
    <n v="2.7000000000000457E-3"/>
    <n v="2.7000000000000455"/>
    <x v="9"/>
    <x v="1"/>
  </r>
  <r>
    <x v="21"/>
    <x v="1"/>
    <s v="6a91fae254bdb8cac574f76a"/>
    <s v="28/08/2026 17:47:06"/>
    <s v="28/08/2026 18:17:22"/>
    <s v="Ranieli"/>
    <s v="28/08/2026"/>
    <x v="0"/>
    <s v="JULIANE GOMES NOVAIS"/>
    <n v="13188"/>
    <n v="992"/>
    <n v="1000"/>
    <n v="1001"/>
    <n v="973"/>
    <n v="1003"/>
    <n v="1005"/>
    <n v="998"/>
    <n v="1000"/>
    <n v="995"/>
    <n v="1004"/>
    <n v="997.1"/>
    <s v=""/>
    <s v=""/>
    <n v="208"/>
    <n v="1000"/>
    <n v="-2.8999999999999772E-3"/>
    <n v="-2.8999999999999773"/>
    <x v="8"/>
    <x v="1"/>
  </r>
  <r>
    <x v="21"/>
    <x v="1"/>
    <s v="6a91fae254bdb8cac574f764"/>
    <s v="28/08/2026 17:43:36"/>
    <s v="28/08/2026 18:17:22"/>
    <s v="Ranieli"/>
    <s v="28/08/2026"/>
    <x v="0"/>
    <s v="JULIANE GOMES NOVAIS"/>
    <n v="13188"/>
    <n v="1010"/>
    <n v="1012"/>
    <n v="1006"/>
    <n v="997"/>
    <n v="1013"/>
    <n v="1014"/>
    <n v="1013"/>
    <n v="1009"/>
    <n v="1008"/>
    <n v="1006"/>
    <n v="1008.8"/>
    <s v=""/>
    <s v="assinatura"/>
    <n v="208"/>
    <n v="1000"/>
    <n v="8.7999999999999537E-3"/>
    <n v="8.7999999999999545"/>
    <x v="8"/>
    <x v="1"/>
  </r>
  <r>
    <x v="21"/>
    <x v="1"/>
    <s v="6a91fae254bdb8cac574f75e"/>
    <s v="28/08/2026 17:09:54"/>
    <s v="28/08/2026 18:17:22"/>
    <s v="Ranieli"/>
    <s v="28/08/2026"/>
    <x v="0"/>
    <s v="JULIANE GOMES NOVAIS"/>
    <n v="40762"/>
    <n v="10045"/>
    <n v="10070"/>
    <n v="10060"/>
    <n v="9970"/>
    <n v="10125"/>
    <n v="10110"/>
    <n v="10025"/>
    <n v="10055"/>
    <n v="10050"/>
    <n v="10085"/>
    <n v="10059.5"/>
    <s v=""/>
    <s v="assinatura"/>
    <n v="977"/>
    <n v="10000"/>
    <n v="5.9500000000000004E-3"/>
    <n v="59.5"/>
    <x v="3"/>
    <x v="1"/>
  </r>
  <r>
    <x v="21"/>
    <x v="1"/>
    <s v="6a91fae254bdb8cac574f758"/>
    <s v="28/08/2026 16:31:18"/>
    <s v="28/08/2026 18:17:22"/>
    <s v="Ranieli"/>
    <s v="28/08/2026"/>
    <x v="0"/>
    <s v="JULIANE GOMES NOVAIS"/>
    <n v="15105"/>
    <n v="986"/>
    <n v="1038"/>
    <n v="1007"/>
    <n v="994"/>
    <n v="1004"/>
    <n v="1004"/>
    <n v="1054"/>
    <n v="992"/>
    <n v="1053"/>
    <n v="1055"/>
    <n v="1018.7"/>
    <s v=""/>
    <s v="assinatura"/>
    <n v="2935"/>
    <n v="1000"/>
    <n v="1.8700000000000046E-2"/>
    <n v="18.700000000000045"/>
    <x v="0"/>
    <x v="0"/>
  </r>
  <r>
    <x v="22"/>
    <x v="2"/>
    <s v="6a96d8788a2cf415c7d9f3b2"/>
    <s v="01/09/2026 10:42:49"/>
    <s v="01/09/2026 10:51:52"/>
    <s v="Ranieli"/>
    <s v="01/09/2026"/>
    <x v="1"/>
    <s v="ALANA DA SILVA MARTINS"/>
    <n v="864048"/>
    <n v="2168"/>
    <n v="1943"/>
    <n v="2313"/>
    <n v="2061"/>
    <n v="2253"/>
    <n v="2146"/>
    <n v="2267"/>
    <n v="2191"/>
    <n v="2206"/>
    <n v="2080"/>
    <n v="2162.8000000000002"/>
    <s v=""/>
    <s v="assinatura"/>
    <n v="347"/>
    <n v="2000"/>
    <n v="8.1400000000000097E-2"/>
    <n v="162.80000000000018"/>
    <x v="26"/>
    <x v="1"/>
  </r>
  <r>
    <x v="22"/>
    <x v="2"/>
    <s v="6a96d8788a2cf415c7d9f3aa"/>
    <s v="01/09/2026 10:40:23"/>
    <s v="01/09/2026 10:51:52"/>
    <s v="Ranieli"/>
    <s v="01/09/2026"/>
    <x v="1"/>
    <s v="ALANA DA SILVA MARTINS"/>
    <n v="42862"/>
    <n v="2023"/>
    <n v="2028"/>
    <n v="2036"/>
    <n v="2047"/>
    <n v="2024"/>
    <n v="2067"/>
    <n v="2015"/>
    <n v="2083"/>
    <n v="2012"/>
    <n v="2064"/>
    <n v="2039.9"/>
    <s v=""/>
    <s v=""/>
    <n v="143"/>
    <n v="2000"/>
    <n v="1.9950000000000044E-2"/>
    <n v="39.900000000000091"/>
    <x v="5"/>
    <x v="1"/>
  </r>
  <r>
    <x v="22"/>
    <x v="2"/>
    <s v="6a96d8788a2cf415c7d9f3a4"/>
    <s v="01/09/2026 10:36:54"/>
    <s v="01/09/2026 10:51:52"/>
    <s v="Ranieli"/>
    <s v="01/09/2026"/>
    <x v="1"/>
    <s v="ALANA DA SILVA MARTINS"/>
    <n v="42846"/>
    <n v="2043"/>
    <n v="2093"/>
    <n v="2005"/>
    <n v="2060"/>
    <n v="1965"/>
    <n v="2054"/>
    <n v="2070"/>
    <n v="2057"/>
    <n v="1998"/>
    <n v="2081"/>
    <n v="2042.6"/>
    <s v=""/>
    <s v=""/>
    <n v="204"/>
    <n v="2000"/>
    <n v="2.1299999999999954E-2"/>
    <n v="42.599999999999909"/>
    <x v="6"/>
    <x v="1"/>
  </r>
  <r>
    <x v="22"/>
    <x v="2"/>
    <s v="6a96d8788a2cf415c7d9f39e"/>
    <s v="01/09/2026 10:30:17"/>
    <s v="01/09/2026 10:51:52"/>
    <s v="Ranieli"/>
    <s v="01/09/2026"/>
    <x v="1"/>
    <s v="ALANA DA SILVA MARTINS"/>
    <n v="42854"/>
    <n v="2131"/>
    <n v="2201"/>
    <n v="2193"/>
    <n v="2123"/>
    <n v="2160"/>
    <n v="2137"/>
    <n v="2168"/>
    <n v="2173"/>
    <n v="2174"/>
    <n v="2169"/>
    <n v="2162.9"/>
    <s v=""/>
    <s v=""/>
    <n v="391"/>
    <n v="2080"/>
    <n v="3.9855769230769278E-2"/>
    <n v="82.900000000000091"/>
    <x v="4"/>
    <x v="1"/>
  </r>
  <r>
    <x v="22"/>
    <x v="2"/>
    <s v="6a96d34043066e508048ca20"/>
    <s v="01/09/2026 10:24:16"/>
    <s v="01/09/2026 10:29:36"/>
    <s v="Ranieli"/>
    <s v="01/09/2026"/>
    <x v="1"/>
    <s v=""/>
    <n v="18163"/>
    <n v="1005"/>
    <n v="1006"/>
    <n v="1005"/>
    <n v="995"/>
    <n v="997"/>
    <n v="995"/>
    <n v="1005"/>
    <n v="1000"/>
    <n v="1003"/>
    <n v="998"/>
    <n v="1000.9"/>
    <s v=""/>
    <s v=""/>
    <n v="317"/>
    <n v="1000"/>
    <n v="8.9999999999997732E-4"/>
    <n v="0.89999999999997726"/>
    <x v="27"/>
    <x v="6"/>
  </r>
  <r>
    <x v="23"/>
    <x v="1"/>
    <s v="6a96592d8a2cf415c7d91786"/>
    <s v="31/08/2026 23:34:20"/>
    <s v="01/09/2026 01:48:45"/>
    <s v="Ranieli"/>
    <s v="31/08/2026"/>
    <x v="0"/>
    <s v="JOSEFA KELY NUNES DE SOUSA"/>
    <n v="54632"/>
    <n v="1005"/>
    <n v="999"/>
    <n v="998"/>
    <n v="1009"/>
    <n v="999"/>
    <n v="997"/>
    <n v="1001"/>
    <n v="1006"/>
    <n v="995"/>
    <n v="1000"/>
    <n v="1000.9"/>
    <s v=""/>
    <s v="assinatura"/>
    <n v="310"/>
    <n v="1000"/>
    <n v="8.9999999999997732E-4"/>
    <n v="0.89999999999997726"/>
    <x v="11"/>
    <x v="1"/>
  </r>
  <r>
    <x v="23"/>
    <x v="1"/>
    <s v="6a96592d8a2cf415c7d9177e"/>
    <s v="31/08/2026 23:28:34"/>
    <s v="01/09/2026 01:48:45"/>
    <s v="Ranieli"/>
    <s v="31/08/2026"/>
    <x v="0"/>
    <s v="JOSEFA KELY NUNES DE SOUSA"/>
    <n v="13188"/>
    <n v="1006"/>
    <n v="995"/>
    <n v="1014"/>
    <n v="1002"/>
    <n v="1008"/>
    <n v="996"/>
    <n v="1013"/>
    <n v="1015"/>
    <n v="1016"/>
    <n v="1016"/>
    <n v="1008.1"/>
    <s v=""/>
    <s v=""/>
    <n v="345"/>
    <n v="1000"/>
    <n v="8.1000000000000221E-3"/>
    <n v="8.1000000000000227"/>
    <x v="8"/>
    <x v="1"/>
  </r>
  <r>
    <x v="23"/>
    <x v="1"/>
    <s v="6a96592d8a2cf415c7d91778"/>
    <s v="31/08/2026 23:20:48"/>
    <s v="01/09/2026 01:48:45"/>
    <s v="Ranieli"/>
    <s v="31/08/2026"/>
    <x v="0"/>
    <s v="JOSEFA KELY NUNES DE SOUSA"/>
    <n v="15229"/>
    <n v="1013"/>
    <n v="1012"/>
    <n v="1012"/>
    <n v="1014"/>
    <n v="1012"/>
    <n v="1014"/>
    <n v="1011"/>
    <n v="1016"/>
    <n v="1016"/>
    <n v="1015"/>
    <n v="1013.5"/>
    <s v=""/>
    <s v="assinatura"/>
    <n v="464"/>
    <n v="1000"/>
    <n v="1.35E-2"/>
    <n v="13.5"/>
    <x v="9"/>
    <x v="1"/>
  </r>
  <r>
    <x v="23"/>
    <x v="1"/>
    <s v="6a96592d8a2cf415c7d91772"/>
    <s v="31/08/2026 23:16:15"/>
    <s v="01/09/2026 01:48:45"/>
    <s v="Ranieli"/>
    <s v="31/08/2026"/>
    <x v="0"/>
    <s v="JOSEFA KELY NUNES DE SOUSA"/>
    <n v="15105"/>
    <n v="996"/>
    <n v="1009"/>
    <n v="1023"/>
    <n v="1043"/>
    <n v="1015"/>
    <n v="1006"/>
    <n v="1023"/>
    <n v="1019"/>
    <n v="1008"/>
    <n v="1069"/>
    <n v="1021.1"/>
    <s v=""/>
    <s v=""/>
    <n v="271"/>
    <n v="1000"/>
    <n v="2.1100000000000022E-2"/>
    <n v="21.100000000000023"/>
    <x v="0"/>
    <x v="0"/>
  </r>
  <r>
    <x v="23"/>
    <x v="1"/>
    <s v="6a96592d8a2cf415c7d9176c"/>
    <s v="31/08/2026 22:59:48"/>
    <s v="01/09/2026 01:48:45"/>
    <s v="Ranieli"/>
    <s v="31/08/2026"/>
    <x v="0"/>
    <s v="JOSEFA KELY NUNES DE SOUSA"/>
    <n v="792306"/>
    <n v="1006"/>
    <n v="997"/>
    <n v="1004"/>
    <n v="1049"/>
    <n v="1005"/>
    <n v="999"/>
    <n v="1099"/>
    <n v="1053"/>
    <n v="991"/>
    <n v="1007"/>
    <n v="1021"/>
    <s v=""/>
    <s v="assinatura"/>
    <n v="983"/>
    <n v="1000"/>
    <n v="2.1000000000000001E-2"/>
    <n v="21"/>
    <x v="24"/>
    <x v="0"/>
  </r>
  <r>
    <x v="23"/>
    <x v="1"/>
    <s v="6a96592d8a2cf415c7d91766"/>
    <s v="31/08/2026 22:30:02"/>
    <s v="01/09/2026 01:48:45"/>
    <s v="Ranieli"/>
    <s v="31/08/2026"/>
    <x v="0"/>
    <s v="JOSEFA KELY NUNES DE SOUSA"/>
    <n v="995638"/>
    <n v="14995"/>
    <n v="15035"/>
    <n v="15010"/>
    <n v="15030"/>
    <n v="15030"/>
    <n v="15045"/>
    <n v="15045"/>
    <n v="15055"/>
    <n v="15035"/>
    <n v="15020"/>
    <n v="15030"/>
    <s v=""/>
    <s v="assinatura"/>
    <n v="1785"/>
    <n v="15000"/>
    <n v="2E-3"/>
    <n v="30"/>
    <x v="21"/>
    <x v="3"/>
  </r>
  <r>
    <x v="23"/>
    <x v="1"/>
    <s v="6a96592c8a2cf415c7d91754"/>
    <s v="31/08/2026 18:48:35"/>
    <s v="01/09/2026 01:48:44"/>
    <s v="Ranieli"/>
    <s v="31/08/2026"/>
    <x v="0"/>
    <s v="JOSEFA KELY NUNES DE SOUSA"/>
    <n v="42854"/>
    <n v="2033"/>
    <n v="2080"/>
    <n v="2087"/>
    <n v="2099"/>
    <n v="2083"/>
    <n v="2096"/>
    <n v="2087"/>
    <n v="2091"/>
    <n v="2078"/>
    <n v="2106"/>
    <n v="2084"/>
    <s v=""/>
    <s v=""/>
    <n v="95"/>
    <n v="2080"/>
    <n v="1.9230769230769232E-3"/>
    <n v="4"/>
    <x v="4"/>
    <x v="1"/>
  </r>
  <r>
    <x v="23"/>
    <x v="1"/>
    <s v="6a96592c8a2cf415c7d9174e"/>
    <s v="31/08/2026 18:45:36"/>
    <s v="01/09/2026 01:48:44"/>
    <s v="Ranieli"/>
    <s v="31/08/2026"/>
    <x v="0"/>
    <s v="JOSEFA KELY NUNES DE SOUSA"/>
    <n v="42846"/>
    <n v="2003"/>
    <n v="2012"/>
    <n v="2021"/>
    <n v="2017"/>
    <n v="2007"/>
    <n v="2012"/>
    <n v="2005"/>
    <n v="2020"/>
    <n v="2012"/>
    <n v="2008"/>
    <n v="2011.7"/>
    <s v=""/>
    <s v="assinatura"/>
    <n v="102"/>
    <n v="2000"/>
    <n v="5.8500000000000227E-3"/>
    <n v="11.700000000000045"/>
    <x v="6"/>
    <x v="1"/>
  </r>
  <r>
    <x v="23"/>
    <x v="1"/>
    <s v="6a96592c8a2cf415c7d91748"/>
    <s v="31/08/2026 18:43:53"/>
    <s v="01/09/2026 01:48:44"/>
    <s v="Ranieli"/>
    <s v="31/08/2026"/>
    <x v="0"/>
    <s v="JOSEFA KELY NUNES DE SOUSA"/>
    <n v="42862"/>
    <n v="2015"/>
    <n v="1983"/>
    <n v="1999"/>
    <n v="2002"/>
    <n v="2019"/>
    <n v="2014"/>
    <n v="2000"/>
    <n v="2013"/>
    <n v="2008"/>
    <n v="2011"/>
    <n v="2006.4"/>
    <s v=""/>
    <s v=""/>
    <n v="96"/>
    <n v="2000"/>
    <n v="3.2000000000000457E-3"/>
    <n v="6.4000000000000909"/>
    <x v="5"/>
    <x v="1"/>
  </r>
  <r>
    <x v="23"/>
    <x v="1"/>
    <s v="6a96592c8a2cf415c7d91742"/>
    <s v="31/08/2026 18:40:14"/>
    <s v="01/09/2026 01:48:44"/>
    <s v="Ranieli"/>
    <s v="31/08/2026"/>
    <x v="0"/>
    <s v="JOSEFA KELY NUNES DE SOUSA"/>
    <n v="42820"/>
    <n v="2031"/>
    <n v="2055"/>
    <n v="2032"/>
    <n v="2024"/>
    <n v="2035"/>
    <n v="2025"/>
    <n v="2020"/>
    <n v="2031"/>
    <n v="2041"/>
    <n v="2030"/>
    <n v="2032.4"/>
    <s v=""/>
    <s v="assinatura"/>
    <n v="207"/>
    <n v="2000"/>
    <n v="1.6200000000000044E-2"/>
    <n v="32.400000000000091"/>
    <x v="10"/>
    <x v="1"/>
  </r>
  <r>
    <x v="23"/>
    <x v="1"/>
    <s v="6a96592c8a2cf415c7d9173c"/>
    <s v="31/08/2026 18:33:16"/>
    <s v="01/09/2026 01:48:44"/>
    <s v="Ranieli"/>
    <s v="31/08/2026"/>
    <x v="0"/>
    <s v="JOSEFA KELY NUNES DE SOUSA"/>
    <n v="42838"/>
    <n v="2052"/>
    <n v="2025"/>
    <n v="2010"/>
    <n v="2046"/>
    <n v="2045"/>
    <n v="2054"/>
    <n v="2050"/>
    <n v="2046"/>
    <n v="2045"/>
    <n v="2039"/>
    <n v="2041.2"/>
    <s v=""/>
    <s v=""/>
    <n v="417"/>
    <n v="2000"/>
    <n v="2.0600000000000021E-2"/>
    <n v="41.200000000000045"/>
    <x v="7"/>
    <x v="1"/>
  </r>
  <r>
    <x v="23"/>
    <x v="1"/>
    <s v="6a96592c8a2cf415c7d91736"/>
    <s v="31/08/2026 17:50:12"/>
    <s v="01/09/2026 01:48:44"/>
    <s v="Ranieli"/>
    <s v="31/08/2026"/>
    <x v="0"/>
    <s v="JOSEFA KELY NUNES DE SOUSA"/>
    <n v="40762"/>
    <n v="9970"/>
    <n v="10025"/>
    <n v="10050"/>
    <n v="9995"/>
    <n v="10055"/>
    <n v="10060"/>
    <n v="10035"/>
    <n v="10035"/>
    <n v="9980"/>
    <n v="10065"/>
    <n v="10027"/>
    <s v=""/>
    <s v="assinatura"/>
    <n v="666"/>
    <n v="10000"/>
    <n v="2.7000000000000001E-3"/>
    <n v="27"/>
    <x v="3"/>
    <x v="1"/>
  </r>
  <r>
    <x v="23"/>
    <x v="1"/>
    <s v="6a96592c8a2cf415c7d91730"/>
    <s v="31/08/2026 17:45:34"/>
    <s v="01/09/2026 01:48:44"/>
    <s v="Ranieli"/>
    <s v="31/08/2026"/>
    <x v="0"/>
    <s v="JOSEFA KELY NUNES DE SOUSA"/>
    <n v="992093"/>
    <n v="5003"/>
    <n v="5001"/>
    <n v="5005"/>
    <n v="5012"/>
    <n v="5010"/>
    <n v="5000"/>
    <n v="5007"/>
    <n v="5009"/>
    <n v="5008"/>
    <n v="5006"/>
    <n v="5006.1000000000004"/>
    <s v=""/>
    <s v=""/>
    <n v="241"/>
    <n v="5000"/>
    <n v="1.2200000000000728E-3"/>
    <n v="6.1000000000003638"/>
    <x v="13"/>
    <x v="3"/>
  </r>
  <r>
    <x v="23"/>
    <x v="1"/>
    <s v="6a96592c8a2cf415c7d9172a"/>
    <s v="31/08/2026 17:34:23"/>
    <s v="01/09/2026 01:48:44"/>
    <s v="Ranieli"/>
    <s v="31/08/2026"/>
    <x v="0"/>
    <s v="JOSEFA KELY NUNES DE SOUSA"/>
    <n v="15105"/>
    <n v="1034"/>
    <n v="1042"/>
    <n v="995"/>
    <n v="1117"/>
    <n v="1088"/>
    <n v="998"/>
    <n v="1004"/>
    <n v="1035"/>
    <n v="1008"/>
    <n v="1043"/>
    <n v="1036.4000000000001"/>
    <s v=""/>
    <s v="assinatura"/>
    <n v="653"/>
    <n v="1000"/>
    <n v="3.6400000000000092E-2"/>
    <n v="36.400000000000091"/>
    <x v="0"/>
    <x v="0"/>
  </r>
  <r>
    <x v="23"/>
    <x v="1"/>
    <s v="6a963c1272d6d33ccf1e02ce"/>
    <s v="31/08/2026 23:37:02"/>
    <s v="31/08/2026 23:44:34"/>
    <s v="Ranieli"/>
    <s v="31/08/2026"/>
    <x v="0"/>
    <s v="JULIANE GOMES NOVAIS"/>
    <n v="40762"/>
    <n v="10060"/>
    <n v="10080"/>
    <n v="10180"/>
    <n v="10065"/>
    <n v="10070"/>
    <n v="10050"/>
    <n v="10065"/>
    <n v="10045"/>
    <n v="10030"/>
    <n v="10045"/>
    <n v="10069"/>
    <s v=""/>
    <s v="assinatura"/>
    <n v="389"/>
    <n v="10000"/>
    <n v="6.8999999999999999E-3"/>
    <n v="69"/>
    <x v="3"/>
    <x v="1"/>
  </r>
  <r>
    <x v="23"/>
    <x v="1"/>
    <s v="6a962001ddee78aa07e635e1"/>
    <s v="31/08/2026 21:38:21"/>
    <s v="31/08/2026 21:44:49"/>
    <s v="Ranieli"/>
    <s v="31/08/2026"/>
    <x v="0"/>
    <s v="JULIANE GOMES NOVAIS"/>
    <n v="15105"/>
    <n v="1016"/>
    <n v="1070"/>
    <n v="1006"/>
    <n v="1012"/>
    <n v="1047"/>
    <n v="1020"/>
    <n v="1008"/>
    <n v="1027"/>
    <n v="1016"/>
    <n v="1007"/>
    <n v="1022.9"/>
    <s v=""/>
    <s v="assinatura"/>
    <n v="236"/>
    <n v="1000"/>
    <n v="2.2899999999999976E-2"/>
    <n v="22.899999999999977"/>
    <x v="0"/>
    <x v="0"/>
  </r>
  <r>
    <x v="23"/>
    <x v="1"/>
    <s v="6a962001ddee78aa07e635db"/>
    <s v="31/08/2026 21:35:56"/>
    <s v="31/08/2026 21:44:49"/>
    <s v="Ranieli"/>
    <s v="31/08/2026"/>
    <x v="0"/>
    <s v="JULIANE GOMES NOVAIS"/>
    <n v="15105"/>
    <n v="1018"/>
    <n v="1023"/>
    <n v="964"/>
    <n v="1011"/>
    <n v="1008"/>
    <n v="999"/>
    <n v="1015"/>
    <n v="1041"/>
    <n v="1023"/>
    <n v="1016"/>
    <n v="1011.8"/>
    <s v=""/>
    <s v="assinatura"/>
    <n v="361"/>
    <n v="1000"/>
    <n v="1.1799999999999955E-2"/>
    <n v="11.799999999999955"/>
    <x v="0"/>
    <x v="0"/>
  </r>
  <r>
    <x v="23"/>
    <x v="1"/>
    <s v="6a962001ddee78aa07e635d5"/>
    <s v="31/08/2026 17:57:15"/>
    <s v="31/08/2026 21:44:49"/>
    <s v="Ranieli"/>
    <s v="31/08/2026"/>
    <x v="0"/>
    <s v="JULIANE GOMES NOVAIS"/>
    <n v="15229"/>
    <n v="1003"/>
    <n v="1005"/>
    <n v="1006"/>
    <n v="993"/>
    <n v="1002"/>
    <n v="1008"/>
    <n v="1012"/>
    <n v="1007"/>
    <n v="1033"/>
    <n v="1008"/>
    <n v="1007.7"/>
    <s v=""/>
    <s v="assinatura"/>
    <n v="13538"/>
    <n v="1000"/>
    <n v="7.7000000000000453E-3"/>
    <n v="7.7000000000000455"/>
    <x v="9"/>
    <x v="1"/>
  </r>
  <r>
    <x v="23"/>
    <x v="1"/>
    <s v="6a95f4f6b367d8283d32bd3c"/>
    <s v="31/08/2026 18:13:06"/>
    <s v="31/08/2026 18:41:10"/>
    <s v="Ranieli"/>
    <s v="31/08/2026"/>
    <x v="0"/>
    <s v="JULIANE GOMES NOVAIS"/>
    <n v="15105"/>
    <n v="1025"/>
    <n v="992"/>
    <n v="994"/>
    <n v="1002"/>
    <n v="1011"/>
    <n v="1008"/>
    <n v="998"/>
    <n v="1038"/>
    <n v="992"/>
    <n v="1002"/>
    <n v="1006.2"/>
    <s v=""/>
    <s v="assinatura"/>
    <n v="175"/>
    <n v="1000"/>
    <n v="6.2000000000000458E-3"/>
    <n v="6.2000000000000455"/>
    <x v="0"/>
    <x v="0"/>
  </r>
  <r>
    <x v="23"/>
    <x v="1"/>
    <s v="6a95f4f6b367d8283d32bd36"/>
    <s v="31/08/2026 18:10:11"/>
    <s v="31/08/2026 18:41:10"/>
    <s v="Ranieli"/>
    <s v="31/08/2026"/>
    <x v="0"/>
    <s v="JULIANE GOMES NOVAIS"/>
    <n v="15105"/>
    <n v="1034"/>
    <n v="1036"/>
    <n v="1038"/>
    <n v="1058"/>
    <n v="1047"/>
    <n v="1035"/>
    <n v="1002"/>
    <n v="1045"/>
    <n v="1007"/>
    <n v="1010"/>
    <n v="1031.2"/>
    <s v=""/>
    <s v="assinatura"/>
    <n v="382"/>
    <n v="1000"/>
    <n v="3.1200000000000047E-2"/>
    <n v="31.200000000000045"/>
    <x v="0"/>
    <x v="0"/>
  </r>
  <r>
    <x v="23"/>
    <x v="1"/>
    <s v="6a95f4d472d6d33ccf1de39f"/>
    <s v="31/08/2026 18:29:05"/>
    <s v="31/08/2026 18:40:36"/>
    <s v="Ranieli"/>
    <s v="31/08/2026"/>
    <x v="0"/>
    <s v="JULIANE GOMES NOVAIS"/>
    <n v="18228"/>
    <n v="1005"/>
    <n v="1000"/>
    <n v="1000"/>
    <n v="1005"/>
    <n v="1005"/>
    <n v="1010"/>
    <n v="1000"/>
    <n v="1010"/>
    <n v="1005"/>
    <n v="1000"/>
    <n v="1004"/>
    <s v=""/>
    <s v="assinatura"/>
    <n v="586"/>
    <n v="1000"/>
    <n v="4.0000000000000001E-3"/>
    <n v="4"/>
    <x v="16"/>
    <x v="4"/>
  </r>
  <r>
    <x v="23"/>
    <x v="1"/>
    <s v="6a95ea66e795a658e64c992b"/>
    <s v="31/08/2026 17:46:59"/>
    <s v="31/08/2026 17:56:06"/>
    <s v="Ranieli"/>
    <s v="31/08/2026"/>
    <x v="0"/>
    <s v="JULIANE GOMES NOVAIS"/>
    <n v="18228"/>
    <n v="1005"/>
    <n v="1014"/>
    <n v="1013"/>
    <n v="1011"/>
    <n v="1003"/>
    <n v="1000"/>
    <n v="1006"/>
    <n v="1010"/>
    <n v="1009"/>
    <n v="1011"/>
    <n v="1008.2"/>
    <s v=""/>
    <s v="assinatura"/>
    <n v="425"/>
    <n v="1000"/>
    <n v="8.2000000000000458E-3"/>
    <n v="8.2000000000000455"/>
    <x v="16"/>
    <x v="4"/>
  </r>
  <r>
    <x v="23"/>
    <x v="1"/>
    <s v="6a95ea66e795a658e64c9925"/>
    <s v="31/08/2026 17:44:04"/>
    <s v="31/08/2026 17:56:06"/>
    <s v="Ranieli"/>
    <s v="31/08/2026"/>
    <x v="0"/>
    <s v="JULIANE GOMES NOVAIS"/>
    <n v="18228"/>
    <n v="1015"/>
    <n v="1023"/>
    <n v="995"/>
    <n v="1018"/>
    <n v="1000"/>
    <n v="1010"/>
    <n v="1003"/>
    <n v="1013"/>
    <n v="1010"/>
    <n v="1013"/>
    <n v="1010"/>
    <s v=""/>
    <s v="assinatura"/>
    <n v="643"/>
    <n v="1000"/>
    <n v="0.01"/>
    <n v="10"/>
    <x v="16"/>
    <x v="4"/>
  </r>
  <r>
    <x v="23"/>
    <x v="1"/>
    <s v="6a95ea66e795a658e64c991f"/>
    <s v="31/08/2026 17:40:12"/>
    <s v="31/08/2026 17:56:06"/>
    <s v="Ranieli"/>
    <s v="31/08/2026"/>
    <x v="0"/>
    <s v="JULIANE GOMES NOVAIS"/>
    <n v="13188"/>
    <n v="999"/>
    <n v="1016"/>
    <n v="1007"/>
    <n v="1018"/>
    <n v="1003"/>
    <n v="999"/>
    <n v="1008"/>
    <n v="1018"/>
    <n v="1012"/>
    <n v="1005"/>
    <n v="1008.5"/>
    <s v=""/>
    <s v="assinatura"/>
    <n v="909"/>
    <n v="1000"/>
    <n v="8.5000000000000006E-3"/>
    <n v="8.5"/>
    <x v="8"/>
    <x v="1"/>
  </r>
  <r>
    <x v="23"/>
    <x v="1"/>
    <s v="6a95e6956468201ba97257c4"/>
    <s v="31/08/2026 17:34:21"/>
    <s v="31/08/2026 17:39:49"/>
    <s v="Ranieli"/>
    <s v="31/08/2026"/>
    <x v="0"/>
    <s v="JULIANE GOMES NOVAIS"/>
    <n v="15229"/>
    <n v="1010"/>
    <n v="1006"/>
    <n v="1008"/>
    <n v="1012"/>
    <n v="1014"/>
    <n v="1012"/>
    <n v="995"/>
    <n v="1015"/>
    <n v="1008"/>
    <n v="1001"/>
    <n v="1008.1"/>
    <s v=""/>
    <s v="assinatura"/>
    <n v="296"/>
    <n v="1000"/>
    <n v="8.1000000000000221E-3"/>
    <n v="8.1000000000000227"/>
    <x v="9"/>
    <x v="1"/>
  </r>
  <r>
    <x v="23"/>
    <x v="1"/>
    <s v="6a95e6956468201ba97257be"/>
    <s v="31/08/2026 17:31:54"/>
    <s v="31/08/2026 17:39:49"/>
    <s v="Ranieli"/>
    <s v="31/08/2026"/>
    <x v="0"/>
    <s v="JULIANE GOMES NOVAIS"/>
    <n v="15229"/>
    <n v="1014"/>
    <n v="1011"/>
    <n v="1003"/>
    <n v="1008"/>
    <n v="1015"/>
    <n v="1013"/>
    <n v="1008"/>
    <n v="1005"/>
    <n v="1004"/>
    <n v="1010"/>
    <n v="1009.1"/>
    <s v=""/>
    <s v=""/>
    <n v="145"/>
    <n v="1000"/>
    <n v="9.100000000000023E-3"/>
    <n v="9.1000000000000227"/>
    <x v="9"/>
    <x v="1"/>
  </r>
  <r>
    <x v="23"/>
    <x v="1"/>
    <s v="6a95e6956468201ba97257b8"/>
    <s v="31/08/2026 17:27:56"/>
    <s v="31/08/2026 17:39:49"/>
    <s v="Ranieli"/>
    <s v="31/08/2026"/>
    <x v="0"/>
    <s v="JULIANE GOMES NOVAIS"/>
    <n v="15229"/>
    <n v="1010"/>
    <n v="998"/>
    <n v="1007"/>
    <n v="1014"/>
    <n v="1008"/>
    <n v="1007"/>
    <n v="1012"/>
    <n v="998"/>
    <n v="1013"/>
    <n v="1010"/>
    <n v="1007.7"/>
    <s v=""/>
    <s v="assinatura"/>
    <n v="236"/>
    <n v="1000"/>
    <n v="7.7000000000000453E-3"/>
    <n v="7.7000000000000455"/>
    <x v="9"/>
    <x v="1"/>
  </r>
  <r>
    <x v="23"/>
    <x v="1"/>
    <s v="6a95e3bc6468201ba9725599"/>
    <s v="31/08/2026 17:18:38"/>
    <s v="31/08/2026 17:27:40"/>
    <s v="Ranieli"/>
    <s v="31/08/2026"/>
    <x v="0"/>
    <s v="JULIANE GOMES NOVAIS"/>
    <n v="40762"/>
    <n v="10035"/>
    <n v="10025"/>
    <n v="10050"/>
    <n v="9995"/>
    <n v="10090"/>
    <n v="10000"/>
    <n v="10070"/>
    <n v="10075"/>
    <n v="10030"/>
    <n v="9985"/>
    <n v="10035.5"/>
    <s v=""/>
    <s v="assinatura"/>
    <n v="390"/>
    <n v="10000"/>
    <n v="3.5500000000000002E-3"/>
    <n v="35.5"/>
    <x v="3"/>
    <x v="1"/>
  </r>
  <r>
    <x v="23"/>
    <x v="1"/>
    <s v="6a95e3bc6468201ba9725593"/>
    <s v="31/08/2026 17:08:48"/>
    <s v="31/08/2026 17:27:40"/>
    <s v="Ranieli"/>
    <s v="31/08/2026"/>
    <x v="0"/>
    <s v="JULIANE GOMES NOVAIS"/>
    <n v="40762"/>
    <n v="10010"/>
    <n v="10070"/>
    <n v="10075"/>
    <n v="10115"/>
    <n v="10110"/>
    <n v="10085"/>
    <n v="10055"/>
    <n v="10055"/>
    <n v="10075"/>
    <n v="10095"/>
    <n v="10074.5"/>
    <s v=""/>
    <s v="assinatura"/>
    <n v="1010"/>
    <n v="10000"/>
    <n v="7.45E-3"/>
    <n v="74.5"/>
    <x v="3"/>
    <x v="1"/>
  </r>
  <r>
    <x v="23"/>
    <x v="1"/>
    <s v="6a95e3bc6468201ba972558d"/>
    <s v="31/08/2026 16:49:54"/>
    <s v="31/08/2026 17:27:40"/>
    <s v="Ranieli"/>
    <s v="31/08/2026"/>
    <x v="0"/>
    <s v="JULIANE GOMES NOVAIS"/>
    <n v="40762"/>
    <n v="10015"/>
    <n v="10075"/>
    <n v="9920"/>
    <n v="10090"/>
    <n v="10010"/>
    <n v="10085"/>
    <n v="10005"/>
    <n v="9965"/>
    <n v="10050"/>
    <n v="10080"/>
    <n v="10029.5"/>
    <s v=""/>
    <s v="assinatura"/>
    <n v="2169"/>
    <n v="10000"/>
    <n v="2.9499999999999999E-3"/>
    <n v="29.5"/>
    <x v="3"/>
    <x v="1"/>
  </r>
  <r>
    <x v="23"/>
    <x v="1"/>
    <s v="6a95da56ddee78aa07e5f429"/>
    <s v="31/08/2026 16:41:04"/>
    <s v="31/08/2026 16:47:34"/>
    <s v="Ranieli"/>
    <s v="31/08/2026"/>
    <x v="0"/>
    <s v="JULIANE GOMES NOVAIS"/>
    <n v="15105"/>
    <n v="1009"/>
    <n v="986"/>
    <n v="1033"/>
    <n v="1020"/>
    <n v="1006"/>
    <n v="1011"/>
    <n v="995"/>
    <n v="1004"/>
    <n v="1099"/>
    <n v="1019"/>
    <n v="1018.2"/>
    <s v=""/>
    <s v="assinatura"/>
    <n v="232"/>
    <n v="1000"/>
    <n v="1.8200000000000046E-2"/>
    <n v="18.200000000000045"/>
    <x v="0"/>
    <x v="0"/>
  </r>
  <r>
    <x v="23"/>
    <x v="1"/>
    <s v="6a95da56ddee78aa07e5f423"/>
    <s v="31/08/2026 16:36:13"/>
    <s v="31/08/2026 16:47:34"/>
    <s v="Ranieli"/>
    <s v="31/08/2026"/>
    <x v="0"/>
    <s v="JULIANE GOMES NOVAIS"/>
    <n v="15105"/>
    <n v="1091"/>
    <n v="995"/>
    <n v="1149"/>
    <n v="1057"/>
    <n v="1016"/>
    <n v="1002"/>
    <n v="1003"/>
    <n v="1018"/>
    <n v="986"/>
    <n v="1015"/>
    <n v="1033.2"/>
    <s v=""/>
    <s v="assinatura"/>
    <n v="541"/>
    <n v="1000"/>
    <n v="3.3200000000000049E-2"/>
    <n v="33.200000000000045"/>
    <x v="0"/>
    <x v="0"/>
  </r>
  <r>
    <x v="23"/>
    <x v="1"/>
    <s v="6a95da56ddee78aa07e5f41d"/>
    <s v="31/08/2026 16:33:40"/>
    <s v="31/08/2026 16:47:34"/>
    <s v="Ranieli"/>
    <s v="31/08/2026"/>
    <x v="0"/>
    <s v="JULIANE GOMES NOVAIS"/>
    <n v="15105"/>
    <n v="1015"/>
    <n v="995"/>
    <n v="1023"/>
    <n v="1037"/>
    <n v="994"/>
    <n v="993"/>
    <n v="1053"/>
    <n v="1030"/>
    <n v="1009"/>
    <n v="1005"/>
    <n v="1015.4"/>
    <s v=""/>
    <s v="assinatura"/>
    <n v="707"/>
    <n v="1000"/>
    <n v="1.5399999999999978E-2"/>
    <n v="15.399999999999977"/>
    <x v="0"/>
    <x v="0"/>
  </r>
  <r>
    <x v="21"/>
    <x v="1"/>
    <s v="6a95da56ddee78aa07e5f417"/>
    <s v="28/08/2026 23:15:43"/>
    <s v="31/08/2026 16:47:34"/>
    <s v="Ranieli"/>
    <s v="28/08/2026"/>
    <x v="0"/>
    <s v="JULIANE GOMES NOVAIS"/>
    <n v="15105"/>
    <n v="1027"/>
    <n v="1015"/>
    <n v="1113"/>
    <n v="1030"/>
    <n v="1015"/>
    <n v="999"/>
    <n v="1178"/>
    <n v="1033"/>
    <n v="999"/>
    <n v="1019"/>
    <n v="1042.8"/>
    <s v=""/>
    <s v=""/>
    <n v="254"/>
    <n v="1000"/>
    <n v="4.2799999999999956E-2"/>
    <n v="42.799999999999955"/>
    <x v="0"/>
    <x v="0"/>
  </r>
  <r>
    <x v="21"/>
    <x v="1"/>
    <s v="6a95da56ddee78aa07e5f40f"/>
    <s v="28/08/2026 23:11:40"/>
    <s v="31/08/2026 16:47:34"/>
    <s v="Ranieli"/>
    <s v="28/08/2026"/>
    <x v="0"/>
    <s v="JULIANE GOMES NOVAIS"/>
    <n v="15105"/>
    <n v="1012"/>
    <n v="1020"/>
    <n v="990"/>
    <n v="897"/>
    <n v="1003"/>
    <n v="997"/>
    <n v="1006"/>
    <n v="1005"/>
    <n v="1025"/>
    <n v="1017"/>
    <n v="997.2"/>
    <s v=""/>
    <s v="assinatura"/>
    <n v="236"/>
    <n v="1000"/>
    <n v="-2.7999999999999544E-3"/>
    <n v="-2.7999999999999545"/>
    <x v="0"/>
    <x v="0"/>
  </r>
  <r>
    <x v="23"/>
    <x v="1"/>
    <s v="6a95c85018e7857fd2a40641"/>
    <s v="31/08/2026 15:22:14"/>
    <s v="31/08/2026 15:30:40"/>
    <s v="Ranieli"/>
    <s v="31/08/2026"/>
    <x v="1"/>
    <s v="ALANA DA SILVA MARTINS"/>
    <n v="31454"/>
    <n v="2528"/>
    <n v="2532"/>
    <n v="2592"/>
    <n v="2500"/>
    <n v="2510"/>
    <n v="2529"/>
    <n v="2521"/>
    <n v="2520"/>
    <n v="2512"/>
    <n v="2525"/>
    <n v="2526.9"/>
    <s v=""/>
    <s v="assinatura"/>
    <n v="148"/>
    <n v="2500"/>
    <n v="1.0760000000000037E-2"/>
    <n v="26.900000000000091"/>
    <x v="20"/>
    <x v="3"/>
  </r>
  <r>
    <x v="23"/>
    <x v="1"/>
    <s v="6a95c85018e7857fd2a4063b"/>
    <s v="31/08/2026 15:11:38"/>
    <s v="31/08/2026 15:30:40"/>
    <s v="Ranieli"/>
    <s v="31/08/2026"/>
    <x v="1"/>
    <s v="ALANA DA SILVA MARTINS"/>
    <n v="992014"/>
    <n v="698"/>
    <n v="699"/>
    <n v="697"/>
    <n v="699"/>
    <n v="700"/>
    <n v="696"/>
    <n v="704"/>
    <n v="691"/>
    <n v="701"/>
    <n v="698"/>
    <n v="698.3"/>
    <s v=""/>
    <s v="assinatura"/>
    <n v="216"/>
    <n v="700"/>
    <n v="-2.4285714285714934E-3"/>
    <n v="-1.7000000000000455"/>
    <x v="14"/>
    <x v="1"/>
  </r>
  <r>
    <x v="23"/>
    <x v="1"/>
    <s v="6a95c85018e7857fd2a40635"/>
    <s v="31/08/2026 15:08:16"/>
    <s v="31/08/2026 15:30:40"/>
    <s v="Ranieli"/>
    <s v="31/08/2026"/>
    <x v="1"/>
    <s v="ALANA DA SILVA MARTINS"/>
    <n v="42846"/>
    <n v="2059"/>
    <n v="2074"/>
    <n v="2003"/>
    <n v="2050"/>
    <n v="2001"/>
    <n v="2041"/>
    <n v="2006"/>
    <n v="2048"/>
    <n v="2038"/>
    <n v="2011"/>
    <n v="2033.1"/>
    <s v=""/>
    <s v=""/>
    <n v="177"/>
    <n v="2000"/>
    <n v="1.6549999999999954E-2"/>
    <n v="33.099999999999909"/>
    <x v="6"/>
    <x v="1"/>
  </r>
  <r>
    <x v="23"/>
    <x v="1"/>
    <s v="6a95c85018e7857fd2a4062f"/>
    <s v="31/08/2026 15:01:17"/>
    <s v="31/08/2026 15:30:40"/>
    <s v="Ranieli"/>
    <s v="31/08/2026"/>
    <x v="1"/>
    <s v="ALANA DA SILVA MARTINS"/>
    <n v="42862"/>
    <n v="2128"/>
    <n v="2063"/>
    <n v="2026"/>
    <n v="2034"/>
    <n v="2005"/>
    <n v="2001"/>
    <n v="2035"/>
    <n v="2055"/>
    <n v="2012"/>
    <n v="2269"/>
    <n v="2062.8000000000002"/>
    <s v=""/>
    <s v="assinatura"/>
    <n v="415"/>
    <n v="2000"/>
    <n v="3.1400000000000088E-2"/>
    <n v="62.800000000000182"/>
    <x v="5"/>
    <x v="1"/>
  </r>
  <r>
    <x v="23"/>
    <x v="1"/>
    <s v="6a95c85018e7857fd2a40629"/>
    <s v="31/08/2026 14:51:29"/>
    <s v="31/08/2026 15:30:40"/>
    <s v="Ranieli"/>
    <s v="31/08/2026"/>
    <x v="1"/>
    <s v="ALANA DA SILVA MARTINS"/>
    <n v="42854"/>
    <n v="2188"/>
    <n v="2169"/>
    <n v="2153"/>
    <n v="2154"/>
    <n v="2062"/>
    <n v="2140"/>
    <n v="2170"/>
    <n v="2165"/>
    <n v="2133"/>
    <n v="2150"/>
    <n v="2148.4"/>
    <s v=""/>
    <s v="assinatura"/>
    <n v="582"/>
    <n v="2080"/>
    <n v="3.2884615384615429E-2"/>
    <n v="68.400000000000091"/>
    <x v="4"/>
    <x v="1"/>
  </r>
  <r>
    <x v="23"/>
    <x v="1"/>
    <s v="6a95c85018e7857fd2a40623"/>
    <s v="31/08/2026 14:43:57"/>
    <s v="31/08/2026 15:30:40"/>
    <s v="Ranieli"/>
    <s v="31/08/2026"/>
    <x v="1"/>
    <s v="ALANA DA SILVA MARTINS"/>
    <n v="15105"/>
    <n v="1001"/>
    <n v="1018"/>
    <n v="1147"/>
    <n v="1034"/>
    <n v="1006"/>
    <n v="999"/>
    <n v="1196"/>
    <n v="1016"/>
    <n v="995"/>
    <n v="1044"/>
    <n v="1045.5999999999999"/>
    <s v=""/>
    <s v="assinatura"/>
    <n v="340"/>
    <n v="1000"/>
    <n v="4.5599999999999911E-2"/>
    <n v="45.599999999999909"/>
    <x v="0"/>
    <x v="0"/>
  </r>
  <r>
    <x v="22"/>
    <x v="2"/>
    <s v="6a97b15943066e508049f7b8"/>
    <s v="01/09/2026 23:54:59"/>
    <s v="02/09/2026 02:17:13"/>
    <s v="Ranieli"/>
    <s v="01/09/2026"/>
    <x v="0"/>
    <s v="JOSEFA KELY NUNES DE SOUSA"/>
    <n v="15105"/>
    <n v="994"/>
    <n v="1027"/>
    <n v="987"/>
    <n v="1020"/>
    <n v="1019"/>
    <n v="1050"/>
    <n v="1080"/>
    <n v="1021"/>
    <n v="983"/>
    <n v="969"/>
    <n v="1015"/>
    <s v=""/>
    <s v=""/>
    <n v="1576"/>
    <n v="1000"/>
    <n v="1.4999999999999999E-2"/>
    <n v="15"/>
    <x v="0"/>
    <x v="0"/>
  </r>
  <r>
    <x v="22"/>
    <x v="2"/>
    <s v="6a97b15943066e508049f7b2"/>
    <s v="01/09/2026 23:23:15"/>
    <s v="02/09/2026 02:17:13"/>
    <s v="Ranieli"/>
    <s v="01/09/2026"/>
    <x v="0"/>
    <s v="JOSEFA KELY NUNES DE SOUSA"/>
    <n v="209069"/>
    <n v="1031"/>
    <n v="993"/>
    <n v="1000"/>
    <n v="1002"/>
    <n v="1074"/>
    <n v="999"/>
    <n v="994"/>
    <n v="1026"/>
    <n v="1015"/>
    <n v="998"/>
    <n v="1013.2"/>
    <s v=""/>
    <s v="assinatura"/>
    <n v="1903"/>
    <n v="1000"/>
    <n v="1.3200000000000045E-2"/>
    <n v="13.200000000000045"/>
    <x v="28"/>
    <x v="0"/>
  </r>
  <r>
    <x v="22"/>
    <x v="2"/>
    <s v="6a97b15943066e508049f7ac"/>
    <s v="01/09/2026 22:54:05"/>
    <s v="02/09/2026 02:17:13"/>
    <s v="Ranieli"/>
    <s v="01/09/2026"/>
    <x v="0"/>
    <s v="JOSEFA KELY NUNES DE SOUSA"/>
    <n v="13188"/>
    <n v="1009"/>
    <n v="1017"/>
    <n v="1006"/>
    <n v="1010"/>
    <n v="1012"/>
    <n v="1008"/>
    <n v="1012"/>
    <n v="1003"/>
    <n v="1003"/>
    <n v="1014"/>
    <n v="1009.4"/>
    <s v=""/>
    <s v="assinatura"/>
    <n v="1748"/>
    <n v="1000"/>
    <n v="9.3999999999999778E-3"/>
    <n v="9.3999999999999773"/>
    <x v="8"/>
    <x v="1"/>
  </r>
  <r>
    <x v="22"/>
    <x v="2"/>
    <s v="6a97b15943066e508049f7a6"/>
    <s v="01/09/2026 22:51:28"/>
    <s v="02/09/2026 02:17:13"/>
    <s v="Ranieli"/>
    <s v="01/09/2026"/>
    <x v="0"/>
    <s v="JOSEFA KELY NUNES DE SOUSA"/>
    <n v="864048"/>
    <n v="2013"/>
    <n v="2026"/>
    <n v="2010"/>
    <n v="2004"/>
    <n v="2023"/>
    <n v="2013"/>
    <n v="2014"/>
    <n v="2024"/>
    <n v="2016"/>
    <n v="2016"/>
    <n v="2015.9"/>
    <s v=""/>
    <s v=""/>
    <n v="155"/>
    <n v="2000"/>
    <n v="7.9500000000000456E-3"/>
    <n v="15.900000000000091"/>
    <x v="26"/>
    <x v="1"/>
  </r>
  <r>
    <x v="22"/>
    <x v="2"/>
    <s v="6a97b15943066e508049f7a0"/>
    <s v="01/09/2026 22:46:28"/>
    <s v="02/09/2026 02:17:13"/>
    <s v="Ranieli"/>
    <s v="01/09/2026"/>
    <x v="0"/>
    <s v="JOSEFA KELY NUNES DE SOUSA"/>
    <n v="42846"/>
    <n v="2012"/>
    <n v="2017"/>
    <n v="1988"/>
    <n v="2039"/>
    <n v="2016"/>
    <n v="2005"/>
    <n v="2032"/>
    <n v="2014"/>
    <n v="2004"/>
    <n v="2018"/>
    <n v="2014.5"/>
    <s v=""/>
    <s v="assinatura"/>
    <n v="299"/>
    <n v="2000"/>
    <n v="7.2500000000000004E-3"/>
    <n v="14.5"/>
    <x v="6"/>
    <x v="1"/>
  </r>
  <r>
    <x v="22"/>
    <x v="2"/>
    <s v="6a97b15943066e508049f798"/>
    <s v="01/09/2026 22:44:28"/>
    <s v="02/09/2026 02:17:13"/>
    <s v="Ranieli"/>
    <s v="01/09/2026"/>
    <x v="0"/>
    <s v="JOSEFA KELY NUNES DE SOUSA"/>
    <n v="42838"/>
    <n v="2058"/>
    <n v="2055"/>
    <n v="2060"/>
    <n v="2056"/>
    <n v="2073"/>
    <n v="2055"/>
    <n v="2033"/>
    <n v="2054"/>
    <n v="2049"/>
    <n v="2033"/>
    <n v="2052.6"/>
    <s v=""/>
    <s v=""/>
    <n v="116"/>
    <n v="2000"/>
    <n v="2.6299999999999955E-2"/>
    <n v="52.599999999999909"/>
    <x v="7"/>
    <x v="1"/>
  </r>
  <r>
    <x v="22"/>
    <x v="2"/>
    <s v="6a97b15843066e508049f792"/>
    <s v="01/09/2026 22:41:48"/>
    <s v="02/09/2026 02:17:12"/>
    <s v="Ranieli"/>
    <s v="01/09/2026"/>
    <x v="0"/>
    <s v="JOSEFA KELY NUNES DE SOUSA"/>
    <n v="42862"/>
    <n v="2060"/>
    <n v="2053"/>
    <n v="2042"/>
    <n v="2019"/>
    <n v="2031"/>
    <n v="2012"/>
    <n v="2058"/>
    <n v="2053"/>
    <n v="2018"/>
    <n v="2025"/>
    <n v="2037.1"/>
    <s v=""/>
    <s v=""/>
    <n v="158"/>
    <n v="2000"/>
    <n v="1.8549999999999955E-2"/>
    <n v="37.099999999999909"/>
    <x v="5"/>
    <x v="1"/>
  </r>
  <r>
    <x v="22"/>
    <x v="2"/>
    <s v="6a97b15843066e508049f78c"/>
    <s v="01/09/2026 22:29:58"/>
    <s v="02/09/2026 02:17:12"/>
    <s v="Ranieli"/>
    <s v="01/09/2026"/>
    <x v="0"/>
    <s v="JOSEFA KELY NUNES DE SOUSA"/>
    <n v="42854"/>
    <n v="2094"/>
    <n v="2110"/>
    <n v="2070"/>
    <n v="2075"/>
    <n v="2081"/>
    <n v="2019"/>
    <n v="2084"/>
    <n v="2092"/>
    <n v="2096"/>
    <n v="2100"/>
    <n v="2082.1"/>
    <s v=""/>
    <s v="assinatura"/>
    <n v="708"/>
    <n v="2080"/>
    <n v="1.0096153846153408E-3"/>
    <n v="2.0999999999999091"/>
    <x v="4"/>
    <x v="1"/>
  </r>
  <r>
    <x v="22"/>
    <x v="2"/>
    <s v="6a97b15843066e508049f77a"/>
    <s v="01/09/2026 18:45:36"/>
    <s v="02/09/2026 02:17:12"/>
    <s v="Ranieli"/>
    <s v="01/09/2026"/>
    <x v="0"/>
    <s v="JOSEFA KELY NUNES DE SOUSA"/>
    <n v="13188"/>
    <n v="1014"/>
    <n v="1010"/>
    <n v="1003"/>
    <n v="1020"/>
    <n v="1002"/>
    <n v="1021"/>
    <n v="1023"/>
    <n v="1008"/>
    <n v="1024"/>
    <n v="1025"/>
    <n v="1015"/>
    <s v=""/>
    <s v="assinatura"/>
    <n v="137"/>
    <n v="1000"/>
    <n v="1.4999999999999999E-2"/>
    <n v="15"/>
    <x v="8"/>
    <x v="1"/>
  </r>
  <r>
    <x v="22"/>
    <x v="2"/>
    <s v="6a97b15843066e508049f774"/>
    <s v="01/09/2026 18:41:28"/>
    <s v="02/09/2026 02:17:12"/>
    <s v="Ranieli"/>
    <s v="01/09/2026"/>
    <x v="0"/>
    <s v="JOSEFA KELY NUNES DE SOUSA"/>
    <n v="15229"/>
    <n v="1015"/>
    <n v="1008"/>
    <n v="1005"/>
    <n v="1004"/>
    <n v="1016"/>
    <n v="1018"/>
    <n v="1006"/>
    <n v="1008"/>
    <n v="1017"/>
    <n v="1016"/>
    <n v="1011.3"/>
    <s v=""/>
    <s v=""/>
    <n v="191"/>
    <n v="1000"/>
    <n v="1.1299999999999954E-2"/>
    <n v="11.299999999999955"/>
    <x v="9"/>
    <x v="1"/>
  </r>
  <r>
    <x v="22"/>
    <x v="2"/>
    <s v="6a97b15843066e508049f768"/>
    <s v="01/09/2026 17:30:15"/>
    <s v="02/09/2026 02:17:12"/>
    <s v="Ranieli"/>
    <s v="01/09/2026"/>
    <x v="0"/>
    <s v="JOSEFA KELY NUNES DE SOUSA"/>
    <n v="992093"/>
    <n v="5010"/>
    <n v="5017"/>
    <n v="5002"/>
    <n v="5014"/>
    <n v="5008"/>
    <n v="5012"/>
    <n v="5003"/>
    <n v="5011"/>
    <n v="5008"/>
    <n v="5009"/>
    <n v="5009.3999999999996"/>
    <s v=""/>
    <s v="assinatura"/>
    <n v="482"/>
    <n v="5000"/>
    <n v="1.8799999999999273E-3"/>
    <n v="9.3999999999996362"/>
    <x v="13"/>
    <x v="3"/>
  </r>
  <r>
    <x v="22"/>
    <x v="2"/>
    <s v="6a97b15843066e508049f762"/>
    <s v="01/09/2026 17:26:12"/>
    <s v="02/09/2026 02:17:12"/>
    <s v="Ranieli"/>
    <s v="01/09/2026"/>
    <x v="0"/>
    <s v="JOSEFA KELY NUNES DE SOUSA"/>
    <n v="15105"/>
    <n v="1015"/>
    <n v="1011"/>
    <n v="999"/>
    <n v="1043"/>
    <n v="1006"/>
    <n v="1017"/>
    <n v="1047"/>
    <n v="1021"/>
    <n v="975"/>
    <n v="1022"/>
    <n v="1015.6"/>
    <s v=""/>
    <s v="assinatura"/>
    <n v="239"/>
    <n v="1000"/>
    <n v="1.5600000000000024E-2"/>
    <n v="15.600000000000023"/>
    <x v="0"/>
    <x v="0"/>
  </r>
  <r>
    <x v="22"/>
    <x v="2"/>
    <s v="6a97851dc889eef89897b827"/>
    <s v="01/09/2026 22:51:57"/>
    <s v="01/09/2026 23:08:29"/>
    <s v="Ranieli"/>
    <s v="01/09/2026"/>
    <x v="0"/>
    <s v="JULIANE GOMES NOVAIS"/>
    <n v="40762"/>
    <n v="9990"/>
    <n v="10050"/>
    <n v="10050"/>
    <n v="9950"/>
    <n v="10055"/>
    <n v="9975"/>
    <n v="10020"/>
    <n v="10005"/>
    <n v="10030"/>
    <n v="10060"/>
    <n v="10018.5"/>
    <s v=""/>
    <s v="assinatura"/>
    <n v="886"/>
    <n v="10000"/>
    <n v="1.8500000000000001E-3"/>
    <n v="18.5"/>
    <x v="3"/>
    <x v="1"/>
  </r>
  <r>
    <x v="22"/>
    <x v="2"/>
    <s v="6a97851dc889eef89897b821"/>
    <s v="01/09/2026 22:46:20"/>
    <s v="01/09/2026 23:08:29"/>
    <s v="Ranieli"/>
    <s v="01/09/2026"/>
    <x v="0"/>
    <s v="JULIANE GOMES NOVAIS"/>
    <n v="40762"/>
    <n v="9990"/>
    <n v="9975"/>
    <n v="9965"/>
    <n v="10040"/>
    <n v="10035"/>
    <n v="10065"/>
    <n v="10035"/>
    <n v="10060"/>
    <n v="10090"/>
    <n v="9985"/>
    <n v="10024"/>
    <s v=""/>
    <s v="assinatura"/>
    <n v="1262"/>
    <n v="10000"/>
    <n v="2.3999999999999998E-3"/>
    <n v="24"/>
    <x v="3"/>
    <x v="1"/>
  </r>
  <r>
    <x v="22"/>
    <x v="2"/>
    <s v="6a97851dc889eef89897b81b"/>
    <s v="01/09/2026 22:39:56"/>
    <s v="01/09/2026 23:08:29"/>
    <s v="Ranieli"/>
    <s v="01/09/2026"/>
    <x v="0"/>
    <s v="JULIANE GOMES NOVAIS"/>
    <n v="40762"/>
    <n v="9980"/>
    <n v="10115"/>
    <n v="10005"/>
    <n v="10025"/>
    <n v="10065"/>
    <n v="10055"/>
    <n v="10045"/>
    <n v="9960"/>
    <n v="10005"/>
    <n v="10040"/>
    <n v="10029.5"/>
    <s v=""/>
    <s v="assinatura"/>
    <n v="1669"/>
    <n v="10000"/>
    <n v="2.9499999999999999E-3"/>
    <n v="29.5"/>
    <x v="3"/>
    <x v="1"/>
  </r>
  <r>
    <x v="22"/>
    <x v="2"/>
    <s v="6a977d9b72d6d33ccf1fdecb"/>
    <s v="01/09/2026 22:02:03"/>
    <s v="01/09/2026 22:36:27"/>
    <s v="Ranieli"/>
    <s v="01/09/2026"/>
    <x v="0"/>
    <s v="JULIANE GOMES NOVAIS"/>
    <n v="15105"/>
    <n v="1025"/>
    <n v="1017"/>
    <n v="1005"/>
    <n v="1021"/>
    <n v="996"/>
    <n v="997"/>
    <n v="1000"/>
    <n v="1004"/>
    <n v="993"/>
    <n v="1008"/>
    <n v="1006.6"/>
    <s v=""/>
    <s v="assinatura"/>
    <n v="277"/>
    <n v="1000"/>
    <n v="6.6000000000000225E-3"/>
    <n v="6.6000000000000227"/>
    <x v="0"/>
    <x v="0"/>
  </r>
  <r>
    <x v="22"/>
    <x v="2"/>
    <s v="6a977d9a72d6d33ccf1fdec5"/>
    <s v="01/09/2026 22:00:08"/>
    <s v="01/09/2026 22:36:26"/>
    <s v="Ranieli"/>
    <s v="01/09/2026"/>
    <x v="0"/>
    <s v="JULIANE GOMES NOVAIS"/>
    <n v="15105"/>
    <n v="1016"/>
    <n v="991"/>
    <n v="996"/>
    <n v="1035"/>
    <n v="1020"/>
    <n v="1012"/>
    <n v="995"/>
    <n v="1005"/>
    <n v="1046"/>
    <n v="1013"/>
    <n v="1012.9"/>
    <s v=""/>
    <s v="assinatura"/>
    <n v="375"/>
    <n v="1000"/>
    <n v="1.2899999999999977E-2"/>
    <n v="12.899999999999977"/>
    <x v="0"/>
    <x v="0"/>
  </r>
  <r>
    <x v="22"/>
    <x v="2"/>
    <s v="6a977d9a72d6d33ccf1fdebf"/>
    <s v="01/09/2026 21:57:02"/>
    <s v="01/09/2026 22:36:26"/>
    <s v="Ranieli"/>
    <s v="01/09/2026"/>
    <x v="0"/>
    <s v="JULIANE GOMES NOVAIS"/>
    <n v="15105"/>
    <n v="997"/>
    <n v="1022"/>
    <n v="1052"/>
    <n v="1009"/>
    <n v="1006"/>
    <n v="1007"/>
    <n v="1008"/>
    <n v="1034"/>
    <n v="990"/>
    <n v="1015"/>
    <n v="1014"/>
    <s v=""/>
    <s v="assinatura"/>
    <n v="155"/>
    <n v="1000"/>
    <n v="1.4E-2"/>
    <n v="14"/>
    <x v="0"/>
    <x v="0"/>
  </r>
  <r>
    <x v="22"/>
    <x v="2"/>
    <s v="6a977d9a72d6d33ccf1fdeb9"/>
    <s v="01/09/2026 21:54:13"/>
    <s v="01/09/2026 22:36:26"/>
    <s v="Ranieli"/>
    <s v="01/09/2026"/>
    <x v="0"/>
    <s v="JULIANE GOMES NOVAIS"/>
    <n v="15105"/>
    <n v="997"/>
    <n v="1030"/>
    <n v="996"/>
    <n v="1030"/>
    <n v="1051"/>
    <n v="1036"/>
    <n v="1011"/>
    <n v="995"/>
    <n v="1020"/>
    <n v="983"/>
    <n v="1014.9"/>
    <s v=""/>
    <s v="assinatura"/>
    <n v="168"/>
    <n v="1000"/>
    <n v="1.4899999999999977E-2"/>
    <n v="14.899999999999977"/>
    <x v="0"/>
    <x v="0"/>
  </r>
  <r>
    <x v="22"/>
    <x v="2"/>
    <s v="6a9753cf6468201ba9746ade"/>
    <s v="01/09/2026 19:24:17"/>
    <s v="01/09/2026 19:38:07"/>
    <s v="Ranieli"/>
    <s v="01/09/2026"/>
    <x v="0"/>
    <s v="JULIANE GOMES NOVAIS"/>
    <n v="13188"/>
    <n v="1020"/>
    <n v="1016"/>
    <n v="1019"/>
    <n v="1021"/>
    <n v="1016"/>
    <n v="1003"/>
    <n v="1011"/>
    <n v="1024"/>
    <n v="1013"/>
    <n v="1010"/>
    <n v="1015.3"/>
    <s v=""/>
    <s v="assinatura"/>
    <n v="403"/>
    <n v="1000"/>
    <n v="1.5299999999999954E-2"/>
    <n v="15.299999999999955"/>
    <x v="8"/>
    <x v="1"/>
  </r>
  <r>
    <x v="22"/>
    <x v="2"/>
    <s v="6a9753cf6468201ba9746ad8"/>
    <s v="01/09/2026 19:12:59"/>
    <s v="01/09/2026 19:38:07"/>
    <s v="Ranieli"/>
    <s v="01/09/2026"/>
    <x v="0"/>
    <s v="JULIANE GOMES NOVAIS"/>
    <n v="13188"/>
    <n v="1022"/>
    <n v="1013"/>
    <n v="1025"/>
    <n v="1012"/>
    <n v="1014"/>
    <n v="1022"/>
    <n v="1010"/>
    <n v="1022"/>
    <n v="1005"/>
    <n v="1023"/>
    <n v="1016.8"/>
    <s v=""/>
    <s v="assinatura"/>
    <n v="1131"/>
    <n v="1000"/>
    <n v="1.6799999999999954E-2"/>
    <n v="16.799999999999955"/>
    <x v="8"/>
    <x v="1"/>
  </r>
  <r>
    <x v="22"/>
    <x v="2"/>
    <s v="6a9753cf6468201ba9746ad2"/>
    <s v="01/09/2026 19:09:41"/>
    <s v="01/09/2026 19:38:07"/>
    <s v="Ranieli"/>
    <s v="01/09/2026"/>
    <x v="0"/>
    <s v="JULIANE GOMES NOVAIS"/>
    <n v="13188"/>
    <n v="1026"/>
    <n v="1027"/>
    <n v="1015"/>
    <n v="1018"/>
    <n v="1012"/>
    <n v="1025"/>
    <n v="1016"/>
    <n v="1028"/>
    <n v="1021"/>
    <n v="1015"/>
    <n v="1020.3"/>
    <s v=""/>
    <s v="assinatura"/>
    <n v="1371"/>
    <n v="1000"/>
    <n v="2.0299999999999953E-2"/>
    <n v="20.299999999999955"/>
    <x v="8"/>
    <x v="1"/>
  </r>
  <r>
    <x v="22"/>
    <x v="2"/>
    <s v="6a9753ce6468201ba9746acc"/>
    <s v="01/09/2026 19:02:19"/>
    <s v="01/09/2026 19:38:06"/>
    <s v="Ranieli"/>
    <s v="01/09/2026"/>
    <x v="0"/>
    <s v="JULIANE GOMES NOVAIS"/>
    <n v="13188"/>
    <n v="983"/>
    <n v="980"/>
    <n v="975"/>
    <n v="988"/>
    <n v="1000"/>
    <n v="985"/>
    <n v="976"/>
    <n v="966"/>
    <n v="986"/>
    <n v="982"/>
    <n v="982.1"/>
    <s v=""/>
    <s v="assinatura"/>
    <n v="1852"/>
    <n v="1000"/>
    <n v="-1.7899999999999978E-2"/>
    <n v="-17.899999999999977"/>
    <x v="8"/>
    <x v="1"/>
  </r>
  <r>
    <x v="22"/>
    <x v="2"/>
    <s v="6a9753ce6468201ba9746ac6"/>
    <s v="01/09/2026 18:57:38"/>
    <s v="01/09/2026 19:38:06"/>
    <s v="Ranieli"/>
    <s v="01/09/2026"/>
    <x v="0"/>
    <s v="JULIANE GOMES NOVAIS"/>
    <n v="13188"/>
    <n v="972"/>
    <n v="1017"/>
    <n v="1015"/>
    <n v="1020"/>
    <n v="985"/>
    <n v="973"/>
    <n v="1013"/>
    <n v="1016"/>
    <n v="974"/>
    <n v="1020"/>
    <n v="1000.5"/>
    <s v=""/>
    <s v="assinatura"/>
    <n v="2161"/>
    <n v="1000"/>
    <n v="5.0000000000000001E-4"/>
    <n v="0.5"/>
    <x v="8"/>
    <x v="1"/>
  </r>
  <r>
    <x v="22"/>
    <x v="2"/>
    <s v="6a9753ce6468201ba9746ac0"/>
    <s v="01/09/2026 18:50:27"/>
    <s v="01/09/2026 19:38:06"/>
    <s v="Ranieli"/>
    <s v="01/09/2026"/>
    <x v="0"/>
    <s v="JULIANE GOMES NOVAIS"/>
    <n v="40762"/>
    <n v="10040"/>
    <n v="10000"/>
    <n v="10070"/>
    <n v="10045"/>
    <n v="9995"/>
    <n v="9985"/>
    <n v="9980"/>
    <n v="9990"/>
    <n v="10080"/>
    <n v="10010"/>
    <n v="10019.5"/>
    <s v=""/>
    <s v="assinatura"/>
    <n v="2615"/>
    <n v="10000"/>
    <n v="1.9499999999999999E-3"/>
    <n v="19.5"/>
    <x v="3"/>
    <x v="1"/>
  </r>
  <r>
    <x v="22"/>
    <x v="2"/>
    <s v="6a9753ce6468201ba9746aba"/>
    <s v="01/09/2026 18:47:58"/>
    <s v="01/09/2026 19:38:06"/>
    <s v="Ranieli"/>
    <s v="01/09/2026"/>
    <x v="0"/>
    <s v="JULIANE GOMES NOVAIS"/>
    <n v="40762"/>
    <n v="10040"/>
    <n v="10055"/>
    <n v="10015"/>
    <n v="10025"/>
    <n v="9970"/>
    <n v="10000"/>
    <n v="9960"/>
    <n v="10050"/>
    <n v="9990"/>
    <n v="10040"/>
    <n v="10014.5"/>
    <s v=""/>
    <s v="assinatura"/>
    <n v="2795"/>
    <n v="10000"/>
    <n v="1.4499999999999999E-3"/>
    <n v="14.5"/>
    <x v="3"/>
    <x v="1"/>
  </r>
  <r>
    <x v="22"/>
    <x v="2"/>
    <s v="6a9753ce6468201ba9746ab4"/>
    <s v="01/09/2026 18:45:51"/>
    <s v="01/09/2026 19:38:06"/>
    <s v="Ranieli"/>
    <s v="01/09/2026"/>
    <x v="0"/>
    <s v="JULIANE GOMES NOVAIS"/>
    <n v="40762"/>
    <n v="10080"/>
    <n v="10015"/>
    <n v="10065"/>
    <n v="10050"/>
    <n v="10080"/>
    <n v="10070"/>
    <n v="10050"/>
    <n v="10005"/>
    <n v="10035"/>
    <n v="10040"/>
    <n v="10049"/>
    <s v=""/>
    <s v="assinatura"/>
    <n v="2944"/>
    <n v="10000"/>
    <n v="4.8999999999999998E-3"/>
    <n v="49"/>
    <x v="3"/>
    <x v="1"/>
  </r>
  <r>
    <x v="22"/>
    <x v="2"/>
    <s v="6a9753ce6468201ba9746aae"/>
    <s v="01/09/2026 18:43:26"/>
    <s v="01/09/2026 19:38:06"/>
    <s v="Ranieli"/>
    <s v="01/09/2026"/>
    <x v="0"/>
    <s v="JULIANE GOMES NOVAIS"/>
    <n v="40762"/>
    <n v="10025"/>
    <n v="10000"/>
    <n v="10075"/>
    <n v="10020"/>
    <n v="10075"/>
    <n v="10020"/>
    <n v="10050"/>
    <n v="10030"/>
    <n v="10075"/>
    <n v="10055"/>
    <n v="10042.5"/>
    <s v=""/>
    <s v="assinatura"/>
    <n v="3110"/>
    <n v="10000"/>
    <n v="4.2500000000000003E-3"/>
    <n v="42.5"/>
    <x v="3"/>
    <x v="1"/>
  </r>
  <r>
    <x v="24"/>
    <x v="2"/>
    <s v="6a99a8ab8a2cf415c7e4f6e1"/>
    <s v="03/09/2026 14:00:46"/>
    <s v="03/09/2026 14:04:43"/>
    <s v="Ranieli"/>
    <s v="03/09/2026"/>
    <x v="1"/>
    <s v="ALANA DA SILVA MARTINS"/>
    <n v="197734"/>
    <n v="967"/>
    <n v="1010"/>
    <n v="1017"/>
    <n v="995"/>
    <n v="1012"/>
    <n v="974"/>
    <n v="1012"/>
    <n v="1008"/>
    <n v="1004"/>
    <n v="990"/>
    <n v="998.9"/>
    <s v=""/>
    <s v="assinatura"/>
    <n v="227"/>
    <n v="1000"/>
    <n v="-1.1000000000000228E-3"/>
    <n v="-1.1000000000000227"/>
    <x v="2"/>
    <x v="2"/>
  </r>
  <r>
    <x v="24"/>
    <x v="2"/>
    <s v="6a99a6fe975a2c850b97e36a"/>
    <s v="03/09/2026 13:53:23"/>
    <s v="03/09/2026 13:57:34"/>
    <s v="Ranieli"/>
    <s v="03/09/2026"/>
    <x v="1"/>
    <s v="RANIELI MARIA MASQUIETI DOURADO"/>
    <n v="18163"/>
    <n v="1000"/>
    <n v="1006"/>
    <n v="995"/>
    <n v="1002"/>
    <n v="1003"/>
    <n v="1010"/>
    <n v="1001"/>
    <n v="998"/>
    <n v="999"/>
    <n v="995"/>
    <n v="1000.9"/>
    <s v=""/>
    <s v="assinatura"/>
    <n v="243"/>
    <n v="1000"/>
    <n v="8.9999999999997732E-4"/>
    <n v="0.89999999999997726"/>
    <x v="27"/>
    <x v="6"/>
  </r>
  <r>
    <x v="24"/>
    <x v="2"/>
    <s v="6a99a562a4ee21b059f8f4b0"/>
    <s v="03/09/2026 13:46:19"/>
    <s v="03/09/2026 13:50:42"/>
    <s v="Ranieli"/>
    <s v="03/09/2026"/>
    <x v="1"/>
    <s v="RANIELI MARIA MASQUIETI DOURADO"/>
    <n v="197734"/>
    <n v="1007"/>
    <n v="1013"/>
    <n v="1016"/>
    <n v="885"/>
    <n v="1004"/>
    <n v="999"/>
    <n v="1013"/>
    <n v="1008"/>
    <n v="1003"/>
    <n v="1005"/>
    <n v="995.3"/>
    <s v=""/>
    <s v="assinatura"/>
    <n v="259"/>
    <n v="1000"/>
    <n v="-4.7000000000000453E-3"/>
    <n v="-4.7000000000000455"/>
    <x v="2"/>
    <x v="2"/>
  </r>
  <r>
    <x v="24"/>
    <x v="2"/>
    <s v="6a99a562a4ee21b059f8f4aa"/>
    <s v="03/09/2026 13:35:56"/>
    <s v="03/09/2026 13:50:42"/>
    <s v="Ranieli"/>
    <s v="03/09/2026"/>
    <x v="1"/>
    <s v="RANIELI MARIA MASQUIETI DOURADO"/>
    <n v="15105"/>
    <n v="1021"/>
    <n v="1211"/>
    <n v="1010"/>
    <n v="1000"/>
    <n v="988"/>
    <n v="1052"/>
    <n v="1010"/>
    <n v="1045"/>
    <n v="994"/>
    <n v="1002"/>
    <n v="1033.3"/>
    <s v=""/>
    <s v="assinatura"/>
    <n v="326"/>
    <n v="1000"/>
    <n v="3.3299999999999955E-2"/>
    <n v="33.299999999999955"/>
    <x v="0"/>
    <x v="0"/>
  </r>
  <r>
    <x v="24"/>
    <x v="2"/>
    <s v="6a99a562a4ee21b059f8f4a4"/>
    <s v="03/09/2026 13:30:31"/>
    <s v="03/09/2026 13:50:42"/>
    <s v="Ranieli"/>
    <s v="03/09/2026"/>
    <x v="1"/>
    <s v="RANIELI MARIA MASQUIETI DOURADO"/>
    <n v="864048"/>
    <n v="2014"/>
    <n v="2062"/>
    <n v="2028"/>
    <n v="2040"/>
    <n v="2008"/>
    <n v="1998"/>
    <n v="2014"/>
    <n v="2003"/>
    <n v="2018"/>
    <n v="2000"/>
    <n v="2018.5"/>
    <s v=""/>
    <s v="assinatura"/>
    <n v="195"/>
    <n v="2000"/>
    <n v="9.2499999999999995E-3"/>
    <n v="18.5"/>
    <x v="26"/>
    <x v="1"/>
  </r>
  <r>
    <x v="24"/>
    <x v="2"/>
    <s v="6a99a45df2fc3909d3993d87"/>
    <s v="03/09/2026 13:43:17"/>
    <s v="03/09/2026 13:46:21"/>
    <s v="Ranieli"/>
    <s v="03/09/2026"/>
    <x v="1"/>
    <s v="RANIELI MARIA MASQUIETI DOURADO"/>
    <n v="15849"/>
    <n v="943"/>
    <n v="1096"/>
    <n v="875"/>
    <n v="1030"/>
    <n v="1033"/>
    <n v="1042"/>
    <n v="1014"/>
    <n v="1027"/>
    <n v="953"/>
    <n v="1041"/>
    <n v="1005.4"/>
    <s v=""/>
    <s v=""/>
    <n v="148"/>
    <n v="1000"/>
    <n v="5.3999999999999769E-3"/>
    <n v="5.3999999999999773"/>
    <x v="29"/>
    <x v="2"/>
  </r>
  <r>
    <x v="24"/>
    <x v="2"/>
    <s v="6a9970c918e7857fd2ae0336"/>
    <s v="03/09/2026 09:54:28"/>
    <s v="03/09/2026 10:06:17"/>
    <s v="Ranieli"/>
    <s v="03/09/2026"/>
    <x v="1"/>
    <s v="RANIELI MARIA MASQUIETI DOURADO"/>
    <n v="864048"/>
    <n v="2021"/>
    <n v="2093"/>
    <n v="2019"/>
    <n v="2013"/>
    <n v="2014"/>
    <n v="1996"/>
    <n v="2143"/>
    <n v="2057"/>
    <n v="2187"/>
    <n v="2023"/>
    <n v="2056.6"/>
    <s v=""/>
    <s v="assinatura"/>
    <n v="704"/>
    <n v="2000"/>
    <n v="2.8299999999999954E-2"/>
    <n v="56.599999999999909"/>
    <x v="26"/>
    <x v="1"/>
  </r>
  <r>
    <x v="24"/>
    <x v="2"/>
    <s v="6a9970c918e7857fd2ae0330"/>
    <s v="03/09/2026 09:47:30"/>
    <s v="03/09/2026 10:06:17"/>
    <s v="Ranieli"/>
    <s v="03/09/2026"/>
    <x v="1"/>
    <s v="RANIELI MARIA MASQUIETI DOURADO"/>
    <n v="15105"/>
    <n v="1000"/>
    <n v="1066"/>
    <n v="1017"/>
    <n v="1030"/>
    <n v="1008"/>
    <n v="1018"/>
    <n v="1056"/>
    <n v="1006"/>
    <n v="1038"/>
    <n v="1027"/>
    <n v="1026.5999999999999"/>
    <s v=""/>
    <s v="assinatura"/>
    <n v="284"/>
    <n v="1000"/>
    <n v="2.6599999999999908E-2"/>
    <n v="26.599999999999909"/>
    <x v="0"/>
    <x v="0"/>
  </r>
  <r>
    <x v="25"/>
    <x v="2"/>
    <s v="6a9901b732b3ac5a4238a8fc"/>
    <s v="02/09/2026 23:21:49"/>
    <s v="03/09/2026 02:12:23"/>
    <s v="Ranieli"/>
    <s v="02/09/2026"/>
    <x v="0"/>
    <s v="JOSEFA KELY NUNES DE SOUSA"/>
    <n v="15229"/>
    <n v="1014"/>
    <n v="999"/>
    <n v="1013"/>
    <n v="1016"/>
    <n v="1014"/>
    <n v="1009"/>
    <n v="995"/>
    <n v="1006"/>
    <n v="1007"/>
    <n v="1002"/>
    <n v="1007.5"/>
    <s v=""/>
    <s v=""/>
    <n v="933"/>
    <n v="1000"/>
    <n v="7.4999999999999997E-3"/>
    <n v="7.5"/>
    <x v="9"/>
    <x v="1"/>
  </r>
  <r>
    <x v="25"/>
    <x v="2"/>
    <s v="6a9901b732b3ac5a4238a8f6"/>
    <s v="02/09/2026 23:17:13"/>
    <s v="03/09/2026 02:12:23"/>
    <s v="Ranieli"/>
    <s v="02/09/2026"/>
    <x v="0"/>
    <s v="JOSEFA KELY NUNES DE SOUSA"/>
    <n v="13188"/>
    <n v="1028"/>
    <n v="1009"/>
    <n v="1029"/>
    <n v="1018"/>
    <n v="1024"/>
    <n v="1005"/>
    <n v="1026"/>
    <n v="1018"/>
    <n v="1015"/>
    <n v="1014"/>
    <n v="1018.6"/>
    <s v=""/>
    <s v="assinatura"/>
    <n v="274"/>
    <n v="1000"/>
    <n v="1.8600000000000023E-2"/>
    <n v="18.600000000000023"/>
    <x v="8"/>
    <x v="1"/>
  </r>
  <r>
    <x v="25"/>
    <x v="2"/>
    <s v="6a9901b732b3ac5a4238a8f0"/>
    <s v="02/09/2026 18:06:44"/>
    <s v="03/09/2026 02:12:23"/>
    <s v="Ranieli"/>
    <s v="02/09/2026"/>
    <x v="0"/>
    <s v="JOSEFA KELY NUNES DE SOUSA"/>
    <n v="13188"/>
    <n v="1013"/>
    <n v="1002"/>
    <n v="999"/>
    <n v="991"/>
    <n v="1009"/>
    <n v="1003"/>
    <n v="1015"/>
    <n v="1016"/>
    <n v="1012"/>
    <n v="1004"/>
    <n v="1006.4"/>
    <s v=""/>
    <s v="assinatura"/>
    <n v="798"/>
    <n v="1000"/>
    <n v="6.3999999999999769E-3"/>
    <n v="6.3999999999999773"/>
    <x v="8"/>
    <x v="1"/>
  </r>
  <r>
    <x v="25"/>
    <x v="2"/>
    <s v="6a9901b732b3ac5a4238a8ea"/>
    <s v="02/09/2026 17:59:19"/>
    <s v="03/09/2026 02:12:23"/>
    <s v="Ranieli"/>
    <s v="02/09/2026"/>
    <x v="0"/>
    <s v="JOSEFA KELY NUNES DE SOUSA"/>
    <n v="15229"/>
    <n v="993"/>
    <n v="1000"/>
    <n v="1014"/>
    <n v="1003"/>
    <n v="1014"/>
    <n v="999"/>
    <n v="992"/>
    <n v="1006"/>
    <n v="1014"/>
    <n v="996"/>
    <n v="1003.1"/>
    <s v=""/>
    <s v=""/>
    <n v="426"/>
    <n v="1000"/>
    <n v="3.1000000000000229E-3"/>
    <n v="3.1000000000000227"/>
    <x v="9"/>
    <x v="1"/>
  </r>
  <r>
    <x v="25"/>
    <x v="2"/>
    <s v="6a9901b732b3ac5a4238a8e4"/>
    <s v="02/09/2026 17:47:40"/>
    <s v="03/09/2026 02:12:23"/>
    <s v="Ranieli"/>
    <s v="02/09/2026"/>
    <x v="0"/>
    <s v="JOSEFA KELY NUNES DE SOUSA"/>
    <n v="42854"/>
    <n v="2107"/>
    <n v="2187"/>
    <n v="2113"/>
    <n v="2087"/>
    <n v="2106"/>
    <n v="1889"/>
    <n v="2001"/>
    <n v="2101"/>
    <n v="2123"/>
    <n v="2085"/>
    <n v="2079.9"/>
    <s v=""/>
    <s v=""/>
    <n v="340"/>
    <n v="2080"/>
    <n v="-4.807692307687935E-5"/>
    <n v="-9.9999999999909051E-2"/>
    <x v="4"/>
    <x v="1"/>
  </r>
  <r>
    <x v="25"/>
    <x v="2"/>
    <s v="6a9901b732b3ac5a4238a8de"/>
    <s v="02/09/2026 17:40:42"/>
    <s v="03/09/2026 02:12:23"/>
    <s v="Ranieli"/>
    <s v="02/09/2026"/>
    <x v="0"/>
    <s v="JOSEFA KELY NUNES DE SOUSA"/>
    <n v="42838"/>
    <n v="2011"/>
    <n v="2034"/>
    <n v="2033"/>
    <n v="2010"/>
    <n v="2064"/>
    <n v="2011"/>
    <n v="2006"/>
    <n v="2015"/>
    <n v="2009"/>
    <n v="2039"/>
    <n v="2023.2"/>
    <s v=""/>
    <s v=""/>
    <n v="110"/>
    <n v="2000"/>
    <n v="1.1600000000000023E-2"/>
    <n v="23.200000000000045"/>
    <x v="7"/>
    <x v="1"/>
  </r>
  <r>
    <x v="25"/>
    <x v="2"/>
    <s v="6a9901b732b3ac5a4238a8d8"/>
    <s v="02/09/2026 17:27:38"/>
    <s v="03/09/2026 02:12:23"/>
    <s v="Ranieli"/>
    <s v="02/09/2026"/>
    <x v="0"/>
    <s v="JOSEFA KELY NUNES DE SOUSA"/>
    <n v="992093"/>
    <n v="5008"/>
    <n v="5004"/>
    <n v="5008"/>
    <n v="5001"/>
    <n v="5002"/>
    <n v="5008"/>
    <n v="5007"/>
    <n v="5005"/>
    <n v="5009"/>
    <m/>
    <n v="5006"/>
    <s v=""/>
    <s v=""/>
    <n v="152"/>
    <n v="5000"/>
    <n v="1.1999999999999999E-3"/>
    <n v="6"/>
    <x v="13"/>
    <x v="3"/>
  </r>
  <r>
    <x v="25"/>
    <x v="2"/>
    <s v="6a98df3ea4ee21b059f520d8"/>
    <s v="02/09/2026 23:33:07"/>
    <s v="02/09/2026 23:45:18"/>
    <s v="Ranieli"/>
    <s v="02/09/2026"/>
    <x v="0"/>
    <s v="JULIANE GOMES NOVAIS"/>
    <n v="15105"/>
    <n v="1165"/>
    <n v="1008"/>
    <n v="999"/>
    <n v="1022"/>
    <n v="1033"/>
    <n v="1004"/>
    <n v="1026"/>
    <n v="1042"/>
    <n v="1025"/>
    <n v="1003"/>
    <n v="1032.7"/>
    <s v=""/>
    <s v="assinatura"/>
    <n v="683"/>
    <n v="1000"/>
    <n v="3.2700000000000048E-2"/>
    <n v="32.700000000000045"/>
    <x v="0"/>
    <x v="0"/>
  </r>
  <r>
    <x v="25"/>
    <x v="2"/>
    <s v="6a98df3ea4ee21b059f520d2"/>
    <s v="02/09/2026 23:29:55"/>
    <s v="02/09/2026 23:45:18"/>
    <s v="Ranieli"/>
    <s v="02/09/2026"/>
    <x v="0"/>
    <s v="JULIANE GOMES NOVAIS"/>
    <n v="15105"/>
    <n v="1024"/>
    <n v="980"/>
    <n v="1016"/>
    <n v="1001"/>
    <n v="829"/>
    <n v="1009"/>
    <n v="951"/>
    <n v="997"/>
    <n v="1002"/>
    <n v="1000"/>
    <n v="980.9"/>
    <s v=""/>
    <s v="assinatura"/>
    <n v="843"/>
    <n v="1000"/>
    <n v="-1.9100000000000023E-2"/>
    <n v="-19.100000000000023"/>
    <x v="0"/>
    <x v="0"/>
  </r>
  <r>
    <x v="25"/>
    <x v="2"/>
    <s v="6a98df3ea4ee21b059f520cc"/>
    <s v="02/09/2026 23:27:37"/>
    <s v="02/09/2026 23:45:18"/>
    <s v="Ranieli"/>
    <s v="02/09/2026"/>
    <x v="0"/>
    <s v="JULIANE GOMES NOVAIS"/>
    <n v="15105"/>
    <n v="1008"/>
    <n v="1025"/>
    <n v="1032"/>
    <n v="1032"/>
    <n v="1021"/>
    <n v="985"/>
    <n v="990"/>
    <n v="1008"/>
    <n v="1018"/>
    <n v="1053"/>
    <n v="1017.2"/>
    <s v=""/>
    <s v="assinatura"/>
    <n v="951"/>
    <n v="1000"/>
    <n v="1.7200000000000045E-2"/>
    <n v="17.200000000000045"/>
    <x v="0"/>
    <x v="0"/>
  </r>
  <r>
    <x v="25"/>
    <x v="2"/>
    <s v="6a98da310086f5dfe4a1bcd7"/>
    <s v="02/09/2026 21:13:43"/>
    <s v="02/09/2026 23:23:45"/>
    <s v="Ranieli"/>
    <s v="02/09/2026"/>
    <x v="0"/>
    <s v="JULIANE GOMES NOVAIS"/>
    <n v="15105"/>
    <n v="1021"/>
    <n v="1013"/>
    <n v="1005"/>
    <n v="1011"/>
    <n v="1060"/>
    <n v="934"/>
    <n v="1023"/>
    <n v="1031"/>
    <n v="1014"/>
    <n v="1032"/>
    <n v="1014.4"/>
    <s v=""/>
    <s v="assinatura"/>
    <n v="288"/>
    <n v="1000"/>
    <n v="1.4399999999999977E-2"/>
    <n v="14.399999999999977"/>
    <x v="0"/>
    <x v="0"/>
  </r>
  <r>
    <x v="25"/>
    <x v="2"/>
    <s v="6a98da310086f5dfe4a1bccf"/>
    <s v="02/09/2026 21:10:26"/>
    <s v="02/09/2026 23:23:45"/>
    <s v="Ranieli"/>
    <s v="02/09/2026"/>
    <x v="0"/>
    <s v="JULIANE GOMES NOVAIS"/>
    <n v="15105"/>
    <n v="1128"/>
    <n v="1038"/>
    <n v="930"/>
    <n v="1010"/>
    <n v="1004"/>
    <n v="1019"/>
    <n v="1009"/>
    <n v="886"/>
    <n v="1002"/>
    <n v="1011"/>
    <n v="1003.7"/>
    <s v=""/>
    <s v="assinatura"/>
    <n v="527"/>
    <n v="1000"/>
    <n v="3.7000000000000453E-3"/>
    <n v="3.7000000000000455"/>
    <x v="0"/>
    <x v="0"/>
  </r>
  <r>
    <x v="25"/>
    <x v="2"/>
    <s v="6a98da26b367d8283d377989"/>
    <s v="02/09/2026 23:15:11"/>
    <s v="02/09/2026 23:23:34"/>
    <s v="Ranieli"/>
    <s v="02/09/2026"/>
    <x v="0"/>
    <s v="JULIANE GOMES NOVAIS"/>
    <n v="40762"/>
    <n v="10065"/>
    <n v="10000"/>
    <n v="10095"/>
    <n v="10010"/>
    <n v="10015"/>
    <n v="9960"/>
    <n v="10005"/>
    <n v="10110"/>
    <n v="10075"/>
    <n v="10055"/>
    <n v="10039"/>
    <s v=""/>
    <s v="assinatura"/>
    <n v="384"/>
    <n v="10000"/>
    <n v="3.8999999999999998E-3"/>
    <n v="39"/>
    <x v="3"/>
    <x v="1"/>
  </r>
  <r>
    <x v="25"/>
    <x v="2"/>
    <s v="6a98da26b367d8283d377983"/>
    <s v="02/09/2026 23:09:00"/>
    <s v="02/09/2026 23:23:34"/>
    <s v="Ranieli"/>
    <s v="02/09/2026"/>
    <x v="0"/>
    <s v="JULIANE GOMES NOVAIS"/>
    <n v="40762"/>
    <n v="10005"/>
    <n v="10015"/>
    <n v="9985"/>
    <n v="10070"/>
    <n v="10080"/>
    <n v="9980"/>
    <n v="10025"/>
    <n v="10035"/>
    <n v="9975"/>
    <n v="9970"/>
    <n v="10014"/>
    <s v=""/>
    <s v="assinatura"/>
    <n v="727"/>
    <n v="10000"/>
    <n v="1.4E-3"/>
    <n v="14"/>
    <x v="3"/>
    <x v="1"/>
  </r>
  <r>
    <x v="25"/>
    <x v="2"/>
    <s v="6a98da26b367d8283d37797d"/>
    <s v="02/09/2026 23:06:47"/>
    <s v="02/09/2026 23:23:34"/>
    <s v="Ranieli"/>
    <s v="02/09/2026"/>
    <x v="0"/>
    <s v="JULIANE GOMES NOVAIS"/>
    <n v="40762"/>
    <n v="10040"/>
    <n v="10010"/>
    <n v="10000"/>
    <n v="10015"/>
    <n v="10075"/>
    <n v="10040"/>
    <n v="9990"/>
    <n v="10040"/>
    <n v="10070"/>
    <n v="9965"/>
    <n v="10024.5"/>
    <s v=""/>
    <s v="assinatura"/>
    <n v="803"/>
    <n v="10000"/>
    <n v="2.4499999999999999E-3"/>
    <n v="24.5"/>
    <x v="3"/>
    <x v="1"/>
  </r>
  <r>
    <x v="25"/>
    <x v="2"/>
    <s v="6a98da26b367d8283d377977"/>
    <s v="02/09/2026 23:04:26"/>
    <s v="02/09/2026 23:23:34"/>
    <s v="Ranieli"/>
    <s v="02/09/2026"/>
    <x v="0"/>
    <s v="JULIANE GOMES NOVAIS"/>
    <n v="40762"/>
    <n v="10100"/>
    <n v="10040"/>
    <n v="10075"/>
    <n v="10070"/>
    <n v="10000"/>
    <n v="10060"/>
    <n v="10010"/>
    <n v="10065"/>
    <n v="10085"/>
    <n v="10005"/>
    <n v="10051"/>
    <s v=""/>
    <s v="assinatura"/>
    <n v="916"/>
    <n v="10000"/>
    <n v="5.1000000000000004E-3"/>
    <n v="51"/>
    <x v="3"/>
    <x v="1"/>
  </r>
  <r>
    <x v="25"/>
    <x v="2"/>
    <s v="6a98da26b367d8283d377971"/>
    <s v="02/09/2026 21:19:25"/>
    <s v="02/09/2026 23:23:34"/>
    <s v="Ranieli"/>
    <s v="02/09/2026"/>
    <x v="0"/>
    <s v="JULIANE GOMES NOVAIS"/>
    <n v="15105"/>
    <n v="1005"/>
    <n v="1012"/>
    <n v="1015"/>
    <n v="1000"/>
    <n v="1056"/>
    <n v="1016"/>
    <n v="1151"/>
    <n v="1045"/>
    <n v="1015"/>
    <n v="1006"/>
    <n v="1032.0999999999999"/>
    <s v=""/>
    <s v="assinatura"/>
    <n v="513"/>
    <n v="1000"/>
    <n v="3.2099999999999906E-2"/>
    <n v="32.099999999999909"/>
    <x v="0"/>
    <x v="0"/>
  </r>
  <r>
    <x v="25"/>
    <x v="2"/>
    <s v="6a98ba110086f5dfe4a1b098"/>
    <s v="02/09/2026 21:02:30"/>
    <s v="02/09/2026 21:06:41"/>
    <s v="Ranieli"/>
    <s v="02/09/2026"/>
    <x v="0"/>
    <s v="JULIANE GOMES NOVAIS"/>
    <n v="197734"/>
    <n v="997"/>
    <n v="1018"/>
    <n v="1026"/>
    <n v="998"/>
    <n v="1017"/>
    <n v="1004"/>
    <n v="1001"/>
    <n v="1006"/>
    <n v="998"/>
    <n v="1068"/>
    <n v="1013.3"/>
    <s v=""/>
    <s v="assinatura"/>
    <n v="225"/>
    <n v="1000"/>
    <n v="1.3299999999999954E-2"/>
    <n v="13.299999999999955"/>
    <x v="2"/>
    <x v="2"/>
  </r>
  <r>
    <x v="25"/>
    <x v="2"/>
    <s v="6a98ba110086f5dfe4a1b092"/>
    <s v="02/09/2026 20:59:29"/>
    <s v="02/09/2026 21:06:41"/>
    <s v="Ranieli"/>
    <s v="02/09/2026"/>
    <x v="0"/>
    <s v="JULIANE GOMES NOVAIS"/>
    <n v="197734"/>
    <n v="1003"/>
    <n v="992"/>
    <n v="1015"/>
    <n v="996"/>
    <n v="998"/>
    <n v="1012"/>
    <n v="998"/>
    <n v="1094"/>
    <n v="1035"/>
    <n v="992"/>
    <n v="1013.5"/>
    <s v=""/>
    <s v="assinatura"/>
    <n v="371"/>
    <n v="1000"/>
    <n v="1.35E-2"/>
    <n v="13.5"/>
    <x v="2"/>
    <x v="2"/>
  </r>
  <r>
    <x v="25"/>
    <x v="2"/>
    <s v="6a98b81ad8b1ab0096e8e1d3"/>
    <s v="02/09/2026 20:51:21"/>
    <s v="02/09/2026 20:58:18"/>
    <s v="Ranieli"/>
    <s v="02/09/2026"/>
    <x v="0"/>
    <s v="JULIANE GOMES NOVAIS"/>
    <n v="15229"/>
    <n v="1022"/>
    <n v="1020"/>
    <n v="1008"/>
    <n v="1010"/>
    <n v="1003"/>
    <n v="1016"/>
    <n v="1005"/>
    <n v="1025"/>
    <n v="1019"/>
    <n v="1018"/>
    <n v="1014.6"/>
    <s v=""/>
    <s v="assinatura"/>
    <n v="283"/>
    <n v="1000"/>
    <n v="1.4600000000000023E-2"/>
    <n v="14.600000000000023"/>
    <x v="9"/>
    <x v="1"/>
  </r>
  <r>
    <x v="25"/>
    <x v="2"/>
    <s v="6a98b81ad8b1ab0096e8e1cd"/>
    <s v="02/09/2026 20:47:27"/>
    <s v="02/09/2026 20:58:18"/>
    <s v="Ranieli"/>
    <s v="02/09/2026"/>
    <x v="0"/>
    <s v="JULIANE GOMES NOVAIS"/>
    <n v="15229"/>
    <n v="1007"/>
    <n v="1022"/>
    <n v="1004"/>
    <n v="1057"/>
    <n v="1013"/>
    <n v="1026"/>
    <n v="1009"/>
    <n v="1016"/>
    <n v="1006"/>
    <n v="1011"/>
    <n v="1017.1"/>
    <s v=""/>
    <s v="assinatura"/>
    <n v="539"/>
    <n v="1000"/>
    <n v="1.7100000000000021E-2"/>
    <n v="17.100000000000023"/>
    <x v="9"/>
    <x v="1"/>
  </r>
  <r>
    <x v="25"/>
    <x v="2"/>
    <s v="6a98b81ad8b1ab0096e8e1c5"/>
    <s v="02/09/2026 20:42:02"/>
    <s v="02/09/2026 20:58:18"/>
    <s v="Ranieli"/>
    <s v="02/09/2026"/>
    <x v="0"/>
    <s v="JULIANE GOMES NOVAIS"/>
    <n v="15229"/>
    <n v="1018"/>
    <n v="1021"/>
    <n v="1016"/>
    <n v="1010"/>
    <n v="1008"/>
    <n v="1013"/>
    <n v="1024"/>
    <n v="1004"/>
    <n v="1034"/>
    <n v="1004"/>
    <n v="1015.2"/>
    <s v=""/>
    <s v="assinatura"/>
    <n v="882"/>
    <n v="1000"/>
    <n v="1.5200000000000045E-2"/>
    <n v="15.200000000000045"/>
    <x v="9"/>
    <x v="1"/>
  </r>
  <r>
    <x v="25"/>
    <x v="2"/>
    <s v="6a98b81ad8b1ab0096e8e1bf"/>
    <s v="02/09/2026 20:16:45"/>
    <s v="02/09/2026 20:58:18"/>
    <s v="Ranieli"/>
    <s v="02/09/2026"/>
    <x v="0"/>
    <s v="JULIANE GOMES NOVAIS"/>
    <n v="15229"/>
    <n v="1019"/>
    <n v="1016"/>
    <n v="1004"/>
    <n v="1008"/>
    <n v="1019"/>
    <n v="1015"/>
    <n v="999"/>
    <n v="1018"/>
    <n v="1001"/>
    <n v="1130"/>
    <n v="1022.9"/>
    <s v=""/>
    <s v="assinatura"/>
    <n v="2427"/>
    <n v="1000"/>
    <n v="2.2899999999999976E-2"/>
    <n v="22.899999999999977"/>
    <x v="9"/>
    <x v="1"/>
  </r>
  <r>
    <x v="25"/>
    <x v="2"/>
    <s v="6a989279f91ba0d160c0dab8"/>
    <s v="02/09/2026 17:59:19"/>
    <s v="02/09/2026 18:17:45"/>
    <s v="Ranieli"/>
    <s v="02/09/2026"/>
    <x v="0"/>
    <s v="JULIANE GOMES NOVAIS"/>
    <n v="13188"/>
    <n v="1007"/>
    <n v="1009"/>
    <n v="996"/>
    <n v="1004"/>
    <n v="1015"/>
    <n v="1014"/>
    <n v="1007"/>
    <n v="997"/>
    <n v="1009"/>
    <n v="1007"/>
    <n v="1006.5"/>
    <s v=""/>
    <s v=""/>
    <n v="98"/>
    <n v="1000"/>
    <n v="6.4999999999999997E-3"/>
    <n v="6.5"/>
    <x v="8"/>
    <x v="1"/>
  </r>
  <r>
    <x v="25"/>
    <x v="2"/>
    <s v="6a988c5c18e7857fd2a88068"/>
    <s v="02/09/2026 17:46:24"/>
    <s v="02/09/2026 17:51:40"/>
    <s v="Ranieli"/>
    <s v="02/09/2026"/>
    <x v="0"/>
    <s v="JULIANE GOMES NOVAIS"/>
    <n v="15105"/>
    <n v="987"/>
    <n v="1018"/>
    <n v="1010"/>
    <n v="1033"/>
    <n v="1006"/>
    <n v="1029"/>
    <n v="1048"/>
    <n v="1070"/>
    <n v="1021"/>
    <n v="1015"/>
    <n v="1023.7"/>
    <s v=""/>
    <s v="assinatura"/>
    <n v="313"/>
    <n v="1000"/>
    <n v="2.3700000000000044E-2"/>
    <n v="23.700000000000045"/>
    <x v="0"/>
    <x v="0"/>
  </r>
  <r>
    <x v="25"/>
    <x v="2"/>
    <s v="6a98889be67cbea4cd79fdf0"/>
    <s v="02/09/2026 17:31:04"/>
    <s v="02/09/2026 17:35:39"/>
    <s v="Ranieli"/>
    <s v="02/09/2026"/>
    <x v="1"/>
    <s v="ALANA DA SILVA MARTINS"/>
    <n v="209039"/>
    <n v="1001"/>
    <n v="1073"/>
    <n v="999"/>
    <n v="997"/>
    <n v="1001"/>
    <n v="1027"/>
    <n v="999"/>
    <n v="948"/>
    <n v="1001"/>
    <n v="1000"/>
    <n v="1004.6"/>
    <s v=""/>
    <s v="assinatura"/>
    <n v="152"/>
    <n v="1000"/>
    <n v="4.6000000000000225E-3"/>
    <n v="4.6000000000000227"/>
    <x v="19"/>
    <x v="3"/>
  </r>
  <r>
    <x v="22"/>
    <x v="2"/>
    <s v="6a98889be67cbea4cd79fdea"/>
    <s v="01/09/2026 15:02:25"/>
    <s v="02/09/2026 17:35:39"/>
    <s v="Ranieli"/>
    <s v="01/09/2026"/>
    <x v="1"/>
    <s v="ALANA DA SILVA MARTINS"/>
    <n v="209009"/>
    <n v="994"/>
    <n v="1029"/>
    <n v="909"/>
    <n v="1001"/>
    <n v="1142"/>
    <n v="1000"/>
    <n v="1039"/>
    <n v="992"/>
    <n v="990"/>
    <n v="992"/>
    <n v="1008.8"/>
    <s v=""/>
    <s v="assinatura"/>
    <n v="304"/>
    <n v="1000"/>
    <n v="8.7999999999999537E-3"/>
    <n v="8.7999999999999545"/>
    <x v="1"/>
    <x v="1"/>
  </r>
  <r>
    <x v="22"/>
    <x v="2"/>
    <s v="6a98888e0086f5dfe4a16851"/>
    <s v="01/09/2026 14:43:14"/>
    <s v="02/09/2026 17:35:26"/>
    <s v="Ranieli"/>
    <s v="01/09/2026"/>
    <x v="1"/>
    <s v="ALANA DA SILVA MARTINS"/>
    <n v="15105"/>
    <n v="1054"/>
    <n v="997"/>
    <n v="1005"/>
    <n v="1016"/>
    <n v="1001"/>
    <n v="1000"/>
    <n v="1005"/>
    <n v="1022"/>
    <n v="1023"/>
    <n v="1000"/>
    <n v="1012.3"/>
    <s v=""/>
    <s v="assinatura"/>
    <n v="226"/>
    <n v="1000"/>
    <n v="1.2299999999999955E-2"/>
    <n v="12.299999999999955"/>
    <x v="0"/>
    <x v="0"/>
  </r>
  <r>
    <x v="22"/>
    <x v="2"/>
    <s v="6a98888e0086f5dfe4a1684b"/>
    <s v="01/09/2026 14:34:54"/>
    <s v="02/09/2026 17:35:26"/>
    <s v="Ranieli"/>
    <s v="01/09/2026"/>
    <x v="1"/>
    <s v="ALANA DA SILVA MARTINS"/>
    <n v="15105"/>
    <n v="1112"/>
    <n v="997"/>
    <n v="1013"/>
    <n v="1033"/>
    <n v="1007"/>
    <n v="1002"/>
    <n v="1064"/>
    <n v="1017"/>
    <n v="1011"/>
    <n v="1012"/>
    <n v="1026.8"/>
    <s v=""/>
    <s v="assinatura"/>
    <n v="482"/>
    <n v="1000"/>
    <n v="2.6799999999999956E-2"/>
    <n v="26.799999999999955"/>
    <x v="0"/>
    <x v="0"/>
  </r>
  <r>
    <x v="22"/>
    <x v="2"/>
    <s v="6a98888e0086f5dfe4a16845"/>
    <s v="01/09/2026 14:29:58"/>
    <s v="02/09/2026 17:35:26"/>
    <s v="Ranieli"/>
    <s v="01/09/2026"/>
    <x v="1"/>
    <s v="ALANA DA SILVA MARTINS"/>
    <n v="18163"/>
    <n v="1007"/>
    <n v="1004"/>
    <n v="1005"/>
    <n v="995"/>
    <n v="983"/>
    <n v="1008"/>
    <n v="995"/>
    <n v="1004"/>
    <n v="971"/>
    <n v="999"/>
    <n v="997.1"/>
    <s v=""/>
    <s v=""/>
    <n v="131"/>
    <n v="1000"/>
    <n v="-2.8999999999999772E-3"/>
    <n v="-2.8999999999999773"/>
    <x v="27"/>
    <x v="6"/>
  </r>
  <r>
    <x v="25"/>
    <x v="2"/>
    <s v="6a9887b50086f5dfe4a167a6"/>
    <s v="02/09/2026 17:25:35"/>
    <s v="02/09/2026 17:31:49"/>
    <s v="Ranieli"/>
    <s v="02/09/2026"/>
    <x v="0"/>
    <s v="JULIANE GOMES NOVAIS"/>
    <n v="40762"/>
    <n v="10055"/>
    <n v="10030"/>
    <n v="10060"/>
    <n v="10055"/>
    <n v="10095"/>
    <n v="10025"/>
    <n v="10035"/>
    <n v="10070"/>
    <n v="10030"/>
    <n v="10035"/>
    <n v="10049"/>
    <s v=""/>
    <s v="assinatura"/>
    <n v="289"/>
    <n v="10000"/>
    <n v="4.8999999999999998E-3"/>
    <n v="49"/>
    <x v="3"/>
    <x v="1"/>
  </r>
  <r>
    <x v="25"/>
    <x v="2"/>
    <s v="6a9887b50086f5dfe4a167a0"/>
    <s v="02/09/2026 17:23:08"/>
    <s v="02/09/2026 17:31:49"/>
    <s v="Ranieli"/>
    <s v="02/09/2026"/>
    <x v="0"/>
    <s v="JULIANE GOMES NOVAIS"/>
    <n v="40762"/>
    <n v="10070"/>
    <n v="10060"/>
    <n v="9990"/>
    <n v="9945"/>
    <n v="10115"/>
    <n v="10040"/>
    <n v="10025"/>
    <n v="10070"/>
    <n v="10050"/>
    <n v="10050"/>
    <n v="10041.5"/>
    <s v=""/>
    <s v="assinatura"/>
    <n v="452"/>
    <n v="10000"/>
    <n v="4.15E-3"/>
    <n v="41.5"/>
    <x v="3"/>
    <x v="1"/>
  </r>
  <r>
    <x v="25"/>
    <x v="2"/>
    <s v="6a9887b50086f5dfe4a1679a"/>
    <s v="02/09/2026 17:19:48"/>
    <s v="02/09/2026 17:31:49"/>
    <s v="Ranieli"/>
    <s v="02/09/2026"/>
    <x v="0"/>
    <s v="JULIANE GOMES NOVAIS"/>
    <n v="40762"/>
    <n v="10080"/>
    <n v="10140"/>
    <n v="10065"/>
    <n v="10055"/>
    <n v="10040"/>
    <n v="10015"/>
    <n v="10135"/>
    <n v="10085"/>
    <n v="9990"/>
    <n v="10050"/>
    <n v="10065.5"/>
    <s v=""/>
    <s v="assinatura"/>
    <n v="663"/>
    <n v="10000"/>
    <n v="6.5500000000000003E-3"/>
    <n v="65.5"/>
    <x v="3"/>
    <x v="1"/>
  </r>
  <r>
    <x v="25"/>
    <x v="2"/>
    <s v="6a9887b50086f5dfe4a16794"/>
    <s v="02/09/2026 17:09:06"/>
    <s v="02/09/2026 17:31:49"/>
    <s v="Ranieli"/>
    <s v="02/09/2026"/>
    <x v="0"/>
    <s v="JULIANE GOMES NOVAIS"/>
    <n v="15229"/>
    <n v="935"/>
    <n v="988"/>
    <n v="975"/>
    <n v="989"/>
    <n v="1016"/>
    <n v="972"/>
    <n v="1007"/>
    <n v="980"/>
    <n v="978"/>
    <n v="1054"/>
    <n v="989.4"/>
    <s v=""/>
    <s v="assinatura"/>
    <n v="469"/>
    <n v="1000"/>
    <n v="-1.0600000000000023E-2"/>
    <n v="-10.600000000000023"/>
    <x v="9"/>
    <x v="1"/>
  </r>
  <r>
    <x v="25"/>
    <x v="2"/>
    <s v="6a9887b50086f5dfe4a1678e"/>
    <s v="02/09/2026 17:03:20"/>
    <s v="02/09/2026 17:31:49"/>
    <s v="Ranieli"/>
    <s v="02/09/2026"/>
    <x v="0"/>
    <s v="JULIANE GOMES NOVAIS"/>
    <n v="15229"/>
    <n v="982"/>
    <n v="1017"/>
    <n v="1029"/>
    <n v="940"/>
    <n v="985"/>
    <n v="1016"/>
    <n v="993"/>
    <n v="977"/>
    <n v="1014"/>
    <n v="1037"/>
    <n v="999"/>
    <s v=""/>
    <s v="assinatura"/>
    <n v="395"/>
    <n v="1000"/>
    <n v="-1E-3"/>
    <n v="-1"/>
    <x v="9"/>
    <x v="1"/>
  </r>
  <r>
    <x v="25"/>
    <x v="2"/>
    <s v="6a9880b0d8b1ab0096e8b4d7"/>
    <s v="02/09/2026 16:53:31"/>
    <s v="02/09/2026 17:01:52"/>
    <s v="Ranieli"/>
    <s v="02/09/2026"/>
    <x v="0"/>
    <s v="JULIANE GOMES NOVAIS"/>
    <n v="15105"/>
    <n v="1028"/>
    <n v="1007"/>
    <n v="1041"/>
    <n v="1021"/>
    <n v="1022"/>
    <n v="1068"/>
    <n v="1048"/>
    <n v="1018"/>
    <n v="1043"/>
    <n v="1028"/>
    <n v="1032.4000000000001"/>
    <s v=""/>
    <s v="assinatura"/>
    <n v="285"/>
    <n v="1000"/>
    <n v="3.2400000000000088E-2"/>
    <n v="32.400000000000091"/>
    <x v="0"/>
    <x v="0"/>
  </r>
  <r>
    <x v="25"/>
    <x v="2"/>
    <s v="6a9880b0d8b1ab0096e8b4d1"/>
    <s v="02/09/2026 16:51:13"/>
    <s v="02/09/2026 17:01:52"/>
    <s v="Ranieli"/>
    <s v="02/09/2026"/>
    <x v="0"/>
    <s v="JULIANE GOMES NOVAIS"/>
    <n v="15105"/>
    <n v="1005"/>
    <n v="985"/>
    <n v="1019"/>
    <n v="1032"/>
    <n v="992"/>
    <n v="1016"/>
    <n v="1023"/>
    <n v="1026"/>
    <n v="1022"/>
    <n v="1017"/>
    <n v="1013.7"/>
    <s v=""/>
    <s v="assinatura"/>
    <n v="544"/>
    <n v="1000"/>
    <n v="1.3700000000000045E-2"/>
    <n v="13.700000000000045"/>
    <x v="0"/>
    <x v="0"/>
  </r>
  <r>
    <x v="25"/>
    <x v="2"/>
    <s v="6a9880b0d8b1ab0096e8b4cb"/>
    <s v="02/09/2026 16:47:40"/>
    <s v="02/09/2026 17:01:52"/>
    <s v="Ranieli"/>
    <s v="02/09/2026"/>
    <x v="0"/>
    <s v="JULIANE GOMES NOVAIS"/>
    <n v="15105"/>
    <n v="999"/>
    <n v="1012"/>
    <n v="1016"/>
    <n v="999"/>
    <n v="1000"/>
    <n v="995"/>
    <n v="915"/>
    <n v="1091"/>
    <n v="1030"/>
    <n v="1061"/>
    <n v="1011.8"/>
    <s v=""/>
    <s v="assinatura"/>
    <n v="781"/>
    <n v="1000"/>
    <n v="1.1799999999999955E-2"/>
    <n v="11.799999999999955"/>
    <x v="0"/>
    <x v="0"/>
  </r>
  <r>
    <x v="25"/>
    <x v="2"/>
    <s v="6a9880b0d8b1ab0096e8b4c5"/>
    <s v="02/09/2026 16:45:14"/>
    <s v="02/09/2026 17:01:52"/>
    <s v="Ranieli"/>
    <s v="02/09/2026"/>
    <x v="0"/>
    <s v="JULIANE GOMES NOVAIS"/>
    <n v="15105"/>
    <n v="1027"/>
    <n v="1004"/>
    <n v="1016"/>
    <n v="1033"/>
    <n v="1025"/>
    <n v="1045"/>
    <n v="943"/>
    <n v="1009"/>
    <n v="1041"/>
    <n v="1013"/>
    <n v="1015.6"/>
    <s v=""/>
    <s v="assinatura"/>
    <n v="939"/>
    <n v="1000"/>
    <n v="1.5600000000000024E-2"/>
    <n v="15.600000000000023"/>
    <x v="0"/>
    <x v="0"/>
  </r>
  <r>
    <x v="25"/>
    <x v="2"/>
    <s v="6a9880b0d8b1ab0096e8b4bf"/>
    <s v="02/09/2026 16:39:00"/>
    <s v="02/09/2026 17:01:52"/>
    <s v="Ranieli"/>
    <s v="02/09/2026"/>
    <x v="0"/>
    <s v="JULIANE GOMES NOVAIS"/>
    <n v="15105"/>
    <n v="1024"/>
    <n v="1009"/>
    <n v="1040"/>
    <n v="995"/>
    <n v="1032"/>
    <n v="892"/>
    <n v="927"/>
    <n v="949"/>
    <n v="972"/>
    <n v="990"/>
    <n v="983"/>
    <s v=""/>
    <s v="assinatura"/>
    <n v="1340"/>
    <n v="1000"/>
    <n v="-1.7000000000000001E-2"/>
    <n v="-17"/>
    <x v="0"/>
    <x v="0"/>
  </r>
  <r>
    <x v="25"/>
    <x v="2"/>
    <s v="6a9853526468201ba9752f5a"/>
    <s v="02/09/2026 13:35:25"/>
    <s v="02/09/2026 13:48:18"/>
    <s v="Ranieli"/>
    <s v="02/09/2026"/>
    <x v="1"/>
    <s v="RANIELI MARIA MASQUIETI DOURADO"/>
    <n v="864048"/>
    <n v="2045"/>
    <n v="2089"/>
    <n v="2068"/>
    <n v="2062"/>
    <n v="2196"/>
    <n v="2035"/>
    <n v="1988"/>
    <n v="2050"/>
    <n v="2037"/>
    <n v="2130"/>
    <n v="2070"/>
    <s v=""/>
    <s v="assinatura"/>
    <n v="721"/>
    <n v="2000"/>
    <n v="3.5000000000000003E-2"/>
    <n v="70"/>
    <x v="26"/>
    <x v="1"/>
  </r>
  <r>
    <x v="25"/>
    <x v="2"/>
    <s v="6a9853526468201ba9752f54"/>
    <s v="02/09/2026 13:24:22"/>
    <s v="02/09/2026 13:48:18"/>
    <s v="Ranieli"/>
    <s v="02/09/2026"/>
    <x v="1"/>
    <s v="RANIELI MARIA MASQUIETI DOURADO"/>
    <n v="54632"/>
    <n v="999"/>
    <n v="1015"/>
    <n v="996"/>
    <n v="1033"/>
    <n v="1008"/>
    <n v="1013"/>
    <n v="1000"/>
    <n v="1000"/>
    <n v="1013"/>
    <n v="1007"/>
    <n v="1008.4"/>
    <s v=""/>
    <s v="assinatura"/>
    <n v="553"/>
    <n v="1000"/>
    <n v="8.3999999999999769E-3"/>
    <n v="8.3999999999999773"/>
    <x v="11"/>
    <x v="1"/>
  </r>
  <r>
    <x v="25"/>
    <x v="2"/>
    <s v="6a9853526468201ba9752f4e"/>
    <s v="02/09/2026 13:18:44"/>
    <s v="02/09/2026 13:48:18"/>
    <s v="Ranieli"/>
    <s v="02/09/2026"/>
    <x v="1"/>
    <s v="RANIELI MARIA MASQUIETI DOURADO"/>
    <n v="15105"/>
    <n v="1014"/>
    <n v="1028"/>
    <n v="990"/>
    <n v="1015"/>
    <n v="1166"/>
    <n v="1066"/>
    <n v="997"/>
    <n v="1027"/>
    <n v="1052"/>
    <n v="1000"/>
    <n v="1035.5"/>
    <s v=""/>
    <s v="assinatura"/>
    <n v="327"/>
    <n v="1000"/>
    <n v="3.5499999999999997E-2"/>
    <n v="35.5"/>
    <x v="0"/>
    <x v="0"/>
  </r>
  <r>
    <x v="24"/>
    <x v="2"/>
    <s v="6a9a500172d6d33ccf260cc8"/>
    <s v="03/09/2026 23:29:16"/>
    <s v="04/09/2026 01:58:41"/>
    <s v="Ranieli"/>
    <s v="03/09/2026"/>
    <x v="0"/>
    <s v="JOSEFA KELY NUNES DE SOUSA"/>
    <n v="40762"/>
    <n v="9980"/>
    <n v="10120"/>
    <n v="10000"/>
    <n v="9995"/>
    <n v="10055"/>
    <n v="9995"/>
    <n v="9980"/>
    <n v="10025"/>
    <n v="10005"/>
    <n v="10055"/>
    <n v="10021"/>
    <s v=""/>
    <s v="assinatura"/>
    <n v="2728"/>
    <n v="10000"/>
    <n v="2.0999999999999999E-3"/>
    <n v="21"/>
    <x v="3"/>
    <x v="1"/>
  </r>
  <r>
    <x v="24"/>
    <x v="2"/>
    <s v="6a9a500172d6d33ccf260cc0"/>
    <s v="03/09/2026 23:23:57"/>
    <s v="04/09/2026 01:58:41"/>
    <s v="Ranieli"/>
    <s v="03/09/2026"/>
    <x v="0"/>
    <s v="JOSEFA KELY NUNES DE SOUSA"/>
    <n v="15229"/>
    <n v="1010"/>
    <n v="1005"/>
    <n v="1006"/>
    <n v="997"/>
    <n v="1025"/>
    <n v="1004"/>
    <n v="994"/>
    <n v="990"/>
    <n v="1008"/>
    <n v="1016"/>
    <n v="1005.5"/>
    <s v=""/>
    <s v="assinatura"/>
    <n v="316"/>
    <n v="1000"/>
    <n v="5.4999999999999997E-3"/>
    <n v="5.5"/>
    <x v="9"/>
    <x v="1"/>
  </r>
  <r>
    <x v="24"/>
    <x v="2"/>
    <s v="6a9a500172d6d33ccf260cba"/>
    <s v="03/09/2026 23:08:01"/>
    <s v="04/09/2026 01:58:41"/>
    <s v="Ranieli"/>
    <s v="03/09/2026"/>
    <x v="0"/>
    <s v="JOSEFA KELY NUNES DE SOUSA"/>
    <n v="13188"/>
    <n v="1006"/>
    <n v="1013"/>
    <n v="1008"/>
    <n v="999"/>
    <n v="994"/>
    <n v="1010"/>
    <n v="1010"/>
    <n v="1002"/>
    <n v="1014"/>
    <n v="1009"/>
    <n v="1006.5"/>
    <s v=""/>
    <s v="assinatura"/>
    <n v="954"/>
    <n v="1000"/>
    <n v="6.4999999999999997E-3"/>
    <n v="6.5"/>
    <x v="8"/>
    <x v="1"/>
  </r>
  <r>
    <x v="24"/>
    <x v="2"/>
    <s v="6a9a500172d6d33ccf260cb4"/>
    <s v="03/09/2026 22:40:41"/>
    <s v="04/09/2026 01:58:41"/>
    <s v="Ranieli"/>
    <s v="03/09/2026"/>
    <x v="0"/>
    <s v="JOSEFA KELY NUNES DE SOUSA"/>
    <n v="209069"/>
    <n v="993"/>
    <n v="1046"/>
    <n v="1049"/>
    <n v="1083"/>
    <n v="995"/>
    <n v="1048"/>
    <n v="1039"/>
    <n v="1020"/>
    <n v="1001"/>
    <n v="995"/>
    <n v="1026.9000000000001"/>
    <s v=""/>
    <s v="assinatura"/>
    <n v="1639"/>
    <n v="1000"/>
    <n v="2.6900000000000091E-2"/>
    <n v="26.900000000000091"/>
    <x v="28"/>
    <x v="0"/>
  </r>
  <r>
    <x v="24"/>
    <x v="2"/>
    <s v="6a9a500172d6d33ccf260cae"/>
    <s v="03/09/2026 22:21:05"/>
    <s v="04/09/2026 01:58:41"/>
    <s v="Ranieli"/>
    <s v="03/09/2026"/>
    <x v="0"/>
    <s v="JOSEFA KELY NUNES DE SOUSA"/>
    <n v="15849"/>
    <n v="1007"/>
    <n v="994"/>
    <n v="1021"/>
    <n v="996"/>
    <n v="1009"/>
    <n v="1005"/>
    <n v="1009"/>
    <n v="1010"/>
    <n v="1014"/>
    <n v="1012"/>
    <n v="1007.7"/>
    <s v=""/>
    <s v=""/>
    <n v="1174"/>
    <n v="1000"/>
    <n v="7.7000000000000453E-3"/>
    <n v="7.7000000000000455"/>
    <x v="29"/>
    <x v="2"/>
  </r>
  <r>
    <x v="24"/>
    <x v="2"/>
    <s v="6a9a500172d6d33ccf260ca8"/>
    <s v="03/09/2026 22:17:23"/>
    <s v="04/09/2026 01:58:41"/>
    <s v="Ranieli"/>
    <s v="03/09/2026"/>
    <x v="0"/>
    <s v="JOSEFA KELY NUNES DE SOUSA"/>
    <n v="15105"/>
    <n v="1006"/>
    <n v="1027"/>
    <n v="1011"/>
    <n v="1009"/>
    <n v="1005"/>
    <n v="998"/>
    <n v="1024"/>
    <n v="997"/>
    <n v="1050"/>
    <n v="1153"/>
    <n v="1028"/>
    <s v=""/>
    <s v="assinatura"/>
    <n v="220"/>
    <n v="1000"/>
    <n v="2.8000000000000001E-2"/>
    <n v="28"/>
    <x v="0"/>
    <x v="0"/>
  </r>
  <r>
    <x v="24"/>
    <x v="2"/>
    <s v="6a9a500172d6d33ccf260c96"/>
    <s v="03/09/2026 18:44:05"/>
    <s v="04/09/2026 01:58:41"/>
    <s v="Ranieli"/>
    <s v="03/09/2026"/>
    <x v="0"/>
    <s v="JOSEFA KELY NUNES DE SOUSA"/>
    <n v="15849"/>
    <n v="1023"/>
    <n v="996"/>
    <n v="992"/>
    <n v="1012"/>
    <n v="1003"/>
    <n v="1020"/>
    <n v="1025"/>
    <n v="1019"/>
    <n v="1027"/>
    <n v="1026"/>
    <n v="1014.3"/>
    <s v=""/>
    <s v=""/>
    <n v="116"/>
    <n v="1000"/>
    <n v="1.4299999999999955E-2"/>
    <n v="14.299999999999955"/>
    <x v="29"/>
    <x v="2"/>
  </r>
  <r>
    <x v="24"/>
    <x v="2"/>
    <s v="6a9a500172d6d33ccf260c90"/>
    <s v="03/09/2026 18:40:33"/>
    <s v="04/09/2026 01:58:41"/>
    <s v="Ranieli"/>
    <s v="03/09/2026"/>
    <x v="0"/>
    <s v="JOSEFA KELY NUNES DE SOUSA"/>
    <n v="15105"/>
    <n v="978"/>
    <n v="1041"/>
    <n v="1007"/>
    <n v="1042"/>
    <n v="1052"/>
    <n v="999"/>
    <n v="1017"/>
    <n v="971"/>
    <n v="1006"/>
    <n v="1043"/>
    <n v="1015.6"/>
    <s v=""/>
    <s v="assinatura"/>
    <n v="211"/>
    <n v="1000"/>
    <n v="1.5600000000000024E-2"/>
    <n v="15.600000000000023"/>
    <x v="0"/>
    <x v="0"/>
  </r>
  <r>
    <x v="24"/>
    <x v="2"/>
    <s v="6a9a500172d6d33ccf260c8a"/>
    <s v="03/09/2026 18:28:47"/>
    <s v="04/09/2026 01:58:41"/>
    <s v="Ranieli"/>
    <s v="03/09/2026"/>
    <x v="0"/>
    <s v="JOSEFA KELY NUNES DE SOUSA"/>
    <n v="992093"/>
    <n v="5008"/>
    <n v="5006"/>
    <n v="5009"/>
    <n v="5009"/>
    <n v="5001"/>
    <n v="5005"/>
    <n v="5009"/>
    <n v="5004"/>
    <n v="5008"/>
    <n v="5001"/>
    <n v="5006"/>
    <s v=""/>
    <s v="assinatura"/>
    <n v="264"/>
    <n v="5000"/>
    <n v="1.1999999999999999E-3"/>
    <n v="6"/>
    <x v="13"/>
    <x v="3"/>
  </r>
  <r>
    <x v="24"/>
    <x v="2"/>
    <s v="6a9a500172d6d33ccf260c84"/>
    <s v="03/09/2026 18:23:47"/>
    <s v="04/09/2026 01:58:41"/>
    <s v="Ranieli"/>
    <s v="03/09/2026"/>
    <x v="0"/>
    <s v="JOSEFA KELY NUNES DE SOUSA"/>
    <n v="40762"/>
    <n v="9990"/>
    <n v="9965"/>
    <n v="9995"/>
    <n v="9980"/>
    <n v="9985"/>
    <n v="10005"/>
    <n v="10025"/>
    <n v="10015"/>
    <n v="10010"/>
    <n v="10000"/>
    <n v="9997"/>
    <s v=""/>
    <s v=""/>
    <n v="289"/>
    <n v="10000"/>
    <n v="-2.9999999999999997E-4"/>
    <n v="-3"/>
    <x v="3"/>
    <x v="1"/>
  </r>
  <r>
    <x v="24"/>
    <x v="2"/>
    <s v="6a9a500072d6d33ccf260c7e"/>
    <s v="03/09/2026 18:20:03"/>
    <s v="04/09/2026 01:58:40"/>
    <s v="Ranieli"/>
    <s v="03/09/2026"/>
    <x v="0"/>
    <s v="JOSEFA KELY NUNES DE SOUSA"/>
    <n v="15229"/>
    <n v="992"/>
    <n v="1005"/>
    <n v="999"/>
    <n v="990"/>
    <n v="1009"/>
    <n v="1006"/>
    <n v="1017"/>
    <n v="1006"/>
    <n v="1008"/>
    <n v="997"/>
    <n v="1002.9"/>
    <s v=""/>
    <s v="assinatura"/>
    <n v="223"/>
    <n v="1000"/>
    <n v="2.8999999999999772E-3"/>
    <n v="2.8999999999999773"/>
    <x v="9"/>
    <x v="1"/>
  </r>
  <r>
    <x v="24"/>
    <x v="2"/>
    <s v="6a9a500072d6d33ccf260c78"/>
    <s v="03/09/2026 18:15:23"/>
    <s v="04/09/2026 01:58:40"/>
    <s v="Ranieli"/>
    <s v="03/09/2026"/>
    <x v="0"/>
    <s v="JOSEFA KELY NUNES DE SOUSA"/>
    <n v="13188"/>
    <n v="1009"/>
    <n v="1008"/>
    <n v="996"/>
    <n v="1006"/>
    <n v="997"/>
    <n v="1006"/>
    <n v="1010"/>
    <n v="1013"/>
    <n v="1007"/>
    <n v="1003"/>
    <n v="1005.5"/>
    <s v=""/>
    <s v=""/>
    <n v="265"/>
    <n v="1000"/>
    <n v="5.4999999999999997E-3"/>
    <n v="5.5"/>
    <x v="8"/>
    <x v="1"/>
  </r>
  <r>
    <x v="24"/>
    <x v="2"/>
    <s v="6a9a500072d6d33ccf260c72"/>
    <s v="03/09/2026 18:10:41"/>
    <s v="04/09/2026 01:58:40"/>
    <s v="Ranieli"/>
    <s v="03/09/2026"/>
    <x v="0"/>
    <s v="JOSEFA KELY NUNES DE SOUSA"/>
    <n v="42838"/>
    <n v="2028"/>
    <n v="1992"/>
    <n v="1994"/>
    <n v="1975"/>
    <n v="2039"/>
    <n v="2100"/>
    <n v="1992"/>
    <n v="1986"/>
    <n v="2025"/>
    <n v="2037"/>
    <n v="2016.8"/>
    <s v=""/>
    <s v="assinatura"/>
    <n v="280"/>
    <n v="2000"/>
    <n v="8.3999999999999769E-3"/>
    <n v="16.799999999999955"/>
    <x v="7"/>
    <x v="1"/>
  </r>
  <r>
    <x v="24"/>
    <x v="2"/>
    <s v="6a9a500072d6d33ccf260c6c"/>
    <s v="03/09/2026 18:08:40"/>
    <s v="04/09/2026 01:58:40"/>
    <s v="Ranieli"/>
    <s v="03/09/2026"/>
    <x v="0"/>
    <s v="JOSEFA KELY NUNES DE SOUSA"/>
    <n v="42862"/>
    <n v="2004"/>
    <n v="2007"/>
    <n v="2033"/>
    <n v="2030"/>
    <n v="2009"/>
    <n v="2012"/>
    <n v="2021"/>
    <n v="1999"/>
    <n v="2017"/>
    <n v="2016"/>
    <n v="2014.8"/>
    <s v=""/>
    <s v=""/>
    <n v="120"/>
    <n v="2000"/>
    <n v="7.3999999999999769E-3"/>
    <n v="14.799999999999955"/>
    <x v="5"/>
    <x v="1"/>
  </r>
  <r>
    <x v="24"/>
    <x v="2"/>
    <s v="6a9a500072d6d33ccf260c66"/>
    <s v="03/09/2026 18:06:13"/>
    <s v="04/09/2026 01:58:40"/>
    <s v="Ranieli"/>
    <s v="03/09/2026"/>
    <x v="0"/>
    <s v="JOSEFA KELY NUNES DE SOUSA"/>
    <n v="42854"/>
    <n v="2119"/>
    <n v="2073"/>
    <n v="2102"/>
    <n v="2093"/>
    <n v="2126"/>
    <n v="2073"/>
    <n v="2093"/>
    <n v="2081"/>
    <n v="2104"/>
    <n v="2106"/>
    <n v="2097"/>
    <s v=""/>
    <s v="assinatura"/>
    <n v="134"/>
    <n v="2080"/>
    <n v="8.1730769230769235E-3"/>
    <n v="17"/>
    <x v="4"/>
    <x v="1"/>
  </r>
  <r>
    <x v="24"/>
    <x v="2"/>
    <s v="6a9a500072d6d33ccf260c60"/>
    <s v="03/09/2026 17:38:48"/>
    <s v="04/09/2026 01:58:40"/>
    <s v="Ranieli"/>
    <s v="03/09/2026"/>
    <x v="0"/>
    <s v="JOSEFA KELY NUNES DE SOUSA"/>
    <n v="42862"/>
    <n v="2008"/>
    <n v="2013"/>
    <n v="2010"/>
    <n v="2025"/>
    <n v="2010"/>
    <n v="2027"/>
    <n v="2031"/>
    <n v="2008"/>
    <n v="2003"/>
    <n v="1999"/>
    <n v="2013.4"/>
    <s v=""/>
    <s v=""/>
    <n v="131"/>
    <n v="2000"/>
    <n v="6.7000000000000453E-3"/>
    <n v="13.400000000000091"/>
    <x v="5"/>
    <x v="1"/>
  </r>
  <r>
    <x v="24"/>
    <x v="2"/>
    <s v="6a9a500072d6d33ccf260c5a"/>
    <s v="03/09/2026 17:36:16"/>
    <s v="04/09/2026 01:58:40"/>
    <s v="Ranieli"/>
    <s v="03/09/2026"/>
    <x v="0"/>
    <s v="JOSEFA KELY NUNES DE SOUSA"/>
    <n v="42846"/>
    <n v="2014"/>
    <n v="1996"/>
    <n v="2011"/>
    <n v="2008"/>
    <n v="2000"/>
    <n v="2006"/>
    <n v="2031"/>
    <n v="2013"/>
    <n v="2010"/>
    <n v="2008"/>
    <n v="2009.7"/>
    <s v=""/>
    <s v="assinatura"/>
    <n v="137"/>
    <n v="2000"/>
    <n v="4.8500000000000227E-3"/>
    <n v="9.7000000000000455"/>
    <x v="6"/>
    <x v="1"/>
  </r>
  <r>
    <x v="24"/>
    <x v="2"/>
    <s v="6a9a1a2e32b3ac5a423f2426"/>
    <s v="03/09/2026 22:05:45"/>
    <s v="03/09/2026 22:09:02"/>
    <s v="Ranieli"/>
    <s v="03/09/2026"/>
    <x v="0"/>
    <s v="JULIANE GOMES NOVAIS"/>
    <n v="15105"/>
    <n v="1024"/>
    <n v="1013"/>
    <n v="1042"/>
    <n v="1004"/>
    <n v="1020"/>
    <n v="1007"/>
    <n v="1016"/>
    <n v="1017"/>
    <n v="1022"/>
    <n v="1014"/>
    <n v="1017.9"/>
    <s v=""/>
    <s v="assinatura"/>
    <n v="194"/>
    <n v="1000"/>
    <n v="1.7899999999999978E-2"/>
    <n v="17.899999999999977"/>
    <x v="0"/>
    <x v="0"/>
  </r>
  <r>
    <x v="24"/>
    <x v="2"/>
    <s v="6a9a1a2e32b3ac5a423f2420"/>
    <s v="03/09/2026 22:01:49"/>
    <s v="03/09/2026 22:09:02"/>
    <s v="Ranieli"/>
    <s v="03/09/2026"/>
    <x v="0"/>
    <s v="JULIANE GOMES NOVAIS"/>
    <n v="15105"/>
    <n v="1042"/>
    <n v="1007"/>
    <n v="992"/>
    <n v="1009"/>
    <n v="999"/>
    <n v="1074"/>
    <n v="1047"/>
    <n v="991"/>
    <n v="982"/>
    <n v="1008"/>
    <n v="1015.1"/>
    <s v=""/>
    <s v=""/>
    <n v="165"/>
    <n v="1000"/>
    <n v="1.5100000000000023E-2"/>
    <n v="15.100000000000023"/>
    <x v="0"/>
    <x v="0"/>
  </r>
  <r>
    <x v="24"/>
    <x v="2"/>
    <s v="6a99f7c2edc9602c14d65295"/>
    <s v="03/09/2026 19:39:33"/>
    <s v="03/09/2026 19:42:10"/>
    <s v="Ranieli"/>
    <s v="03/09/2026"/>
    <x v="0"/>
    <s v="JULIANE GOMES NOVAIS"/>
    <n v="197734"/>
    <n v="1025"/>
    <n v="991"/>
    <n v="999"/>
    <n v="1000"/>
    <n v="1001"/>
    <n v="1000"/>
    <n v="1088"/>
    <n v="1047"/>
    <n v="1000"/>
    <n v="994"/>
    <n v="1014.5"/>
    <s v=""/>
    <s v="assinatura"/>
    <n v="150"/>
    <n v="1000"/>
    <n v="1.4500000000000001E-2"/>
    <n v="14.5"/>
    <x v="2"/>
    <x v="2"/>
  </r>
  <r>
    <x v="24"/>
    <x v="2"/>
    <s v="6a99f73ba4ee21b059f93919"/>
    <s v="03/09/2026 19:35:53"/>
    <s v="03/09/2026 19:39:55"/>
    <s v="Ranieli"/>
    <s v="03/09/2026"/>
    <x v="0"/>
    <s v="JULIANE GOMES NOVAIS"/>
    <n v="197734"/>
    <n v="1012"/>
    <n v="1001"/>
    <n v="1021"/>
    <n v="1005"/>
    <n v="1046"/>
    <n v="1036"/>
    <n v="997"/>
    <n v="953"/>
    <n v="1024"/>
    <n v="1006"/>
    <n v="1010.1"/>
    <s v=""/>
    <s v="assinatura"/>
    <n v="219"/>
    <n v="1000"/>
    <n v="1.0100000000000022E-2"/>
    <n v="10.100000000000023"/>
    <x v="2"/>
    <x v="2"/>
  </r>
  <r>
    <x v="24"/>
    <x v="2"/>
    <s v="6a99f6b10ab955eaa1d4d898"/>
    <s v="03/09/2026 19:18:30"/>
    <s v="03/09/2026 19:37:37"/>
    <s v="Ranieli"/>
    <s v="03/09/2026"/>
    <x v="0"/>
    <s v="JULIANE GOMES NOVAIS"/>
    <n v="15229"/>
    <n v="992"/>
    <n v="1010"/>
    <n v="995"/>
    <n v="1010"/>
    <n v="994"/>
    <n v="997"/>
    <s v=""/>
    <n v="1007"/>
    <n v="996"/>
    <n v="1011"/>
    <n v="1001"/>
    <s v=""/>
    <s v="assinatura"/>
    <n v="152"/>
    <n v="1000"/>
    <n v="1E-3"/>
    <n v="1"/>
    <x v="9"/>
    <x v="1"/>
  </r>
  <r>
    <x v="24"/>
    <x v="2"/>
    <s v="6a99f6b10ab955eaa1d4d892"/>
    <s v="03/09/2026 19:14:48"/>
    <s v="03/09/2026 19:37:37"/>
    <s v="Ranieli"/>
    <s v="03/09/2026"/>
    <x v="0"/>
    <s v="JULIANE GOMES NOVAIS"/>
    <n v="15229"/>
    <n v="991"/>
    <n v="990"/>
    <n v="1008"/>
    <n v="1005"/>
    <n v="1008"/>
    <n v="991"/>
    <n v="1008"/>
    <n v="1019"/>
    <n v="1007"/>
    <n v="1012"/>
    <n v="1003.9"/>
    <s v=""/>
    <s v="assinatura"/>
    <n v="215"/>
    <n v="1000"/>
    <n v="3.8999999999999773E-3"/>
    <n v="3.8999999999999773"/>
    <x v="9"/>
    <x v="1"/>
  </r>
  <r>
    <x v="24"/>
    <x v="2"/>
    <s v="6a99f6b10ab955eaa1d4d88c"/>
    <s v="03/09/2026 19:07:34"/>
    <s v="03/09/2026 19:37:37"/>
    <s v="Ranieli"/>
    <s v="03/09/2026"/>
    <x v="0"/>
    <s v="JULIANE GOMES NOVAIS"/>
    <n v="13188"/>
    <n v="1000"/>
    <n v="1019"/>
    <n v="1007"/>
    <n v="1006"/>
    <n v="1003"/>
    <n v="1010"/>
    <n v="999"/>
    <n v="1000"/>
    <n v="998"/>
    <n v="1004"/>
    <n v="1004.6"/>
    <s v=""/>
    <s v="assinatura"/>
    <n v="318"/>
    <n v="1000"/>
    <n v="4.6000000000000225E-3"/>
    <n v="4.6000000000000227"/>
    <x v="8"/>
    <x v="1"/>
  </r>
  <r>
    <x v="24"/>
    <x v="2"/>
    <s v="6a99f6b10ab955eaa1d4d886"/>
    <s v="03/09/2026 19:04:32"/>
    <s v="03/09/2026 19:37:37"/>
    <s v="Ranieli"/>
    <s v="03/09/2026"/>
    <x v="0"/>
    <s v="JULIANE GOMES NOVAIS"/>
    <n v="13188"/>
    <n v="1007"/>
    <n v="995"/>
    <n v="1006"/>
    <n v="1008"/>
    <n v="1001"/>
    <n v="1004"/>
    <n v="1012"/>
    <n v="1006"/>
    <n v="1012"/>
    <n v="1009"/>
    <n v="1006"/>
    <s v=""/>
    <s v="assinatura"/>
    <n v="485"/>
    <n v="1000"/>
    <n v="6.0000000000000001E-3"/>
    <n v="6"/>
    <x v="8"/>
    <x v="1"/>
  </r>
  <r>
    <x v="24"/>
    <x v="2"/>
    <s v="6a99f6b10ab955eaa1d4d86e"/>
    <s v="03/09/2026 16:53:11"/>
    <s v="03/09/2026 19:37:37"/>
    <s v="Ranieli"/>
    <s v="03/09/2026"/>
    <x v="0"/>
    <s v="JULIANE GOMES NOVAIS"/>
    <n v="15105"/>
    <n v="1034"/>
    <n v="988"/>
    <n v="1025"/>
    <n v="933"/>
    <n v="1051"/>
    <n v="1020"/>
    <n v="992"/>
    <n v="1023"/>
    <n v="1048"/>
    <n v="1023"/>
    <n v="1013.7"/>
    <s v=""/>
    <s v="assinatura"/>
    <n v="283"/>
    <n v="1000"/>
    <n v="1.3700000000000045E-2"/>
    <n v="13.700000000000045"/>
    <x v="0"/>
    <x v="0"/>
  </r>
  <r>
    <x v="24"/>
    <x v="2"/>
    <s v="6a99f6b10ab955eaa1d4d868"/>
    <s v="03/09/2026 16:50:25"/>
    <s v="03/09/2026 19:37:37"/>
    <s v="Ranieli"/>
    <s v="03/09/2026"/>
    <x v="0"/>
    <s v="JULIANE GOMES NOVAIS"/>
    <n v="15105"/>
    <n v="1041"/>
    <n v="997"/>
    <n v="998"/>
    <n v="813"/>
    <n v="1033"/>
    <n v="1030"/>
    <n v="1007"/>
    <n v="991"/>
    <n v="1000"/>
    <n v="1014"/>
    <n v="992.4"/>
    <s v=""/>
    <s v="assinatura"/>
    <n v="428"/>
    <n v="1000"/>
    <n v="-7.6000000000000225E-3"/>
    <n v="-7.6000000000000227"/>
    <x v="0"/>
    <x v="0"/>
  </r>
  <r>
    <x v="24"/>
    <x v="2"/>
    <s v="6a99f6b10ab955eaa1d4d862"/>
    <s v="03/09/2026 16:30:15"/>
    <s v="03/09/2026 19:37:37"/>
    <s v="Ranieli"/>
    <s v="03/09/2026"/>
    <x v="0"/>
    <s v="JULIANE GOMES NOVAIS"/>
    <n v="40762"/>
    <n v="10060"/>
    <n v="10010"/>
    <n v="10005"/>
    <n v="10080"/>
    <n v="9995"/>
    <n v="10045"/>
    <n v="10035"/>
    <n v="9990"/>
    <n v="10025"/>
    <n v="10050"/>
    <n v="10029.5"/>
    <s v=""/>
    <s v="assinatura"/>
    <n v="973"/>
    <n v="10000"/>
    <n v="2.9499999999999999E-3"/>
    <n v="29.5"/>
    <x v="3"/>
    <x v="1"/>
  </r>
  <r>
    <x v="24"/>
    <x v="2"/>
    <s v="6a99f6b10ab955eaa1d4d85c"/>
    <s v="03/09/2026 16:27:55"/>
    <s v="03/09/2026 19:37:37"/>
    <s v="Ranieli"/>
    <s v="03/09/2026"/>
    <x v="0"/>
    <s v="JULIANE GOMES NOVAIS"/>
    <n v="40762"/>
    <n v="9980"/>
    <n v="10055"/>
    <n v="10025"/>
    <n v="10085"/>
    <n v="10000"/>
    <n v="10070"/>
    <n v="10030"/>
    <n v="10050"/>
    <n v="9995"/>
    <n v="10085"/>
    <n v="10037.5"/>
    <s v=""/>
    <s v="assinatura"/>
    <n v="1152"/>
    <n v="10000"/>
    <n v="3.7499999999999999E-3"/>
    <n v="37.5"/>
    <x v="3"/>
    <x v="1"/>
  </r>
  <r>
    <x v="25"/>
    <x v="2"/>
    <s v="6a99c0cc0ab955eaa1d49998"/>
    <s v="03/09/2026 00:51:18"/>
    <s v="03/09/2026 15:47:40"/>
    <s v="Ranieli"/>
    <s v="02/09/2026"/>
    <x v="0"/>
    <s v="JOSEFA KELY NUNES DE SOUSA"/>
    <n v="40762"/>
    <n v="10050"/>
    <n v="10060"/>
    <n v="10050"/>
    <n v="10020"/>
    <n v="9980"/>
    <n v="9985"/>
    <n v="10100"/>
    <n v="10035"/>
    <n v="10075"/>
    <n v="10000"/>
    <n v="10035.5"/>
    <s v=""/>
    <s v="assinatura"/>
    <n v="4182"/>
    <n v="10000"/>
    <n v="3.5500000000000002E-3"/>
    <n v="35.5"/>
    <x v="3"/>
    <x v="1"/>
  </r>
  <r>
    <x v="24"/>
    <x v="2"/>
    <s v="6a99c0920086f5dfe4a83305"/>
    <s v="03/09/2026 14:50:28"/>
    <s v="03/09/2026 15:46:42"/>
    <s v="Ranieli"/>
    <s v="03/09/2026"/>
    <x v="1"/>
    <s v="ALANA DA SILVA MARTINS"/>
    <n v="15105"/>
    <n v="999"/>
    <n v="996"/>
    <n v="1014"/>
    <n v="1000"/>
    <n v="1007"/>
    <n v="1040"/>
    <n v="1048"/>
    <n v="997"/>
    <n v="998"/>
    <n v="1010"/>
    <n v="1010.9"/>
    <s v=""/>
    <s v="assinatura"/>
    <n v="545"/>
    <n v="1000"/>
    <n v="1.0899999999999977E-2"/>
    <n v="10.899999999999977"/>
    <x v="0"/>
    <x v="0"/>
  </r>
  <r>
    <x v="24"/>
    <x v="2"/>
    <s v="6a99c0920086f5dfe4a832ff"/>
    <s v="03/09/2026 14:40:54"/>
    <s v="03/09/2026 15:46:42"/>
    <s v="Ranieli"/>
    <s v="03/09/2026"/>
    <x v="1"/>
    <s v="ALANA DA SILVA MARTINS"/>
    <n v="15849"/>
    <n v="1012"/>
    <n v="1021"/>
    <n v="1013"/>
    <n v="1016"/>
    <n v="1009"/>
    <n v="1002"/>
    <n v="1019"/>
    <n v="1023"/>
    <n v="1004"/>
    <n v="999"/>
    <n v="1011.8"/>
    <s v=""/>
    <s v="assinatura"/>
    <n v="395"/>
    <n v="1000"/>
    <n v="1.1799999999999955E-2"/>
    <n v="11.799999999999955"/>
    <x v="29"/>
    <x v="2"/>
  </r>
  <r>
    <x v="24"/>
    <x v="2"/>
    <s v="6a99c0920086f5dfe4a832f9"/>
    <s v="03/09/2026 14:35:49"/>
    <s v="03/09/2026 15:46:42"/>
    <s v="Ranieli"/>
    <s v="03/09/2026"/>
    <x v="1"/>
    <s v="ALANA DA SILVA MARTINS"/>
    <n v="42838"/>
    <n v="2071"/>
    <n v="2080"/>
    <n v="2076"/>
    <n v="2065"/>
    <n v="2007"/>
    <n v="2033"/>
    <n v="2056"/>
    <n v="2057"/>
    <n v="2039"/>
    <n v="2067"/>
    <n v="2055.1"/>
    <s v=""/>
    <s v="assinatura"/>
    <n v="182"/>
    <n v="2000"/>
    <n v="2.7549999999999953E-2"/>
    <n v="55.099999999999909"/>
    <x v="7"/>
    <x v="1"/>
  </r>
  <r>
    <x v="24"/>
    <x v="2"/>
    <s v="6a99c0920086f5dfe4a832f3"/>
    <s v="03/09/2026 14:32:11"/>
    <s v="03/09/2026 15:46:42"/>
    <s v="Ranieli"/>
    <s v="03/09/2026"/>
    <x v="1"/>
    <s v="ALANA DA SILVA MARTINS"/>
    <n v="42820"/>
    <n v="2096"/>
    <n v="2086"/>
    <n v="2048"/>
    <n v="2092"/>
    <n v="2073"/>
    <n v="2096"/>
    <n v="1878"/>
    <n v="2074"/>
    <n v="2057"/>
    <n v="2013"/>
    <n v="2051.3000000000002"/>
    <s v=""/>
    <s v="assinatura"/>
    <n v="207"/>
    <n v="2000"/>
    <n v="2.5650000000000089E-2"/>
    <n v="51.300000000000182"/>
    <x v="10"/>
    <x v="1"/>
  </r>
  <r>
    <x v="24"/>
    <x v="2"/>
    <s v="6a99c0910086f5dfe4a832ed"/>
    <s v="03/09/2026 14:27:33"/>
    <s v="03/09/2026 15:46:41"/>
    <s v="Ranieli"/>
    <s v="03/09/2026"/>
    <x v="1"/>
    <s v="ALANA DA SILVA MARTINS"/>
    <n v="864048"/>
    <n v="1994"/>
    <n v="2067"/>
    <n v="2134"/>
    <n v="2063"/>
    <n v="2051"/>
    <n v="2089"/>
    <n v="2048"/>
    <n v="2045"/>
    <n v="2123"/>
    <n v="2041"/>
    <n v="2065.5"/>
    <s v=""/>
    <s v="assinatura"/>
    <n v="192"/>
    <n v="2000"/>
    <n v="3.2750000000000001E-2"/>
    <n v="65.5"/>
    <x v="26"/>
    <x v="1"/>
  </r>
  <r>
    <x v="24"/>
    <x v="2"/>
    <s v="6a99c0910086f5dfe4a832e7"/>
    <s v="03/09/2026 14:24:26"/>
    <s v="03/09/2026 15:46:41"/>
    <s v="Ranieli"/>
    <s v="03/09/2026"/>
    <x v="1"/>
    <s v="ALANA DA SILVA MARTINS"/>
    <n v="42854"/>
    <n v="2152"/>
    <n v="2118"/>
    <n v="2169"/>
    <n v="2130"/>
    <n v="2126"/>
    <n v="2196"/>
    <n v="2119"/>
    <n v="2164"/>
    <n v="2073"/>
    <n v="2144"/>
    <n v="2139.1"/>
    <s v=""/>
    <s v="assinatura"/>
    <n v="180"/>
    <n v="2080"/>
    <n v="2.8413461538461495E-2"/>
    <n v="59.099999999999909"/>
    <x v="4"/>
    <x v="1"/>
  </r>
  <r>
    <x v="24"/>
    <x v="2"/>
    <s v="6a99c0910086f5dfe4a832e1"/>
    <s v="03/09/2026 14:18:44"/>
    <s v="03/09/2026 15:46:41"/>
    <s v="Ranieli"/>
    <s v="03/09/2026"/>
    <x v="1"/>
    <s v="ALANA DA SILVA MARTINS"/>
    <n v="42862"/>
    <n v="2018"/>
    <n v="1882"/>
    <n v="2080"/>
    <n v="2003"/>
    <n v="2026"/>
    <n v="2095"/>
    <n v="2025"/>
    <n v="2052"/>
    <n v="2044"/>
    <n v="2055"/>
    <n v="2028"/>
    <s v=""/>
    <s v="assinatura"/>
    <n v="189"/>
    <n v="2000"/>
    <n v="1.4E-2"/>
    <n v="28"/>
    <x v="5"/>
    <x v="1"/>
  </r>
  <r>
    <x v="24"/>
    <x v="2"/>
    <s v="6a99c0910086f5dfe4a832db"/>
    <s v="03/09/2026 14:13:48"/>
    <s v="03/09/2026 15:46:41"/>
    <s v="Ranieli"/>
    <s v="03/09/2026"/>
    <x v="1"/>
    <s v="ALANA DA SILVA MARTINS"/>
    <n v="42846"/>
    <n v="2094"/>
    <n v="2013"/>
    <n v="2049"/>
    <n v="1995"/>
    <n v="2023"/>
    <n v="2003"/>
    <n v="2021"/>
    <n v="2067"/>
    <n v="2030"/>
    <n v="1989"/>
    <n v="2028.4"/>
    <s v=""/>
    <s v="assinatura"/>
    <n v="291"/>
    <n v="2000"/>
    <n v="1.4200000000000046E-2"/>
    <n v="28.400000000000091"/>
    <x v="6"/>
    <x v="1"/>
  </r>
  <r>
    <x v="25"/>
    <x v="2"/>
    <s v="6a99c0900086f5dfe4a832b7"/>
    <s v="02/09/2026 21:23:54"/>
    <s v="03/09/2026 15:46:40"/>
    <s v="Ranieli"/>
    <s v="02/09/2026"/>
    <x v="0"/>
    <s v="JOSEFA KELY NUNES DE SOUSA"/>
    <n v="15105"/>
    <n v="1013"/>
    <n v="1016"/>
    <n v="1001"/>
    <n v="998"/>
    <n v="1027"/>
    <n v="1006"/>
    <n v="1021"/>
    <n v="1040"/>
    <n v="1019"/>
    <n v="1028"/>
    <n v="1016.9"/>
    <s v=""/>
    <s v="assinatura"/>
    <n v="1662"/>
    <n v="1000"/>
    <n v="1.6899999999999978E-2"/>
    <n v="16.899999999999977"/>
    <x v="0"/>
    <x v="0"/>
  </r>
  <r>
    <x v="25"/>
    <x v="2"/>
    <s v="6a99c0900086f5dfe4a832a5"/>
    <s v="02/09/2026 20:13:49"/>
    <s v="03/09/2026 15:46:40"/>
    <s v="Ranieli"/>
    <s v="02/09/2026"/>
    <x v="0"/>
    <s v="JOSEFA KELY NUNES DE SOUSA"/>
    <n v="209039"/>
    <n v="1023"/>
    <n v="997"/>
    <n v="1030"/>
    <n v="1030"/>
    <n v="1018"/>
    <n v="1057"/>
    <n v="1012"/>
    <n v="1038"/>
    <n v="1051"/>
    <n v="1069"/>
    <n v="1032.5"/>
    <s v=""/>
    <s v="assinatura"/>
    <n v="135"/>
    <n v="1000"/>
    <n v="3.2500000000000001E-2"/>
    <n v="32.5"/>
    <x v="19"/>
    <x v="3"/>
  </r>
  <r>
    <x v="25"/>
    <x v="2"/>
    <s v="6a99c0900086f5dfe4a8329f"/>
    <s v="02/09/2026 18:20:03"/>
    <s v="03/09/2026 15:46:40"/>
    <s v="Ranieli"/>
    <s v="02/09/2026"/>
    <x v="0"/>
    <s v="JOSEFA KELY NUNES DE SOUSA"/>
    <n v="15105"/>
    <n v="882"/>
    <n v="1014"/>
    <n v="1025"/>
    <n v="994"/>
    <n v="1052"/>
    <n v="1084"/>
    <n v="1040"/>
    <n v="1107"/>
    <n v="979"/>
    <n v="986"/>
    <n v="1016.3"/>
    <s v=""/>
    <s v="assinatura"/>
    <n v="1957"/>
    <n v="1000"/>
    <n v="1.6299999999999953E-2"/>
    <n v="16.299999999999955"/>
    <x v="0"/>
    <x v="0"/>
  </r>
  <r>
    <x v="25"/>
    <x v="2"/>
    <s v="6a99c0900086f5dfe4a83299"/>
    <s v="02/09/2026 17:53:28"/>
    <s v="03/09/2026 15:46:40"/>
    <s v="Ranieli"/>
    <s v="02/09/2026"/>
    <x v="0"/>
    <s v="JOSEFA KELY NUNES DE SOUSA"/>
    <n v="40762"/>
    <n v="10075"/>
    <n v="10050"/>
    <n v="10080"/>
    <n v="10010"/>
    <n v="10050"/>
    <n v="10115"/>
    <n v="10040"/>
    <n v="10010"/>
    <n v="10010"/>
    <n v="10045"/>
    <n v="10048.5"/>
    <s v=""/>
    <s v="assinatura"/>
    <n v="312"/>
    <n v="10000"/>
    <n v="4.8500000000000001E-3"/>
    <n v="48.5"/>
    <x v="3"/>
    <x v="1"/>
  </r>
  <r>
    <x v="25"/>
    <x v="2"/>
    <s v="6a99c0900086f5dfe4a83291"/>
    <s v="02/09/2026 17:42:33"/>
    <s v="03/09/2026 15:46:40"/>
    <s v="Ranieli"/>
    <s v="02/09/2026"/>
    <x v="0"/>
    <s v="JOSEFA KELY NUNES DE SOUSA"/>
    <n v="42862"/>
    <n v="1993"/>
    <n v="2011"/>
    <n v="2009"/>
    <n v="1991"/>
    <n v="2008"/>
    <n v="2010"/>
    <n v="1992"/>
    <n v="1990"/>
    <n v="2026"/>
    <n v="2025"/>
    <n v="2005.5"/>
    <s v=""/>
    <s v="assinatura"/>
    <n v="274"/>
    <n v="2000"/>
    <n v="2.7499999999999998E-3"/>
    <n v="5.5"/>
    <x v="5"/>
    <x v="1"/>
  </r>
  <r>
    <x v="25"/>
    <x v="2"/>
    <s v="6a99c0900086f5dfe4a8328b"/>
    <s v="02/09/2026 17:35:52"/>
    <s v="03/09/2026 15:46:40"/>
    <s v="Ranieli"/>
    <s v="02/09/2026"/>
    <x v="0"/>
    <s v="JOSEFA KELY NUNES DE SOUSA"/>
    <n v="42846"/>
    <n v="2021"/>
    <n v="2014"/>
    <n v="2008"/>
    <n v="2011"/>
    <n v="2007"/>
    <n v="2005"/>
    <n v="2010"/>
    <n v="2021"/>
    <n v="2027"/>
    <n v="2121"/>
    <n v="2024.5"/>
    <s v=""/>
    <s v="assinatura"/>
    <n v="287"/>
    <n v="2000"/>
    <n v="1.225E-2"/>
    <n v="24.5"/>
    <x v="6"/>
    <x v="1"/>
  </r>
  <r>
    <x v="25"/>
    <x v="2"/>
    <s v="6a99c0900086f5dfe4a83285"/>
    <s v="02/09/2026 17:21:36"/>
    <s v="03/09/2026 15:46:40"/>
    <s v="Ranieli"/>
    <s v="02/09/2026"/>
    <x v="0"/>
    <s v="JOSEFA KELY NUNES DE SOUSA"/>
    <n v="15105"/>
    <n v="1095"/>
    <n v="1006"/>
    <n v="1011"/>
    <n v="1030"/>
    <n v="1020"/>
    <n v="1048"/>
    <n v="1031"/>
    <n v="1017"/>
    <n v="1222"/>
    <n v="1052"/>
    <n v="1053.2"/>
    <s v=""/>
    <s v="assinatura"/>
    <n v="293"/>
    <n v="1000"/>
    <n v="5.3200000000000046E-2"/>
    <n v="53.200000000000045"/>
    <x v="0"/>
    <x v="0"/>
  </r>
  <r>
    <x v="26"/>
    <x v="2"/>
    <s v="6aa15454b4a6de3d8d7edc0a"/>
    <s v="08/09/2026 15:27:02"/>
    <s v="09/09/2026 09:43:00"/>
    <s v="Ranieli"/>
    <s v="08/09/2026"/>
    <x v="1"/>
    <s v="ALANA DA SILVA MARTINS"/>
    <n v="54632"/>
    <n v="1018"/>
    <n v="1007"/>
    <n v="998"/>
    <n v="1028"/>
    <n v="998"/>
    <n v="993"/>
    <n v="1004"/>
    <n v="995"/>
    <n v="999"/>
    <n v="991"/>
    <n v="1003.1"/>
    <s v=""/>
    <s v=""/>
    <n v="292"/>
    <n v="1000"/>
    <n v="3.1000000000000229E-3"/>
    <n v="3.1000000000000227"/>
    <x v="11"/>
    <x v="1"/>
  </r>
  <r>
    <x v="26"/>
    <x v="2"/>
    <s v="6aa15454b4a6de3d8d7edc04"/>
    <s v="08/09/2026 15:16:31"/>
    <s v="09/09/2026 09:43:00"/>
    <s v="Ranieli"/>
    <s v="08/09/2026"/>
    <x v="1"/>
    <s v="ALANA DA SILVA MARTINS"/>
    <n v="209039"/>
    <n v="1041"/>
    <n v="1046"/>
    <n v="1000"/>
    <n v="1015"/>
    <n v="1034"/>
    <n v="1032"/>
    <n v="1030"/>
    <n v="1006"/>
    <n v="997"/>
    <n v="1001"/>
    <n v="1020.2"/>
    <s v=""/>
    <s v="assinatura"/>
    <n v="246"/>
    <n v="1000"/>
    <n v="2.0200000000000044E-2"/>
    <n v="20.200000000000045"/>
    <x v="19"/>
    <x v="3"/>
  </r>
  <r>
    <x v="26"/>
    <x v="2"/>
    <s v="6aa15453b4a6de3d8d7edbde"/>
    <s v="08/09/2026 10:11:32"/>
    <s v="09/09/2026 09:42:59"/>
    <s v="Ranieli"/>
    <s v="08/09/2026"/>
    <x v="1"/>
    <s v="ALANA DA SILVA MARTINS"/>
    <n v="197734"/>
    <n v="1014"/>
    <n v="941"/>
    <n v="1007"/>
    <n v="1005"/>
    <n v="1059"/>
    <n v="1036"/>
    <n v="999"/>
    <n v="998"/>
    <n v="1011"/>
    <n v="946"/>
    <n v="1001.6"/>
    <s v=""/>
    <s v="assinatura"/>
    <n v="197"/>
    <n v="1000"/>
    <n v="1.6000000000000228E-3"/>
    <n v="1.6000000000000227"/>
    <x v="2"/>
    <x v="2"/>
  </r>
  <r>
    <x v="26"/>
    <x v="2"/>
    <s v="6aa15453b4a6de3d8d7edbd8"/>
    <s v="08/09/2026 08:48:30"/>
    <s v="09/09/2026 09:42:59"/>
    <s v="Ranieli"/>
    <s v="08/09/2026"/>
    <x v="1"/>
    <s v="ALANA DA SILVA MARTINS"/>
    <n v="15105"/>
    <n v="1015"/>
    <n v="1027"/>
    <n v="1029"/>
    <n v="996"/>
    <n v="985"/>
    <n v="1001"/>
    <n v="971"/>
    <n v="1023"/>
    <n v="1015"/>
    <n v="1012"/>
    <n v="1007.4"/>
    <s v=""/>
    <s v="assinatura"/>
    <n v="251"/>
    <n v="1000"/>
    <n v="7.3999999999999769E-3"/>
    <n v="7.3999999999999773"/>
    <x v="0"/>
    <x v="0"/>
  </r>
  <r>
    <x v="26"/>
    <x v="2"/>
    <s v="6aa13f5fb841baacea2f93bb"/>
    <s v="08/09/2026 17:31:35"/>
    <s v="09/09/2026 08:13:35"/>
    <s v="Ranieli"/>
    <s v="08/09/2026"/>
    <x v="0"/>
    <s v="JOSEFA KELY NUNES DE SOUSA"/>
    <n v="995638"/>
    <n v="15005"/>
    <n v="15020"/>
    <n v="15035"/>
    <n v="15000"/>
    <n v="14995"/>
    <n v="15045"/>
    <n v="15025"/>
    <n v="15060"/>
    <n v="15045"/>
    <n v="15015"/>
    <n v="15024.5"/>
    <s v=""/>
    <s v="assinatura"/>
    <n v="369"/>
    <n v="15000"/>
    <n v="1.6333333333333334E-3"/>
    <n v="24.5"/>
    <x v="21"/>
    <x v="3"/>
  </r>
  <r>
    <x v="26"/>
    <x v="2"/>
    <s v="6aa13eb9045994c753d3cce1"/>
    <s v="08/09/2026 17:49:39"/>
    <s v="09/09/2026 08:10:49"/>
    <s v="Ranieli"/>
    <s v="08/09/2026"/>
    <x v="0"/>
    <s v="JOSEFA KELY NUNES DE SOUSA"/>
    <n v="42862"/>
    <n v="2020"/>
    <n v="2002"/>
    <n v="2023"/>
    <n v="2027"/>
    <n v="2008"/>
    <n v="2015"/>
    <n v="2014"/>
    <n v="2017"/>
    <n v="2009"/>
    <n v="2010"/>
    <n v="2014.5"/>
    <s v=""/>
    <s v="assinatura"/>
    <n v="126"/>
    <n v="2000"/>
    <n v="7.2500000000000004E-3"/>
    <n v="14.5"/>
    <x v="5"/>
    <x v="1"/>
  </r>
  <r>
    <x v="26"/>
    <x v="2"/>
    <s v="6aa0ebbc1c0532de53489423"/>
    <s v="08/09/2026 23:23:11"/>
    <s v="09/09/2026 02:16:44"/>
    <s v="Ranieli"/>
    <s v="08/09/2026"/>
    <x v="0"/>
    <s v="JOSEFA KELY NUNES DE SOUSA"/>
    <n v="15229"/>
    <n v="1007"/>
    <n v="1019"/>
    <n v="1001"/>
    <n v="1006"/>
    <n v="1013"/>
    <n v="1004"/>
    <n v="1001"/>
    <n v="1018"/>
    <n v="1000"/>
    <n v="1000"/>
    <n v="1006.9"/>
    <s v=""/>
    <s v="assinatura"/>
    <n v="9304"/>
    <n v="1000"/>
    <n v="6.8999999999999773E-3"/>
    <n v="6.8999999999999773"/>
    <x v="9"/>
    <x v="1"/>
  </r>
  <r>
    <x v="26"/>
    <x v="2"/>
    <s v="6aa0ebbc1c0532de5348941d"/>
    <s v="08/09/2026 23:14:50"/>
    <s v="09/09/2026 02:16:44"/>
    <s v="Ranieli"/>
    <s v="08/09/2026"/>
    <x v="0"/>
    <s v="JOSEFA KELY NUNES DE SOUSA"/>
    <n v="13188"/>
    <n v="1009"/>
    <n v="1009"/>
    <n v="1002"/>
    <n v="1010"/>
    <n v="1016"/>
    <n v="995"/>
    <n v="1003"/>
    <n v="1003"/>
    <n v="1002"/>
    <n v="1014"/>
    <n v="1006.3"/>
    <s v=""/>
    <s v="assinatura"/>
    <n v="499"/>
    <n v="1000"/>
    <n v="6.2999999999999549E-3"/>
    <n v="6.2999999999999545"/>
    <x v="8"/>
    <x v="1"/>
  </r>
  <r>
    <x v="26"/>
    <x v="2"/>
    <s v="6aa0ebbc1c0532de53489417"/>
    <s v="08/09/2026 22:23:57"/>
    <s v="09/09/2026 02:16:44"/>
    <s v="Ranieli"/>
    <s v="08/09/2026"/>
    <x v="0"/>
    <s v="JOSEFA KELY NUNES DE SOUSA"/>
    <n v="15849"/>
    <n v="1011"/>
    <n v="1013"/>
    <n v="997"/>
    <n v="1012"/>
    <n v="1004"/>
    <n v="999"/>
    <n v="1010"/>
    <n v="1003"/>
    <n v="1008"/>
    <n v="1009"/>
    <n v="1006.6"/>
    <s v=""/>
    <s v="assinatura"/>
    <n v="2266"/>
    <n v="1000"/>
    <n v="6.6000000000000225E-3"/>
    <n v="6.6000000000000227"/>
    <x v="29"/>
    <x v="2"/>
  </r>
  <r>
    <x v="26"/>
    <x v="2"/>
    <s v="6aa0ebbc1c0532de53489411"/>
    <s v="08/09/2026 22:17:51"/>
    <s v="09/09/2026 02:16:44"/>
    <s v="Ranieli"/>
    <s v="08/09/2026"/>
    <x v="0"/>
    <s v="JOSEFA KELY NUNES DE SOUSA"/>
    <n v="792799"/>
    <n v="15060"/>
    <n v="15095"/>
    <n v="15070"/>
    <n v="15100"/>
    <n v="15045"/>
    <n v="15100"/>
    <n v="15075"/>
    <n v="15100"/>
    <n v="15060"/>
    <n v="15100"/>
    <n v="15081"/>
    <s v=""/>
    <s v=""/>
    <n v="364"/>
    <n v="15000"/>
    <n v="5.4000000000000003E-3"/>
    <n v="81"/>
    <x v="12"/>
    <x v="3"/>
  </r>
  <r>
    <x v="26"/>
    <x v="2"/>
    <s v="6aa0ebbc1c0532de5348940b"/>
    <s v="08/09/2026 22:13:07"/>
    <s v="09/09/2026 02:16:44"/>
    <s v="Ranieli"/>
    <s v="08/09/2026"/>
    <x v="0"/>
    <s v="JOSEFA KELY NUNES DE SOUSA"/>
    <n v="15105"/>
    <n v="1016"/>
    <n v="1015"/>
    <n v="1003"/>
    <n v="1068"/>
    <n v="986"/>
    <n v="1021"/>
    <n v="1044"/>
    <n v="1020"/>
    <n v="1026"/>
    <n v="1039"/>
    <n v="1023.8"/>
    <s v=""/>
    <s v="assinatura"/>
    <n v="282"/>
    <n v="1000"/>
    <n v="2.3799999999999953E-2"/>
    <n v="23.799999999999955"/>
    <x v="0"/>
    <x v="0"/>
  </r>
  <r>
    <x v="26"/>
    <x v="2"/>
    <s v="6aa0ebbc1c0532de53489405"/>
    <s v="08/09/2026 21:28:23"/>
    <s v="09/09/2026 02:16:44"/>
    <s v="Ranieli"/>
    <s v="08/09/2026"/>
    <x v="0"/>
    <s v="JOSEFA KELY NUNES DE SOUSA"/>
    <n v="209069"/>
    <n v="1029"/>
    <n v="999"/>
    <n v="1006"/>
    <n v="1007"/>
    <n v="1001"/>
    <n v="1022"/>
    <n v="1031"/>
    <n v="1030"/>
    <n v="998"/>
    <n v="1024"/>
    <n v="1014.7"/>
    <s v=""/>
    <s v="assinatura"/>
    <n v="94"/>
    <n v="1000"/>
    <n v="1.4700000000000045E-2"/>
    <n v="14.700000000000045"/>
    <x v="28"/>
    <x v="0"/>
  </r>
  <r>
    <x v="26"/>
    <x v="2"/>
    <s v="6aa0ebbc1c0532de534893ff"/>
    <s v="08/09/2026 18:45:26"/>
    <s v="09/09/2026 02:16:44"/>
    <s v="Ranieli"/>
    <s v="08/09/2026"/>
    <x v="0"/>
    <s v="JOSEFA KELY NUNES DE SOUSA"/>
    <n v="42838"/>
    <n v="2035"/>
    <n v="2031"/>
    <n v="2049"/>
    <n v="2035"/>
    <n v="2039"/>
    <n v="2041"/>
    <n v="2042"/>
    <n v="2040"/>
    <n v="2040"/>
    <n v="2030"/>
    <n v="2038.2"/>
    <s v=""/>
    <s v="assinatura"/>
    <n v="156"/>
    <n v="2000"/>
    <n v="1.9100000000000023E-2"/>
    <n v="38.200000000000045"/>
    <x v="7"/>
    <x v="1"/>
  </r>
  <r>
    <x v="26"/>
    <x v="2"/>
    <s v="6aa0ebbc1c0532de534893f9"/>
    <s v="08/09/2026 18:40:14"/>
    <s v="09/09/2026 02:16:44"/>
    <s v="Ranieli"/>
    <s v="08/09/2026"/>
    <x v="0"/>
    <s v="JOSEFA KELY NUNES DE SOUSA"/>
    <n v="42820"/>
    <n v="2033"/>
    <n v="2031"/>
    <n v="2073"/>
    <n v="1998"/>
    <n v="2030"/>
    <n v="2100"/>
    <n v="2028"/>
    <n v="2055"/>
    <n v="2093"/>
    <n v="2032"/>
    <n v="2047.3"/>
    <s v=""/>
    <s v=""/>
    <n v="310"/>
    <n v="2000"/>
    <n v="2.3649999999999977E-2"/>
    <n v="47.299999999999955"/>
    <x v="10"/>
    <x v="1"/>
  </r>
  <r>
    <x v="26"/>
    <x v="2"/>
    <s v="6aa0ebbc1c0532de534893f1"/>
    <s v="08/09/2026 18:30:34"/>
    <s v="09/09/2026 02:16:44"/>
    <s v="Ranieli"/>
    <s v="08/09/2026"/>
    <x v="0"/>
    <s v="JOSEFA KELY NUNES DE SOUSA"/>
    <n v="40762"/>
    <n v="9990"/>
    <n v="10125"/>
    <n v="10090"/>
    <n v="9945"/>
    <n v="10080"/>
    <n v="9990"/>
    <n v="10005"/>
    <n v="10090"/>
    <n v="10110"/>
    <n v="10115"/>
    <n v="10054"/>
    <s v=""/>
    <s v="assinatura"/>
    <n v="514"/>
    <n v="10000"/>
    <n v="5.4000000000000003E-3"/>
    <n v="54"/>
    <x v="3"/>
    <x v="1"/>
  </r>
  <r>
    <x v="26"/>
    <x v="2"/>
    <s v="6aa0ebbc1c0532de534893eb"/>
    <s v="08/09/2026 17:52:01"/>
    <s v="09/09/2026 02:16:44"/>
    <s v="Ranieli"/>
    <s v="08/09/2026"/>
    <x v="0"/>
    <s v="JOSEFA KELY NUNES DE SOUSA"/>
    <n v="42846"/>
    <n v="2010"/>
    <n v="2009"/>
    <n v="2013"/>
    <n v="2006"/>
    <n v="2012"/>
    <n v="2011"/>
    <n v="2006"/>
    <n v="2011"/>
    <n v="2007"/>
    <n v="2011"/>
    <n v="2009.6"/>
    <s v=""/>
    <s v=""/>
    <n v="102"/>
    <n v="2000"/>
    <n v="4.7999999999999545E-3"/>
    <n v="9.5999999999999091"/>
    <x v="6"/>
    <x v="1"/>
  </r>
  <r>
    <x v="26"/>
    <x v="2"/>
    <s v="6aa0ebbc1c0532de534893e5"/>
    <s v="08/09/2026 17:37:45"/>
    <s v="09/09/2026 02:16:44"/>
    <s v="Ranieli"/>
    <s v="08/09/2026"/>
    <x v="0"/>
    <s v="JOSEFA KELY NUNES DE SOUSA"/>
    <n v="42854"/>
    <n v="2086"/>
    <n v="2106"/>
    <n v="2114"/>
    <n v="2118"/>
    <n v="2099"/>
    <n v="2166"/>
    <n v="2107"/>
    <n v="2112"/>
    <n v="2115"/>
    <n v="2097"/>
    <n v="2112"/>
    <s v=""/>
    <s v="assinatura"/>
    <n v="713"/>
    <n v="2080"/>
    <n v="1.5384615384615385E-2"/>
    <n v="32"/>
    <x v="4"/>
    <x v="1"/>
  </r>
  <r>
    <x v="26"/>
    <x v="2"/>
    <s v="6aa0ebbc1c0532de534893df"/>
    <s v="08/09/2026 17:27:15"/>
    <s v="09/09/2026 02:16:44"/>
    <s v="Ranieli"/>
    <s v="08/09/2026"/>
    <x v="0"/>
    <s v="JOSEFA KELY NUNES DE SOUSA"/>
    <n v="995638"/>
    <n v="15040"/>
    <n v="15025"/>
    <n v="14950"/>
    <n v="15065"/>
    <n v="15005"/>
    <n v="15062"/>
    <n v="15045"/>
    <n v="15015"/>
    <n v="15000"/>
    <n v="15020"/>
    <n v="15022.7"/>
    <s v=""/>
    <s v="assinatura"/>
    <n v="30332"/>
    <n v="15000"/>
    <n v="1.5133333333333819E-3"/>
    <n v="22.700000000000728"/>
    <x v="21"/>
    <x v="3"/>
  </r>
  <r>
    <x v="26"/>
    <x v="2"/>
    <s v="6aa0ebbc1c0532de534893d9"/>
    <s v="08/09/2026 17:22:58"/>
    <s v="09/09/2026 02:16:44"/>
    <s v="Ranieli"/>
    <s v="08/09/2026"/>
    <x v="0"/>
    <s v="JOSEFA KELY NUNES DE SOUSA"/>
    <n v="992093"/>
    <n v="5007"/>
    <n v="5005"/>
    <n v="5035"/>
    <n v="5003"/>
    <n v="5009"/>
    <n v="5012"/>
    <n v="5014"/>
    <n v="5003"/>
    <n v="5005"/>
    <n v="5006"/>
    <n v="5009.8999999999996"/>
    <s v=""/>
    <s v=""/>
    <n v="251"/>
    <n v="5000"/>
    <n v="1.9799999999999271E-3"/>
    <n v="9.8999999999996362"/>
    <x v="13"/>
    <x v="3"/>
  </r>
  <r>
    <x v="26"/>
    <x v="2"/>
    <s v="6aa0ebbc1c0532de534893d3"/>
    <s v="08/09/2026 17:16:12"/>
    <s v="09/09/2026 02:16:44"/>
    <s v="Ranieli"/>
    <s v="08/09/2026"/>
    <x v="0"/>
    <s v="JOSEFA KELY NUNES DE SOUSA"/>
    <n v="15105"/>
    <n v="1020"/>
    <n v="1036"/>
    <n v="1008"/>
    <n v="1027"/>
    <n v="1006"/>
    <n v="1040"/>
    <n v="1028"/>
    <n v="1010"/>
    <n v="997"/>
    <n v="1011"/>
    <n v="1018.3"/>
    <s v=""/>
    <s v="assinatura"/>
    <n v="404"/>
    <n v="1000"/>
    <n v="1.8299999999999955E-2"/>
    <n v="18.299999999999955"/>
    <x v="0"/>
    <x v="0"/>
  </r>
  <r>
    <x v="26"/>
    <x v="2"/>
    <s v="6aa0c513759034b78e6ed780"/>
    <s v="08/09/2026 23:25:44"/>
    <s v="08/09/2026 23:31:47"/>
    <s v="Ranieli"/>
    <s v="08/09/2026"/>
    <x v="0"/>
    <s v="JULIANE GOMES NOVAIS"/>
    <n v="15229"/>
    <n v="983"/>
    <n v="987"/>
    <n v="986"/>
    <n v="1003"/>
    <n v="1015"/>
    <n v="1013"/>
    <n v="1005"/>
    <n v="1001"/>
    <n v="1015"/>
    <n v="999"/>
    <n v="1000.7"/>
    <s v=""/>
    <s v="assinatura"/>
    <n v="158"/>
    <n v="1000"/>
    <n v="7.0000000000004542E-4"/>
    <n v="0.70000000000004547"/>
    <x v="9"/>
    <x v="1"/>
  </r>
  <r>
    <x v="26"/>
    <x v="2"/>
    <s v="6aa0c513759034b78e6ed77a"/>
    <s v="08/09/2026 23:23:59"/>
    <s v="08/09/2026 23:31:47"/>
    <s v="Ranieli"/>
    <s v="08/09/2026"/>
    <x v="0"/>
    <s v="JULIANE GOMES NOVAIS"/>
    <n v="15229"/>
    <n v="1005"/>
    <n v="1012"/>
    <n v="1007"/>
    <n v="1001"/>
    <n v="995"/>
    <n v="999"/>
    <n v="1002"/>
    <n v="998"/>
    <n v="1005"/>
    <n v="1007"/>
    <n v="1003.1"/>
    <s v=""/>
    <s v="assinatura"/>
    <n v="290"/>
    <n v="1000"/>
    <n v="3.1000000000000229E-3"/>
    <n v="3.1000000000000227"/>
    <x v="9"/>
    <x v="1"/>
  </r>
  <r>
    <x v="26"/>
    <x v="2"/>
    <s v="6aa0c513759034b78e6ed774"/>
    <s v="08/09/2026 22:18:19"/>
    <s v="08/09/2026 23:31:47"/>
    <s v="Ranieli"/>
    <s v="08/09/2026"/>
    <x v="0"/>
    <s v="JULIANE GOMES NOVAIS"/>
    <n v="13188"/>
    <n v="1016"/>
    <n v="1013"/>
    <n v="1007"/>
    <n v="994"/>
    <n v="1001"/>
    <n v="1003"/>
    <n v="1014"/>
    <n v="1009"/>
    <n v="1015"/>
    <n v="1010"/>
    <n v="1008.2"/>
    <s v=""/>
    <s v="assinatura"/>
    <n v="3749"/>
    <n v="1000"/>
    <n v="8.2000000000000458E-3"/>
    <n v="8.2000000000000455"/>
    <x v="8"/>
    <x v="1"/>
  </r>
  <r>
    <x v="26"/>
    <x v="2"/>
    <s v="6aa0c513759034b78e6ed76c"/>
    <s v="08/09/2026 22:16:15"/>
    <s v="08/09/2026 23:31:47"/>
    <s v="Ranieli"/>
    <s v="08/09/2026"/>
    <x v="0"/>
    <s v="JULIANE GOMES NOVAIS"/>
    <n v="13188"/>
    <n v="999"/>
    <n v="1009"/>
    <n v="1016"/>
    <n v="1014"/>
    <n v="1013"/>
    <n v="1008"/>
    <n v="997"/>
    <n v="1006"/>
    <n v="1005"/>
    <n v="1010"/>
    <n v="1007.7"/>
    <s v=""/>
    <s v="assinatura"/>
    <n v="3852"/>
    <n v="1000"/>
    <n v="7.7000000000000453E-3"/>
    <n v="7.7000000000000455"/>
    <x v="8"/>
    <x v="1"/>
  </r>
  <r>
    <x v="26"/>
    <x v="2"/>
    <s v="6aa0c513759034b78e6ed766"/>
    <s v="08/09/2026 22:13:03"/>
    <s v="08/09/2026 23:31:47"/>
    <s v="Ranieli"/>
    <s v="08/09/2026"/>
    <x v="0"/>
    <s v="JULIANE GOMES NOVAIS"/>
    <n v="13188"/>
    <n v="1004"/>
    <n v="1012"/>
    <n v="1013"/>
    <n v="1011"/>
    <n v="997"/>
    <n v="1008"/>
    <n v="1009"/>
    <n v="1001"/>
    <n v="1010"/>
    <n v="1008"/>
    <n v="1007.3"/>
    <s v=""/>
    <s v="assinatura"/>
    <n v="4026"/>
    <n v="1000"/>
    <n v="7.2999999999999541E-3"/>
    <n v="7.2999999999999545"/>
    <x v="8"/>
    <x v="1"/>
  </r>
  <r>
    <x v="26"/>
    <x v="2"/>
    <s v="6aa0c513759034b78e6ed760"/>
    <s v="08/09/2026 22:10:12"/>
    <s v="08/09/2026 23:31:47"/>
    <s v="Ranieli"/>
    <s v="08/09/2026"/>
    <x v="0"/>
    <s v="JULIANE GOMES NOVAIS"/>
    <n v="13188"/>
    <n v="1004"/>
    <n v="1013"/>
    <n v="1008"/>
    <n v="1013"/>
    <n v="1005"/>
    <n v="1004"/>
    <n v="1013"/>
    <n v="1003"/>
    <n v="1003"/>
    <n v="1002"/>
    <n v="1006.8"/>
    <s v=""/>
    <s v="assinatura"/>
    <n v="4179"/>
    <n v="1000"/>
    <n v="6.7999999999999545E-3"/>
    <n v="6.7999999999999545"/>
    <x v="8"/>
    <x v="1"/>
  </r>
  <r>
    <x v="26"/>
    <x v="2"/>
    <s v="6aa0c513759034b78e6ed75a"/>
    <s v="08/09/2026 21:53:13"/>
    <s v="08/09/2026 23:31:47"/>
    <s v="Ranieli"/>
    <s v="08/09/2026"/>
    <x v="0"/>
    <s v="JULIANE GOMES NOVAIS"/>
    <n v="15105"/>
    <n v="964"/>
    <n v="1020"/>
    <n v="1018"/>
    <n v="1020"/>
    <n v="999"/>
    <n v="1003"/>
    <n v="989"/>
    <n v="1005"/>
    <n v="1025"/>
    <n v="1026"/>
    <n v="1006.9"/>
    <s v=""/>
    <s v="assinatura"/>
    <n v="268"/>
    <n v="1000"/>
    <n v="6.8999999999999773E-3"/>
    <n v="6.8999999999999773"/>
    <x v="0"/>
    <x v="0"/>
  </r>
  <r>
    <x v="26"/>
    <x v="2"/>
    <s v="6aa0c513759034b78e6ed754"/>
    <s v="08/09/2026 21:49:34"/>
    <s v="08/09/2026 23:31:47"/>
    <s v="Ranieli"/>
    <s v="08/09/2026"/>
    <x v="0"/>
    <s v="JULIANE GOMES NOVAIS"/>
    <n v="15105"/>
    <n v="1041"/>
    <n v="1111"/>
    <n v="1041"/>
    <n v="1007"/>
    <n v="983"/>
    <n v="988"/>
    <n v="1020"/>
    <n v="1023"/>
    <n v="1047"/>
    <n v="987"/>
    <n v="1024.8"/>
    <s v=""/>
    <s v="assinatura"/>
    <n v="510"/>
    <n v="1000"/>
    <n v="2.4799999999999954E-2"/>
    <n v="24.799999999999955"/>
    <x v="0"/>
    <x v="0"/>
  </r>
  <r>
    <x v="26"/>
    <x v="2"/>
    <s v="6aa0c513759034b78e6ed74e"/>
    <s v="08/09/2026 21:47:46"/>
    <s v="08/09/2026 23:31:47"/>
    <s v="Ranieli"/>
    <s v="08/09/2026"/>
    <x v="0"/>
    <s v="JULIANE GOMES NOVAIS"/>
    <n v="15105"/>
    <n v="1006"/>
    <n v="1050"/>
    <n v="996"/>
    <n v="994"/>
    <n v="1007"/>
    <n v="989"/>
    <n v="1019"/>
    <n v="1007"/>
    <n v="1036"/>
    <n v="1015"/>
    <n v="1011.9"/>
    <s v=""/>
    <s v="assinatura"/>
    <n v="644"/>
    <n v="1000"/>
    <n v="1.1899999999999977E-2"/>
    <n v="11.899999999999977"/>
    <x v="0"/>
    <x v="0"/>
  </r>
  <r>
    <x v="26"/>
    <x v="2"/>
    <s v="6aa0c513759034b78e6ed748"/>
    <s v="08/09/2026 21:46:37"/>
    <s v="08/09/2026 23:31:47"/>
    <s v="Ranieli"/>
    <s v="08/09/2026"/>
    <x v="0"/>
    <s v="JULIANE GOMES NOVAIS"/>
    <n v="15105"/>
    <n v="1003"/>
    <n v="1012"/>
    <n v="1009"/>
    <n v="1020"/>
    <n v="1002"/>
    <n v="1018"/>
    <n v="1006"/>
    <n v="1003"/>
    <n v="1013"/>
    <n v="1002"/>
    <n v="1008.8"/>
    <s v=""/>
    <s v=""/>
    <n v="5834"/>
    <n v="1000"/>
    <n v="8.7999999999999537E-3"/>
    <n v="8.7999999999999545"/>
    <x v="0"/>
    <x v="0"/>
  </r>
  <r>
    <x v="26"/>
    <x v="2"/>
    <s v="6aa0c513759034b78e6ed742"/>
    <s v="08/09/2026 21:41:06"/>
    <s v="08/09/2026 23:31:47"/>
    <s v="Ranieli"/>
    <s v="08/09/2026"/>
    <x v="0"/>
    <s v="JULIANE GOMES NOVAIS"/>
    <n v="15105"/>
    <n v="1003"/>
    <n v="1008"/>
    <n v="981"/>
    <n v="996"/>
    <n v="1070"/>
    <n v="1009"/>
    <n v="1005"/>
    <n v="1041"/>
    <n v="1151"/>
    <n v="1033"/>
    <n v="1029.7"/>
    <s v=""/>
    <s v="assinatura"/>
    <n v="1074"/>
    <n v="1000"/>
    <n v="2.9700000000000046E-2"/>
    <n v="29.700000000000045"/>
    <x v="0"/>
    <x v="0"/>
  </r>
  <r>
    <x v="26"/>
    <x v="2"/>
    <s v="6aa0c513759034b78e6ed73c"/>
    <s v="08/09/2026 21:36:33"/>
    <s v="08/09/2026 23:31:47"/>
    <s v="Ranieli"/>
    <s v="08/09/2026"/>
    <x v="0"/>
    <s v="JULIANE GOMES NOVAIS"/>
    <n v="15105"/>
    <n v="1027"/>
    <n v="1027"/>
    <n v="986"/>
    <n v="989"/>
    <n v="1031"/>
    <n v="1050"/>
    <n v="1006"/>
    <n v="1034"/>
    <n v="1023"/>
    <n v="999"/>
    <n v="1017.2"/>
    <s v=""/>
    <s v="assinatura"/>
    <n v="271"/>
    <n v="1000"/>
    <n v="1.7200000000000045E-2"/>
    <n v="17.200000000000045"/>
    <x v="0"/>
    <x v="0"/>
  </r>
  <r>
    <x v="26"/>
    <x v="2"/>
    <s v="6aa04326f145040e223928bc"/>
    <s v="08/09/2026 14:14:22"/>
    <s v="08/09/2026 14:17:26"/>
    <s v="Ranieli"/>
    <s v="08/09/2026"/>
    <x v="1"/>
    <s v="RANIELI MARIA MASQUIETI DOURADO"/>
    <n v="209039"/>
    <n v="1007"/>
    <n v="1029"/>
    <n v="1008"/>
    <n v="1034"/>
    <n v="1003"/>
    <n v="1000"/>
    <n v="1046"/>
    <n v="1010"/>
    <n v="999"/>
    <n v="1029"/>
    <n v="1016.5"/>
    <s v=""/>
    <s v="assinatura"/>
    <n v="178"/>
    <n v="1000"/>
    <n v="1.6500000000000001E-2"/>
    <n v="16.5"/>
    <x v="19"/>
    <x v="3"/>
  </r>
  <r>
    <x v="26"/>
    <x v="2"/>
    <s v="6aa04203f98bcbe21b127d11"/>
    <s v="08/09/2026 13:56:03"/>
    <s v="08/09/2026 14:12:35"/>
    <s v="Ranieli"/>
    <s v="08/09/2026"/>
    <x v="1"/>
    <s v="RANIELI MARIA MASQUIETI DOURADO"/>
    <n v="40762"/>
    <n v="9995"/>
    <n v="10165"/>
    <n v="9995"/>
    <n v="9935"/>
    <n v="10140"/>
    <n v="10215"/>
    <n v="10085"/>
    <n v="10080"/>
    <n v="10165"/>
    <n v="10005"/>
    <n v="10078"/>
    <s v=""/>
    <s v="assinatura"/>
    <n v="971"/>
    <n v="10000"/>
    <n v="7.7999999999999996E-3"/>
    <n v="78"/>
    <x v="3"/>
    <x v="1"/>
  </r>
  <r>
    <x v="26"/>
    <x v="2"/>
    <s v="6aa04203f98bcbe21b127d0b"/>
    <s v="08/09/2026 13:53:25"/>
    <s v="08/09/2026 14:12:35"/>
    <s v="Ranieli"/>
    <s v="08/09/2026"/>
    <x v="1"/>
    <s v="RANIELI MARIA MASQUIETI DOURADO"/>
    <n v="42862"/>
    <n v="2010"/>
    <n v="2021"/>
    <n v="2054"/>
    <n v="2040"/>
    <n v="2023"/>
    <n v="2043"/>
    <n v="2029"/>
    <n v="2034"/>
    <n v="2022"/>
    <n v="2020"/>
    <n v="2029.6"/>
    <s v=""/>
    <s v=""/>
    <n v="156"/>
    <n v="2000"/>
    <n v="1.4799999999999954E-2"/>
    <n v="29.599999999999909"/>
    <x v="5"/>
    <x v="1"/>
  </r>
  <r>
    <x v="26"/>
    <x v="2"/>
    <s v="6aa04203f98bcbe21b127d05"/>
    <s v="08/09/2026 13:47:45"/>
    <s v="08/09/2026 14:12:35"/>
    <s v="Ranieli"/>
    <s v="08/09/2026"/>
    <x v="1"/>
    <s v="RANIELI MARIA MASQUIETI DOURADO"/>
    <n v="864048"/>
    <n v="1990"/>
    <n v="2002"/>
    <n v="2006"/>
    <n v="2025"/>
    <n v="2048"/>
    <n v="2053"/>
    <n v="2000"/>
    <n v="2013"/>
    <n v="2009"/>
    <n v="2010"/>
    <n v="2015.6"/>
    <s v=""/>
    <s v="assinatura"/>
    <n v="190"/>
    <n v="2000"/>
    <n v="7.7999999999999545E-3"/>
    <n v="15.599999999999909"/>
    <x v="26"/>
    <x v="1"/>
  </r>
  <r>
    <x v="26"/>
    <x v="2"/>
    <s v="6aa04203f98bcbe21b127cff"/>
    <s v="08/09/2026 13:42:31"/>
    <s v="08/09/2026 14:12:35"/>
    <s v="Ranieli"/>
    <s v="08/09/2026"/>
    <x v="1"/>
    <s v="RANIELI MARIA MASQUIETI DOURADO"/>
    <n v="15105"/>
    <n v="1031"/>
    <n v="1012"/>
    <n v="993"/>
    <n v="1023"/>
    <n v="1032"/>
    <n v="1005"/>
    <n v="1011"/>
    <n v="1017"/>
    <n v="1040"/>
    <n v="1008"/>
    <n v="1017.2"/>
    <s v=""/>
    <s v="assinatura"/>
    <n v="156"/>
    <n v="1000"/>
    <n v="1.7200000000000045E-2"/>
    <n v="17.200000000000045"/>
    <x v="0"/>
    <x v="0"/>
  </r>
  <r>
    <x v="26"/>
    <x v="2"/>
    <s v="6aa04203f98bcbe21b127cf9"/>
    <s v="08/09/2026 13:35:05"/>
    <s v="08/09/2026 14:12:35"/>
    <s v="Ranieli"/>
    <s v="08/09/2026"/>
    <x v="1"/>
    <s v="RANIELI MARIA MASQUIETI DOURADO"/>
    <n v="54632"/>
    <n v="1013"/>
    <n v="1002"/>
    <n v="1007"/>
    <n v="1010"/>
    <n v="999"/>
    <n v="998"/>
    <n v="1001"/>
    <n v="1004"/>
    <n v="989"/>
    <n v="1019"/>
    <n v="1004.2"/>
    <s v=""/>
    <s v="assinatura"/>
    <n v="269"/>
    <n v="1000"/>
    <n v="4.2000000000000457E-3"/>
    <n v="4.2000000000000455"/>
    <x v="11"/>
    <x v="1"/>
  </r>
  <r>
    <x v="27"/>
    <x v="2"/>
    <s v="6aa40b8cc56867042ebeb722"/>
    <s v="10/09/2026 16:57:28"/>
    <s v="11/09/2026 11:09:16"/>
    <s v="Ranieli"/>
    <s v="10/09/2026"/>
    <x v="1"/>
    <s v="ALANA DA SILVA MARTINS"/>
    <n v="31454"/>
    <n v="2636"/>
    <n v="2544"/>
    <n v="2510"/>
    <n v="2545"/>
    <n v="2545"/>
    <n v="2501"/>
    <n v="2503"/>
    <n v="2503"/>
    <n v="2507"/>
    <n v="2564"/>
    <n v="2535.8000000000002"/>
    <s v=""/>
    <s v="assinatura"/>
    <n v="337"/>
    <n v="2500"/>
    <n v="1.4320000000000072E-2"/>
    <n v="35.800000000000182"/>
    <x v="20"/>
    <x v="3"/>
  </r>
  <r>
    <x v="27"/>
    <x v="2"/>
    <s v="6aa40b8cc56867042ebeb71c"/>
    <s v="10/09/2026 16:48:40"/>
    <s v="11/09/2026 11:09:16"/>
    <s v="Ranieli"/>
    <s v="10/09/2026"/>
    <x v="1"/>
    <s v="ALANA DA SILVA MARTINS"/>
    <n v="197734"/>
    <n v="1015"/>
    <n v="988"/>
    <n v="998"/>
    <n v="1098"/>
    <n v="1015"/>
    <n v="1009"/>
    <n v="1000"/>
    <n v="1043"/>
    <n v="1012"/>
    <n v="1017"/>
    <n v="1019.5"/>
    <s v=""/>
    <s v="assinatura"/>
    <n v="521"/>
    <n v="1000"/>
    <n v="1.95E-2"/>
    <n v="19.5"/>
    <x v="2"/>
    <x v="2"/>
  </r>
  <r>
    <x v="27"/>
    <x v="2"/>
    <s v="6aa38bf3c423abb5a7e296f3"/>
    <s v="11/09/2026 00:59:19"/>
    <s v="11/09/2026 02:04:51"/>
    <s v="Ranieli"/>
    <s v="10/09/2026"/>
    <x v="0"/>
    <s v="JOSEFA KELY NUNES DE SOUSA"/>
    <n v="40762"/>
    <n v="10080"/>
    <n v="10055"/>
    <n v="9970"/>
    <n v="10065"/>
    <n v="10035"/>
    <n v="10050"/>
    <n v="9985"/>
    <n v="9970"/>
    <n v="10055"/>
    <n v="9990"/>
    <n v="10025.5"/>
    <s v=""/>
    <s v="assinatura"/>
    <n v="1974"/>
    <n v="10000"/>
    <n v="2.5500000000000002E-3"/>
    <n v="25.5"/>
    <x v="3"/>
    <x v="1"/>
  </r>
  <r>
    <x v="27"/>
    <x v="2"/>
    <s v="6aa38bf3c423abb5a7e296e7"/>
    <s v="10/09/2026 23:13:27"/>
    <s v="11/09/2026 02:04:51"/>
    <s v="Ranieli"/>
    <s v="10/09/2026"/>
    <x v="0"/>
    <s v="JOSEFA KELY NUNES DE SOUSA"/>
    <n v="15229"/>
    <n v="1017"/>
    <n v="998"/>
    <n v="997"/>
    <n v="1002"/>
    <n v="1012"/>
    <n v="1017"/>
    <n v="1014"/>
    <n v="1012"/>
    <n v="1005"/>
    <n v="999"/>
    <n v="1007.3"/>
    <s v=""/>
    <s v="assinatura"/>
    <n v="967"/>
    <n v="1000"/>
    <n v="7.2999999999999541E-3"/>
    <n v="7.2999999999999545"/>
    <x v="9"/>
    <x v="1"/>
  </r>
  <r>
    <x v="27"/>
    <x v="2"/>
    <s v="6aa38bf3c423abb5a7e296e1"/>
    <s v="10/09/2026 23:01:27"/>
    <s v="11/09/2026 02:04:51"/>
    <s v="Ranieli"/>
    <s v="10/09/2026"/>
    <x v="0"/>
    <s v="JOSEFA KELY NUNES DE SOUSA"/>
    <n v="40762"/>
    <n v="9990"/>
    <n v="10005"/>
    <n v="9987"/>
    <n v="10030"/>
    <n v="10035"/>
    <n v="10010"/>
    <n v="9980"/>
    <n v="10020"/>
    <n v="9985"/>
    <n v="10005"/>
    <n v="10004.700000000001"/>
    <s v=""/>
    <s v=""/>
    <n v="719"/>
    <n v="10000"/>
    <n v="4.7000000000007274E-4"/>
    <n v="4.7000000000007276"/>
    <x v="3"/>
    <x v="1"/>
  </r>
  <r>
    <x v="27"/>
    <x v="2"/>
    <s v="6aa38bf3c423abb5a7e296db"/>
    <s v="10/09/2026 22:56:49"/>
    <s v="11/09/2026 02:04:51"/>
    <s v="Ranieli"/>
    <s v="10/09/2026"/>
    <x v="0"/>
    <s v="JOSEFA KELY NUNES DE SOUSA"/>
    <n v="13188"/>
    <n v="1001"/>
    <n v="995"/>
    <n v="979"/>
    <n v="1003"/>
    <n v="1008"/>
    <n v="981"/>
    <n v="1000"/>
    <n v="996"/>
    <n v="1015"/>
    <n v="1001"/>
    <n v="997.9"/>
    <s v=""/>
    <s v="assinatura"/>
    <n v="271"/>
    <n v="1000"/>
    <n v="-2.1000000000000229E-3"/>
    <n v="-2.1000000000000227"/>
    <x v="8"/>
    <x v="1"/>
  </r>
  <r>
    <x v="27"/>
    <x v="2"/>
    <s v="6aa38bf3c423abb5a7e296d5"/>
    <s v="10/09/2026 22:29:32"/>
    <s v="11/09/2026 02:04:51"/>
    <s v="Ranieli"/>
    <s v="10/09/2026"/>
    <x v="0"/>
    <s v="JOSEFA KELY NUNES DE SOUSA"/>
    <n v="15849"/>
    <n v="991"/>
    <n v="1011"/>
    <n v="1006"/>
    <n v="1016"/>
    <n v="1002"/>
    <n v="1014"/>
    <n v="995"/>
    <n v="1009"/>
    <n v="1004"/>
    <n v="1004"/>
    <n v="1005.2"/>
    <s v=""/>
    <s v=""/>
    <n v="1090"/>
    <n v="1000"/>
    <n v="5.2000000000000457E-3"/>
    <n v="5.2000000000000455"/>
    <x v="29"/>
    <x v="2"/>
  </r>
  <r>
    <x v="27"/>
    <x v="2"/>
    <s v="6aa38bf3c423abb5a7e296cf"/>
    <s v="10/09/2026 22:25:59"/>
    <s v="11/09/2026 02:04:51"/>
    <s v="Ranieli"/>
    <s v="10/09/2026"/>
    <x v="0"/>
    <s v="JOSEFA KELY NUNES DE SOUSA"/>
    <n v="15105"/>
    <n v="1021"/>
    <n v="1044"/>
    <n v="1017"/>
    <n v="1025"/>
    <n v="992"/>
    <n v="1028"/>
    <n v="1049"/>
    <n v="1003"/>
    <n v="1004"/>
    <n v="1053"/>
    <n v="1023.6"/>
    <s v=""/>
    <s v="assinatura"/>
    <n v="211"/>
    <n v="1000"/>
    <n v="2.3600000000000024E-2"/>
    <n v="23.600000000000023"/>
    <x v="0"/>
    <x v="0"/>
  </r>
  <r>
    <x v="27"/>
    <x v="2"/>
    <s v="6aa38bf3c423abb5a7e296c3"/>
    <s v="10/09/2026 21:18:49"/>
    <s v="11/09/2026 02:04:51"/>
    <s v="Ranieli"/>
    <s v="10/09/2026"/>
    <x v="0"/>
    <s v="JOSEFA KELY NUNES DE SOUSA"/>
    <n v="209039"/>
    <n v="1003"/>
    <n v="1005"/>
    <n v="1039"/>
    <n v="1008"/>
    <n v="996"/>
    <n v="1000"/>
    <n v="1001"/>
    <n v="1018"/>
    <n v="1054"/>
    <n v="1001"/>
    <n v="1012.5"/>
    <s v=""/>
    <s v="assinatura"/>
    <n v="124"/>
    <n v="1000"/>
    <n v="1.2500000000000001E-2"/>
    <n v="12.5"/>
    <x v="19"/>
    <x v="3"/>
  </r>
  <r>
    <x v="27"/>
    <x v="2"/>
    <s v="6aa38bf2c423abb5a7e296b7"/>
    <s v="10/09/2026 18:17:25"/>
    <s v="11/09/2026 02:04:50"/>
    <s v="Ranieli"/>
    <s v="10/09/2026"/>
    <x v="0"/>
    <s v="JOSEFA KELY NUNES DE SOUSA"/>
    <n v="42846"/>
    <n v="2003"/>
    <n v="2001"/>
    <n v="2004"/>
    <n v="2013"/>
    <n v="1988"/>
    <n v="2021"/>
    <n v="2020"/>
    <n v="1999"/>
    <n v="1985"/>
    <n v="2008"/>
    <n v="2004.2"/>
    <s v=""/>
    <s v="assinatura"/>
    <n v="211"/>
    <n v="2000"/>
    <n v="2.1000000000000229E-3"/>
    <n v="4.2000000000000455"/>
    <x v="6"/>
    <x v="1"/>
  </r>
  <r>
    <x v="27"/>
    <x v="2"/>
    <s v="6aa38bf2c423abb5a7e296b1"/>
    <s v="10/09/2026 18:15:31"/>
    <s v="11/09/2026 02:04:50"/>
    <s v="Ranieli"/>
    <s v="10/09/2026"/>
    <x v="0"/>
    <s v="JOSEFA KELY NUNES DE SOUSA"/>
    <n v="42854"/>
    <n v="2100"/>
    <n v="2109"/>
    <n v="2110"/>
    <n v="2101"/>
    <n v="2097"/>
    <n v="2171"/>
    <n v="2108"/>
    <n v="2095"/>
    <n v="2126"/>
    <n v="2112"/>
    <n v="2112.9"/>
    <s v=""/>
    <s v=""/>
    <n v="108"/>
    <n v="2080"/>
    <n v="1.5817307692307735E-2"/>
    <n v="32.900000000000091"/>
    <x v="4"/>
    <x v="1"/>
  </r>
  <r>
    <x v="27"/>
    <x v="2"/>
    <s v="6aa38bf2c423abb5a7e296ab"/>
    <s v="10/09/2026 18:11:05"/>
    <s v="11/09/2026 02:04:50"/>
    <s v="Ranieli"/>
    <s v="10/09/2026"/>
    <x v="0"/>
    <s v="JOSEFA KELY NUNES DE SOUSA"/>
    <n v="42838"/>
    <n v="2014"/>
    <n v="2032"/>
    <n v="2042"/>
    <n v="2010"/>
    <n v="2052"/>
    <n v="2057"/>
    <n v="2027"/>
    <n v="1995"/>
    <n v="2025"/>
    <n v="2013"/>
    <n v="2026.7"/>
    <s v=""/>
    <s v="assinatura"/>
    <n v="219"/>
    <n v="2000"/>
    <n v="1.3350000000000023E-2"/>
    <n v="26.700000000000045"/>
    <x v="7"/>
    <x v="1"/>
  </r>
  <r>
    <x v="27"/>
    <x v="2"/>
    <s v="6aa38bf2c423abb5a7e296a5"/>
    <s v="10/09/2026 18:09:18"/>
    <s v="11/09/2026 02:04:50"/>
    <s v="Ranieli"/>
    <s v="10/09/2026"/>
    <x v="0"/>
    <s v="JOSEFA KELY NUNES DE SOUSA"/>
    <n v="42820"/>
    <n v="2034"/>
    <n v="2060"/>
    <n v="2047"/>
    <n v="2000"/>
    <n v="2031"/>
    <n v="2045"/>
    <n v="2022"/>
    <n v="2075"/>
    <n v="2055"/>
    <n v="2034"/>
    <n v="2040.3"/>
    <s v=""/>
    <s v=""/>
    <n v="105"/>
    <n v="2000"/>
    <n v="2.0149999999999977E-2"/>
    <n v="40.299999999999955"/>
    <x v="10"/>
    <x v="1"/>
  </r>
  <r>
    <x v="27"/>
    <x v="2"/>
    <s v="6aa38bf2c423abb5a7e2969f"/>
    <s v="10/09/2026 17:32:02"/>
    <s v="11/09/2026 02:04:50"/>
    <s v="Ranieli"/>
    <s v="10/09/2026"/>
    <x v="0"/>
    <s v="JOSEFA KELY NUNES DE SOUSA"/>
    <n v="42862"/>
    <n v="2025"/>
    <n v="2017"/>
    <n v="2026"/>
    <n v="2022"/>
    <n v="2018"/>
    <n v="2000"/>
    <n v="2016"/>
    <n v="2007"/>
    <n v="2019"/>
    <n v="2025"/>
    <n v="2017.5"/>
    <s v=""/>
    <s v="assinatura"/>
    <n v="2233"/>
    <n v="2000"/>
    <n v="8.7500000000000008E-3"/>
    <n v="17.5"/>
    <x v="5"/>
    <x v="1"/>
  </r>
  <r>
    <x v="27"/>
    <x v="2"/>
    <s v="6aa38bf2c423abb5a7e29699"/>
    <s v="10/09/2026 17:28:44"/>
    <s v="11/09/2026 02:04:50"/>
    <s v="Ranieli"/>
    <s v="10/09/2026"/>
    <x v="0"/>
    <s v="JOSEFA KELY NUNES DE SOUSA"/>
    <n v="792799"/>
    <n v="15055"/>
    <n v="15040"/>
    <n v="15000"/>
    <n v="15005"/>
    <n v="15085"/>
    <n v="15090"/>
    <n v="15045"/>
    <n v="15050"/>
    <n v="15075"/>
    <n v="15030"/>
    <n v="15047.5"/>
    <s v=""/>
    <s v=""/>
    <n v="193"/>
    <n v="15000"/>
    <n v="3.1666666666666666E-3"/>
    <n v="47.5"/>
    <x v="12"/>
    <x v="3"/>
  </r>
  <r>
    <x v="27"/>
    <x v="2"/>
    <s v="6aa38bf2c423abb5a7e29691"/>
    <s v="10/09/2026 17:24:18"/>
    <s v="11/09/2026 02:04:50"/>
    <s v="Ranieli"/>
    <s v="10/09/2026"/>
    <x v="0"/>
    <s v="JOSEFA KELY NUNES DE SOUSA"/>
    <n v="992093"/>
    <n v="4997"/>
    <n v="5005"/>
    <n v="4999"/>
    <n v="4992"/>
    <n v="4998"/>
    <n v="4985"/>
    <n v="5000"/>
    <n v="5001"/>
    <n v="4992"/>
    <n v="5005"/>
    <n v="4997.3999999999996"/>
    <s v=""/>
    <s v="assinatura"/>
    <n v="265"/>
    <n v="5000"/>
    <n v="-5.2000000000007281E-4"/>
    <n v="-2.6000000000003638"/>
    <x v="13"/>
    <x v="3"/>
  </r>
  <r>
    <x v="27"/>
    <x v="2"/>
    <s v="6aa38bf2c423abb5a7e2968b"/>
    <s v="10/09/2026 17:21:19"/>
    <s v="11/09/2026 02:04:50"/>
    <s v="Ranieli"/>
    <s v="10/09/2026"/>
    <x v="0"/>
    <s v="JOSEFA KELY NUNES DE SOUSA"/>
    <n v="15849"/>
    <n v="1018"/>
    <n v="1009"/>
    <n v="1006"/>
    <n v="1004"/>
    <n v="1003"/>
    <n v="1005"/>
    <n v="1008"/>
    <n v="999"/>
    <n v="1020"/>
    <n v="1008"/>
    <n v="1008"/>
    <s v=""/>
    <s v=""/>
    <n v="177"/>
    <n v="1000"/>
    <n v="8.0000000000000002E-3"/>
    <n v="8"/>
    <x v="29"/>
    <x v="2"/>
  </r>
  <r>
    <x v="27"/>
    <x v="2"/>
    <s v="6aa38bf2c423abb5a7e29685"/>
    <s v="10/09/2026 17:18:34"/>
    <s v="11/09/2026 02:04:50"/>
    <s v="Ranieli"/>
    <s v="10/09/2026"/>
    <x v="0"/>
    <s v="JOSEFA KELY NUNES DE SOUSA"/>
    <n v="15105"/>
    <n v="992"/>
    <n v="1013"/>
    <n v="975"/>
    <n v="1013"/>
    <n v="999"/>
    <n v="1037"/>
    <n v="1003"/>
    <n v="1028"/>
    <n v="1056"/>
    <n v="1037"/>
    <n v="1015.3"/>
    <s v=""/>
    <s v="assinatura"/>
    <n v="158"/>
    <n v="1000"/>
    <n v="1.5299999999999954E-2"/>
    <n v="15.299999999999955"/>
    <x v="0"/>
    <x v="0"/>
  </r>
  <r>
    <x v="27"/>
    <x v="2"/>
    <s v="6aa37002dc0f84ea873a8945"/>
    <s v="10/09/2026 23:58:04"/>
    <s v="11/09/2026 00:05:38"/>
    <s v="Ranieli"/>
    <s v="10/09/2026"/>
    <x v="0"/>
    <s v="JULIANE GOMES NOVAIS"/>
    <n v="209069"/>
    <n v="1098"/>
    <n v="1013"/>
    <n v="1002"/>
    <n v="1031"/>
    <n v="1051"/>
    <n v="1031"/>
    <n v="1019"/>
    <n v="1002"/>
    <n v="1030"/>
    <n v="842"/>
    <n v="1011.9"/>
    <s v=""/>
    <s v="assinatura"/>
    <n v="436"/>
    <n v="1000"/>
    <n v="1.1899999999999977E-2"/>
    <n v="11.899999999999977"/>
    <x v="28"/>
    <x v="0"/>
  </r>
  <r>
    <x v="27"/>
    <x v="2"/>
    <s v="6aa37002dc0f84ea873a893f"/>
    <s v="10/09/2026 23:46:52"/>
    <s v="11/09/2026 00:05:38"/>
    <s v="Ranieli"/>
    <s v="10/09/2026"/>
    <x v="0"/>
    <s v="JULIANE GOMES NOVAIS"/>
    <n v="209069"/>
    <n v="1008"/>
    <n v="996"/>
    <n v="1021"/>
    <n v="1062"/>
    <n v="1068"/>
    <n v="1018"/>
    <n v="1030"/>
    <n v="1008"/>
    <n v="1047"/>
    <n v="1077"/>
    <n v="1033.5"/>
    <s v=""/>
    <s v="assinatura"/>
    <n v="1076"/>
    <n v="1000"/>
    <n v="3.3500000000000002E-2"/>
    <n v="33.5"/>
    <x v="28"/>
    <x v="0"/>
  </r>
  <r>
    <x v="27"/>
    <x v="2"/>
    <s v="6aa37002dc0f84ea873a8939"/>
    <s v="10/09/2026 23:41:28"/>
    <s v="11/09/2026 00:05:38"/>
    <s v="Ranieli"/>
    <s v="10/09/2026"/>
    <x v="0"/>
    <s v="JULIANE GOMES NOVAIS"/>
    <n v="15105"/>
    <n v="1035"/>
    <n v="1004"/>
    <n v="1033"/>
    <n v="1032"/>
    <n v="1006"/>
    <n v="1032"/>
    <n v="1039"/>
    <n v="1018"/>
    <n v="998"/>
    <n v="1046"/>
    <n v="1024.3"/>
    <s v=""/>
    <s v="assinatura"/>
    <n v="1314"/>
    <n v="1000"/>
    <n v="2.4299999999999954E-2"/>
    <n v="24.299999999999955"/>
    <x v="0"/>
    <x v="0"/>
  </r>
  <r>
    <x v="27"/>
    <x v="2"/>
    <s v="6aa369d7dc0f84ea873a874d"/>
    <s v="10/09/2026 23:31:45"/>
    <s v="10/09/2026 23:39:19"/>
    <s v="Ranieli"/>
    <s v="10/09/2026"/>
    <x v="0"/>
    <s v="JULIANE GOMES NOVAIS"/>
    <n v="13188"/>
    <n v="986"/>
    <n v="983"/>
    <n v="1031"/>
    <n v="1010"/>
    <n v="1028"/>
    <n v="992"/>
    <n v="1009"/>
    <n v="985"/>
    <n v="998"/>
    <n v="987"/>
    <n v="1000.9"/>
    <s v=""/>
    <s v="assinatura"/>
    <n v="389"/>
    <n v="1000"/>
    <n v="8.9999999999997732E-4"/>
    <n v="0.89999999999997726"/>
    <x v="8"/>
    <x v="1"/>
  </r>
  <r>
    <x v="27"/>
    <x v="2"/>
    <s v="6aa369d7dc0f84ea873a8747"/>
    <s v="10/09/2026 23:30:06"/>
    <s v="10/09/2026 23:39:19"/>
    <s v="Ranieli"/>
    <s v="10/09/2026"/>
    <x v="0"/>
    <s v="JULIANE GOMES NOVAIS"/>
    <n v="13188"/>
    <n v="1013"/>
    <n v="1014"/>
    <n v="1016"/>
    <n v="1002"/>
    <n v="1011"/>
    <n v="1009"/>
    <n v="1010"/>
    <n v="1010"/>
    <n v="1011"/>
    <n v="1012"/>
    <n v="1010.8"/>
    <s v=""/>
    <s v="assinatura"/>
    <n v="511"/>
    <n v="1000"/>
    <n v="1.0799999999999954E-2"/>
    <n v="10.799999999999955"/>
    <x v="8"/>
    <x v="1"/>
  </r>
  <r>
    <x v="27"/>
    <x v="2"/>
    <s v="6aa369d7dc0f84ea873a8741"/>
    <s v="10/09/2026 23:27:00"/>
    <s v="10/09/2026 23:39:19"/>
    <s v="Ranieli"/>
    <s v="10/09/2026"/>
    <x v="0"/>
    <s v="JULIANE GOMES NOVAIS"/>
    <n v="13188"/>
    <n v="1006"/>
    <n v="1011"/>
    <n v="1009"/>
    <n v="1010"/>
    <n v="1006"/>
    <n v="1016"/>
    <n v="1008"/>
    <n v="1013"/>
    <n v="1011"/>
    <n v="1015"/>
    <n v="1010.5"/>
    <s v=""/>
    <s v="assinatura"/>
    <n v="712"/>
    <n v="1000"/>
    <n v="1.0500000000000001E-2"/>
    <n v="10.5"/>
    <x v="8"/>
    <x v="1"/>
  </r>
  <r>
    <x v="27"/>
    <x v="2"/>
    <s v="6aa3490841a5e4bbeb1bc9f6"/>
    <s v="10/09/2026 19:15:18"/>
    <s v="10/09/2026 21:19:20"/>
    <s v="Ranieli"/>
    <s v="10/09/2026"/>
    <x v="0"/>
    <s v="JULIANE GOMES NOVAIS"/>
    <n v="209039"/>
    <n v="1001"/>
    <n v="1133"/>
    <n v="1013"/>
    <n v="1000"/>
    <n v="998"/>
    <n v="1000"/>
    <n v="1004"/>
    <n v="1018"/>
    <n v="1010"/>
    <n v="1005"/>
    <n v="1018.2"/>
    <s v=""/>
    <s v="assinatura"/>
    <n v="222"/>
    <n v="1000"/>
    <n v="1.8200000000000046E-2"/>
    <n v="18.200000000000045"/>
    <x v="19"/>
    <x v="3"/>
  </r>
  <r>
    <x v="27"/>
    <x v="2"/>
    <s v="6aa3490841a5e4bbeb1bc9f0"/>
    <s v="10/09/2026 19:10:51"/>
    <s v="10/09/2026 21:19:20"/>
    <s v="Ranieli"/>
    <s v="10/09/2026"/>
    <x v="0"/>
    <s v="JULIANE GOMES NOVAIS"/>
    <n v="209039"/>
    <n v="1047"/>
    <n v="1045"/>
    <n v="1025"/>
    <n v="1052"/>
    <n v="1084"/>
    <n v="1000"/>
    <n v="1065"/>
    <n v="1012"/>
    <n v="1045"/>
    <n v="1042"/>
    <n v="1041.7"/>
    <s v=""/>
    <s v="assinatura"/>
    <n v="514"/>
    <n v="1000"/>
    <n v="4.1700000000000043E-2"/>
    <n v="41.700000000000045"/>
    <x v="19"/>
    <x v="3"/>
  </r>
  <r>
    <x v="27"/>
    <x v="2"/>
    <s v="6aa3490841a5e4bbeb1bc9ea"/>
    <s v="10/09/2026 19:02:57"/>
    <s v="10/09/2026 21:19:20"/>
    <s v="Ranieli"/>
    <s v="10/09/2026"/>
    <x v="0"/>
    <s v="JULIANE GOMES NOVAIS"/>
    <n v="209039"/>
    <n v="989"/>
    <n v="1047"/>
    <n v="1068"/>
    <n v="1005"/>
    <n v="1069"/>
    <n v="1029"/>
    <n v="1066"/>
    <n v="1052"/>
    <n v="1051"/>
    <n v="1010"/>
    <n v="1038.5999999999999"/>
    <s v=""/>
    <s v="assinatura"/>
    <n v="1017"/>
    <n v="1000"/>
    <n v="3.8599999999999912E-2"/>
    <n v="38.599999999999909"/>
    <x v="19"/>
    <x v="3"/>
  </r>
  <r>
    <x v="27"/>
    <x v="2"/>
    <s v="6aa3490741a5e4bbeb1bc9e4"/>
    <s v="10/09/2026 18:44:12"/>
    <s v="10/09/2026 21:19:19"/>
    <s v="Ranieli"/>
    <s v="10/09/2026"/>
    <x v="0"/>
    <s v="JULIANE GOMES NOVAIS"/>
    <n v="15105"/>
    <n v="1029"/>
    <n v="1006"/>
    <n v="993"/>
    <n v="995"/>
    <n v="1015"/>
    <n v="976"/>
    <n v="1032"/>
    <n v="1022"/>
    <n v="1000"/>
    <n v="1005"/>
    <n v="1007.3"/>
    <s v=""/>
    <s v="assinatura"/>
    <n v="164"/>
    <n v="1000"/>
    <n v="7.2999999999999541E-3"/>
    <n v="7.2999999999999545"/>
    <x v="0"/>
    <x v="0"/>
  </r>
  <r>
    <x v="27"/>
    <x v="2"/>
    <s v="6aa3490741a5e4bbeb1bc9de"/>
    <s v="10/09/2026 18:35:01"/>
    <s v="10/09/2026 21:19:19"/>
    <s v="Ranieli"/>
    <s v="10/09/2026"/>
    <x v="0"/>
    <s v="JULIANE GOMES NOVAIS"/>
    <n v="13188"/>
    <n v="1016"/>
    <n v="1007"/>
    <n v="1020"/>
    <n v="1015"/>
    <n v="1019"/>
    <n v="1011"/>
    <n v="999"/>
    <n v="1005"/>
    <n v="1000"/>
    <n v="1013"/>
    <n v="1010.5"/>
    <s v=""/>
    <s v="assinatura"/>
    <n v="164"/>
    <n v="1000"/>
    <n v="1.0500000000000001E-2"/>
    <n v="10.5"/>
    <x v="8"/>
    <x v="1"/>
  </r>
  <r>
    <x v="27"/>
    <x v="2"/>
    <s v="6aa3490741a5e4bbeb1bc9d8"/>
    <s v="10/09/2026 18:31:50"/>
    <s v="10/09/2026 21:19:19"/>
    <s v="Ranieli"/>
    <s v="10/09/2026"/>
    <x v="0"/>
    <s v=""/>
    <n v="15229"/>
    <n v="999"/>
    <n v="1018"/>
    <n v="1015"/>
    <n v="1013"/>
    <n v="1016"/>
    <n v="1000"/>
    <n v="998"/>
    <n v="1019"/>
    <n v="1008"/>
    <n v="999"/>
    <n v="1008.5"/>
    <s v=""/>
    <s v="assinatura"/>
    <n v="71"/>
    <n v="1000"/>
    <n v="8.5000000000000006E-3"/>
    <n v="8.5"/>
    <x v="9"/>
    <x v="1"/>
  </r>
  <r>
    <x v="27"/>
    <x v="2"/>
    <s v="6aa3490741a5e4bbeb1bc9d2"/>
    <s v="10/09/2026 18:30:31"/>
    <s v="10/09/2026 21:19:19"/>
    <s v="Ranieli"/>
    <s v="10/09/2026"/>
    <x v="0"/>
    <s v="JULIANE GOMES NOVAIS"/>
    <n v="15229"/>
    <n v="1016"/>
    <n v="1006"/>
    <n v="996"/>
    <n v="1015"/>
    <n v="996"/>
    <n v="1005"/>
    <n v="1015"/>
    <n v="1002"/>
    <n v="1005"/>
    <n v="1014"/>
    <n v="1007"/>
    <s v=""/>
    <s v="assinatura"/>
    <n v="190"/>
    <n v="1000"/>
    <n v="7.0000000000000001E-3"/>
    <n v="7"/>
    <x v="9"/>
    <x v="1"/>
  </r>
  <r>
    <x v="27"/>
    <x v="2"/>
    <s v="6aa3490741a5e4bbeb1bc9cc"/>
    <s v="10/09/2026 18:28:57"/>
    <s v="10/09/2026 21:19:19"/>
    <s v="Ranieli"/>
    <s v="10/09/2026"/>
    <x v="0"/>
    <s v="JULIANE GOMES NOVAIS"/>
    <n v="15229"/>
    <n v="995"/>
    <n v="1010"/>
    <n v="1014"/>
    <n v="1005"/>
    <n v="1008"/>
    <n v="1013"/>
    <n v="1019"/>
    <n v="1010"/>
    <n v="1007"/>
    <n v="1007"/>
    <n v="1008.8"/>
    <s v=""/>
    <s v="assinatura"/>
    <n v="93"/>
    <n v="1000"/>
    <n v="8.7999999999999537E-3"/>
    <n v="8.7999999999999545"/>
    <x v="9"/>
    <x v="1"/>
  </r>
  <r>
    <x v="27"/>
    <x v="2"/>
    <s v="6aa3490741a5e4bbeb1bc9c6"/>
    <s v="10/09/2026 18:17:30"/>
    <s v="10/09/2026 21:19:19"/>
    <s v="Ranieli"/>
    <s v="10/09/2026"/>
    <x v="0"/>
    <s v="JULIANE GOMES NOVAIS"/>
    <n v="40762"/>
    <n v="10035"/>
    <n v="10070"/>
    <n v="10050"/>
    <n v="10075"/>
    <n v="10040"/>
    <n v="9990"/>
    <n v="9990"/>
    <n v="10000"/>
    <n v="10060"/>
    <n v="10005"/>
    <n v="10031.5"/>
    <s v=""/>
    <s v="assinatura"/>
    <n v="609"/>
    <n v="10000"/>
    <n v="3.15E-3"/>
    <n v="31.5"/>
    <x v="3"/>
    <x v="1"/>
  </r>
  <r>
    <x v="27"/>
    <x v="2"/>
    <s v="6aa3490741a5e4bbeb1bc9c0"/>
    <s v="10/09/2026 18:15:00"/>
    <s v="10/09/2026 21:19:19"/>
    <s v="Ranieli"/>
    <s v="10/09/2026"/>
    <x v="0"/>
    <s v="JULIANE GOMES NOVAIS"/>
    <n v="40762"/>
    <n v="10005"/>
    <n v="10075"/>
    <n v="10000"/>
    <n v="10065"/>
    <n v="10085"/>
    <n v="10050"/>
    <n v="10110"/>
    <n v="9990"/>
    <n v="10040"/>
    <n v="10070"/>
    <n v="10049"/>
    <s v=""/>
    <s v="assinatura"/>
    <n v="783"/>
    <n v="10000"/>
    <n v="4.8999999999999998E-3"/>
    <n v="49"/>
    <x v="3"/>
    <x v="1"/>
  </r>
  <r>
    <x v="27"/>
    <x v="2"/>
    <s v="6aa3490741a5e4bbeb1bc9ba"/>
    <s v="10/09/2026 18:07:01"/>
    <s v="10/09/2026 21:19:19"/>
    <s v="Ranieli"/>
    <s v="10/09/2026"/>
    <x v="0"/>
    <s v="JULIANE GOMES NOVAIS"/>
    <n v="15105"/>
    <n v="991"/>
    <n v="1130"/>
    <n v="996"/>
    <n v="888"/>
    <n v="1015"/>
    <n v="894"/>
    <n v="1016"/>
    <n v="1013"/>
    <n v="765"/>
    <n v="982"/>
    <n v="969"/>
    <s v=""/>
    <s v="assinatura"/>
    <n v="270"/>
    <n v="1000"/>
    <n v="-3.1E-2"/>
    <n v="-31"/>
    <x v="0"/>
    <x v="0"/>
  </r>
  <r>
    <x v="27"/>
    <x v="2"/>
    <s v="6aa3490741a5e4bbeb1bc9b4"/>
    <s v="10/09/2026 16:30:22"/>
    <s v="10/09/2026 21:19:19"/>
    <s v="Ranieli"/>
    <s v="10/09/2026"/>
    <x v="0"/>
    <s v="JULIANE GOMES NOVAIS"/>
    <n v="15105"/>
    <n v="1031"/>
    <n v="1000"/>
    <n v="1016"/>
    <n v="991"/>
    <n v="999"/>
    <n v="1040"/>
    <n v="1020"/>
    <n v="1009"/>
    <n v="1003"/>
    <n v="1018"/>
    <n v="1012.7"/>
    <s v=""/>
    <s v="assinatura"/>
    <n v="845"/>
    <n v="1000"/>
    <n v="1.2700000000000046E-2"/>
    <n v="12.700000000000045"/>
    <x v="0"/>
    <x v="0"/>
  </r>
  <r>
    <x v="28"/>
    <x v="2"/>
    <s v="6aa3490741a5e4bbeb1bc9ae"/>
    <s v="09/09/2026 23:33:36"/>
    <s v="10/09/2026 21:19:19"/>
    <s v="Ranieli"/>
    <s v="09/09/2026"/>
    <x v="0"/>
    <s v="JULIANE GOMES NOVAIS"/>
    <n v="15105"/>
    <n v="1008"/>
    <n v="991"/>
    <n v="1038"/>
    <n v="1018"/>
    <n v="1011"/>
    <n v="1035"/>
    <n v="1054"/>
    <n v="993"/>
    <n v="989"/>
    <n v="1010"/>
    <n v="1014.7"/>
    <s v=""/>
    <s v="assinatura"/>
    <n v="67110"/>
    <n v="1000"/>
    <n v="1.4700000000000045E-2"/>
    <n v="14.700000000000045"/>
    <x v="0"/>
    <x v="0"/>
  </r>
  <r>
    <x v="28"/>
    <x v="2"/>
    <s v="6aa301e31c0532de53581c01"/>
    <s v="09/09/2026 16:37:20"/>
    <s v="10/09/2026 16:15:47"/>
    <s v="Ranieli"/>
    <s v="09/09/2026"/>
    <x v="0"/>
    <s v="ALANA DA SILVA MARTINS"/>
    <n v="15105"/>
    <n v="998"/>
    <n v="1014"/>
    <n v="1037"/>
    <n v="1033"/>
    <n v="982"/>
    <n v="990"/>
    <n v="1018"/>
    <n v="996"/>
    <n v="1018"/>
    <n v="1049"/>
    <n v="1013.5"/>
    <s v=""/>
    <s v="assinatura"/>
    <n v="254"/>
    <n v="1000"/>
    <n v="1.35E-2"/>
    <n v="13.5"/>
    <x v="0"/>
    <x v="0"/>
  </r>
  <r>
    <x v="27"/>
    <x v="2"/>
    <s v="6aa2d8d304d1eda90f9985f8"/>
    <s v="10/09/2026 13:16:13"/>
    <s v="10/09/2026 13:20:35"/>
    <s v="Ranieli"/>
    <s v="10/09/2026"/>
    <x v="1"/>
    <s v="RANIELI MARIA MASQUIETI DOURADO"/>
    <n v="18228"/>
    <n v="995"/>
    <n v="1001"/>
    <n v="1001"/>
    <n v="1004"/>
    <n v="995"/>
    <n v="998"/>
    <n v="1001"/>
    <n v="996"/>
    <n v="995"/>
    <n v="1001"/>
    <n v="998.7"/>
    <s v=""/>
    <s v="assinatura"/>
    <n v="250"/>
    <n v="1000"/>
    <n v="-1.2999999999999546E-3"/>
    <n v="-1.2999999999999545"/>
    <x v="16"/>
    <x v="4"/>
  </r>
  <r>
    <x v="28"/>
    <x v="2"/>
    <s v="6aa23c33fc81e91c722940b2"/>
    <s v="10/09/2026 00:07:42"/>
    <s v="10/09/2026 02:12:19"/>
    <s v="Ranieli"/>
    <s v="09/09/2026"/>
    <x v="0"/>
    <s v="JOSEFA KELY NUNES DE SOUSA"/>
    <n v="42820"/>
    <n v="2023"/>
    <n v="2034"/>
    <n v="2016"/>
    <n v="2049"/>
    <n v="2019"/>
    <n v="2094"/>
    <n v="2026"/>
    <n v="2009"/>
    <n v="2019"/>
    <n v="2050"/>
    <n v="2033.9"/>
    <s v=""/>
    <s v=""/>
    <n v="218"/>
    <n v="2000"/>
    <n v="1.6950000000000045E-2"/>
    <n v="33.900000000000091"/>
    <x v="10"/>
    <x v="1"/>
  </r>
  <r>
    <x v="28"/>
    <x v="2"/>
    <s v="6aa23c33fc81e91c722940ac"/>
    <s v="10/09/2026 00:00:15"/>
    <s v="10/09/2026 02:12:19"/>
    <s v="Ranieli"/>
    <s v="09/09/2026"/>
    <x v="0"/>
    <s v="JOSEFA KELY NUNES DE SOUSA"/>
    <n v="864048"/>
    <n v="2028"/>
    <n v="2004"/>
    <n v="2012"/>
    <n v="2008"/>
    <n v="2017"/>
    <n v="2073"/>
    <n v="2044"/>
    <n v="2021"/>
    <n v="2016"/>
    <n v="2045"/>
    <n v="2026.8"/>
    <s v=""/>
    <s v="assinatura"/>
    <n v="305"/>
    <n v="2000"/>
    <n v="1.3399999999999978E-2"/>
    <n v="26.799999999999955"/>
    <x v="26"/>
    <x v="1"/>
  </r>
  <r>
    <x v="28"/>
    <x v="2"/>
    <s v="6aa23c33fc81e91c722940a6"/>
    <s v="09/09/2026 23:57:19"/>
    <s v="10/09/2026 02:12:19"/>
    <s v="Ranieli"/>
    <s v="09/09/2026"/>
    <x v="0"/>
    <s v="JOSEFA KELY NUNES DE SOUSA"/>
    <n v="13188"/>
    <n v="999"/>
    <n v="1010"/>
    <n v="1000"/>
    <n v="1002"/>
    <n v="1002"/>
    <n v="1008"/>
    <n v="1007"/>
    <n v="1006"/>
    <n v="1003"/>
    <n v="1015"/>
    <n v="1005.2"/>
    <s v=""/>
    <s v="assinatura"/>
    <n v="151"/>
    <n v="1000"/>
    <n v="5.2000000000000457E-3"/>
    <n v="5.2000000000000455"/>
    <x v="8"/>
    <x v="1"/>
  </r>
  <r>
    <x v="28"/>
    <x v="2"/>
    <s v="6aa23c33fc81e91c722940a0"/>
    <s v="09/09/2026 23:20:16"/>
    <s v="10/09/2026 02:12:19"/>
    <s v="Ranieli"/>
    <s v="09/09/2026"/>
    <x v="0"/>
    <s v="JOSEFA KELY NUNES DE SOUSA"/>
    <n v="40762"/>
    <n v="10010"/>
    <n v="10040"/>
    <n v="10085"/>
    <n v="10065"/>
    <n v="9995"/>
    <n v="9990"/>
    <n v="10010"/>
    <n v="10000"/>
    <n v="10015"/>
    <n v="9985"/>
    <n v="10019.5"/>
    <s v=""/>
    <s v="assinatura"/>
    <n v="1373"/>
    <n v="10000"/>
    <n v="1.9499999999999999E-3"/>
    <n v="19.5"/>
    <x v="3"/>
    <x v="1"/>
  </r>
  <r>
    <x v="28"/>
    <x v="2"/>
    <s v="6aa23c33fc81e91c7229409a"/>
    <s v="09/09/2026 22:26:28"/>
    <s v="10/09/2026 02:12:19"/>
    <s v="Ranieli"/>
    <s v="09/09/2026"/>
    <x v="0"/>
    <s v="JOSEFA KELY NUNES DE SOUSA"/>
    <n v="15105"/>
    <n v="999"/>
    <n v="1027"/>
    <n v="999"/>
    <n v="1009"/>
    <n v="1009"/>
    <n v="1008"/>
    <n v="1016"/>
    <n v="997"/>
    <n v="1019"/>
    <n v="985"/>
    <n v="1006.8"/>
    <s v=""/>
    <s v="assinatura"/>
    <n v="2310"/>
    <n v="1000"/>
    <n v="6.7999999999999545E-3"/>
    <n v="6.7999999999999545"/>
    <x v="0"/>
    <x v="0"/>
  </r>
  <r>
    <x v="28"/>
    <x v="2"/>
    <s v="6aa23c33fc81e91c72294094"/>
    <s v="09/09/2026 22:16:52"/>
    <s v="10/09/2026 02:12:19"/>
    <s v="Ranieli"/>
    <s v="09/09/2026"/>
    <x v="0"/>
    <s v="JOSEFA KELY NUNES DE SOUSA"/>
    <n v="42846"/>
    <n v="2016"/>
    <n v="2012"/>
    <n v="2006"/>
    <n v="2011"/>
    <n v="2015"/>
    <n v="2005"/>
    <n v="2005"/>
    <n v="2018"/>
    <n v="2014"/>
    <n v="2008"/>
    <n v="2011"/>
    <s v=""/>
    <s v="assinatura"/>
    <n v="266"/>
    <n v="2000"/>
    <n v="5.4999999999999997E-3"/>
    <n v="11"/>
    <x v="6"/>
    <x v="1"/>
  </r>
  <r>
    <x v="28"/>
    <x v="2"/>
    <s v="6aa23c32fc81e91c72294088"/>
    <s v="09/09/2026 21:18:21"/>
    <s v="10/09/2026 02:12:18"/>
    <s v="Ranieli"/>
    <s v="09/09/2026"/>
    <x v="0"/>
    <s v="JOSEFA KELY NUNES DE SOUSA"/>
    <n v="209069"/>
    <n v="1063"/>
    <n v="1011"/>
    <n v="1030"/>
    <n v="1002"/>
    <n v="1019"/>
    <n v="996"/>
    <n v="1034"/>
    <n v="1004"/>
    <n v="1056"/>
    <n v="1037"/>
    <n v="1025.2"/>
    <s v=""/>
    <s v="assinatura"/>
    <n v="154"/>
    <n v="1000"/>
    <n v="2.5200000000000045E-2"/>
    <n v="25.200000000000045"/>
    <x v="28"/>
    <x v="0"/>
  </r>
  <r>
    <x v="28"/>
    <x v="2"/>
    <s v="6aa23c32fc81e91c7229407c"/>
    <s v="09/09/2026 18:39:30"/>
    <s v="10/09/2026 02:12:18"/>
    <s v="Ranieli"/>
    <s v="09/09/2026"/>
    <x v="0"/>
    <s v="JOSEFA KELY NUNES DE SOUSA"/>
    <n v="15229"/>
    <n v="1017"/>
    <n v="1003"/>
    <n v="998"/>
    <n v="1008"/>
    <n v="1011"/>
    <n v="1000"/>
    <n v="1008"/>
    <n v="1007"/>
    <n v="1017"/>
    <n v="1000"/>
    <n v="1006.9"/>
    <s v=""/>
    <s v="assinatura"/>
    <n v="140"/>
    <n v="1000"/>
    <n v="6.8999999999999773E-3"/>
    <n v="6.8999999999999773"/>
    <x v="9"/>
    <x v="1"/>
  </r>
  <r>
    <x v="28"/>
    <x v="2"/>
    <s v="6aa23c32fc81e91c72294076"/>
    <s v="09/09/2026 18:35:49"/>
    <s v="10/09/2026 02:12:18"/>
    <s v="Ranieli"/>
    <s v="09/09/2026"/>
    <x v="0"/>
    <s v="JOSEFA KELY NUNES DE SOUSA"/>
    <n v="13188"/>
    <n v="1019"/>
    <n v="1013"/>
    <n v="1011"/>
    <n v="1016"/>
    <n v="1016"/>
    <n v="1005"/>
    <n v="1008"/>
    <n v="1017"/>
    <n v="1005"/>
    <n v="1005"/>
    <n v="1011.5"/>
    <s v=""/>
    <s v=""/>
    <n v="203"/>
    <n v="1000"/>
    <n v="1.15E-2"/>
    <n v="11.5"/>
    <x v="8"/>
    <x v="1"/>
  </r>
  <r>
    <x v="28"/>
    <x v="2"/>
    <s v="6aa23c32fc81e91c72294070"/>
    <s v="09/09/2026 18:28:13"/>
    <s v="10/09/2026 02:12:18"/>
    <s v="Ranieli"/>
    <s v="09/09/2026"/>
    <x v="0"/>
    <s v="JOSEFA KELY NUNES DE SOUSA"/>
    <n v="40762"/>
    <n v="10055"/>
    <n v="10020"/>
    <n v="10015"/>
    <n v="10035"/>
    <n v="9985"/>
    <n v="10035"/>
    <n v="10005"/>
    <n v="10020"/>
    <n v="10005"/>
    <n v="9990"/>
    <n v="10016.5"/>
    <s v=""/>
    <s v="assinatura"/>
    <n v="335"/>
    <n v="10000"/>
    <n v="1.65E-3"/>
    <n v="16.5"/>
    <x v="3"/>
    <x v="1"/>
  </r>
  <r>
    <x v="28"/>
    <x v="2"/>
    <s v="6aa23c32fc81e91c7229406a"/>
    <s v="09/09/2026 18:25:26"/>
    <s v="10/09/2026 02:12:18"/>
    <s v="Ranieli"/>
    <s v="09/09/2026"/>
    <x v="0"/>
    <s v="JOSEFA KELY NUNES DE SOUSA"/>
    <n v="15849"/>
    <n v="1013"/>
    <n v="1002"/>
    <n v="1021"/>
    <n v="1013"/>
    <n v="993"/>
    <n v="1005"/>
    <n v="1019"/>
    <n v="1020"/>
    <n v="1009"/>
    <n v="1011"/>
    <n v="1010.6"/>
    <s v=""/>
    <s v="assinatura"/>
    <n v="165"/>
    <n v="1000"/>
    <n v="1.0600000000000023E-2"/>
    <n v="10.600000000000023"/>
    <x v="29"/>
    <x v="2"/>
  </r>
  <r>
    <x v="28"/>
    <x v="2"/>
    <s v="6aa23c32fc81e91c72294064"/>
    <s v="09/09/2026 17:42:20"/>
    <s v="10/09/2026 02:12:18"/>
    <s v="Ranieli"/>
    <s v="09/09/2026"/>
    <x v="0"/>
    <s v="JOSEFA KELY NUNES DE SOUSA"/>
    <n v="42862"/>
    <n v="2011"/>
    <n v="2015"/>
    <n v="2020"/>
    <n v="2018"/>
    <n v="2023"/>
    <n v="2024"/>
    <n v="2028"/>
    <n v="2033"/>
    <n v="1999"/>
    <n v="2068"/>
    <n v="2023.9"/>
    <s v=""/>
    <s v=""/>
    <n v="1515"/>
    <n v="2000"/>
    <n v="1.1950000000000046E-2"/>
    <n v="23.900000000000091"/>
    <x v="5"/>
    <x v="1"/>
  </r>
  <r>
    <x v="28"/>
    <x v="2"/>
    <s v="6aa23c32fc81e91c7229405e"/>
    <s v="09/09/2026 17:39:19"/>
    <s v="10/09/2026 02:12:18"/>
    <s v="Ranieli"/>
    <s v="09/09/2026"/>
    <x v="0"/>
    <s v="JOSEFA KELY NUNES DE SOUSA"/>
    <n v="42838"/>
    <n v="2024"/>
    <n v="2037"/>
    <n v="2031"/>
    <n v="2041"/>
    <n v="2034"/>
    <n v="2008"/>
    <n v="2079"/>
    <n v="2012"/>
    <n v="2037"/>
    <n v="2023"/>
    <n v="2032.6"/>
    <s v=""/>
    <s v="assinatura"/>
    <n v="177"/>
    <n v="2000"/>
    <n v="1.6299999999999953E-2"/>
    <n v="32.599999999999909"/>
    <x v="7"/>
    <x v="1"/>
  </r>
  <r>
    <x v="28"/>
    <x v="2"/>
    <s v="6aa23c32fc81e91c72294058"/>
    <s v="09/09/2026 17:37:23"/>
    <s v="10/09/2026 02:12:18"/>
    <s v="Ranieli"/>
    <s v="09/09/2026"/>
    <x v="0"/>
    <s v="JOSEFA KELY NUNES DE SOUSA"/>
    <n v="42846"/>
    <n v="2016"/>
    <n v="2017"/>
    <n v="2018"/>
    <n v="2009"/>
    <n v="2020"/>
    <n v="2022"/>
    <n v="2019"/>
    <n v="2018"/>
    <n v="2010"/>
    <n v="2008"/>
    <n v="2015.7"/>
    <s v=""/>
    <s v=""/>
    <n v="114"/>
    <n v="2000"/>
    <n v="7.8500000000000219E-3"/>
    <n v="15.700000000000045"/>
    <x v="6"/>
    <x v="1"/>
  </r>
  <r>
    <x v="28"/>
    <x v="2"/>
    <s v="6aa23c32fc81e91c72294052"/>
    <s v="09/09/2026 17:29:47"/>
    <s v="10/09/2026 02:12:18"/>
    <s v="Ranieli"/>
    <s v="09/09/2026"/>
    <x v="0"/>
    <s v="JOSEFA KELY NUNES DE SOUSA"/>
    <n v="42854"/>
    <n v="2099"/>
    <n v="2117"/>
    <n v="2120"/>
    <n v="2096"/>
    <n v="2111"/>
    <n v="2008"/>
    <n v="2097"/>
    <n v="2123"/>
    <n v="2106"/>
    <n v="2128"/>
    <n v="2100.5"/>
    <s v=""/>
    <s v="assinatura"/>
    <n v="455"/>
    <n v="2080"/>
    <n v="9.8557692307692304E-3"/>
    <n v="20.5"/>
    <x v="4"/>
    <x v="1"/>
  </r>
  <r>
    <x v="28"/>
    <x v="2"/>
    <s v="6aa23c32fc81e91c7229404c"/>
    <s v="09/09/2026 17:26:56"/>
    <s v="10/09/2026 02:12:18"/>
    <s v="Ranieli"/>
    <s v="09/09/2026"/>
    <x v="0"/>
    <s v="JOSEFA KELY NUNES DE SOUSA"/>
    <n v="792799"/>
    <n v="14995"/>
    <n v="15040"/>
    <n v="15038"/>
    <n v="15020"/>
    <n v="15030"/>
    <n v="15050"/>
    <n v="15015"/>
    <n v="15055"/>
    <n v="15010"/>
    <n v="15055"/>
    <n v="15030.8"/>
    <s v=""/>
    <s v=""/>
    <n v="156"/>
    <n v="15000"/>
    <n v="2.0533333333332847E-3"/>
    <n v="30.799999999999272"/>
    <x v="12"/>
    <x v="3"/>
  </r>
  <r>
    <x v="28"/>
    <x v="2"/>
    <s v="6aa23c32fc81e91c72294046"/>
    <s v="09/09/2026 17:24:12"/>
    <s v="10/09/2026 02:12:18"/>
    <s v="Ranieli"/>
    <s v="09/09/2026"/>
    <x v="0"/>
    <s v="JOSEFA KELY NUNES DE SOUSA"/>
    <n v="992093"/>
    <n v="5006"/>
    <n v="5008"/>
    <n v="5010"/>
    <n v="5008"/>
    <n v="5012"/>
    <n v="5013"/>
    <n v="5005"/>
    <n v="5013"/>
    <n v="5008"/>
    <n v="5008"/>
    <n v="5009.1000000000004"/>
    <s v=""/>
    <s v=""/>
    <n v="162"/>
    <n v="5000"/>
    <n v="1.8200000000000729E-3"/>
    <n v="9.1000000000003638"/>
    <x v="13"/>
    <x v="3"/>
  </r>
  <r>
    <x v="28"/>
    <x v="2"/>
    <s v="6aa23c32fc81e91c72294040"/>
    <s v="09/09/2026 17:20:15"/>
    <s v="10/09/2026 02:12:18"/>
    <s v="Ranieli"/>
    <s v="09/09/2026"/>
    <x v="0"/>
    <s v="JOSEFA KELY NUNES DE SOUSA"/>
    <n v="15105"/>
    <n v="1015"/>
    <n v="977"/>
    <n v="1057"/>
    <n v="1029"/>
    <n v="1055"/>
    <n v="1029"/>
    <n v="1049"/>
    <n v="1043"/>
    <n v="1001"/>
    <n v="1006"/>
    <n v="1026.0999999999999"/>
    <s v=""/>
    <s v="assinatura"/>
    <n v="200"/>
    <n v="1000"/>
    <n v="2.6099999999999908E-2"/>
    <n v="26.099999999999909"/>
    <x v="0"/>
    <x v="0"/>
  </r>
  <r>
    <x v="28"/>
    <x v="2"/>
    <s v="6aa20a376506521d1ce225b6"/>
    <s v="09/09/2026 22:17:52"/>
    <s v="09/09/2026 22:39:03"/>
    <s v="Ranieli"/>
    <s v="09/09/2026"/>
    <x v="0"/>
    <s v="JULIANE GOMES NOVAIS"/>
    <n v="13188"/>
    <n v="1003"/>
    <n v="1026"/>
    <n v="1007"/>
    <n v="1008"/>
    <n v="1014"/>
    <n v="1006"/>
    <n v="1005"/>
    <n v="1008"/>
    <n v="1009"/>
    <n v="1010"/>
    <n v="1009.6"/>
    <s v=""/>
    <s v="assinatura"/>
    <n v="169"/>
    <n v="1000"/>
    <n v="9.6000000000000234E-3"/>
    <n v="9.6000000000000227"/>
    <x v="8"/>
    <x v="1"/>
  </r>
  <r>
    <x v="28"/>
    <x v="2"/>
    <s v="6aa20a376506521d1ce225b0"/>
    <s v="09/09/2026 21:52:07"/>
    <s v="09/09/2026 22:39:03"/>
    <s v="Ranieli"/>
    <s v="09/09/2026"/>
    <x v="0"/>
    <s v="JULIANE GOMES NOVAIS"/>
    <n v="40762"/>
    <n v="10105"/>
    <n v="10100"/>
    <n v="10095"/>
    <n v="10040"/>
    <n v="10060"/>
    <n v="10105"/>
    <n v="10095"/>
    <n v="9980"/>
    <n v="10110"/>
    <n v="10020"/>
    <n v="10071"/>
    <s v=""/>
    <s v="assinatura"/>
    <n v="504"/>
    <n v="10000"/>
    <n v="7.1000000000000004E-3"/>
    <n v="71"/>
    <x v="3"/>
    <x v="1"/>
  </r>
  <r>
    <x v="28"/>
    <x v="2"/>
    <s v="6aa20a366506521d1ce225aa"/>
    <s v="09/09/2026 21:50:11"/>
    <s v="09/09/2026 22:39:02"/>
    <s v="Ranieli"/>
    <s v="09/09/2026"/>
    <x v="0"/>
    <s v="JULIANE GOMES NOVAIS"/>
    <n v="40762"/>
    <n v="10020"/>
    <n v="10065"/>
    <n v="9960"/>
    <n v="9980"/>
    <n v="10000"/>
    <n v="10070"/>
    <n v="10015"/>
    <n v="10030"/>
    <n v="10000"/>
    <n v="10085"/>
    <n v="10022.5"/>
    <s v=""/>
    <s v="assinatura"/>
    <n v="640"/>
    <n v="10000"/>
    <n v="2.2499999999999998E-3"/>
    <n v="22.5"/>
    <x v="3"/>
    <x v="1"/>
  </r>
  <r>
    <x v="28"/>
    <x v="2"/>
    <s v="6aa20a366506521d1ce225a2"/>
    <s v="09/09/2026 21:47:26"/>
    <s v="09/09/2026 22:39:02"/>
    <s v="Ranieli"/>
    <s v="09/09/2026"/>
    <x v="0"/>
    <s v="JULIANE GOMES NOVAIS"/>
    <n v="40762"/>
    <n v="10100"/>
    <n v="10060"/>
    <n v="10090"/>
    <n v="9970"/>
    <n v="10110"/>
    <n v="10050"/>
    <n v="10115"/>
    <n v="9995"/>
    <n v="10080"/>
    <n v="10025"/>
    <n v="10059.5"/>
    <s v=""/>
    <s v="assinatura"/>
    <n v="820"/>
    <n v="10000"/>
    <n v="5.9500000000000004E-3"/>
    <n v="59.5"/>
    <x v="3"/>
    <x v="1"/>
  </r>
  <r>
    <x v="28"/>
    <x v="2"/>
    <s v="6aa1fdc6c423abb5a7e10fd2"/>
    <s v="09/09/2026 21:42:19"/>
    <s v="09/09/2026 21:45:58"/>
    <s v="Ranieli"/>
    <s v="09/09/2026"/>
    <x v="0"/>
    <s v="JULIANE GOMES NOVAIS"/>
    <n v="15229"/>
    <n v="1006"/>
    <n v="1013"/>
    <n v="1013"/>
    <n v="1015"/>
    <n v="995"/>
    <n v="1012"/>
    <n v="1018"/>
    <n v="998"/>
    <n v="1015"/>
    <n v="1012"/>
    <n v="1009.7"/>
    <s v=""/>
    <s v="assinatura"/>
    <n v="215"/>
    <n v="1000"/>
    <n v="9.7000000000000454E-3"/>
    <n v="9.7000000000000455"/>
    <x v="9"/>
    <x v="1"/>
  </r>
  <r>
    <x v="28"/>
    <x v="2"/>
    <s v="6aa1fdc6c423abb5a7e10fcc"/>
    <s v="09/09/2026 21:39:08"/>
    <s v="09/09/2026 21:45:58"/>
    <s v="Ranieli"/>
    <s v="09/09/2026"/>
    <x v="0"/>
    <s v="JULIANE GOMES NOVAIS"/>
    <n v="15229"/>
    <n v="1011"/>
    <n v="998"/>
    <n v="1017"/>
    <n v="1019"/>
    <n v="1013"/>
    <n v="1005"/>
    <n v="1012"/>
    <n v="1004"/>
    <n v="1004"/>
    <n v="996"/>
    <n v="1007.9"/>
    <s v=""/>
    <s v="assinatura"/>
    <n v="125"/>
    <n v="1000"/>
    <n v="7.8999999999999765E-3"/>
    <n v="7.8999999999999773"/>
    <x v="9"/>
    <x v="1"/>
  </r>
  <r>
    <x v="28"/>
    <x v="2"/>
    <s v="6aa1dcb252bf78b96bee2e41"/>
    <s v="09/09/2026 19:20:39"/>
    <s v="09/09/2026 19:24:50"/>
    <s v="Ranieli"/>
    <s v="09/09/2026"/>
    <x v="0"/>
    <s v="JULIANE GOMES NOVAIS"/>
    <n v="15229"/>
    <n v="1009"/>
    <n v="1001"/>
    <n v="999"/>
    <n v="1006"/>
    <n v="1013"/>
    <n v="995"/>
    <n v="1004"/>
    <n v="998"/>
    <n v="1020"/>
    <n v="1016"/>
    <n v="1006.1"/>
    <s v=""/>
    <s v="assinatura"/>
    <n v="227"/>
    <n v="1000"/>
    <n v="6.1000000000000229E-3"/>
    <n v="6.1000000000000227"/>
    <x v="9"/>
    <x v="1"/>
  </r>
  <r>
    <x v="28"/>
    <x v="2"/>
    <s v="6aa1db1e147e8869a3a8609a"/>
    <s v="09/09/2026 19:09:54"/>
    <s v="09/09/2026 19:18:06"/>
    <s v="Ranieli"/>
    <s v="09/09/2026"/>
    <x v="0"/>
    <s v="JULIANE GOMES NOVAIS"/>
    <n v="197734"/>
    <n v="1007"/>
    <n v="995"/>
    <n v="1014"/>
    <n v="1010"/>
    <n v="997"/>
    <n v="997"/>
    <n v="996"/>
    <n v="1032"/>
    <n v="1046"/>
    <n v="1044"/>
    <n v="1013.8"/>
    <s v=""/>
    <s v="assinatura"/>
    <n v="486"/>
    <n v="1000"/>
    <n v="1.3799999999999955E-2"/>
    <n v="13.799999999999955"/>
    <x v="2"/>
    <x v="2"/>
  </r>
  <r>
    <x v="28"/>
    <x v="2"/>
    <s v="6aa1d93955df232954fb4405"/>
    <s v="09/09/2026 17:34:03"/>
    <s v="09/09/2026 19:10:01"/>
    <s v="Ranieli"/>
    <s v="09/09/2026"/>
    <x v="0"/>
    <s v="JULIANE GOMES NOVAIS"/>
    <n v="15105"/>
    <n v="999"/>
    <n v="1004"/>
    <n v="1008"/>
    <n v="1009"/>
    <n v="985"/>
    <n v="1044"/>
    <n v="1009"/>
    <n v="1019"/>
    <n v="1031"/>
    <n v="1229"/>
    <n v="1033.7"/>
    <s v=""/>
    <s v="assinatura"/>
    <n v="333"/>
    <n v="1000"/>
    <n v="3.3700000000000042E-2"/>
    <n v="33.700000000000045"/>
    <x v="0"/>
    <x v="0"/>
  </r>
  <r>
    <x v="28"/>
    <x v="2"/>
    <s v="6aa1d93955df232954fb43ff"/>
    <s v="09/09/2026 17:31:44"/>
    <s v="09/09/2026 19:10:01"/>
    <s v="Ranieli"/>
    <s v="09/09/2026"/>
    <x v="0"/>
    <s v="JULIANE GOMES NOVAIS"/>
    <n v="15105"/>
    <n v="1004"/>
    <n v="1011"/>
    <n v="1004"/>
    <n v="1047"/>
    <n v="1019"/>
    <n v="1023"/>
    <n v="1010"/>
    <n v="989"/>
    <n v="1044"/>
    <n v="1034"/>
    <n v="1018.5"/>
    <s v=""/>
    <s v="assinatura"/>
    <n v="453"/>
    <n v="1000"/>
    <n v="1.8499999999999999E-2"/>
    <n v="18.5"/>
    <x v="0"/>
    <x v="0"/>
  </r>
  <r>
    <x v="28"/>
    <x v="2"/>
    <s v="6aa1c12c6506521d1ce15026"/>
    <s v="09/09/2026 16:53:16"/>
    <s v="09/09/2026 17:27:24"/>
    <s v="Ranieli"/>
    <s v="09/09/2026"/>
    <x v="0"/>
    <s v="JULIANE GOMES NOVAIS"/>
    <n v="40762"/>
    <n v="10030"/>
    <n v="9990"/>
    <n v="9960"/>
    <n v="10040"/>
    <n v="10030"/>
    <n v="9925"/>
    <n v="10010"/>
    <n v="9995"/>
    <n v="10050"/>
    <n v="10015"/>
    <n v="10004.5"/>
    <s v=""/>
    <s v="assinatura"/>
    <n v="271"/>
    <n v="10000"/>
    <n v="4.4999999999999999E-4"/>
    <n v="4.5"/>
    <x v="3"/>
    <x v="1"/>
  </r>
  <r>
    <x v="28"/>
    <x v="2"/>
    <s v="6aa1c12c6506521d1ce15020"/>
    <s v="09/09/2026 16:50:16"/>
    <s v="09/09/2026 17:27:24"/>
    <s v="Ranieli"/>
    <s v="09/09/2026"/>
    <x v="0"/>
    <s v="JULIANE GOMES NOVAIS"/>
    <n v="40762"/>
    <n v="9950"/>
    <n v="9980"/>
    <n v="10120"/>
    <n v="9935"/>
    <n v="9990"/>
    <n v="9950"/>
    <n v="10000"/>
    <n v="10045"/>
    <n v="9950"/>
    <n v="10010"/>
    <n v="9993"/>
    <s v=""/>
    <s v="assinatura"/>
    <n v="532"/>
    <n v="10000"/>
    <n v="-6.9999999999999999E-4"/>
    <n v="-7"/>
    <x v="3"/>
    <x v="1"/>
  </r>
  <r>
    <x v="28"/>
    <x v="2"/>
    <s v="6aa1c12c6506521d1ce1501a"/>
    <s v="09/09/2026 16:46:36"/>
    <s v="09/09/2026 17:27:24"/>
    <s v="Ranieli"/>
    <s v="09/09/2026"/>
    <x v="0"/>
    <s v="JULIANE GOMES NOVAIS"/>
    <n v="40762"/>
    <n v="10045"/>
    <n v="10095"/>
    <n v="10025"/>
    <n v="10015"/>
    <n v="10045"/>
    <n v="10085"/>
    <n v="9985"/>
    <n v="9950"/>
    <n v="9960"/>
    <n v="10000"/>
    <n v="10020.5"/>
    <s v=""/>
    <s v="assinatura"/>
    <n v="786"/>
    <n v="10000"/>
    <n v="2.0500000000000002E-3"/>
    <n v="20.5"/>
    <x v="3"/>
    <x v="1"/>
  </r>
  <r>
    <x v="28"/>
    <x v="2"/>
    <s v="6aa1a56b52bf78b96be95333"/>
    <s v="09/09/2026 15:18:14"/>
    <s v="09/09/2026 15:28:59"/>
    <s v="Ranieli"/>
    <s v="09/09/2026"/>
    <x v="1"/>
    <s v="ALANA DA SILVA MARTINS"/>
    <n v="42838"/>
    <n v="1991"/>
    <n v="2050"/>
    <n v="2073"/>
    <n v="2018"/>
    <n v="2050"/>
    <n v="1864"/>
    <n v="2100"/>
    <n v="2008"/>
    <n v="2062"/>
    <n v="1983"/>
    <n v="2019.9"/>
    <s v=""/>
    <s v="assinatura"/>
    <n v="423"/>
    <n v="2000"/>
    <n v="9.9500000000000456E-3"/>
    <n v="19.900000000000091"/>
    <x v="7"/>
    <x v="1"/>
  </r>
  <r>
    <x v="28"/>
    <x v="2"/>
    <s v="6aa1a56b52bf78b96be9532d"/>
    <s v="09/09/2026 15:12:27"/>
    <s v="09/09/2026 15:28:59"/>
    <s v="Ranieli"/>
    <s v="09/09/2026"/>
    <x v="1"/>
    <s v="ALANA DA SILVA MARTINS"/>
    <n v="15105"/>
    <n v="1044"/>
    <n v="981"/>
    <n v="1011"/>
    <n v="1023"/>
    <n v="1022"/>
    <n v="1010"/>
    <n v="1019"/>
    <n v="1007"/>
    <n v="1040"/>
    <n v="1026"/>
    <n v="1018.3"/>
    <s v=""/>
    <s v="assinatura"/>
    <n v="229"/>
    <n v="1000"/>
    <n v="1.8299999999999955E-2"/>
    <n v="18.299999999999955"/>
    <x v="0"/>
    <x v="0"/>
  </r>
  <r>
    <x v="28"/>
    <x v="2"/>
    <s v="6aa1a56b52bf78b96be95327"/>
    <s v="09/09/2026 14:58:16"/>
    <s v="09/09/2026 15:28:59"/>
    <s v="Ranieli"/>
    <s v="09/09/2026"/>
    <x v="1"/>
    <s v="ALANA DA SILVA MARTINS"/>
    <n v="209299"/>
    <n v="1032"/>
    <n v="1038"/>
    <n v="1009"/>
    <n v="1004"/>
    <n v="1035"/>
    <n v="1015"/>
    <n v="1033"/>
    <n v="1033"/>
    <n v="1037"/>
    <n v="1029"/>
    <n v="1026.5"/>
    <s v=""/>
    <s v="assinatura"/>
    <n v="411"/>
    <n v="1000"/>
    <n v="2.6499999999999999E-2"/>
    <n v="26.5"/>
    <x v="30"/>
    <x v="1"/>
  </r>
  <r>
    <x v="28"/>
    <x v="2"/>
    <s v="6aa1a56b52bf78b96be95321"/>
    <s v="09/09/2026 14:26:09"/>
    <s v="09/09/2026 15:28:59"/>
    <s v="Ranieli"/>
    <s v="09/09/2026"/>
    <x v="1"/>
    <s v="ALANA DA SILVA MARTINS"/>
    <n v="15105"/>
    <n v="1019"/>
    <n v="999"/>
    <n v="1027"/>
    <n v="1024"/>
    <n v="1001"/>
    <n v="1016"/>
    <n v="1020"/>
    <n v="1041"/>
    <n v="1025"/>
    <n v="1008"/>
    <n v="1018"/>
    <s v=""/>
    <s v="assinatura"/>
    <n v="284"/>
    <n v="1000"/>
    <n v="1.7999999999999999E-2"/>
    <n v="18"/>
    <x v="0"/>
    <x v="0"/>
  </r>
  <r>
    <x v="28"/>
    <x v="2"/>
    <s v="6aa1a56b52bf78b96be9531b"/>
    <s v="09/09/2026 12:43:31"/>
    <s v="09/09/2026 15:28:59"/>
    <s v="Ranieli"/>
    <s v="09/09/2026"/>
    <x v="1"/>
    <s v="ALANA DA SILVA MARTINS"/>
    <n v="42846"/>
    <n v="2005"/>
    <n v="2012"/>
    <n v="2006"/>
    <n v="2008"/>
    <n v="2006"/>
    <n v="2002"/>
    <n v="2011"/>
    <n v="2012"/>
    <n v="2018"/>
    <n v="2008"/>
    <n v="2008.8"/>
    <s v=""/>
    <s v="assinatura"/>
    <n v="352"/>
    <n v="2000"/>
    <n v="4.3999999999999768E-3"/>
    <n v="8.7999999999999545"/>
    <x v="6"/>
    <x v="1"/>
  </r>
  <r>
    <x v="28"/>
    <x v="2"/>
    <s v="6aa1a56b52bf78b96be95315"/>
    <s v="09/09/2026 12:24:00"/>
    <s v="09/09/2026 15:28:59"/>
    <s v="Ranieli"/>
    <s v="09/09/2026"/>
    <x v="1"/>
    <s v="ALANA DA SILVA MARTINS"/>
    <n v="54632"/>
    <n v="1010"/>
    <n v="1002"/>
    <n v="1009"/>
    <n v="1008"/>
    <n v="995"/>
    <n v="1004"/>
    <n v="1016"/>
    <n v="1015"/>
    <n v="1019"/>
    <n v="1009"/>
    <n v="1008.7"/>
    <s v=""/>
    <s v="assinatura"/>
    <n v="211"/>
    <n v="1000"/>
    <n v="8.7000000000000462E-3"/>
    <n v="8.7000000000000455"/>
    <x v="11"/>
    <x v="1"/>
  </r>
  <r>
    <x v="28"/>
    <x v="2"/>
    <s v="6aa19069fc81e91c7226cef1"/>
    <s v="09/09/2026 13:54:54"/>
    <s v="09/09/2026 13:59:21"/>
    <s v="Ranieli"/>
    <s v="09/09/2026"/>
    <x v="1"/>
    <s v="RANIELI MARIA MASQUIETI DOURADO"/>
    <n v="42838"/>
    <n v="2025"/>
    <n v="2111"/>
    <n v="2033"/>
    <n v="2081"/>
    <n v="2056"/>
    <n v="2067"/>
    <n v="2057"/>
    <n v="2038"/>
    <n v="2073"/>
    <n v="2032"/>
    <n v="2057.3000000000002"/>
    <s v=""/>
    <s v=""/>
    <n v="264"/>
    <n v="2000"/>
    <n v="2.8650000000000092E-2"/>
    <n v="57.300000000000182"/>
    <x v="7"/>
    <x v="1"/>
  </r>
  <r>
    <x v="28"/>
    <x v="2"/>
    <s v="6aa18b5dcafeb097c798ab40"/>
    <s v="09/09/2026 13:32:56"/>
    <s v="09/09/2026 13:37:49"/>
    <s v="Ranieli"/>
    <s v="09/09/2026"/>
    <x v="1"/>
    <s v="RANIELI MARIA MASQUIETI DOURADO"/>
    <n v="18163"/>
    <n v="1003"/>
    <n v="1004"/>
    <n v="1003"/>
    <n v="1004"/>
    <n v="1004"/>
    <n v="1002"/>
    <n v="1015"/>
    <n v="1005"/>
    <n v="1006"/>
    <n v="998"/>
    <n v="1004.4"/>
    <s v=""/>
    <s v="assinatura"/>
    <n v="287"/>
    <n v="1000"/>
    <n v="4.3999999999999768E-3"/>
    <n v="4.3999999999999773"/>
    <x v="27"/>
    <x v="6"/>
  </r>
  <r>
    <x v="28"/>
    <x v="2"/>
    <s v="6aa18ab8045994c753d46e3e"/>
    <s v="09/09/2026 13:25:50"/>
    <s v="09/09/2026 13:35:04"/>
    <s v="Ranieli"/>
    <s v="09/09/2026"/>
    <x v="1"/>
    <s v="RANIELI MARIA MASQUIETI DOURADO"/>
    <n v="197734"/>
    <n v="1005"/>
    <n v="1008"/>
    <n v="1015"/>
    <n v="997"/>
    <n v="1038"/>
    <n v="945"/>
    <n v="1066"/>
    <n v="1002"/>
    <n v="1000"/>
    <n v="1025"/>
    <n v="1010.1"/>
    <s v=""/>
    <s v="assinatura"/>
    <n v="185"/>
    <n v="1000"/>
    <n v="1.0100000000000022E-2"/>
    <n v="10.100000000000023"/>
    <x v="2"/>
    <x v="2"/>
  </r>
  <r>
    <x v="28"/>
    <x v="2"/>
    <s v="6aa188745a8aa69b94a415e1"/>
    <s v="09/09/2026 13:22:23"/>
    <s v="09/09/2026 13:25:24"/>
    <s v="Ranieli"/>
    <s v="09/09/2026"/>
    <x v="1"/>
    <s v="RANIELI MARIA MASQUIETI DOURADO"/>
    <n v="42846"/>
    <n v="2004"/>
    <n v="2009"/>
    <n v="2004"/>
    <n v="2013"/>
    <n v="2017"/>
    <n v="2009"/>
    <n v="2015"/>
    <n v="2012"/>
    <n v="2018"/>
    <n v="2011"/>
    <n v="2011.2"/>
    <s v=""/>
    <s v="assinatura"/>
    <n v="177"/>
    <n v="2000"/>
    <n v="5.6000000000000225E-3"/>
    <n v="11.200000000000045"/>
    <x v="6"/>
    <x v="1"/>
  </r>
  <r>
    <x v="28"/>
    <x v="2"/>
    <s v="6aa1724db841baacea2fda81"/>
    <s v="09/09/2026 10:49:44"/>
    <s v="09/09/2026 11:50:53"/>
    <s v="Ranieli"/>
    <s v="09/09/2026"/>
    <x v="1"/>
    <s v="RANIELI MARIA MASQUIETI DOURADO"/>
    <n v="15105"/>
    <n v="1048"/>
    <n v="1056"/>
    <n v="1029"/>
    <n v="1164"/>
    <n v="1014"/>
    <n v="1008"/>
    <n v="1006"/>
    <n v="1040"/>
    <n v="1035"/>
    <n v="1025"/>
    <n v="1042.5"/>
    <s v=""/>
    <s v="assinatura"/>
    <n v="409"/>
    <n v="1000"/>
    <n v="4.2500000000000003E-2"/>
    <n v="42.5"/>
    <x v="0"/>
    <x v="0"/>
  </r>
  <r>
    <x v="28"/>
    <x v="2"/>
    <s v="6aa17193b4a6de3d8d7f08fb"/>
    <s v="09/09/2026 11:02:47"/>
    <s v="09/09/2026 11:47:47"/>
    <s v="Ranieli"/>
    <s v="09/09/2026"/>
    <x v="1"/>
    <s v="RANIELI MARIA MASQUIETI DOURADO"/>
    <n v="18228"/>
    <n v="1004"/>
    <n v="995"/>
    <n v="995"/>
    <n v="1003"/>
    <n v="1003"/>
    <n v="999"/>
    <n v="998"/>
    <n v="1011"/>
    <n v="1000"/>
    <n v="995"/>
    <n v="1000.3"/>
    <s v=""/>
    <s v="assinatura"/>
    <n v="241"/>
    <n v="1000"/>
    <n v="2.9999999999995455E-4"/>
    <n v="0.29999999999995453"/>
    <x v="16"/>
    <x v="4"/>
  </r>
  <r>
    <x v="28"/>
    <x v="2"/>
    <s v="6aa17193b4a6de3d8d7f08f5"/>
    <s v="09/09/2026 10:39:41"/>
    <s v="09/09/2026 11:47:47"/>
    <s v="Ranieli"/>
    <s v="09/09/2026"/>
    <x v="1"/>
    <s v="RANIELI MARIA MASQUIETI DOURADO"/>
    <n v="42854"/>
    <n v="2136"/>
    <n v="2145"/>
    <n v="2155"/>
    <n v="2166"/>
    <n v="2135"/>
    <n v="2181"/>
    <n v="2131"/>
    <n v="2086"/>
    <n v="2149"/>
    <n v="2161"/>
    <n v="2144.5"/>
    <s v=""/>
    <s v=""/>
    <n v="545"/>
    <n v="2080"/>
    <n v="3.1009615384615385E-2"/>
    <n v="64.5"/>
    <x v="4"/>
    <x v="1"/>
  </r>
  <r>
    <x v="28"/>
    <x v="2"/>
    <s v="6aa17193b4a6de3d8d7f08ef"/>
    <s v="09/09/2026 10:33:42"/>
    <s v="09/09/2026 11:47:47"/>
    <s v="Ranieli"/>
    <s v="09/09/2026"/>
    <x v="1"/>
    <s v="RANIELI MARIA MASQUIETI DOURADO"/>
    <n v="864048"/>
    <n v="2018"/>
    <n v="2006"/>
    <n v="2019"/>
    <n v="2013"/>
    <n v="2014"/>
    <n v="2013"/>
    <n v="2018"/>
    <n v="2020"/>
    <n v="2012"/>
    <n v="2001"/>
    <n v="2013.4"/>
    <s v=""/>
    <s v="assinatura"/>
    <n v="289"/>
    <n v="2000"/>
    <n v="6.7000000000000453E-3"/>
    <n v="13.400000000000091"/>
    <x v="26"/>
    <x v="1"/>
  </r>
  <r>
    <x v="29"/>
    <x v="2"/>
    <s v="6aa5eb6eb841baacea3fcced"/>
    <s v="12/09/2026 21:10:04"/>
    <s v="12/09/2026 21:16:46"/>
    <s v="Ranieli"/>
    <s v="12/09/2026"/>
    <x v="0"/>
    <s v="JULIANE GOMES NOVAIS"/>
    <n v="15105"/>
    <n v="1134"/>
    <n v="1020"/>
    <n v="971"/>
    <n v="1008"/>
    <n v="1048"/>
    <n v="1046"/>
    <n v="1025"/>
    <n v="1040"/>
    <n v="1063"/>
    <n v="1160"/>
    <n v="1051.5"/>
    <s v=""/>
    <s v="assinatura"/>
    <n v="308"/>
    <n v="1000"/>
    <n v="5.1499999999999997E-2"/>
    <n v="51.5"/>
    <x v="0"/>
    <x v="0"/>
  </r>
  <r>
    <x v="29"/>
    <x v="2"/>
    <s v="6aa5eb6eb841baacea3fcce7"/>
    <s v="12/09/2026 21:06:40"/>
    <s v="12/09/2026 21:16:46"/>
    <s v="Ranieli"/>
    <s v="12/09/2026"/>
    <x v="0"/>
    <s v="JULIANE GOMES NOVAIS"/>
    <n v="15105"/>
    <n v="1006"/>
    <n v="1037"/>
    <n v="1046"/>
    <n v="1051"/>
    <n v="1088"/>
    <n v="993"/>
    <n v="968"/>
    <n v="996"/>
    <n v="1015"/>
    <n v="973"/>
    <n v="1017.3"/>
    <s v=""/>
    <s v="assinatura"/>
    <n v="540"/>
    <n v="1000"/>
    <n v="1.7299999999999954E-2"/>
    <n v="17.299999999999955"/>
    <x v="0"/>
    <x v="0"/>
  </r>
  <r>
    <x v="29"/>
    <x v="2"/>
    <s v="6aa5d6d787b9f57cdf95008b"/>
    <s v="12/09/2026 19:46:08"/>
    <s v="12/09/2026 19:48:55"/>
    <s v="Ranieli"/>
    <s v="12/09/2026"/>
    <x v="0"/>
    <s v="JULIANE GOMES NOVAIS"/>
    <n v="197734"/>
    <n v="1020"/>
    <n v="995"/>
    <n v="1019"/>
    <n v="997"/>
    <n v="999"/>
    <n v="1020"/>
    <n v="1001"/>
    <n v="990"/>
    <n v="999"/>
    <n v="1003"/>
    <n v="1004.3"/>
    <s v=""/>
    <s v="assinatura"/>
    <n v="144"/>
    <n v="1000"/>
    <n v="4.2999999999999549E-3"/>
    <n v="4.2999999999999545"/>
    <x v="2"/>
    <x v="2"/>
  </r>
  <r>
    <x v="29"/>
    <x v="2"/>
    <s v="6aa5d6d787b9f57cdf950085"/>
    <s v="12/09/2026 19:44:38"/>
    <s v="12/09/2026 19:48:55"/>
    <s v="Ranieli"/>
    <s v="12/09/2026"/>
    <x v="0"/>
    <s v="JULIANE GOMES NOVAIS"/>
    <n v="197734"/>
    <n v="990"/>
    <n v="993"/>
    <n v="1024"/>
    <n v="997"/>
    <n v="1001"/>
    <n v="1017"/>
    <n v="1012"/>
    <n v="1003"/>
    <n v="1012"/>
    <n v="1008"/>
    <n v="1005.7"/>
    <s v=""/>
    <s v="assinatura"/>
    <n v="246"/>
    <n v="1000"/>
    <n v="5.7000000000000453E-3"/>
    <n v="5.7000000000000455"/>
    <x v="2"/>
    <x v="2"/>
  </r>
  <r>
    <x v="29"/>
    <x v="2"/>
    <s v="6aa5bb786506521d1cee6880"/>
    <s v="12/09/2026 17:39:21"/>
    <s v="12/09/2026 17:52:08"/>
    <s v="Ranieli"/>
    <s v="12/09/2026"/>
    <x v="0"/>
    <s v="JULIANE GOMES NOVAIS"/>
    <n v="42862"/>
    <n v="2005"/>
    <n v="2019"/>
    <n v="2014"/>
    <n v="2024"/>
    <n v="2040"/>
    <n v="1987"/>
    <n v="2020"/>
    <n v="2010"/>
    <n v="2038"/>
    <n v="1989"/>
    <n v="2014.6"/>
    <s v=""/>
    <s v="assinatura"/>
    <n v="390"/>
    <n v="2000"/>
    <n v="7.2999999999999541E-3"/>
    <n v="14.599999999999909"/>
    <x v="5"/>
    <x v="1"/>
  </r>
  <r>
    <x v="29"/>
    <x v="2"/>
    <s v="6aa5bb786506521d1cee687a"/>
    <s v="12/09/2026 17:29:48"/>
    <s v="12/09/2026 17:52:08"/>
    <s v="Ranieli"/>
    <s v="12/09/2026"/>
    <x v="0"/>
    <s v="JULIANE GOMES NOVAIS"/>
    <n v="42846"/>
    <n v="2037"/>
    <n v="2000"/>
    <n v="1999"/>
    <n v="2020"/>
    <n v="2058"/>
    <n v="1997"/>
    <n v="2016"/>
    <n v="1995"/>
    <n v="1999"/>
    <n v="2012"/>
    <n v="2013"/>
    <s v=""/>
    <s v="assinatura"/>
    <n v="243"/>
    <n v="2000"/>
    <n v="6.4999999999999997E-3"/>
    <n v="13"/>
    <x v="6"/>
    <x v="1"/>
  </r>
  <r>
    <x v="29"/>
    <x v="2"/>
    <s v="6aa5bb786506521d1cee6874"/>
    <s v="12/09/2026 17:24:02"/>
    <s v="12/09/2026 17:52:08"/>
    <s v="Ranieli"/>
    <s v="12/09/2026"/>
    <x v="0"/>
    <s v="JULIANE GOMES NOVAIS"/>
    <n v="42838"/>
    <n v="2054"/>
    <n v="2052"/>
    <n v="2034"/>
    <n v="2077"/>
    <n v="2062"/>
    <n v="2024"/>
    <n v="2003"/>
    <n v="2061"/>
    <n v="2005"/>
    <n v="2009"/>
    <n v="2038.1"/>
    <s v=""/>
    <s v="assinatura"/>
    <n v="331"/>
    <n v="2000"/>
    <n v="1.9049999999999956E-2"/>
    <n v="38.099999999999909"/>
    <x v="7"/>
    <x v="1"/>
  </r>
  <r>
    <x v="29"/>
    <x v="2"/>
    <s v="6aa5bb70045994c753e37491"/>
    <s v="12/09/2026 17:46:47"/>
    <s v="12/09/2026 17:52:00"/>
    <s v="Ranieli"/>
    <s v="12/09/2026"/>
    <x v="0"/>
    <s v="JULIANE GOMES NOVAIS"/>
    <n v="42820"/>
    <n v="2025"/>
    <n v="1979"/>
    <n v="2029"/>
    <n v="2088"/>
    <n v="2004"/>
    <n v="2051"/>
    <n v="2007"/>
    <n v="2039"/>
    <n v="2013"/>
    <n v="2004"/>
    <n v="2023.9"/>
    <s v=""/>
    <s v="assinatura"/>
    <n v="243"/>
    <n v="2000"/>
    <n v="1.1950000000000046E-2"/>
    <n v="23.900000000000091"/>
    <x v="10"/>
    <x v="1"/>
  </r>
  <r>
    <x v="29"/>
    <x v="2"/>
    <s v="6aa5bb70045994c753e3748b"/>
    <s v="12/09/2026 17:34:26"/>
    <s v="12/09/2026 17:52:00"/>
    <s v="Ranieli"/>
    <s v="12/09/2026"/>
    <x v="0"/>
    <s v="JULIANE GOMES NOVAIS"/>
    <n v="42854"/>
    <n v="2106"/>
    <n v="2091"/>
    <n v="2128"/>
    <n v="2084"/>
    <n v="2076"/>
    <n v="2075"/>
    <n v="2108"/>
    <n v="2089"/>
    <n v="2073"/>
    <n v="2072"/>
    <n v="2090.1999999999998"/>
    <s v=""/>
    <s v="assinatura"/>
    <n v="171"/>
    <n v="2080"/>
    <n v="4.903846153846066E-3"/>
    <n v="10.199999999999818"/>
    <x v="4"/>
    <x v="1"/>
  </r>
  <r>
    <x v="29"/>
    <x v="2"/>
    <s v="6aa5b2bb55df232954033856"/>
    <s v="12/09/2026 17:00:56"/>
    <s v="12/09/2026 17:14:51"/>
    <s v="Ranieli"/>
    <s v="12/09/2026"/>
    <x v="0"/>
    <s v="JULIANE GOMES NOVAIS"/>
    <n v="40762"/>
    <n v="10040"/>
    <n v="10060"/>
    <n v="9985"/>
    <n v="10120"/>
    <n v="10020"/>
    <n v="9980"/>
    <n v="10085"/>
    <n v="9955"/>
    <n v="10100"/>
    <n v="9965"/>
    <n v="10031"/>
    <s v=""/>
    <s v="assinatura"/>
    <n v="740"/>
    <n v="10000"/>
    <n v="3.0999999999999999E-3"/>
    <n v="31"/>
    <x v="3"/>
    <x v="1"/>
  </r>
  <r>
    <x v="29"/>
    <x v="2"/>
    <s v="6aa5b2ba55df232954033850"/>
    <s v="12/09/2026 17:00:39"/>
    <s v="12/09/2026 17:14:50"/>
    <s v="Ranieli"/>
    <s v="12/09/2026"/>
    <x v="0"/>
    <s v="JULIANE GOMES NOVAIS"/>
    <n v="40762"/>
    <n v="10040"/>
    <n v="9980"/>
    <n v="10120"/>
    <n v="10040"/>
    <n v="9965"/>
    <n v="10095"/>
    <n v="9980"/>
    <n v="9945"/>
    <n v="10140"/>
    <n v="10080"/>
    <n v="10039"/>
    <s v=""/>
    <s v="assinatura"/>
    <n v="825"/>
    <n v="10000"/>
    <n v="3.8999999999999998E-3"/>
    <n v="39"/>
    <x v="3"/>
    <x v="1"/>
  </r>
  <r>
    <x v="29"/>
    <x v="2"/>
    <s v="6aa5af0e04d1eda90fa14e4c"/>
    <s v="12/09/2026 16:53:37"/>
    <s v="12/09/2026 16:59:10"/>
    <s v="Ranieli"/>
    <s v="12/09/2026"/>
    <x v="0"/>
    <s v="JULIANE GOMES NOVAIS"/>
    <n v="15229"/>
    <n v="1002"/>
    <n v="1012"/>
    <n v="1005"/>
    <n v="999"/>
    <n v="1004"/>
    <n v="1006"/>
    <n v="994"/>
    <n v="1014"/>
    <n v="1003"/>
    <n v="1005"/>
    <n v="1004.4"/>
    <s v=""/>
    <s v="assinatura"/>
    <n v="286"/>
    <n v="1000"/>
    <n v="4.3999999999999768E-3"/>
    <n v="4.3999999999999773"/>
    <x v="9"/>
    <x v="1"/>
  </r>
  <r>
    <x v="29"/>
    <x v="2"/>
    <s v="6aa5af0e04d1eda90fa14e46"/>
    <s v="12/09/2026 16:51:34"/>
    <s v="12/09/2026 16:59:10"/>
    <s v="Ranieli"/>
    <s v="12/09/2026"/>
    <x v="0"/>
    <s v="JULIANE GOMES NOVAIS"/>
    <n v="15229"/>
    <n v="1003"/>
    <n v="1005"/>
    <n v="1009"/>
    <n v="1012"/>
    <n v="1007"/>
    <n v="995"/>
    <n v="1001"/>
    <n v="999"/>
    <n v="1011"/>
    <n v="1000"/>
    <n v="1004.2"/>
    <s v=""/>
    <s v="assinatura"/>
    <n v="432"/>
    <n v="1000"/>
    <n v="4.2000000000000457E-3"/>
    <n v="4.2000000000000455"/>
    <x v="9"/>
    <x v="1"/>
  </r>
  <r>
    <x v="29"/>
    <x v="2"/>
    <s v="6aa5af0e04d1eda90fa14e40"/>
    <s v="12/09/2026 16:50:27"/>
    <s v="12/09/2026 16:59:10"/>
    <s v="Ranieli"/>
    <s v="12/09/2026"/>
    <x v="0"/>
    <s v="JULIANE GOMES NOVAIS"/>
    <n v="13188"/>
    <n v="1002"/>
    <n v="1007"/>
    <n v="1013"/>
    <n v="997"/>
    <n v="1006"/>
    <n v="994"/>
    <n v="1000"/>
    <n v="1001"/>
    <n v="997"/>
    <n v="999"/>
    <n v="1001.6"/>
    <s v=""/>
    <s v="assinatura"/>
    <n v="140"/>
    <n v="1000"/>
    <n v="1.6000000000000228E-3"/>
    <n v="1.6000000000000227"/>
    <x v="8"/>
    <x v="1"/>
  </r>
  <r>
    <x v="29"/>
    <x v="2"/>
    <s v="6aa5af0e04d1eda90fa14e3a"/>
    <s v="12/09/2026 16:49:05"/>
    <s v="12/09/2026 16:59:10"/>
    <s v="Ranieli"/>
    <s v="12/09/2026"/>
    <x v="0"/>
    <s v="JULIANE GOMES NOVAIS"/>
    <n v="13188"/>
    <n v="997"/>
    <n v="1004"/>
    <n v="994"/>
    <n v="1008"/>
    <n v="1010"/>
    <n v="1005"/>
    <n v="1002"/>
    <n v="999"/>
    <n v="1011"/>
    <n v="1011"/>
    <n v="1004.1"/>
    <s v=""/>
    <s v="assinatura"/>
    <n v="239"/>
    <n v="1000"/>
    <n v="4.1000000000000229E-3"/>
    <n v="4.1000000000000227"/>
    <x v="8"/>
    <x v="1"/>
  </r>
  <r>
    <x v="29"/>
    <x v="2"/>
    <s v="6aa5abfdc423abb5a7e6c5e8"/>
    <s v="12/09/2026 16:40:35"/>
    <s v="12/09/2026 16:46:05"/>
    <s v="Ranieli"/>
    <s v="12/09/2026"/>
    <x v="0"/>
    <s v="JULIANE GOMES NOVAIS"/>
    <n v="15105"/>
    <n v="991"/>
    <n v="1016"/>
    <n v="1017"/>
    <n v="993"/>
    <n v="988"/>
    <n v="1019"/>
    <n v="1003"/>
    <n v="1012"/>
    <n v="1037"/>
    <n v="974"/>
    <n v="1005"/>
    <s v=""/>
    <s v="assinatura"/>
    <n v="207"/>
    <n v="1000"/>
    <n v="5.0000000000000001E-3"/>
    <n v="5"/>
    <x v="0"/>
    <x v="0"/>
  </r>
  <r>
    <x v="29"/>
    <x v="2"/>
    <s v="6aa5abfdc423abb5a7e6c5e0"/>
    <s v="12/09/2026 16:37:10"/>
    <s v="12/09/2026 16:46:05"/>
    <s v="Ranieli"/>
    <s v="12/09/2026"/>
    <x v="0"/>
    <s v="JULIANE GOMES NOVAIS"/>
    <n v="15105"/>
    <n v="964"/>
    <n v="1046"/>
    <n v="993"/>
    <n v="1024"/>
    <n v="1019"/>
    <n v="1006"/>
    <n v="873"/>
    <n v="1021"/>
    <n v="1019"/>
    <n v="1010"/>
    <n v="997.5"/>
    <s v=""/>
    <s v="assinatura"/>
    <n v="201"/>
    <n v="1000"/>
    <n v="-2.5000000000000001E-3"/>
    <n v="-2.5"/>
    <x v="0"/>
    <x v="0"/>
  </r>
  <r>
    <x v="30"/>
    <x v="2"/>
    <s v="6aa4dbf641a5e4bbeb270f2e"/>
    <s v="12/09/2026 01:05:05"/>
    <s v="12/09/2026 01:58:30"/>
    <s v="Ranieli"/>
    <s v="11/09/2026"/>
    <x v="0"/>
    <s v="JOSEFA KELY NUNES DE SOUSA"/>
    <n v="42820"/>
    <n v="2023"/>
    <n v="2051"/>
    <n v="2032"/>
    <n v="2036"/>
    <n v="2016"/>
    <n v="2034"/>
    <n v="2026"/>
    <n v="2020"/>
    <n v="2029"/>
    <n v="2035"/>
    <n v="2030.2"/>
    <s v=""/>
    <s v="assinatura"/>
    <n v="999"/>
    <n v="2000"/>
    <n v="1.5100000000000023E-2"/>
    <n v="30.200000000000045"/>
    <x v="10"/>
    <x v="1"/>
  </r>
  <r>
    <x v="30"/>
    <x v="2"/>
    <s v="6aa4dbf641a5e4bbeb270f28"/>
    <s v="12/09/2026 01:01:12"/>
    <s v="12/09/2026 01:58:30"/>
    <s v="Ranieli"/>
    <s v="11/09/2026"/>
    <x v="0"/>
    <s v="JOSEFA KELY NUNES DE SOUSA"/>
    <n v="42846"/>
    <n v="2012"/>
    <n v="2003"/>
    <n v="2013"/>
    <n v="2006"/>
    <n v="2017"/>
    <n v="2017"/>
    <n v="2013"/>
    <n v="2016"/>
    <n v="2014"/>
    <n v="2009"/>
    <n v="2012"/>
    <s v=""/>
    <s v="assinatura"/>
    <n v="2500"/>
    <n v="2000"/>
    <n v="6.0000000000000001E-3"/>
    <n v="12"/>
    <x v="6"/>
    <x v="1"/>
  </r>
  <r>
    <x v="30"/>
    <x v="2"/>
    <s v="6aa4dbf641a5e4bbeb270f22"/>
    <s v="12/09/2026 00:51:33"/>
    <s v="12/09/2026 01:58:30"/>
    <s v="Ranieli"/>
    <s v="11/09/2026"/>
    <x v="0"/>
    <s v="JOSEFA KELY NUNES DE SOUSA"/>
    <n v="42862"/>
    <n v="1999"/>
    <n v="1999"/>
    <n v="1995"/>
    <n v="2035"/>
    <n v="2010"/>
    <n v="2009"/>
    <n v="2007"/>
    <n v="2021"/>
    <n v="2008"/>
    <n v="1999"/>
    <n v="2008.2"/>
    <s v=""/>
    <s v="assinatura"/>
    <n v="578"/>
    <n v="2000"/>
    <n v="4.1000000000000229E-3"/>
    <n v="8.2000000000000455"/>
    <x v="5"/>
    <x v="1"/>
  </r>
  <r>
    <x v="30"/>
    <x v="2"/>
    <s v="6aa4dbf641a5e4bbeb270f1c"/>
    <s v="12/09/2026 00:43:31"/>
    <s v="12/09/2026 01:58:30"/>
    <s v="Ranieli"/>
    <s v="11/09/2026"/>
    <x v="0"/>
    <s v="JOSEFA KELY NUNES DE SOUSA"/>
    <n v="864048"/>
    <n v="2058"/>
    <n v="2021"/>
    <n v="2094"/>
    <n v="2077"/>
    <n v="1987"/>
    <n v="2020"/>
    <n v="2017"/>
    <n v="2006"/>
    <n v="2065"/>
    <n v="2021"/>
    <n v="2036.6"/>
    <s v=""/>
    <s v=""/>
    <n v="477"/>
    <n v="2000"/>
    <n v="1.8299999999999955E-2"/>
    <n v="36.599999999999909"/>
    <x v="26"/>
    <x v="1"/>
  </r>
  <r>
    <x v="30"/>
    <x v="2"/>
    <s v="6aa4dbf641a5e4bbeb270f16"/>
    <s v="12/09/2026 00:35:23"/>
    <s v="12/09/2026 01:58:30"/>
    <s v="Ranieli"/>
    <s v="11/09/2026"/>
    <x v="0"/>
    <s v="JOSEFA KELY NUNES DE SOUSA"/>
    <n v="40762"/>
    <n v="10055"/>
    <n v="9940"/>
    <n v="9925"/>
    <n v="10010"/>
    <n v="10000"/>
    <n v="10040"/>
    <n v="9990"/>
    <n v="10060"/>
    <n v="10065"/>
    <n v="10070"/>
    <n v="10015.5"/>
    <s v=""/>
    <s v="assinatura"/>
    <n v="487"/>
    <n v="10000"/>
    <n v="1.5499999999999999E-3"/>
    <n v="15.5"/>
    <x v="3"/>
    <x v="1"/>
  </r>
  <r>
    <x v="30"/>
    <x v="2"/>
    <s v="6aa4dbf641a5e4bbeb270f10"/>
    <s v="12/09/2026 00:31:24"/>
    <s v="12/09/2026 01:58:30"/>
    <s v="Ranieli"/>
    <s v="11/09/2026"/>
    <x v="0"/>
    <s v="JOSEFA KELY NUNES DE SOUSA"/>
    <n v="15849"/>
    <n v="1000"/>
    <n v="1005"/>
    <n v="1008"/>
    <n v="1005"/>
    <n v="1011"/>
    <n v="1007"/>
    <n v="1006"/>
    <n v="1002"/>
    <n v="1003"/>
    <n v="1005"/>
    <n v="1005.2"/>
    <s v=""/>
    <s v="assinatura"/>
    <n v="230"/>
    <n v="1000"/>
    <n v="5.2000000000000457E-3"/>
    <n v="5.2000000000000455"/>
    <x v="29"/>
    <x v="2"/>
  </r>
  <r>
    <x v="30"/>
    <x v="2"/>
    <s v="6aa4dbf641a5e4bbeb270f04"/>
    <s v="11/09/2026 22:21:54"/>
    <s v="12/09/2026 01:58:30"/>
    <s v="Ranieli"/>
    <s v="11/09/2026"/>
    <x v="0"/>
    <s v="JOSEFA KELY NUNES DE SOUSA"/>
    <n v="15229"/>
    <n v="1006"/>
    <n v="1007"/>
    <n v="1003"/>
    <n v="1004"/>
    <n v="996"/>
    <n v="996"/>
    <n v="1001"/>
    <n v="1004"/>
    <n v="1013"/>
    <n v="1019"/>
    <n v="1004.9"/>
    <s v=""/>
    <s v=""/>
    <n v="2327"/>
    <n v="1000"/>
    <n v="4.8999999999999773E-3"/>
    <n v="4.8999999999999773"/>
    <x v="9"/>
    <x v="1"/>
  </r>
  <r>
    <x v="30"/>
    <x v="2"/>
    <s v="6aa4dbf641a5e4bbeb270efe"/>
    <s v="11/09/2026 22:10:05"/>
    <s v="12/09/2026 01:58:30"/>
    <s v="Ranieli"/>
    <s v="11/09/2026"/>
    <x v="0"/>
    <s v="JOSEFA KELY NUNES DE SOUSA"/>
    <n v="13188"/>
    <n v="1020"/>
    <n v="1019"/>
    <n v="1011"/>
    <n v="1020"/>
    <n v="1017"/>
    <n v="1020"/>
    <n v="1020"/>
    <n v="1020"/>
    <n v="1021"/>
    <n v="1025"/>
    <n v="1019.3"/>
    <s v=""/>
    <s v="assinatura"/>
    <n v="544"/>
    <n v="1000"/>
    <n v="1.9299999999999956E-2"/>
    <n v="19.299999999999955"/>
    <x v="8"/>
    <x v="1"/>
  </r>
  <r>
    <x v="30"/>
    <x v="2"/>
    <s v="6aa4dbf641a5e4bbeb270ef8"/>
    <s v="11/09/2026 22:06:00"/>
    <s v="12/09/2026 01:58:30"/>
    <s v="Ranieli"/>
    <s v="11/09/2026"/>
    <x v="0"/>
    <s v="JOSEFA KELY NUNES DE SOUSA"/>
    <n v="15849"/>
    <n v="1004"/>
    <n v="1012"/>
    <n v="1010"/>
    <n v="1008"/>
    <n v="1013"/>
    <n v="1002"/>
    <n v="1012"/>
    <n v="1003"/>
    <n v="1009"/>
    <n v="1001"/>
    <n v="1007.4"/>
    <s v=""/>
    <s v=""/>
    <n v="243"/>
    <n v="1000"/>
    <n v="7.3999999999999769E-3"/>
    <n v="7.3999999999999773"/>
    <x v="29"/>
    <x v="2"/>
  </r>
  <r>
    <x v="30"/>
    <x v="2"/>
    <s v="6aa4dbf641a5e4bbeb270ef2"/>
    <s v="11/09/2026 22:02:46"/>
    <s v="12/09/2026 01:58:30"/>
    <s v="Ranieli"/>
    <s v="11/09/2026"/>
    <x v="0"/>
    <s v="JOSEFA KELY NUNES DE SOUSA"/>
    <n v="15105"/>
    <n v="1022"/>
    <n v="1008"/>
    <n v="1030"/>
    <n v="1029"/>
    <n v="1043"/>
    <n v="1016"/>
    <n v="1025"/>
    <n v="1024"/>
    <n v="1008"/>
    <n v="1031"/>
    <n v="1023.6"/>
    <s v=""/>
    <s v="assinatura"/>
    <n v="189"/>
    <n v="1000"/>
    <n v="2.3600000000000024E-2"/>
    <n v="23.600000000000023"/>
    <x v="0"/>
    <x v="0"/>
  </r>
  <r>
    <x v="30"/>
    <x v="2"/>
    <s v="6aa4dbf541a5e4bbeb270ee6"/>
    <s v="11/09/2026 21:05:25"/>
    <s v="12/09/2026 01:58:29"/>
    <s v="Ranieli"/>
    <s v="11/09/2026"/>
    <x v="0"/>
    <s v="JOSEFA KELY NUNES DE SOUSA"/>
    <n v="209069"/>
    <n v="996"/>
    <n v="994"/>
    <n v="1010"/>
    <n v="1007"/>
    <n v="1007"/>
    <n v="1049"/>
    <n v="1037"/>
    <n v="1004"/>
    <n v="993"/>
    <n v="1025"/>
    <n v="1012.2"/>
    <s v=""/>
    <s v="assinatura"/>
    <n v="167"/>
    <n v="1000"/>
    <n v="1.2200000000000046E-2"/>
    <n v="12.200000000000045"/>
    <x v="28"/>
    <x v="0"/>
  </r>
  <r>
    <x v="30"/>
    <x v="2"/>
    <s v="6aa4dbf541a5e4bbeb270ee0"/>
    <s v="11/09/2026 19:25:57"/>
    <s v="12/09/2026 01:58:29"/>
    <s v="Ranieli"/>
    <s v="11/09/2026"/>
    <x v="0"/>
    <s v="JOSEFA KELY NUNES DE SOUSA"/>
    <n v="15849"/>
    <n v="1010"/>
    <n v="993"/>
    <n v="1007"/>
    <n v="997"/>
    <n v="995"/>
    <n v="1001"/>
    <n v="990"/>
    <n v="1032"/>
    <n v="1004"/>
    <n v="995"/>
    <n v="1002.4"/>
    <s v=""/>
    <s v=""/>
    <n v="578"/>
    <n v="1000"/>
    <n v="2.3999999999999772E-3"/>
    <n v="2.3999999999999773"/>
    <x v="29"/>
    <x v="2"/>
  </r>
  <r>
    <x v="30"/>
    <x v="2"/>
    <s v="6aa4dbf541a5e4bbeb270ed8"/>
    <s v="11/09/2026 19:18:13"/>
    <s v="12/09/2026 01:58:29"/>
    <s v="Ranieli"/>
    <s v="11/09/2026"/>
    <x v="0"/>
    <s v="JOSEFA KELY NUNES DE SOUSA"/>
    <n v="992093"/>
    <n v="5015"/>
    <n v="5005"/>
    <n v="5006"/>
    <n v="5011"/>
    <n v="5005"/>
    <n v="5008"/>
    <n v="5006"/>
    <n v="5013"/>
    <n v="5009"/>
    <n v="5008"/>
    <n v="5008.6000000000004"/>
    <s v=""/>
    <s v="assinatura"/>
    <n v="463"/>
    <n v="5000"/>
    <n v="1.7200000000000728E-3"/>
    <n v="8.6000000000003638"/>
    <x v="13"/>
    <x v="3"/>
  </r>
  <r>
    <x v="30"/>
    <x v="2"/>
    <s v="6aa4dbf541a5e4bbeb270ecc"/>
    <s v="11/09/2026 17:47:50"/>
    <s v="12/09/2026 01:58:29"/>
    <s v="Ranieli"/>
    <s v="11/09/2026"/>
    <x v="0"/>
    <s v="JOSEFA KELY NUNES DE SOUSA"/>
    <n v="42862"/>
    <n v="2011"/>
    <n v="2012"/>
    <n v="2009"/>
    <n v="2001"/>
    <n v="2006"/>
    <n v="2006"/>
    <n v="2004"/>
    <n v="2022"/>
    <n v="2014"/>
    <n v="2005"/>
    <n v="2009"/>
    <s v=""/>
    <s v=""/>
    <n v="1606"/>
    <n v="2000"/>
    <n v="4.4999999999999997E-3"/>
    <n v="9"/>
    <x v="5"/>
    <x v="1"/>
  </r>
  <r>
    <x v="30"/>
    <x v="2"/>
    <s v="6aa4dbf541a5e4bbeb270ec6"/>
    <s v="11/09/2026 17:45:06"/>
    <s v="12/09/2026 01:58:29"/>
    <s v="Ranieli"/>
    <s v="11/09/2026"/>
    <x v="0"/>
    <s v="JOSEFA KELY NUNES DE SOUSA"/>
    <n v="42846"/>
    <n v="2027"/>
    <n v="2010"/>
    <n v="2013"/>
    <n v="2012"/>
    <n v="2006"/>
    <n v="2017"/>
    <n v="2001"/>
    <n v="2000"/>
    <n v="1999"/>
    <n v="2003"/>
    <n v="2008.8"/>
    <s v=""/>
    <s v="assinatura"/>
    <n v="163"/>
    <n v="2000"/>
    <n v="4.3999999999999768E-3"/>
    <n v="8.7999999999999545"/>
    <x v="6"/>
    <x v="1"/>
  </r>
  <r>
    <x v="30"/>
    <x v="2"/>
    <s v="6aa4dbf541a5e4bbeb270ec0"/>
    <s v="11/09/2026 17:43:20"/>
    <s v="12/09/2026 01:58:29"/>
    <s v="Ranieli"/>
    <s v="11/09/2026"/>
    <x v="0"/>
    <s v="JOSEFA KELY NUNES DE SOUSA"/>
    <n v="42838"/>
    <n v="2020"/>
    <n v="2009"/>
    <n v="2007"/>
    <n v="2037"/>
    <n v="2013"/>
    <n v="2020"/>
    <n v="2032"/>
    <n v="2041"/>
    <n v="2002"/>
    <n v="2032"/>
    <n v="2021.3"/>
    <s v=""/>
    <s v=""/>
    <n v="104"/>
    <n v="2000"/>
    <n v="1.0649999999999977E-2"/>
    <n v="21.299999999999955"/>
    <x v="7"/>
    <x v="1"/>
  </r>
  <r>
    <x v="30"/>
    <x v="2"/>
    <s v="6aa4dbf541a5e4bbeb270eba"/>
    <s v="11/09/2026 17:27:05"/>
    <s v="12/09/2026 01:58:29"/>
    <s v="Ranieli"/>
    <s v="11/09/2026"/>
    <x v="0"/>
    <s v="JOSEFA KELY NUNES DE SOUSA"/>
    <n v="42854"/>
    <n v="2086"/>
    <n v="2109"/>
    <n v="2121"/>
    <n v="2077"/>
    <n v="2113"/>
    <n v="2098"/>
    <n v="2096"/>
    <n v="2114"/>
    <n v="2106"/>
    <n v="2111"/>
    <n v="2103.1"/>
    <s v=""/>
    <s v="assinatura"/>
    <n v="973"/>
    <n v="2080"/>
    <n v="1.1105769230769186E-2"/>
    <n v="23.099999999999909"/>
    <x v="4"/>
    <x v="1"/>
  </r>
  <r>
    <x v="30"/>
    <x v="2"/>
    <s v="6aa4dbf541a5e4bbeb270eb4"/>
    <s v="11/09/2026 17:22:49"/>
    <s v="12/09/2026 01:58:29"/>
    <s v="Ranieli"/>
    <s v="11/09/2026"/>
    <x v="0"/>
    <s v="JOSEFA KELY NUNES DE SOUSA"/>
    <n v="40762"/>
    <n v="9945"/>
    <n v="9965"/>
    <n v="10075"/>
    <n v="10065"/>
    <n v="10110"/>
    <n v="10055"/>
    <n v="10050"/>
    <n v="10020"/>
    <n v="9965"/>
    <n v="10055"/>
    <n v="10030.5"/>
    <s v=""/>
    <s v="assinatura"/>
    <n v="251"/>
    <n v="10000"/>
    <n v="3.0500000000000002E-3"/>
    <n v="30.5"/>
    <x v="3"/>
    <x v="1"/>
  </r>
  <r>
    <x v="30"/>
    <x v="2"/>
    <s v="6aa4dbf541a5e4bbeb270eae"/>
    <s v="11/09/2026 17:16:35"/>
    <s v="12/09/2026 01:58:29"/>
    <s v="Ranieli"/>
    <s v="11/09/2026"/>
    <x v="0"/>
    <s v="JOSEFA KELY NUNES DE SOUSA"/>
    <n v="792799"/>
    <n v="15070"/>
    <n v="15050"/>
    <n v="15105"/>
    <n v="15075"/>
    <n v="14990"/>
    <n v="15065"/>
    <n v="15080"/>
    <n v="15065"/>
    <n v="15075"/>
    <n v="15060"/>
    <n v="15063.5"/>
    <s v=""/>
    <s v=""/>
    <n v="281"/>
    <n v="15000"/>
    <n v="4.2333333333333337E-3"/>
    <n v="63.5"/>
    <x v="12"/>
    <x v="3"/>
  </r>
  <r>
    <x v="30"/>
    <x v="2"/>
    <s v="6aa4dbf541a5e4bbeb270ea8"/>
    <s v="11/09/2026 17:13:10"/>
    <s v="12/09/2026 01:58:29"/>
    <s v="Ranieli"/>
    <s v="11/09/2026"/>
    <x v="0"/>
    <s v="JOSEFA KELY NUNES DE SOUSA"/>
    <n v="15105"/>
    <n v="1060"/>
    <n v="1004"/>
    <n v="980"/>
    <n v="1008"/>
    <n v="1002"/>
    <n v="1015"/>
    <n v="1024"/>
    <n v="1026"/>
    <n v="1031"/>
    <n v="1018"/>
    <n v="1016.8"/>
    <s v=""/>
    <s v="assinatura"/>
    <n v="203"/>
    <n v="1000"/>
    <n v="1.6799999999999954E-2"/>
    <n v="16.799999999999955"/>
    <x v="0"/>
    <x v="0"/>
  </r>
  <r>
    <x v="30"/>
    <x v="2"/>
    <s v="6aa4afdf41a5e4bbeb26f220"/>
    <s v="11/09/2026 21:38:46"/>
    <s v="11/09/2026 22:50:23"/>
    <s v="Ranieli"/>
    <s v="11/09/2026"/>
    <x v="0"/>
    <s v=""/>
    <n v="15849"/>
    <n v="994"/>
    <n v="996"/>
    <n v="995"/>
    <n v="1006"/>
    <n v="996"/>
    <n v="1011"/>
    <n v="996"/>
    <n v="1013"/>
    <n v="1004"/>
    <n v="998"/>
    <n v="1000.9"/>
    <s v=""/>
    <s v="assinatura"/>
    <n v="254"/>
    <n v="1000"/>
    <n v="8.9999999999997732E-4"/>
    <n v="0.89999999999997726"/>
    <x v="29"/>
    <x v="2"/>
  </r>
  <r>
    <x v="30"/>
    <x v="2"/>
    <s v="6aa4afdf41a5e4bbeb26f21a"/>
    <s v="11/09/2026 21:35:44"/>
    <s v="11/09/2026 22:50:23"/>
    <s v="Ranieli"/>
    <s v="11/09/2026"/>
    <x v="0"/>
    <s v="JULIANE GOMES NOVAIS"/>
    <n v="15849"/>
    <n v="992"/>
    <n v="989"/>
    <n v="994"/>
    <n v="1000"/>
    <n v="992"/>
    <n v="988"/>
    <n v="996"/>
    <n v="1003"/>
    <n v="1014"/>
    <n v="1000"/>
    <n v="996.8"/>
    <s v=""/>
    <s v="assinatura"/>
    <n v="496"/>
    <n v="1000"/>
    <n v="-3.2000000000000457E-3"/>
    <n v="-3.2000000000000455"/>
    <x v="29"/>
    <x v="2"/>
  </r>
  <r>
    <x v="30"/>
    <x v="2"/>
    <s v="6aa4afdf41a5e4bbeb26f214"/>
    <s v="11/09/2026 21:32:29"/>
    <s v="11/09/2026 22:50:23"/>
    <s v="Ranieli"/>
    <s v="11/09/2026"/>
    <x v="0"/>
    <s v="JULIANE GOMES NOVAIS"/>
    <n v="15229"/>
    <n v="1003"/>
    <n v="1007"/>
    <n v="1003"/>
    <n v="1015"/>
    <n v="1016"/>
    <n v="1007"/>
    <n v="1004"/>
    <n v="1008"/>
    <n v="1005"/>
    <n v="1014"/>
    <n v="1008.2"/>
    <s v=""/>
    <s v="assinatura"/>
    <n v="146"/>
    <n v="1000"/>
    <n v="8.2000000000000458E-3"/>
    <n v="8.2000000000000455"/>
    <x v="9"/>
    <x v="1"/>
  </r>
  <r>
    <x v="30"/>
    <x v="2"/>
    <s v="6aa4afdf41a5e4bbeb26f20e"/>
    <s v="11/09/2026 21:31:07"/>
    <s v="11/09/2026 22:50:23"/>
    <s v="Ranieli"/>
    <s v="11/09/2026"/>
    <x v="0"/>
    <s v="JULIANE GOMES NOVAIS"/>
    <n v="15229"/>
    <n v="1009"/>
    <n v="997"/>
    <n v="1019"/>
    <n v="1005"/>
    <n v="1003"/>
    <n v="999"/>
    <n v="1011"/>
    <n v="999"/>
    <n v="1007"/>
    <n v="1001"/>
    <n v="1005"/>
    <s v=""/>
    <s v="assinatura"/>
    <n v="249"/>
    <n v="1000"/>
    <n v="5.0000000000000001E-3"/>
    <n v="5"/>
    <x v="9"/>
    <x v="1"/>
  </r>
  <r>
    <x v="30"/>
    <x v="2"/>
    <s v="6aa49d1355df23295402a551"/>
    <s v="11/09/2026 21:24:09"/>
    <s v="11/09/2026 21:30:11"/>
    <s v="Ranieli"/>
    <s v="11/09/2026"/>
    <x v="0"/>
    <s v="JULIANE GOMES NOVAIS"/>
    <n v="209039"/>
    <n v="1020"/>
    <n v="1020"/>
    <n v="1007"/>
    <n v="997"/>
    <n v="1004"/>
    <n v="1005"/>
    <n v="1006"/>
    <n v="996"/>
    <n v="1005"/>
    <n v="1014"/>
    <n v="1007.4"/>
    <s v=""/>
    <s v="assinatura"/>
    <n v="196"/>
    <n v="1000"/>
    <n v="7.3999999999999769E-3"/>
    <n v="7.3999999999999773"/>
    <x v="19"/>
    <x v="3"/>
  </r>
  <r>
    <x v="30"/>
    <x v="2"/>
    <s v="6aa49d1255df23295402a54b"/>
    <s v="11/09/2026 21:19:50"/>
    <s v="11/09/2026 21:30:10"/>
    <s v="Ranieli"/>
    <s v="11/09/2026"/>
    <x v="0"/>
    <s v="JULIANE GOMES NOVAIS"/>
    <n v="209039"/>
    <n v="1018"/>
    <n v="1001"/>
    <n v="952"/>
    <n v="1005"/>
    <n v="1004"/>
    <n v="1007"/>
    <n v="1017"/>
    <n v="998"/>
    <n v="1020"/>
    <n v="949"/>
    <n v="997.1"/>
    <s v=""/>
    <s v="assinatura"/>
    <n v="428"/>
    <n v="1000"/>
    <n v="-2.8999999999999772E-3"/>
    <n v="-2.8999999999999773"/>
    <x v="19"/>
    <x v="3"/>
  </r>
  <r>
    <x v="30"/>
    <x v="2"/>
    <s v="6aa49a9f1c0532de5363c23f"/>
    <s v="11/09/2026 21:16:13"/>
    <s v="11/09/2026 21:19:43"/>
    <s v="Ranieli"/>
    <s v="11/09/2026"/>
    <x v="0"/>
    <s v="JULIANE GOMES NOVAIS"/>
    <n v="15105"/>
    <n v="1028"/>
    <n v="1012"/>
    <n v="997"/>
    <n v="1012"/>
    <n v="995"/>
    <n v="1002"/>
    <n v="1042"/>
    <n v="1005"/>
    <n v="998"/>
    <n v="996"/>
    <n v="1008.7"/>
    <s v=""/>
    <s v="assinatura"/>
    <n v="208"/>
    <n v="1000"/>
    <n v="8.7000000000000462E-3"/>
    <n v="8.7000000000000455"/>
    <x v="0"/>
    <x v="0"/>
  </r>
  <r>
    <x v="30"/>
    <x v="2"/>
    <s v="6aa48221d79070410dce39de"/>
    <s v="11/09/2026 19:29:51"/>
    <s v="11/09/2026 19:35:13"/>
    <s v="Ranieli"/>
    <s v="11/09/2026"/>
    <x v="0"/>
    <s v="JULIANE GOMES NOVAIS"/>
    <n v="15105"/>
    <n v="997"/>
    <n v="995"/>
    <n v="1006"/>
    <n v="1027"/>
    <n v="1054"/>
    <n v="1001"/>
    <n v="1013"/>
    <n v="1028"/>
    <n v="1017"/>
    <n v="1007"/>
    <n v="1014.5"/>
    <s v=""/>
    <s v="assinatura"/>
    <n v="198"/>
    <n v="1000"/>
    <n v="1.4500000000000001E-2"/>
    <n v="14.5"/>
    <x v="0"/>
    <x v="0"/>
  </r>
  <r>
    <x v="30"/>
    <x v="2"/>
    <s v="6aa48221d79070410dce39d8"/>
    <s v="11/09/2026 19:25:35"/>
    <s v="11/09/2026 19:35:13"/>
    <s v="Ranieli"/>
    <s v="11/09/2026"/>
    <x v="0"/>
    <s v="JULIANE GOMES NOVAIS"/>
    <n v="15105"/>
    <n v="1042"/>
    <n v="1043"/>
    <n v="1045"/>
    <n v="1029"/>
    <n v="1014"/>
    <n v="1024"/>
    <n v="1013"/>
    <n v="1020"/>
    <n v="1054"/>
    <n v="1045"/>
    <n v="1032.9000000000001"/>
    <s v=""/>
    <s v="assinatura"/>
    <n v="480"/>
    <n v="1000"/>
    <n v="3.2900000000000089E-2"/>
    <n v="32.900000000000091"/>
    <x v="0"/>
    <x v="0"/>
  </r>
  <r>
    <x v="30"/>
    <x v="2"/>
    <s v="6aa47fcfde1f7611876c8480"/>
    <s v="11/09/2026 19:19:10"/>
    <s v="11/09/2026 19:25:19"/>
    <s v="Ranieli"/>
    <s v="11/09/2026"/>
    <x v="0"/>
    <s v="JULIANE GOMES NOVAIS"/>
    <n v="209099"/>
    <n v="1040"/>
    <n v="997"/>
    <n v="1025"/>
    <n v="1003"/>
    <n v="1040"/>
    <n v="1028"/>
    <n v="1004"/>
    <n v="1014"/>
    <n v="1001"/>
    <n v="999"/>
    <n v="1015.1"/>
    <s v=""/>
    <s v="assinatura"/>
    <n v="286"/>
    <n v="1000"/>
    <n v="1.5100000000000023E-2"/>
    <n v="15.100000000000023"/>
    <x v="31"/>
    <x v="1"/>
  </r>
  <r>
    <x v="30"/>
    <x v="2"/>
    <s v="6aa47fcede1f7611876c847a"/>
    <s v="11/09/2026 19:16:50"/>
    <s v="11/09/2026 19:25:18"/>
    <s v="Ranieli"/>
    <s v="11/09/2026"/>
    <x v="0"/>
    <s v="JULIANE GOMES NOVAIS"/>
    <n v="209099"/>
    <n v="1027"/>
    <n v="1023"/>
    <n v="990"/>
    <n v="999"/>
    <n v="1014"/>
    <n v="999"/>
    <n v="1005"/>
    <n v="998"/>
    <n v="1047"/>
    <n v="999"/>
    <n v="1010.1"/>
    <s v=""/>
    <s v="assinatura"/>
    <n v="402"/>
    <n v="1000"/>
    <n v="1.0100000000000022E-2"/>
    <n v="10.100000000000023"/>
    <x v="31"/>
    <x v="1"/>
  </r>
  <r>
    <x v="30"/>
    <x v="2"/>
    <s v="6aa47d5fc56867042ec57307"/>
    <s v="11/09/2026 19:04:17"/>
    <s v="11/09/2026 19:14:55"/>
    <s v="Ranieli"/>
    <s v="11/09/2026"/>
    <x v="0"/>
    <s v="JULIANE GOMES NOVAIS"/>
    <n v="55552"/>
    <n v="15025"/>
    <n v="15025"/>
    <n v="15020"/>
    <n v="15045"/>
    <n v="15040"/>
    <n v="15035"/>
    <n v="15020"/>
    <n v="15020"/>
    <n v="15025"/>
    <n v="15035"/>
    <n v="15029"/>
    <s v=""/>
    <s v="assinatura"/>
    <n v="520"/>
    <n v="15000"/>
    <n v="1.9333333333333333E-3"/>
    <n v="29"/>
    <x v="25"/>
    <x v="1"/>
  </r>
  <r>
    <x v="30"/>
    <x v="2"/>
    <s v="6aa47d5fc56867042ec57301"/>
    <s v="11/09/2026 19:01:19"/>
    <s v="11/09/2026 19:14:55"/>
    <s v="Ranieli"/>
    <s v="11/09/2026"/>
    <x v="0"/>
    <s v="JULIANE GOMES NOVAIS"/>
    <n v="55552"/>
    <n v="15020"/>
    <n v="15035"/>
    <n v="15035"/>
    <n v="15030"/>
    <n v="15020"/>
    <n v="15025"/>
    <n v="15035"/>
    <n v="15030"/>
    <n v="15045"/>
    <n v="15020"/>
    <n v="15029.5"/>
    <s v=""/>
    <s v="assinatura"/>
    <n v="677"/>
    <n v="15000"/>
    <n v="1.9666666666666665E-3"/>
    <n v="29.5"/>
    <x v="25"/>
    <x v="1"/>
  </r>
  <r>
    <x v="30"/>
    <x v="2"/>
    <s v="6aa47748099e81d4947f2761"/>
    <s v="11/09/2026 18:43:37"/>
    <s v="11/09/2026 18:48:56"/>
    <s v="Ranieli"/>
    <s v="11/09/2026"/>
    <x v="0"/>
    <s v="JULIANE GOMES NOVAIS"/>
    <n v="15229"/>
    <n v="1012"/>
    <n v="1010"/>
    <n v="1016"/>
    <n v="1013"/>
    <n v="1010"/>
    <n v="1015"/>
    <n v="1009"/>
    <n v="1020"/>
    <n v="1022"/>
    <n v="1020"/>
    <n v="1014.7"/>
    <s v=""/>
    <s v="assinatura"/>
    <n v="195"/>
    <n v="1000"/>
    <n v="1.4700000000000045E-2"/>
    <n v="14.700000000000045"/>
    <x v="9"/>
    <x v="1"/>
  </r>
  <r>
    <x v="30"/>
    <x v="2"/>
    <s v="6aa47748099e81d4947f275b"/>
    <s v="11/09/2026 18:37:55"/>
    <s v="11/09/2026 18:48:56"/>
    <s v="Ranieli"/>
    <s v="11/09/2026"/>
    <x v="0"/>
    <s v="JULIANE GOMES NOVAIS"/>
    <n v="13188"/>
    <n v="1018"/>
    <n v="999"/>
    <n v="1013"/>
    <n v="996"/>
    <n v="1015"/>
    <n v="1008"/>
    <n v="1016"/>
    <n v="1018"/>
    <n v="997"/>
    <n v="995"/>
    <n v="1007.5"/>
    <s v=""/>
    <s v="assinatura"/>
    <n v="87"/>
    <n v="1000"/>
    <n v="7.4999999999999997E-3"/>
    <n v="7.5"/>
    <x v="8"/>
    <x v="1"/>
  </r>
  <r>
    <x v="30"/>
    <x v="2"/>
    <s v="6aa47748099e81d4947f2755"/>
    <s v="11/09/2026 18:37:11"/>
    <s v="11/09/2026 18:48:56"/>
    <s v="Ranieli"/>
    <s v="11/09/2026"/>
    <x v="0"/>
    <s v="JULIANE GOMES NOVAIS"/>
    <n v="13188"/>
    <n v="998"/>
    <n v="998"/>
    <n v="1019"/>
    <n v="1011"/>
    <n v="1010"/>
    <n v="1014"/>
    <n v="1005"/>
    <n v="999"/>
    <n v="1006"/>
    <n v="1014"/>
    <n v="1007.4"/>
    <s v=""/>
    <s v="assinatura"/>
    <n v="258"/>
    <n v="1000"/>
    <n v="7.3999999999999769E-3"/>
    <n v="7.3999999999999773"/>
    <x v="8"/>
    <x v="1"/>
  </r>
  <r>
    <x v="30"/>
    <x v="2"/>
    <s v="6aa4740e87b9f57cdf9460be"/>
    <s v="11/09/2026 18:15:06"/>
    <s v="11/09/2026 18:35:10"/>
    <s v="Ranieli"/>
    <s v="11/09/2026"/>
    <x v="0"/>
    <s v="JULIANE GOMES NOVAIS"/>
    <n v="15105"/>
    <n v="1018"/>
    <n v="996"/>
    <n v="1000"/>
    <n v="1018"/>
    <n v="1069"/>
    <n v="1028"/>
    <n v="1014"/>
    <n v="1012"/>
    <n v="1007"/>
    <n v="991"/>
    <n v="1015.3"/>
    <s v=""/>
    <s v="assinatura"/>
    <n v="920"/>
    <n v="1000"/>
    <n v="1.5299999999999954E-2"/>
    <n v="15.299999999999955"/>
    <x v="0"/>
    <x v="0"/>
  </r>
  <r>
    <x v="30"/>
    <x v="2"/>
    <s v="6aa4740b01f1439bbef044f5"/>
    <s v="11/09/2026 18:10:29"/>
    <s v="11/09/2026 18:35:07"/>
    <s v="Ranieli"/>
    <s v="11/09/2026"/>
    <x v="0"/>
    <s v="JULIANE GOMES NOVAIS"/>
    <n v="15105"/>
    <n v="970"/>
    <n v="1020"/>
    <n v="996"/>
    <n v="1014"/>
    <n v="1051"/>
    <n v="1002"/>
    <n v="1060"/>
    <n v="1023"/>
    <n v="1049"/>
    <n v="1056"/>
    <n v="1024.0999999999999"/>
    <s v=""/>
    <s v="assinatura"/>
    <n v="275"/>
    <n v="1000"/>
    <n v="2.409999999999991E-2"/>
    <n v="24.099999999999909"/>
    <x v="0"/>
    <x v="0"/>
  </r>
  <r>
    <x v="30"/>
    <x v="2"/>
    <s v="6aa4660cdc0f84ea8741449d"/>
    <s v="11/09/2026 17:20:38"/>
    <s v="11/09/2026 17:35:24"/>
    <s v="Ranieli"/>
    <s v="11/09/2026"/>
    <x v="0"/>
    <s v="JULIANE GOMES NOVAIS"/>
    <n v="42846"/>
    <n v="1986"/>
    <n v="2007"/>
    <n v="1988"/>
    <n v="2027"/>
    <n v="2001"/>
    <n v="2002"/>
    <n v="1976"/>
    <n v="2009"/>
    <n v="2013"/>
    <n v="2006"/>
    <n v="2001.5"/>
    <s v=""/>
    <s v="assinatura"/>
    <n v="355"/>
    <n v="2000"/>
    <n v="7.5000000000000002E-4"/>
    <n v="1.5"/>
    <x v="6"/>
    <x v="1"/>
  </r>
  <r>
    <x v="30"/>
    <x v="2"/>
    <s v="6aa4660cdc0f84ea87414497"/>
    <s v="11/09/2026 17:14:21"/>
    <s v="11/09/2026 17:35:24"/>
    <s v="Ranieli"/>
    <s v="11/09/2026"/>
    <x v="0"/>
    <s v="JULIANE GOMES NOVAIS"/>
    <n v="42862"/>
    <n v="2012"/>
    <n v="2019"/>
    <n v="2012"/>
    <n v="2013"/>
    <n v="2025"/>
    <n v="2023"/>
    <n v="2015"/>
    <n v="2015"/>
    <n v="2006"/>
    <n v="1995"/>
    <n v="2013.5"/>
    <s v=""/>
    <s v="assinatura"/>
    <n v="711"/>
    <n v="2000"/>
    <n v="6.7499999999999999E-3"/>
    <n v="13.5"/>
    <x v="5"/>
    <x v="1"/>
  </r>
  <r>
    <x v="30"/>
    <x v="2"/>
    <s v="6aa4660cdc0f84ea8741448f"/>
    <s v="11/09/2026 17:12:25"/>
    <s v="11/09/2026 17:35:24"/>
    <s v="Ranieli"/>
    <s v="11/09/2026"/>
    <x v="0"/>
    <s v="JULIANE GOMES NOVAIS"/>
    <n v="42838"/>
    <n v="2014"/>
    <n v="2042"/>
    <n v="2043"/>
    <n v="2040"/>
    <n v="2024"/>
    <n v="2027"/>
    <n v="2037"/>
    <n v="2006"/>
    <n v="2011"/>
    <n v="2030"/>
    <n v="2027.4"/>
    <s v=""/>
    <s v="assinatura"/>
    <n v="810"/>
    <n v="2000"/>
    <n v="1.3700000000000045E-2"/>
    <n v="27.400000000000091"/>
    <x v="7"/>
    <x v="1"/>
  </r>
  <r>
    <x v="30"/>
    <x v="2"/>
    <s v="6aa4660cdc0f84ea87414489"/>
    <s v="11/09/2026 17:09:42"/>
    <s v="11/09/2026 17:35:24"/>
    <s v="Ranieli"/>
    <s v="11/09/2026"/>
    <x v="0"/>
    <s v="JULIANE GOMES NOVAIS"/>
    <n v="42854"/>
    <n v="2104"/>
    <n v="2113"/>
    <n v="2115"/>
    <n v="2080"/>
    <n v="2132"/>
    <n v="2116"/>
    <n v="2099"/>
    <n v="2107"/>
    <n v="2111"/>
    <n v="2124"/>
    <n v="2110.1"/>
    <s v=""/>
    <s v="assinatura"/>
    <n v="949"/>
    <n v="2080"/>
    <n v="1.4471153846153802E-2"/>
    <n v="30.099999999999909"/>
    <x v="4"/>
    <x v="1"/>
  </r>
  <r>
    <x v="30"/>
    <x v="2"/>
    <s v="6aa4660cdc0f84ea87414483"/>
    <s v="11/09/2026 16:56:45"/>
    <s v="11/09/2026 17:35:24"/>
    <s v="Ranieli"/>
    <s v="11/09/2026"/>
    <x v="0"/>
    <s v="JULIANE GOMES NOVAIS"/>
    <n v="40762"/>
    <n v="10030"/>
    <n v="10025"/>
    <n v="10010"/>
    <n v="9990"/>
    <n v="10060"/>
    <n v="10045"/>
    <n v="9955"/>
    <n v="10050"/>
    <n v="9990"/>
    <n v="9960"/>
    <n v="10011.5"/>
    <s v=""/>
    <s v="assinatura"/>
    <n v="300"/>
    <n v="10000"/>
    <n v="1.15E-3"/>
    <n v="11.5"/>
    <x v="3"/>
    <x v="1"/>
  </r>
  <r>
    <x v="30"/>
    <x v="2"/>
    <s v="6aa4660cdc0f84ea8741447d"/>
    <s v="11/09/2026 16:52:53"/>
    <s v="11/09/2026 17:35:24"/>
    <s v="Ranieli"/>
    <s v="11/09/2026"/>
    <x v="0"/>
    <s v="JULIANE GOMES NOVAIS"/>
    <n v="40762"/>
    <n v="9955"/>
    <n v="9990"/>
    <n v="9980"/>
    <n v="10110"/>
    <n v="10020"/>
    <n v="10000"/>
    <n v="9970"/>
    <n v="9960"/>
    <n v="10005"/>
    <n v="9975"/>
    <n v="9996.5"/>
    <s v=""/>
    <s v="assinatura"/>
    <n v="505"/>
    <n v="10000"/>
    <n v="-3.5E-4"/>
    <n v="-3.5"/>
    <x v="3"/>
    <x v="1"/>
  </r>
  <r>
    <x v="30"/>
    <x v="2"/>
    <s v="6aa4660cdc0f84ea87414477"/>
    <s v="11/09/2026 16:42:07"/>
    <s v="11/09/2026 17:35:24"/>
    <s v="Ranieli"/>
    <s v="11/09/2026"/>
    <x v="0"/>
    <s v="JULIANE GOMES NOVAIS"/>
    <n v="15105"/>
    <n v="1011"/>
    <n v="1031"/>
    <n v="1003"/>
    <n v="1011"/>
    <n v="1038"/>
    <n v="1060"/>
    <n v="1019"/>
    <n v="1028"/>
    <n v="1017"/>
    <n v="1037"/>
    <n v="1025.5"/>
    <s v=""/>
    <s v="assinatura"/>
    <n v="347"/>
    <n v="1000"/>
    <n v="2.5499999999999998E-2"/>
    <n v="25.5"/>
    <x v="0"/>
    <x v="0"/>
  </r>
  <r>
    <x v="27"/>
    <x v="2"/>
    <s v="6aa43c77c56867042ec0f4ac"/>
    <s v="10/09/2026 13:27:14"/>
    <s v="11/09/2026 14:37:59"/>
    <s v="Ranieli"/>
    <s v="10/09/2026"/>
    <x v="1"/>
    <s v="RANIELI MARIA MASQUIETI DOURADO"/>
    <n v="15105"/>
    <n v="1011"/>
    <n v="1027"/>
    <n v="1005"/>
    <n v="1004"/>
    <n v="1010"/>
    <n v="1039"/>
    <n v="1015"/>
    <n v="1013"/>
    <n v="1025"/>
    <n v="998"/>
    <n v="1014.7"/>
    <s v=""/>
    <s v="assinatura"/>
    <n v="90642"/>
    <n v="1000"/>
    <n v="1.4700000000000045E-2"/>
    <n v="14.700000000000045"/>
    <x v="0"/>
    <x v="0"/>
  </r>
  <r>
    <x v="31"/>
    <x v="2"/>
    <s v="6aa8cff404d1eda90fa51da5"/>
    <s v="14/09/2026 23:55:30"/>
    <s v="15/09/2026 01:56:20"/>
    <s v="Ranieli"/>
    <s v="14/09/2026"/>
    <x v="0"/>
    <s v="JOSEFA KELY NUNES DE SOUSA"/>
    <n v="15229"/>
    <n v="997"/>
    <n v="1015"/>
    <n v="1011"/>
    <n v="997"/>
    <n v="992"/>
    <n v="1009"/>
    <n v="1009"/>
    <n v="1010"/>
    <n v="1000"/>
    <n v="1010"/>
    <n v="1005"/>
    <s v=""/>
    <s v="assinatura"/>
    <n v="5482"/>
    <n v="1000"/>
    <n v="5.0000000000000001E-3"/>
    <n v="5"/>
    <x v="9"/>
    <x v="1"/>
  </r>
  <r>
    <x v="31"/>
    <x v="2"/>
    <s v="6aa8cff404d1eda90fa51d9f"/>
    <s v="14/09/2026 23:52:39"/>
    <s v="15/09/2026 01:56:20"/>
    <s v="Ranieli"/>
    <s v="14/09/2026"/>
    <x v="0"/>
    <s v="JOSEFA KELY NUNES DE SOUSA"/>
    <n v="13188"/>
    <n v="1002"/>
    <n v="1008"/>
    <n v="992"/>
    <n v="1009"/>
    <n v="1005"/>
    <n v="1001"/>
    <n v="1013"/>
    <n v="1009"/>
    <n v="1004"/>
    <n v="998"/>
    <n v="1004.1"/>
    <s v=""/>
    <s v="assinatura"/>
    <n v="170"/>
    <n v="1000"/>
    <n v="4.1000000000000229E-3"/>
    <n v="4.1000000000000227"/>
    <x v="8"/>
    <x v="1"/>
  </r>
  <r>
    <x v="31"/>
    <x v="2"/>
    <s v="6aa8cff304d1eda90fa51d93"/>
    <s v="14/09/2026 23:27:01"/>
    <s v="15/09/2026 01:56:19"/>
    <s v="Ranieli"/>
    <s v="14/09/2026"/>
    <x v="0"/>
    <s v="JOSEFA KELY NUNES DE SOUSA"/>
    <n v="40762"/>
    <n v="10060"/>
    <n v="9930"/>
    <n v="10015"/>
    <n v="10000"/>
    <n v="9960"/>
    <n v="10045"/>
    <n v="10040"/>
    <n v="9920"/>
    <n v="9965"/>
    <n v="10065"/>
    <n v="10000"/>
    <s v=""/>
    <s v="assinatura"/>
    <n v="583"/>
    <n v="10000"/>
    <n v="0"/>
    <n v="0"/>
    <x v="3"/>
    <x v="1"/>
  </r>
  <r>
    <x v="31"/>
    <x v="2"/>
    <s v="6aa8cff304d1eda90fa51d8d"/>
    <s v="14/09/2026 22:57:33"/>
    <s v="15/09/2026 01:56:19"/>
    <s v="Ranieli"/>
    <s v="14/09/2026"/>
    <x v="0"/>
    <s v="JOSEFA KELY NUNES DE SOUSA"/>
    <n v="15105"/>
    <n v="1014"/>
    <n v="1018"/>
    <n v="997"/>
    <n v="1028"/>
    <n v="1033"/>
    <n v="1001"/>
    <n v="1019"/>
    <n v="993"/>
    <n v="1025"/>
    <n v="1054"/>
    <n v="1018.2"/>
    <s v=""/>
    <s v="assinatura"/>
    <n v="1767"/>
    <n v="1000"/>
    <n v="1.8200000000000046E-2"/>
    <n v="18.200000000000045"/>
    <x v="0"/>
    <x v="0"/>
  </r>
  <r>
    <x v="31"/>
    <x v="2"/>
    <s v="6aa8cff304d1eda90fa51d87"/>
    <s v="14/09/2026 22:03:28"/>
    <s v="15/09/2026 01:56:19"/>
    <s v="Ranieli"/>
    <s v="14/09/2026"/>
    <x v="0"/>
    <s v="JOSEFA KELY NUNES DE SOUSA"/>
    <n v="15849"/>
    <n v="998"/>
    <n v="998"/>
    <n v="1006"/>
    <n v="993"/>
    <n v="1004"/>
    <n v="1005"/>
    <n v="1006"/>
    <n v="992"/>
    <n v="1005"/>
    <n v="995"/>
    <n v="1000.2"/>
    <s v=""/>
    <s v="assinatura"/>
    <n v="136"/>
    <n v="1000"/>
    <n v="2.0000000000004546E-4"/>
    <n v="0.20000000000004547"/>
    <x v="29"/>
    <x v="2"/>
  </r>
  <r>
    <x v="31"/>
    <x v="2"/>
    <s v="6aa8cff304d1eda90fa51d81"/>
    <s v="14/09/2026 21:58:33"/>
    <s v="15/09/2026 01:56:19"/>
    <s v="Ranieli"/>
    <s v="14/09/2026"/>
    <x v="0"/>
    <s v="JOSEFA KELY NUNES DE SOUSA"/>
    <n v="15849"/>
    <n v="1009"/>
    <n v="935"/>
    <n v="996"/>
    <n v="1006"/>
    <n v="1006"/>
    <n v="1003"/>
    <n v="1006"/>
    <n v="1003"/>
    <n v="993"/>
    <n v="998"/>
    <n v="995.5"/>
    <s v=""/>
    <s v="assinatura"/>
    <n v="13390"/>
    <n v="1000"/>
    <n v="-4.4999999999999997E-3"/>
    <n v="-4.5"/>
    <x v="29"/>
    <x v="2"/>
  </r>
  <r>
    <x v="31"/>
    <x v="2"/>
    <s v="6aa8cff304d1eda90fa51d75"/>
    <s v="14/09/2026 21:10:24"/>
    <s v="15/09/2026 01:56:19"/>
    <s v="Ranieli"/>
    <s v="14/09/2026"/>
    <x v="0"/>
    <s v="JOSEFA KELY NUNES DE SOUSA"/>
    <n v="42854"/>
    <n v="2095"/>
    <n v="2142"/>
    <n v="2109"/>
    <n v="2128"/>
    <n v="2085"/>
    <n v="2131"/>
    <n v="2078"/>
    <n v="2143"/>
    <n v="2093"/>
    <n v="2103"/>
    <n v="2110.6999999999998"/>
    <s v=""/>
    <s v=""/>
    <n v="136"/>
    <n v="2080"/>
    <n v="1.4759615384615296E-2"/>
    <n v="30.699999999999818"/>
    <x v="4"/>
    <x v="1"/>
  </r>
  <r>
    <x v="31"/>
    <x v="2"/>
    <s v="6aa8cff304d1eda90fa51d6f"/>
    <s v="14/09/2026 21:08:07"/>
    <s v="15/09/2026 01:56:19"/>
    <s v="Ranieli"/>
    <s v="14/09/2026"/>
    <x v="0"/>
    <s v="JOSEFA KELY NUNES DE SOUSA"/>
    <n v="42862"/>
    <n v="2012"/>
    <n v="2009"/>
    <n v="2030"/>
    <n v="2048"/>
    <n v="2000"/>
    <n v="2029"/>
    <n v="2007"/>
    <n v="1995"/>
    <n v="2026"/>
    <n v="2000"/>
    <n v="2015.6"/>
    <s v=""/>
    <s v="assinatura"/>
    <n v="136"/>
    <n v="2000"/>
    <n v="7.7999999999999545E-3"/>
    <n v="15.599999999999909"/>
    <x v="5"/>
    <x v="1"/>
  </r>
  <r>
    <x v="31"/>
    <x v="2"/>
    <s v="6aa8cff304d1eda90fa51d69"/>
    <s v="14/09/2026 21:05:44"/>
    <s v="15/09/2026 01:56:19"/>
    <s v="Ranieli"/>
    <s v="14/09/2026"/>
    <x v="0"/>
    <s v="JOSEFA KELY NUNES DE SOUSA"/>
    <n v="42846"/>
    <n v="2008"/>
    <n v="2028"/>
    <n v="2000"/>
    <n v="2015"/>
    <n v="2035"/>
    <n v="2009"/>
    <n v="2035"/>
    <n v="2030"/>
    <n v="2033"/>
    <n v="2001"/>
    <n v="2019.4"/>
    <s v=""/>
    <s v=""/>
    <n v="142"/>
    <n v="2000"/>
    <n v="9.7000000000000454E-3"/>
    <n v="19.400000000000091"/>
    <x v="6"/>
    <x v="1"/>
  </r>
  <r>
    <x v="31"/>
    <x v="2"/>
    <s v="6aa8cff304d1eda90fa51d63"/>
    <s v="14/09/2026 20:55:48"/>
    <s v="15/09/2026 01:56:19"/>
    <s v="Ranieli"/>
    <s v="14/09/2026"/>
    <x v="0"/>
    <s v="JOSEFA KELY NUNES DE SOUSA"/>
    <n v="42838"/>
    <n v="2010"/>
    <n v="2043"/>
    <n v="2063"/>
    <n v="2023"/>
    <n v="2050"/>
    <n v="2018"/>
    <n v="2019"/>
    <n v="2049"/>
    <n v="2052"/>
    <n v="2033"/>
    <n v="2036"/>
    <s v=""/>
    <s v="assinatura"/>
    <n v="595"/>
    <n v="2000"/>
    <n v="1.7999999999999999E-2"/>
    <n v="36"/>
    <x v="7"/>
    <x v="1"/>
  </r>
  <r>
    <x v="31"/>
    <x v="2"/>
    <s v="6aa8cff304d1eda90fa51d5d"/>
    <s v="14/09/2026 20:48:18"/>
    <s v="15/09/2026 01:56:19"/>
    <s v="Ranieli"/>
    <s v="14/09/2026"/>
    <x v="0"/>
    <s v="JOSEFA KELY NUNES DE SOUSA"/>
    <n v="995638"/>
    <n v="15020"/>
    <n v="15040"/>
    <n v="15045"/>
    <n v="15005"/>
    <n v="15060"/>
    <n v="15070"/>
    <n v="15025"/>
    <n v="15015"/>
    <n v="15035"/>
    <n v="15015"/>
    <n v="15033"/>
    <s v=""/>
    <s v=""/>
    <n v="448"/>
    <n v="15000"/>
    <n v="2.2000000000000001E-3"/>
    <n v="33"/>
    <x v="21"/>
    <x v="3"/>
  </r>
  <r>
    <x v="31"/>
    <x v="2"/>
    <s v="6aa8cff304d1eda90fa51d55"/>
    <s v="14/09/2026 20:40:50"/>
    <s v="15/09/2026 01:56:19"/>
    <s v="Ranieli"/>
    <s v="14/09/2026"/>
    <x v="0"/>
    <s v="JOSEFA KELY NUNES DE SOUSA"/>
    <n v="992093"/>
    <n v="5011"/>
    <n v="5023"/>
    <n v="5011"/>
    <n v="5012"/>
    <n v="5015"/>
    <n v="5007"/>
    <n v="5013"/>
    <n v="5002"/>
    <n v="5001"/>
    <n v="5008"/>
    <n v="5010.3"/>
    <s v=""/>
    <s v="assinatura"/>
    <n v="446"/>
    <n v="5000"/>
    <n v="2.0600000000000362E-3"/>
    <n v="10.300000000000182"/>
    <x v="13"/>
    <x v="3"/>
  </r>
  <r>
    <x v="31"/>
    <x v="2"/>
    <s v="6aa8cff304d1eda90fa51d4f"/>
    <s v="14/09/2026 20:26:08"/>
    <s v="15/09/2026 01:56:19"/>
    <s v="Ranieli"/>
    <s v="14/09/2026"/>
    <x v="0"/>
    <s v="JOSEFA KELY NUNES DE SOUSA"/>
    <n v="209069"/>
    <n v="1003"/>
    <n v="1003"/>
    <n v="1016"/>
    <n v="998"/>
    <n v="1003"/>
    <n v="1001"/>
    <n v="1004"/>
    <n v="1002"/>
    <n v="1024"/>
    <n v="1027"/>
    <n v="1008.1"/>
    <s v=""/>
    <s v="assinatura"/>
    <n v="139"/>
    <n v="1000"/>
    <n v="8.1000000000000221E-3"/>
    <n v="8.1000000000000227"/>
    <x v="28"/>
    <x v="0"/>
  </r>
  <r>
    <x v="31"/>
    <x v="2"/>
    <s v="6aa8cff204d1eda90fa51d43"/>
    <s v="14/09/2026 17:49:18"/>
    <s v="15/09/2026 01:56:18"/>
    <s v="Ranieli"/>
    <s v="14/09/2026"/>
    <x v="0"/>
    <s v="JOSEFA KELY NUNES DE SOUSA"/>
    <n v="40762"/>
    <n v="10055"/>
    <n v="10035"/>
    <n v="9905"/>
    <n v="10030"/>
    <n v="9970"/>
    <n v="10045"/>
    <n v="10060"/>
    <n v="9990"/>
    <n v="9855"/>
    <n v="9950"/>
    <n v="9989.5"/>
    <s v=""/>
    <s v=""/>
    <n v="476"/>
    <n v="10000"/>
    <n v="-1.0499999999999999E-3"/>
    <n v="-10.5"/>
    <x v="3"/>
    <x v="1"/>
  </r>
  <r>
    <x v="31"/>
    <x v="2"/>
    <s v="6aa8cff204d1eda90fa51d3d"/>
    <s v="14/09/2026 17:44:36"/>
    <s v="15/09/2026 01:56:18"/>
    <s v="Ranieli"/>
    <s v="14/09/2026"/>
    <x v="0"/>
    <s v="JOSEFA KELY NUNES DE SOUSA"/>
    <n v="15229"/>
    <n v="1012"/>
    <n v="1020"/>
    <n v="1014"/>
    <n v="1009"/>
    <n v="1017"/>
    <n v="999"/>
    <n v="1010"/>
    <n v="1016"/>
    <n v="1003"/>
    <n v="989"/>
    <n v="1008.9"/>
    <s v=""/>
    <s v="assinatura"/>
    <n v="280"/>
    <n v="1000"/>
    <n v="8.8999999999999774E-3"/>
    <n v="8.8999999999999773"/>
    <x v="9"/>
    <x v="1"/>
  </r>
  <r>
    <x v="31"/>
    <x v="2"/>
    <s v="6aa8cff204d1eda90fa51d37"/>
    <s v="14/09/2026 17:41:54"/>
    <s v="15/09/2026 01:56:18"/>
    <s v="Ranieli"/>
    <s v="14/09/2026"/>
    <x v="0"/>
    <s v="JOSEFA KELY NUNES DE SOUSA"/>
    <n v="15229"/>
    <n v="992"/>
    <n v="991"/>
    <n v="975"/>
    <n v="978"/>
    <n v="983"/>
    <n v="974"/>
    <n v="988"/>
    <n v="970"/>
    <n v="990"/>
    <n v="986"/>
    <n v="982.7"/>
    <s v=""/>
    <s v=""/>
    <n v="154"/>
    <n v="1000"/>
    <n v="-1.7299999999999954E-2"/>
    <n v="-17.299999999999955"/>
    <x v="9"/>
    <x v="1"/>
  </r>
  <r>
    <x v="31"/>
    <x v="2"/>
    <s v="6aa8cff204d1eda90fa51d31"/>
    <s v="14/09/2026 17:36:56"/>
    <s v="15/09/2026 01:56:18"/>
    <s v="Ranieli"/>
    <s v="14/09/2026"/>
    <x v="0"/>
    <s v="JOSEFA KELY NUNES DE SOUSA"/>
    <n v="13188"/>
    <n v="1012"/>
    <n v="1004"/>
    <n v="1016"/>
    <n v="1004"/>
    <n v="1009"/>
    <n v="1014"/>
    <n v="1011"/>
    <n v="1010"/>
    <n v="996"/>
    <n v="1009"/>
    <n v="1008.5"/>
    <s v=""/>
    <s v="assinatura"/>
    <n v="296"/>
    <n v="1000"/>
    <n v="8.5000000000000006E-3"/>
    <n v="8.5"/>
    <x v="8"/>
    <x v="1"/>
  </r>
  <r>
    <x v="31"/>
    <x v="2"/>
    <s v="6aa8cff204d1eda90fa51d2b"/>
    <s v="14/09/2026 17:33:43"/>
    <s v="15/09/2026 01:56:18"/>
    <s v="Ranieli"/>
    <s v="14/09/2026"/>
    <x v="0"/>
    <s v="JOSEFA KELY NUNES DE SOUSA"/>
    <n v="15849"/>
    <n v="1006"/>
    <n v="997"/>
    <n v="1023"/>
    <n v="1012"/>
    <n v="1002"/>
    <n v="1019"/>
    <n v="1013"/>
    <n v="1020"/>
    <n v="1006"/>
    <n v="1015"/>
    <n v="1011.3"/>
    <s v=""/>
    <s v=""/>
    <n v="192"/>
    <n v="1000"/>
    <n v="1.1299999999999954E-2"/>
    <n v="11.299999999999955"/>
    <x v="29"/>
    <x v="2"/>
  </r>
  <r>
    <x v="31"/>
    <x v="2"/>
    <s v="6aa8cff204d1eda90fa51d25"/>
    <s v="14/09/2026 17:29:32"/>
    <s v="15/09/2026 01:56:18"/>
    <s v="Ranieli"/>
    <s v="14/09/2026"/>
    <x v="0"/>
    <s v="JOSEFA KELY NUNES DE SOUSA"/>
    <n v="15105"/>
    <n v="1011"/>
    <n v="1000"/>
    <n v="1007"/>
    <n v="1010"/>
    <n v="1004"/>
    <n v="1038"/>
    <n v="1007"/>
    <n v="1028"/>
    <n v="830"/>
    <n v="1044"/>
    <n v="997.9"/>
    <s v=""/>
    <s v="assinatura"/>
    <n v="244"/>
    <n v="1000"/>
    <n v="-2.1000000000000229E-3"/>
    <n v="-2.1000000000000227"/>
    <x v="0"/>
    <x v="0"/>
  </r>
  <r>
    <x v="31"/>
    <x v="2"/>
    <s v="6aa8aa9f147e8869a3b3f42e"/>
    <s v="14/09/2026 23:09:00"/>
    <s v="14/09/2026 23:17:03"/>
    <s v="Ranieli"/>
    <s v="14/09/2026"/>
    <x v="0"/>
    <s v="JULIANE GOMES NOVAIS"/>
    <n v="42854"/>
    <n v="2085"/>
    <n v="2094"/>
    <n v="2127"/>
    <n v="2085"/>
    <n v="2087"/>
    <n v="2085"/>
    <n v="2098"/>
    <n v="2110"/>
    <n v="2154"/>
    <n v="2152"/>
    <n v="2107.6999999999998"/>
    <s v=""/>
    <s v="assinatura"/>
    <n v="296"/>
    <n v="2080"/>
    <n v="1.3317307692307604E-2"/>
    <n v="27.699999999999818"/>
    <x v="4"/>
    <x v="1"/>
  </r>
  <r>
    <x v="31"/>
    <x v="2"/>
    <s v="6aa8aa9f147e8869a3b3f428"/>
    <s v="14/09/2026 23:04:38"/>
    <s v="14/09/2026 23:17:03"/>
    <s v="Ranieli"/>
    <s v="14/09/2026"/>
    <x v="0"/>
    <s v="JULIANE GOMES NOVAIS"/>
    <n v="42862"/>
    <n v="2043"/>
    <n v="2024"/>
    <n v="2048"/>
    <n v="2074"/>
    <n v="2045"/>
    <n v="2025"/>
    <n v="2016"/>
    <n v="2022"/>
    <n v="2066"/>
    <n v="2021"/>
    <n v="2038.4"/>
    <s v=""/>
    <s v="assinatura"/>
    <n v="256"/>
    <n v="2000"/>
    <n v="1.9200000000000047E-2"/>
    <n v="38.400000000000091"/>
    <x v="5"/>
    <x v="1"/>
  </r>
  <r>
    <x v="31"/>
    <x v="2"/>
    <s v="6aa8aa9f147e8869a3b3f422"/>
    <s v="14/09/2026 22:59:38"/>
    <s v="14/09/2026 23:17:03"/>
    <s v="Ranieli"/>
    <s v="14/09/2026"/>
    <x v="0"/>
    <s v="JULIANE GOMES NOVAIS"/>
    <n v="42838"/>
    <n v="2027"/>
    <n v="2056"/>
    <n v="2079"/>
    <n v="2027"/>
    <n v="2021"/>
    <n v="2051"/>
    <n v="2019"/>
    <n v="2054"/>
    <n v="2031"/>
    <n v="2032"/>
    <n v="2039.7"/>
    <s v=""/>
    <s v="assinatura"/>
    <n v="160"/>
    <n v="2000"/>
    <n v="1.9850000000000024E-2"/>
    <n v="39.700000000000045"/>
    <x v="7"/>
    <x v="1"/>
  </r>
  <r>
    <x v="31"/>
    <x v="2"/>
    <s v="6aa8aa9f147e8869a3b3f41c"/>
    <s v="14/09/2026 22:54:29"/>
    <s v="14/09/2026 23:17:03"/>
    <s v="Ranieli"/>
    <s v="14/09/2026"/>
    <x v="0"/>
    <s v="JULIANE GOMES NOVAIS"/>
    <n v="42820"/>
    <n v="2047"/>
    <n v="1998"/>
    <n v="2038"/>
    <n v="2054"/>
    <n v="2028"/>
    <n v="2006"/>
    <n v="2048"/>
    <n v="2047"/>
    <n v="2028"/>
    <n v="2036"/>
    <n v="2033"/>
    <s v=""/>
    <s v="assinatura"/>
    <n v="301"/>
    <n v="2000"/>
    <n v="1.6500000000000001E-2"/>
    <n v="33"/>
    <x v="10"/>
    <x v="1"/>
  </r>
  <r>
    <x v="31"/>
    <x v="2"/>
    <s v="6aa8aa9f147e8869a3b3f414"/>
    <s v="14/09/2026 22:46:58"/>
    <s v="14/09/2026 23:17:03"/>
    <s v="Ranieli"/>
    <s v="14/09/2026"/>
    <x v="0"/>
    <s v="JULIANE GOMES NOVAIS"/>
    <n v="42811"/>
    <n v="2028"/>
    <n v="2000"/>
    <n v="1987"/>
    <n v="2005"/>
    <n v="2029"/>
    <n v="2023"/>
    <n v="2000"/>
    <n v="1990"/>
    <n v="2009"/>
    <n v="2008"/>
    <n v="2007.9"/>
    <s v=""/>
    <s v="assinatura"/>
    <n v="441"/>
    <n v="2000"/>
    <n v="3.9500000000000455E-3"/>
    <n v="7.9000000000000909"/>
    <x v="32"/>
    <x v="1"/>
  </r>
  <r>
    <x v="31"/>
    <x v="2"/>
    <s v="6aa8aa9f147e8869a3b3f40e"/>
    <s v="14/09/2026 22:43:41"/>
    <s v="14/09/2026 23:17:03"/>
    <s v="Ranieli"/>
    <s v="14/09/2026"/>
    <x v="0"/>
    <s v="JULIANE GOMES NOVAIS"/>
    <n v="864048"/>
    <n v="2046"/>
    <n v="2033"/>
    <n v="2011"/>
    <n v="2001"/>
    <n v="2039"/>
    <n v="2009"/>
    <n v="2040"/>
    <n v="2008"/>
    <n v="2026"/>
    <n v="2012"/>
    <n v="2022.5"/>
    <s v=""/>
    <s v="assinatura"/>
    <n v="190"/>
    <n v="2000"/>
    <n v="1.125E-2"/>
    <n v="22.5"/>
    <x v="26"/>
    <x v="1"/>
  </r>
  <r>
    <x v="31"/>
    <x v="2"/>
    <s v="6aa8aa9f147e8869a3b3f408"/>
    <s v="14/09/2026 22:38:20"/>
    <s v="14/09/2026 23:17:03"/>
    <s v="Ranieli"/>
    <s v="14/09/2026"/>
    <x v="0"/>
    <s v="JULIANE GOMES NOVAIS"/>
    <n v="42846"/>
    <n v="2014"/>
    <n v="2020"/>
    <n v="2023"/>
    <n v="2018"/>
    <n v="2032"/>
    <n v="2009"/>
    <n v="2018"/>
    <n v="2028"/>
    <n v="2020"/>
    <n v="2041"/>
    <n v="2022.3"/>
    <s v=""/>
    <s v="assinatura"/>
    <n v="188"/>
    <n v="2000"/>
    <n v="1.1149999999999978E-2"/>
    <n v="22.299999999999955"/>
    <x v="6"/>
    <x v="1"/>
  </r>
  <r>
    <x v="31"/>
    <x v="2"/>
    <s v="6aa8a03a5a2a2f82610c197d"/>
    <s v="14/09/2026 22:27:52"/>
    <s v="14/09/2026 22:32:42"/>
    <s v="Ranieli"/>
    <s v="14/09/2026"/>
    <x v="0"/>
    <s v="JULIANE GOMES NOVAIS"/>
    <n v="55552"/>
    <n v="15000"/>
    <n v="15000"/>
    <n v="15005"/>
    <n v="15000"/>
    <n v="15010"/>
    <n v="15010"/>
    <n v="14970"/>
    <n v="14990"/>
    <n v="14990"/>
    <n v="15005"/>
    <n v="14998"/>
    <s v=""/>
    <s v="assinatura"/>
    <n v="213"/>
    <n v="15000"/>
    <n v="-1.3333333333333334E-4"/>
    <n v="-2"/>
    <x v="25"/>
    <x v="1"/>
  </r>
  <r>
    <x v="31"/>
    <x v="2"/>
    <s v="6aa89d9004d1eda90fa50c0b"/>
    <s v="14/09/2026 22:07:00"/>
    <s v="14/09/2026 22:21:20"/>
    <s v="Ranieli"/>
    <s v="14/09/2026"/>
    <x v="0"/>
    <s v="JULIANE GOMES NOVAIS"/>
    <n v="40762"/>
    <n v="10035"/>
    <n v="10015"/>
    <n v="9970"/>
    <n v="10065"/>
    <n v="9060"/>
    <n v="10003"/>
    <n v="10030"/>
    <n v="10035"/>
    <n v="9985"/>
    <n v="10010"/>
    <n v="9920.7999999999993"/>
    <s v=""/>
    <s v="assinatura"/>
    <n v="458"/>
    <n v="10000"/>
    <n v="-7.9200000000000728E-3"/>
    <n v="-79.200000000000728"/>
    <x v="3"/>
    <x v="1"/>
  </r>
  <r>
    <x v="31"/>
    <x v="2"/>
    <s v="6aa89d9004d1eda90fa50c05"/>
    <s v="14/09/2026 22:03:10"/>
    <s v="14/09/2026 22:21:20"/>
    <s v="Ranieli"/>
    <s v="14/09/2026"/>
    <x v="0"/>
    <s v="JULIANE GOMES NOVAIS"/>
    <n v="40762"/>
    <n v="10055"/>
    <n v="10005"/>
    <n v="10035"/>
    <n v="9910"/>
    <n v="10065"/>
    <n v="10025"/>
    <n v="10050"/>
    <n v="10020"/>
    <n v="10065"/>
    <n v="10030"/>
    <n v="10026"/>
    <s v=""/>
    <s v="assinatura"/>
    <n v="712"/>
    <n v="10000"/>
    <n v="2.5999999999999999E-3"/>
    <n v="26"/>
    <x v="3"/>
    <x v="1"/>
  </r>
  <r>
    <x v="31"/>
    <x v="2"/>
    <s v="6aa89d9004d1eda90fa50bff"/>
    <s v="14/09/2026 21:40:45"/>
    <s v="14/09/2026 22:21:20"/>
    <s v="Ranieli"/>
    <s v="14/09/2026"/>
    <x v="0"/>
    <s v="JULIANE GOMES NOVAIS"/>
    <n v="209069"/>
    <n v="1007"/>
    <n v="1006"/>
    <n v="997"/>
    <n v="993"/>
    <n v="1073"/>
    <n v="1062"/>
    <n v="1047"/>
    <n v="1006"/>
    <n v="1000"/>
    <n v="1043"/>
    <n v="1023.4"/>
    <s v=""/>
    <s v="assinatura"/>
    <n v="2405"/>
    <n v="1000"/>
    <n v="2.3399999999999976E-2"/>
    <n v="23.399999999999977"/>
    <x v="28"/>
    <x v="0"/>
  </r>
  <r>
    <x v="31"/>
    <x v="2"/>
    <s v="6aa894cfdc0f84ea874520a8"/>
    <s v="14/09/2026 20:57:02"/>
    <s v="14/09/2026 21:43:59"/>
    <s v="Ranieli"/>
    <s v="14/09/2026"/>
    <x v="0"/>
    <s v="JULIANE GOMES NOVAIS"/>
    <n v="15229"/>
    <n v="1014"/>
    <n v="1000"/>
    <n v="1003"/>
    <n v="998"/>
    <n v="1008"/>
    <n v="995"/>
    <n v="1015"/>
    <n v="1004"/>
    <n v="1006"/>
    <n v="1001"/>
    <n v="1004.4"/>
    <s v=""/>
    <s v="assinatura"/>
    <n v="556"/>
    <n v="1000"/>
    <n v="4.3999999999999768E-3"/>
    <n v="4.3999999999999773"/>
    <x v="9"/>
    <x v="1"/>
  </r>
  <r>
    <x v="31"/>
    <x v="2"/>
    <s v="6aa894cfdc0f84ea874520a2"/>
    <s v="14/09/2026 20:47:35"/>
    <s v="14/09/2026 21:43:59"/>
    <s v="Ranieli"/>
    <s v="14/09/2026"/>
    <x v="0"/>
    <s v="JULIANE GOMES NOVAIS"/>
    <n v="15105"/>
    <n v="1018"/>
    <n v="1042"/>
    <n v="1026"/>
    <n v="1070"/>
    <n v="1042"/>
    <n v="1010"/>
    <n v="1017"/>
    <n v="985"/>
    <n v="1156"/>
    <n v="1038"/>
    <n v="1040.4000000000001"/>
    <s v=""/>
    <s v="assinatura"/>
    <n v="254"/>
    <n v="1000"/>
    <n v="4.0400000000000089E-2"/>
    <n v="40.400000000000091"/>
    <x v="0"/>
    <x v="0"/>
  </r>
  <r>
    <x v="31"/>
    <x v="2"/>
    <s v="6aa894bedc0f84ea8745208e"/>
    <s v="14/09/2026 20:53:26"/>
    <s v="14/09/2026 21:43:42"/>
    <s v="Ranieli"/>
    <s v="14/09/2026"/>
    <x v="0"/>
    <s v="JULIANE GOMES NOVAIS"/>
    <n v="13188"/>
    <n v="1008"/>
    <n v="998"/>
    <n v="1001"/>
    <n v="1009"/>
    <n v="1004"/>
    <n v="999"/>
    <n v="1008"/>
    <n v="1007"/>
    <n v="996"/>
    <n v="1011"/>
    <n v="1004.1"/>
    <s v=""/>
    <s v="assinatura"/>
    <n v="758"/>
    <n v="1000"/>
    <n v="4.1000000000000229E-3"/>
    <n v="4.1000000000000227"/>
    <x v="8"/>
    <x v="1"/>
  </r>
  <r>
    <x v="31"/>
    <x v="2"/>
    <s v="6aa869f5de1f761187724314"/>
    <s v="14/09/2026 18:21:48"/>
    <s v="14/09/2026 18:41:09"/>
    <s v="Ranieli"/>
    <s v="14/09/2026"/>
    <x v="0"/>
    <s v="JULIANE GOMES NOVAIS"/>
    <n v="15849"/>
    <n v="1003"/>
    <n v="1017"/>
    <n v="1005"/>
    <n v="1013"/>
    <n v="996"/>
    <n v="997"/>
    <n v="1016"/>
    <n v="1018"/>
    <n v="1003"/>
    <n v="1013"/>
    <n v="1008.1"/>
    <s v=""/>
    <s v="assinatura"/>
    <n v="1159"/>
    <n v="1000"/>
    <n v="8.1000000000000221E-3"/>
    <n v="8.1000000000000227"/>
    <x v="29"/>
    <x v="2"/>
  </r>
  <r>
    <x v="31"/>
    <x v="2"/>
    <s v="6aa869dd01f1439bbef4ff03"/>
    <s v="14/09/2026 18:16:42"/>
    <s v="14/09/2026 18:40:45"/>
    <s v="Ranieli"/>
    <s v="14/09/2026"/>
    <x v="0"/>
    <s v="JULIANE GOMES NOVAIS"/>
    <n v="15105"/>
    <n v="986"/>
    <n v="997"/>
    <n v="996"/>
    <n v="1022"/>
    <n v="991"/>
    <n v="1005"/>
    <n v="1036"/>
    <n v="1004"/>
    <n v="1042"/>
    <n v="1019"/>
    <n v="1010"/>
    <s v=""/>
    <s v="assinatura"/>
    <n v="192"/>
    <n v="1000"/>
    <n v="0.01"/>
    <n v="10"/>
    <x v="0"/>
    <x v="0"/>
  </r>
  <r>
    <x v="31"/>
    <x v="2"/>
    <s v="6aa85d795a8aa69b94b4eb4f"/>
    <s v="14/09/2026 17:39:01"/>
    <s v="14/09/2026 17:47:53"/>
    <s v="Ranieli"/>
    <s v="14/09/2026"/>
    <x v="0"/>
    <s v="JULIANE GOMES NOVAIS"/>
    <n v="40762"/>
    <n v="10065"/>
    <n v="10125"/>
    <n v="10060"/>
    <n v="10050"/>
    <n v="10125"/>
    <n v="10045"/>
    <n v="10045"/>
    <n v="10025"/>
    <n v="10005"/>
    <n v="10020"/>
    <n v="10056.5"/>
    <s v=""/>
    <s v="assinatura"/>
    <n v="347"/>
    <n v="10000"/>
    <n v="5.6499999999999996E-3"/>
    <n v="56.5"/>
    <x v="3"/>
    <x v="1"/>
  </r>
  <r>
    <x v="31"/>
    <x v="2"/>
    <s v="6aa85a8cc56867042ec99729"/>
    <s v="14/09/2026 17:33:21"/>
    <s v="14/09/2026 17:35:24"/>
    <s v="Ranieli"/>
    <s v="14/09/2026"/>
    <x v="0"/>
    <s v="JULIANE GOMES NOVAIS"/>
    <n v="15229"/>
    <n v="1006"/>
    <n v="995"/>
    <n v="1007"/>
    <n v="1013"/>
    <n v="1004"/>
    <n v="1009"/>
    <n v="998"/>
    <n v="1006"/>
    <n v="1008"/>
    <n v="1005"/>
    <n v="1005.1"/>
    <s v=""/>
    <s v="assinatura"/>
    <n v="108"/>
    <n v="1000"/>
    <n v="5.1000000000000229E-3"/>
    <n v="5.1000000000000227"/>
    <x v="9"/>
    <x v="1"/>
  </r>
  <r>
    <x v="31"/>
    <x v="2"/>
    <s v="6aa859d007e3da2eb616a557"/>
    <s v="14/09/2026 17:28:56"/>
    <s v="14/09/2026 17:32:16"/>
    <s v="Ranieli"/>
    <s v="14/09/2026"/>
    <x v="0"/>
    <s v="JULIANE GOMES NOVAIS"/>
    <n v="13188"/>
    <n v="1018"/>
    <n v="996"/>
    <n v="1015"/>
    <n v="998"/>
    <n v="997"/>
    <n v="1011"/>
    <n v="1001"/>
    <n v="1014"/>
    <n v="1000"/>
    <n v="1009"/>
    <n v="1005.9"/>
    <s v=""/>
    <s v="assinatura"/>
    <n v="195"/>
    <n v="1000"/>
    <n v="5.8999999999999773E-3"/>
    <n v="5.8999999999999773"/>
    <x v="8"/>
    <x v="1"/>
  </r>
  <r>
    <x v="31"/>
    <x v="2"/>
    <s v="6aa82f2307e3da2eb6166d52"/>
    <s v="14/09/2026 14:22:57"/>
    <s v="14/09/2026 14:30:11"/>
    <s v="Ranieli"/>
    <s v="14/09/2026"/>
    <x v="1"/>
    <s v="RANIELI MARIA MASQUIETI DOURADO"/>
    <n v="197734"/>
    <n v="1021"/>
    <n v="1015"/>
    <n v="1031"/>
    <n v="1020"/>
    <n v="1007"/>
    <n v="1005"/>
    <n v="984"/>
    <n v="1001"/>
    <n v="1006"/>
    <n v="1008"/>
    <n v="1009.8"/>
    <s v=""/>
    <s v="assinatura"/>
    <n v="416"/>
    <n v="1000"/>
    <n v="9.7999999999999546E-3"/>
    <n v="9.7999999999999545"/>
    <x v="2"/>
    <x v="2"/>
  </r>
  <r>
    <x v="31"/>
    <x v="2"/>
    <s v="6aa82f2307e3da2eb6166d4c"/>
    <s v="14/09/2026 14:16:08"/>
    <s v="14/09/2026 14:30:11"/>
    <s v="Ranieli"/>
    <s v="14/09/2026"/>
    <x v="1"/>
    <s v="RANIELI MARIA MASQUIETI DOURADO"/>
    <n v="15105"/>
    <n v="997"/>
    <n v="1021"/>
    <n v="1048"/>
    <n v="1020"/>
    <n v="1137"/>
    <n v="1001"/>
    <n v="1016"/>
    <n v="998"/>
    <n v="1001"/>
    <n v="1217"/>
    <n v="1045.5999999999999"/>
    <s v=""/>
    <s v="assinatura"/>
    <n v="239"/>
    <n v="1000"/>
    <n v="4.5599999999999911E-2"/>
    <n v="45.599999999999909"/>
    <x v="0"/>
    <x v="0"/>
  </r>
  <r>
    <x v="31"/>
    <x v="2"/>
    <s v="6aa82f2307e3da2eb6166d46"/>
    <s v="14/09/2026 14:06:48"/>
    <s v="14/09/2026 14:30:11"/>
    <s v="Ranieli"/>
    <s v="14/09/2026"/>
    <x v="1"/>
    <s v="RANIELI MARIA MASQUIETI DOURADO"/>
    <n v="864048"/>
    <n v="2011"/>
    <n v="2023"/>
    <n v="2048"/>
    <n v="2092"/>
    <n v="2053"/>
    <n v="2026"/>
    <n v="2064"/>
    <n v="2058"/>
    <n v="2018"/>
    <n v="2032"/>
    <n v="2042.5"/>
    <s v=""/>
    <s v="assinatura"/>
    <n v="228"/>
    <n v="2000"/>
    <n v="2.1250000000000002E-2"/>
    <n v="42.5"/>
    <x v="26"/>
    <x v="1"/>
  </r>
  <r>
    <x v="31"/>
    <x v="2"/>
    <s v="6aa82d2b045994c753e4e29c"/>
    <s v="14/09/2026 14:10:37"/>
    <s v="14/09/2026 14:21:47"/>
    <s v="Ranieli"/>
    <s v="14/09/2026"/>
    <x v="1"/>
    <s v="RANIELI MARIA MASQUIETI DOURADO"/>
    <n v="42846"/>
    <n v="2048"/>
    <n v="2010"/>
    <n v="2036"/>
    <n v="2046"/>
    <n v="2002"/>
    <n v="2033"/>
    <n v="2019"/>
    <n v="2073"/>
    <n v="2012"/>
    <n v="2057"/>
    <n v="2033.6"/>
    <s v=""/>
    <s v="assinatura"/>
    <n v="192"/>
    <n v="2000"/>
    <n v="1.6799999999999954E-2"/>
    <n v="33.599999999999909"/>
    <x v="6"/>
    <x v="1"/>
  </r>
  <r>
    <x v="31"/>
    <x v="2"/>
    <s v="6aa81c426506521d1cf1e0e6"/>
    <s v="14/09/2026 12:00:00"/>
    <s v="14/09/2026 13:09:38"/>
    <s v="Ranieli"/>
    <s v="14/09/2026"/>
    <x v="1"/>
    <s v="ALANA DA SILVA MARTINS"/>
    <n v="42862"/>
    <n v="2022"/>
    <n v="2040"/>
    <n v="2032"/>
    <n v="2035"/>
    <n v="2021"/>
    <n v="2024"/>
    <n v="2026"/>
    <n v="2026"/>
    <n v="2020"/>
    <n v="2059"/>
    <n v="2030.5"/>
    <s v=""/>
    <s v="assinatura"/>
    <n v="290"/>
    <n v="2000"/>
    <n v="1.525E-2"/>
    <n v="30.5"/>
    <x v="5"/>
    <x v="1"/>
  </r>
  <r>
    <x v="31"/>
    <x v="2"/>
    <s v="6aa81c426506521d1cf1e0e0"/>
    <s v="14/09/2026 11:56:18"/>
    <s v="14/09/2026 13:09:38"/>
    <s v="Ranieli"/>
    <s v="14/09/2026"/>
    <x v="1"/>
    <s v="ALANA DA SILVA MARTINS"/>
    <n v="54632"/>
    <n v="1002"/>
    <n v="1002"/>
    <n v="1008"/>
    <n v="1003"/>
    <n v="1011"/>
    <n v="1005"/>
    <n v="1007"/>
    <n v="1019"/>
    <n v="1015"/>
    <n v="1014"/>
    <n v="1008.6"/>
    <s v=""/>
    <s v="assinatura"/>
    <n v="218"/>
    <n v="1000"/>
    <n v="8.6000000000000226E-3"/>
    <n v="8.6000000000000227"/>
    <x v="11"/>
    <x v="1"/>
  </r>
  <r>
    <x v="31"/>
    <x v="2"/>
    <s v="6aa81c426506521d1cf1e0da"/>
    <s v="14/09/2026 11:45:02"/>
    <s v="14/09/2026 13:09:38"/>
    <s v="Ranieli"/>
    <s v="14/09/2026"/>
    <x v="1"/>
    <s v="ALANA DA SILVA MARTINS"/>
    <n v="18163"/>
    <n v="1019"/>
    <n v="1015"/>
    <n v="1016"/>
    <n v="1017"/>
    <n v="1013"/>
    <n v="1013"/>
    <n v="1018"/>
    <n v="1027"/>
    <n v="977"/>
    <n v="948"/>
    <n v="1006.3"/>
    <s v=""/>
    <s v="assinatura"/>
    <n v="655"/>
    <n v="1000"/>
    <n v="6.2999999999999549E-3"/>
    <n v="6.2999999999999545"/>
    <x v="27"/>
    <x v="6"/>
  </r>
  <r>
    <x v="29"/>
    <x v="2"/>
    <s v="6aa81c426506521d1cf1e0d4"/>
    <s v="12/09/2026 14:50:55"/>
    <s v="14/09/2026 13:09:38"/>
    <s v="Ranieli"/>
    <s v="12/09/2026"/>
    <x v="1"/>
    <s v="ALANA DA SILVA MARTINS"/>
    <n v="15105"/>
    <n v="1065"/>
    <n v="1014"/>
    <n v="1002"/>
    <n v="1050"/>
    <n v="1021"/>
    <n v="993"/>
    <n v="1014"/>
    <n v="1032"/>
    <n v="986"/>
    <n v="1022"/>
    <n v="1019.9"/>
    <s v=""/>
    <s v="assinatura"/>
    <n v="207"/>
    <n v="1000"/>
    <n v="1.9899999999999977E-2"/>
    <n v="19.899999999999977"/>
    <x v="0"/>
    <x v="0"/>
  </r>
  <r>
    <x v="30"/>
    <x v="2"/>
    <s v="6aa81c426506521d1cf1e0ce"/>
    <s v="11/09/2026 14:33:04"/>
    <s v="14/09/2026 13:09:38"/>
    <s v="Ranieli"/>
    <s v="11/09/2026"/>
    <x v="1"/>
    <s v="ALANA DA SILVA MARTINS"/>
    <n v="42838"/>
    <n v="2089"/>
    <n v="2066"/>
    <n v="2111"/>
    <n v="2065"/>
    <n v="2075"/>
    <n v="2041"/>
    <n v="2087"/>
    <n v="2104"/>
    <n v="2022"/>
    <n v="2091"/>
    <n v="2075.1"/>
    <s v=""/>
    <s v="assinatura"/>
    <n v="230"/>
    <n v="2000"/>
    <n v="3.7549999999999951E-2"/>
    <n v="75.099999999999909"/>
    <x v="7"/>
    <x v="1"/>
  </r>
  <r>
    <x v="30"/>
    <x v="2"/>
    <s v="6aa81c426506521d1cf1e0c8"/>
    <s v="11/09/2026 14:26:19"/>
    <s v="14/09/2026 13:09:38"/>
    <s v="Ranieli"/>
    <s v="11/09/2026"/>
    <x v="1"/>
    <s v="ALANA DA SILVA MARTINS"/>
    <n v="42846"/>
    <n v="2011"/>
    <n v="2006"/>
    <n v="1998"/>
    <n v="2008"/>
    <n v="2011"/>
    <n v="2022"/>
    <n v="2044"/>
    <n v="2015"/>
    <n v="2007"/>
    <n v="2234"/>
    <n v="2035.6"/>
    <s v=""/>
    <s v="assinatura"/>
    <n v="329"/>
    <n v="2000"/>
    <n v="1.7799999999999955E-2"/>
    <n v="35.599999999999909"/>
    <x v="6"/>
    <x v="1"/>
  </r>
  <r>
    <x v="30"/>
    <x v="2"/>
    <s v="6aa81c426506521d1cf1e0c2"/>
    <s v="11/09/2026 14:23:28"/>
    <s v="14/09/2026 13:09:38"/>
    <s v="Ranieli"/>
    <s v="11/09/2026"/>
    <x v="1"/>
    <s v="ALANA DA SILVA MARTINS"/>
    <n v="54632"/>
    <n v="1012"/>
    <n v="1018"/>
    <n v="1004"/>
    <n v="1017"/>
    <n v="1021"/>
    <n v="1005"/>
    <n v="1017"/>
    <n v="1012"/>
    <n v="1010"/>
    <n v="1020"/>
    <n v="1013.6"/>
    <s v=""/>
    <s v="assinatura"/>
    <n v="166"/>
    <n v="1000"/>
    <n v="1.3600000000000024E-2"/>
    <n v="13.600000000000023"/>
    <x v="11"/>
    <x v="1"/>
  </r>
  <r>
    <x v="30"/>
    <x v="2"/>
    <s v="6aa81c426506521d1cf1e0bc"/>
    <s v="11/09/2026 14:18:38"/>
    <s v="14/09/2026 13:09:38"/>
    <s v="Ranieli"/>
    <s v="11/09/2026"/>
    <x v="1"/>
    <s v="ALANA DA SILVA MARTINS"/>
    <n v="15105"/>
    <n v="1001"/>
    <n v="980"/>
    <n v="999"/>
    <n v="989"/>
    <n v="994"/>
    <n v="1014"/>
    <n v="999"/>
    <n v="1004"/>
    <n v="998"/>
    <n v="1015"/>
    <n v="999.3"/>
    <s v=""/>
    <s v="assinatura"/>
    <n v="166"/>
    <n v="1000"/>
    <n v="-7.0000000000004542E-4"/>
    <n v="-0.70000000000004547"/>
    <x v="0"/>
    <x v="0"/>
  </r>
  <r>
    <x v="30"/>
    <x v="2"/>
    <s v="6aa81c416506521d1cf1e0b6"/>
    <s v="11/09/2026 12:58:04"/>
    <s v="14/09/2026 13:09:37"/>
    <s v="Ranieli"/>
    <s v="11/09/2026"/>
    <x v="1"/>
    <s v="ALANA DA SILVA MARTINS"/>
    <n v="15105"/>
    <n v="1000"/>
    <n v="992"/>
    <n v="1096"/>
    <n v="1019"/>
    <n v="969"/>
    <n v="1017"/>
    <n v="992"/>
    <n v="1022"/>
    <n v="1025"/>
    <n v="1009"/>
    <n v="1014.1"/>
    <s v=""/>
    <s v="assinatura"/>
    <n v="371"/>
    <n v="1000"/>
    <n v="1.4100000000000022E-2"/>
    <n v="14.100000000000023"/>
    <x v="0"/>
    <x v="0"/>
  </r>
  <r>
    <x v="30"/>
    <x v="2"/>
    <s v="6aa81c416506521d1cf1e0b0"/>
    <s v="11/09/2026 12:49:04"/>
    <s v="14/09/2026 13:09:37"/>
    <s v="Ranieli"/>
    <s v="11/09/2026"/>
    <x v="1"/>
    <s v="ALANA DA SILVA MARTINS"/>
    <n v="42854"/>
    <n v="2172"/>
    <n v="2163"/>
    <n v="2157"/>
    <n v="2158"/>
    <n v="2165"/>
    <n v="2161"/>
    <n v="2151"/>
    <n v="2090"/>
    <n v="2169"/>
    <n v="2152"/>
    <n v="2153.8000000000002"/>
    <s v=""/>
    <s v="assinatura"/>
    <n v="252"/>
    <n v="2080"/>
    <n v="3.5480769230769316E-2"/>
    <n v="73.800000000000182"/>
    <x v="4"/>
    <x v="1"/>
  </r>
  <r>
    <x v="32"/>
    <x v="2"/>
    <s v="6aa97eec067199cb194812ab"/>
    <s v="15/09/2026 11:39:00"/>
    <s v="15/09/2026 14:22:52"/>
    <s v="Ranieli"/>
    <s v="15/09/2026"/>
    <x v="1"/>
    <s v="ALANA DA SILVA MARTINS"/>
    <n v="42862"/>
    <n v="2069"/>
    <n v="2135"/>
    <n v="2102"/>
    <n v="2101"/>
    <n v="2115"/>
    <n v="2015"/>
    <n v="2078"/>
    <n v="2138"/>
    <n v="2082"/>
    <n v="2073"/>
    <n v="2090.8000000000002"/>
    <s v=""/>
    <s v="assinatura"/>
    <n v="2250"/>
    <n v="2000"/>
    <n v="4.5400000000000093E-2"/>
    <n v="90.800000000000182"/>
    <x v="5"/>
    <x v="1"/>
  </r>
  <r>
    <x v="32"/>
    <x v="2"/>
    <s v="6aa869f5de1f761187724314"/>
    <s v="14/09/2026 18:21:48"/>
    <s v="14/09/2026 18:41:09"/>
    <s v="Ranieli"/>
    <s v="15/09/2026"/>
    <x v="0"/>
    <s v="JULIANE GOMES NOVAIS"/>
    <n v="15849"/>
    <n v="1003"/>
    <n v="1017"/>
    <n v="1005"/>
    <n v="1013"/>
    <n v="996"/>
    <n v="997"/>
    <n v="1016"/>
    <n v="1018"/>
    <n v="1003"/>
    <n v="1013"/>
    <n v="1008.1"/>
    <s v=""/>
    <s v="assinatura"/>
    <n v="1159"/>
    <n v="1000"/>
    <n v="8.1000000000000221E-3"/>
    <n v="8.1000000000000227"/>
    <x v="29"/>
    <x v="2"/>
  </r>
  <r>
    <x v="31"/>
    <x v="2"/>
    <s v="6aa869dd01f1439bbef4ff03"/>
    <s v="14/09/2026 18:16:42"/>
    <s v="14/09/2026 18:40:45"/>
    <s v="Ranieli"/>
    <s v="14/09/2026"/>
    <x v="0"/>
    <s v="JULIANE GOMES NOVAIS"/>
    <n v="15105"/>
    <n v="986"/>
    <n v="997"/>
    <n v="996"/>
    <n v="1022"/>
    <n v="991"/>
    <n v="1005"/>
    <n v="1036"/>
    <n v="1004"/>
    <n v="1042"/>
    <n v="1191"/>
    <n v="1027"/>
    <s v=""/>
    <s v="assinatura"/>
    <n v="192"/>
    <n v="1000"/>
    <n v="2.7E-2"/>
    <n v="27"/>
    <x v="0"/>
    <x v="0"/>
  </r>
  <r>
    <x v="29"/>
    <x v="2"/>
    <s v="6aa5bb786506521d1cee687a"/>
    <s v="12/09/2026 17:29:48"/>
    <s v="12/09/2026 17:52:08"/>
    <s v="Ranieli"/>
    <s v="12/09/2026"/>
    <x v="0"/>
    <s v="JULIANE GOMES NOVAIS"/>
    <n v="42846"/>
    <n v="2037"/>
    <n v="2000"/>
    <n v="1999"/>
    <n v="2020"/>
    <n v="2058"/>
    <n v="1997"/>
    <n v="2016"/>
    <n v="1995"/>
    <n v="1999"/>
    <n v="2012"/>
    <n v="2013"/>
    <s v=""/>
    <s v="assinatura"/>
    <n v="243"/>
    <n v="2000"/>
    <n v="6.4999999999999997E-3"/>
    <n v="13"/>
    <x v="6"/>
    <x v="1"/>
  </r>
  <r>
    <x v="29"/>
    <x v="2"/>
    <s v="6aa5b2ba55df232954033850"/>
    <s v="12/09/2026 17:00:39"/>
    <s v="12/09/2026 17:14:50"/>
    <s v="Ranieli"/>
    <s v="12/09/2026"/>
    <x v="0"/>
    <s v="JULIANE GOMES NOVAIS"/>
    <n v="40762"/>
    <n v="10040"/>
    <n v="9980"/>
    <n v="10120"/>
    <n v="10040"/>
    <n v="9965"/>
    <n v="10095"/>
    <n v="9980"/>
    <n v="9945"/>
    <n v="10140"/>
    <n v="10080"/>
    <n v="10039"/>
    <s v=""/>
    <s v="assinatura"/>
    <n v="825"/>
    <n v="10000"/>
    <n v="3.8999999999999998E-3"/>
    <n v="39"/>
    <x v="3"/>
    <x v="1"/>
  </r>
  <r>
    <x v="26"/>
    <x v="2"/>
    <s v="6aa0ebbc1c0532de53489411"/>
    <s v="08/09/2026 22:17:51"/>
    <s v="09/09/2026 02:16:44"/>
    <s v="Ranieli"/>
    <s v="08/09/2026"/>
    <x v="0"/>
    <s v="JOSEFA KELY NUNES DE SOUSA"/>
    <n v="792799"/>
    <n v="15060"/>
    <n v="15095"/>
    <n v="15070"/>
    <n v="10100"/>
    <n v="15045"/>
    <n v="15100"/>
    <n v="15075"/>
    <n v="15100"/>
    <n v="15060"/>
    <n v="15100"/>
    <n v="14580.5"/>
    <s v=""/>
    <s v=""/>
    <n v="364"/>
    <n v="15000"/>
    <n v="-2.7966666666666667E-2"/>
    <n v="-419.5"/>
    <x v="12"/>
    <x v="3"/>
  </r>
  <r>
    <x v="24"/>
    <x v="2"/>
    <s v="6a99f6b10ab955eaa1d4d898"/>
    <s v="03/09/2026 19:18:30"/>
    <s v="03/09/2026 19:37:37"/>
    <s v="Ranieli"/>
    <s v="03/09/2026"/>
    <x v="0"/>
    <s v="JULIANE GOMES NOVAIS"/>
    <n v="15229"/>
    <n v="992"/>
    <n v="1010"/>
    <n v="995"/>
    <n v="1010"/>
    <n v="994"/>
    <n v="997"/>
    <s v=""/>
    <n v="1007"/>
    <n v="996"/>
    <n v="1011"/>
    <n v="1001"/>
    <s v=""/>
    <s v="assinatura"/>
    <n v="152"/>
    <n v="1000"/>
    <n v="1E-3"/>
    <n v="1"/>
    <x v="9"/>
    <x v="1"/>
  </r>
  <r>
    <x v="25"/>
    <x v="2"/>
    <s v="6a9901b732b3ac5a4238a8d8"/>
    <s v="02/09/2026 17:27:38"/>
    <s v="03/09/2026 02:12:23"/>
    <s v="Ranieli"/>
    <s v="02/09/2026"/>
    <x v="0"/>
    <s v="JOSEFA KELY NUNES DE SOUSA"/>
    <n v="992093"/>
    <n v="5008"/>
    <n v="5004"/>
    <n v="5008"/>
    <n v="5001"/>
    <n v="5002"/>
    <n v="5008"/>
    <n v="5007"/>
    <n v="5005"/>
    <n v="5009"/>
    <m/>
    <n v="5006"/>
    <s v=""/>
    <s v=""/>
    <n v="152"/>
    <n v="5000"/>
    <n v="1.1999999999999999E-3"/>
    <n v="6"/>
    <x v="13"/>
    <x v="3"/>
  </r>
  <r>
    <x v="22"/>
    <x v="2"/>
    <s v="6a97b15843066e508049f76e"/>
    <s v="01/09/2026 17:54:23"/>
    <s v="02/09/2026 02:17:12"/>
    <s v="Ranieli"/>
    <s v="01/09/2026"/>
    <x v="0"/>
    <s v="JOSEFA KELY NUNES DE SOUSA"/>
    <n v="40762"/>
    <n v="10065"/>
    <n v="10055"/>
    <n v="10040"/>
    <n v="10060"/>
    <n v="10030"/>
    <n v="9970"/>
    <n v="10055"/>
    <n v="10010"/>
    <n v="10025"/>
    <n v="10025"/>
    <n v="10033.5"/>
    <s v=""/>
    <s v="assinatura"/>
    <n v="180"/>
    <n v="10000"/>
    <n v="3.3500000000000001E-3"/>
    <n v="33.5"/>
    <x v="3"/>
    <x v="1"/>
  </r>
  <r>
    <x v="32"/>
    <x v="2"/>
    <s v="6aaa20b7942fa544448aa0e7"/>
    <s v="15/09/2026 23:44:28"/>
    <s v="16/09/2026 01:53:11"/>
    <s v="Ranieli"/>
    <s v="15/09/2026"/>
    <x v="0"/>
    <s v="JOSEFA KELY NUNES DE SOUSA"/>
    <n v="864048"/>
    <n v="1996"/>
    <n v="1998"/>
    <n v="2032"/>
    <n v="2044"/>
    <n v="2084"/>
    <n v="2021"/>
    <n v="2000"/>
    <n v="2014"/>
    <n v="2004"/>
    <n v="2011"/>
    <n v="2020.4"/>
    <s v=""/>
    <s v=""/>
    <n v="3288"/>
    <n v="2000"/>
    <n v="1.0200000000000046E-2"/>
    <n v="20.400000000000091"/>
    <x v="26"/>
    <x v="1"/>
  </r>
  <r>
    <x v="32"/>
    <x v="2"/>
    <s v="6aaa20b7942fa544448aa0e1"/>
    <s v="15/09/2026 23:14:32"/>
    <s v="16/09/2026 01:53:11"/>
    <s v="Ranieli"/>
    <s v="15/09/2026"/>
    <x v="0"/>
    <s v="JOSEFA KELY NUNES DE SOUSA"/>
    <n v="15229"/>
    <n v="1001"/>
    <n v="1005"/>
    <n v="993"/>
    <n v="1000"/>
    <n v="993"/>
    <n v="996"/>
    <n v="1015"/>
    <n v="1015"/>
    <n v="993"/>
    <n v="1011"/>
    <n v="1002.2"/>
    <s v=""/>
    <s v="assinatura"/>
    <n v="308"/>
    <n v="1000"/>
    <n v="2.2000000000000457E-3"/>
    <n v="2.2000000000000455"/>
    <x v="9"/>
    <x v="1"/>
  </r>
  <r>
    <x v="32"/>
    <x v="2"/>
    <s v="6aaa20b7942fa544448aa0db"/>
    <s v="15/09/2026 23:11:20"/>
    <s v="16/09/2026 01:53:11"/>
    <s v="Ranieli"/>
    <s v="15/09/2026"/>
    <x v="0"/>
    <s v="JOSEFA KELY NUNES DE SOUSA"/>
    <n v="15849"/>
    <n v="1006"/>
    <n v="1004"/>
    <n v="1004"/>
    <n v="1007"/>
    <n v="1001"/>
    <n v="1000"/>
    <n v="1010"/>
    <n v="996"/>
    <n v="1005"/>
    <n v="1003"/>
    <n v="1003.6"/>
    <s v=""/>
    <s v="assinatura"/>
    <n v="1067"/>
    <n v="1000"/>
    <n v="3.6000000000000229E-3"/>
    <n v="3.6000000000000227"/>
    <x v="29"/>
    <x v="2"/>
  </r>
  <r>
    <x v="32"/>
    <x v="2"/>
    <s v="6aaa20b7942fa544448aa0d5"/>
    <s v="15/09/2026 23:07:22"/>
    <s v="16/09/2026 01:53:11"/>
    <s v="Ranieli"/>
    <s v="15/09/2026"/>
    <x v="0"/>
    <s v="JOSEFA KELY NUNES DE SOUSA"/>
    <n v="15105"/>
    <n v="991"/>
    <n v="1012"/>
    <n v="1010"/>
    <n v="1031"/>
    <n v="1018"/>
    <n v="1032"/>
    <n v="993"/>
    <n v="1004"/>
    <n v="1019"/>
    <n v="1016"/>
    <n v="1012.6"/>
    <s v=""/>
    <s v="assinatura"/>
    <n v="2137"/>
    <n v="1000"/>
    <n v="1.2600000000000023E-2"/>
    <n v="12.600000000000023"/>
    <x v="0"/>
    <x v="0"/>
  </r>
  <r>
    <x v="32"/>
    <x v="2"/>
    <s v="6aaa20b7942fa544448aa0c9"/>
    <s v="15/09/2026 21:51:51"/>
    <s v="16/09/2026 01:53:11"/>
    <s v="Ranieli"/>
    <s v="15/09/2026"/>
    <x v="0"/>
    <s v="JOSEFA KELY NUNES DE SOUSA"/>
    <n v="42820"/>
    <n v="1993"/>
    <n v="2012"/>
    <n v="2006"/>
    <n v="2027"/>
    <n v="2011"/>
    <n v="2009"/>
    <n v="2012"/>
    <n v="2007"/>
    <n v="2006"/>
    <n v="2045"/>
    <n v="2012.8"/>
    <s v=""/>
    <s v="assinatura"/>
    <n v="415"/>
    <n v="2000"/>
    <n v="6.3999999999999769E-3"/>
    <n v="12.799999999999955"/>
    <x v="10"/>
    <x v="1"/>
  </r>
  <r>
    <x v="32"/>
    <x v="2"/>
    <s v="6aaa20b7942fa544448aa0c3"/>
    <s v="15/09/2026 21:49:40"/>
    <s v="16/09/2026 01:53:11"/>
    <s v="Ranieli"/>
    <s v="15/09/2026"/>
    <x v="0"/>
    <s v="JOSEFA KELY NUNES DE SOUSA"/>
    <n v="42846"/>
    <n v="2003"/>
    <n v="2022"/>
    <n v="2031"/>
    <n v="2018"/>
    <n v="2020"/>
    <n v="2005"/>
    <n v="2043"/>
    <n v="2058"/>
    <n v="2037"/>
    <n v="2043"/>
    <n v="2028"/>
    <s v=""/>
    <s v=""/>
    <n v="125"/>
    <n v="2000"/>
    <n v="1.4E-2"/>
    <n v="28"/>
    <x v="6"/>
    <x v="1"/>
  </r>
  <r>
    <x v="32"/>
    <x v="2"/>
    <s v="6aaa20b6942fa544448aa0bd"/>
    <s v="15/09/2026 21:45:43"/>
    <s v="16/09/2026 01:53:10"/>
    <s v="Ranieli"/>
    <s v="15/09/2026"/>
    <x v="0"/>
    <s v="JOSEFA KELY NUNES DE SOUSA"/>
    <n v="42838"/>
    <n v="2006"/>
    <n v="2013"/>
    <n v="2015"/>
    <n v="2020"/>
    <n v="2026"/>
    <n v="2039"/>
    <n v="2026"/>
    <n v="2015"/>
    <n v="2003"/>
    <n v="2000"/>
    <n v="2016.3"/>
    <s v=""/>
    <s v="assinatura"/>
    <n v="236"/>
    <n v="2000"/>
    <n v="8.1499999999999767E-3"/>
    <n v="16.299999999999955"/>
    <x v="7"/>
    <x v="1"/>
  </r>
  <r>
    <x v="32"/>
    <x v="2"/>
    <s v="6aaa20b6942fa544448aa0b7"/>
    <s v="15/09/2026 19:22:09"/>
    <s v="16/09/2026 01:53:10"/>
    <s v="Ranieli"/>
    <s v="15/09/2026"/>
    <x v="0"/>
    <s v="JOSEFA KELY NUNES DE SOUSA"/>
    <n v="197742"/>
    <n v="1012"/>
    <n v="1017"/>
    <n v="1006"/>
    <n v="1015"/>
    <n v="999"/>
    <n v="1007"/>
    <n v="1012"/>
    <n v="1007"/>
    <n v="1006"/>
    <n v="1006"/>
    <n v="1008.7"/>
    <s v=""/>
    <s v=""/>
    <n v="283"/>
    <n v="1000"/>
    <n v="8.7000000000000462E-3"/>
    <n v="8.7000000000000455"/>
    <x v="23"/>
    <x v="3"/>
  </r>
  <r>
    <x v="32"/>
    <x v="2"/>
    <s v="6aaa20b6942fa544448aa0b1"/>
    <s v="15/09/2026 19:07:42"/>
    <s v="16/09/2026 01:53:10"/>
    <s v="Ranieli"/>
    <s v="15/09/2026"/>
    <x v="0"/>
    <s v="JOSEFA KELY NUNES DE SOUSA"/>
    <n v="995638"/>
    <n v="15015"/>
    <n v="15025"/>
    <n v="15025"/>
    <n v="15060"/>
    <n v="15060"/>
    <n v="15085"/>
    <n v="15040"/>
    <n v="15030"/>
    <n v="15020"/>
    <n v="15045"/>
    <n v="15040.5"/>
    <s v=""/>
    <s v="assinatura"/>
    <n v="359"/>
    <n v="15000"/>
    <n v="2.7000000000000001E-3"/>
    <n v="40.5"/>
    <x v="21"/>
    <x v="3"/>
  </r>
  <r>
    <x v="32"/>
    <x v="2"/>
    <s v="6aaa20b6942fa544448aa0a5"/>
    <s v="15/09/2026 18:20:24"/>
    <s v="16/09/2026 01:53:10"/>
    <s v="Ranieli"/>
    <s v="15/09/2026"/>
    <x v="0"/>
    <s v="JOSEFA KELY NUNES DE SOUSA"/>
    <n v="40762"/>
    <n v="10010"/>
    <n v="9990"/>
    <n v="9995"/>
    <n v="10035"/>
    <n v="10025"/>
    <n v="9995"/>
    <n v="10015"/>
    <n v="9980"/>
    <n v="9995"/>
    <n v="10025"/>
    <n v="10006.5"/>
    <s v=""/>
    <s v=""/>
    <n v="296"/>
    <n v="10000"/>
    <n v="6.4999999999999997E-4"/>
    <n v="6.5"/>
    <x v="3"/>
    <x v="1"/>
  </r>
  <r>
    <x v="32"/>
    <x v="2"/>
    <s v="6aaa20b6942fa544448aa09f"/>
    <s v="15/09/2026 18:17:29"/>
    <s v="16/09/2026 01:53:10"/>
    <s v="Ranieli"/>
    <s v="15/09/2026"/>
    <x v="0"/>
    <s v="JOSEFA KELY NUNES DE SOUSA"/>
    <n v="15229"/>
    <n v="1012"/>
    <n v="1003"/>
    <n v="991"/>
    <n v="1007"/>
    <n v="1012"/>
    <n v="1006"/>
    <n v="1008"/>
    <n v="1010"/>
    <n v="1007"/>
    <n v="1011"/>
    <n v="1006.7"/>
    <s v=""/>
    <s v="assinatura"/>
    <n v="172"/>
    <n v="1000"/>
    <n v="6.7000000000000453E-3"/>
    <n v="6.7000000000000455"/>
    <x v="9"/>
    <x v="1"/>
  </r>
  <r>
    <x v="32"/>
    <x v="2"/>
    <s v="6aaa20b6942fa544448aa099"/>
    <s v="15/09/2026 17:43:24"/>
    <s v="16/09/2026 01:53:10"/>
    <s v="Ranieli"/>
    <s v="15/09/2026"/>
    <x v="0"/>
    <s v="JOSEFA KELY NUNES DE SOUSA"/>
    <n v="42854"/>
    <n v="2098"/>
    <n v="2113"/>
    <n v="2103"/>
    <n v="2015"/>
    <n v="2074"/>
    <n v="1991"/>
    <n v="2099"/>
    <n v="2080"/>
    <n v="2096"/>
    <n v="2092"/>
    <n v="2076.1"/>
    <s v=""/>
    <s v="assinatura"/>
    <n v="14526"/>
    <n v="2080"/>
    <n v="-1.8750000000000437E-3"/>
    <n v="-3.9000000000000909"/>
    <x v="4"/>
    <x v="1"/>
  </r>
  <r>
    <x v="32"/>
    <x v="2"/>
    <s v="6aaa20b6942fa544448aa093"/>
    <s v="15/09/2026 17:35:00"/>
    <s v="16/09/2026 01:53:10"/>
    <s v="Ranieli"/>
    <s v="15/09/2026"/>
    <x v="0"/>
    <s v="JOSEFA KELY NUNES DE SOUSA"/>
    <n v="13188"/>
    <n v="1019"/>
    <n v="1014"/>
    <n v="1012"/>
    <n v="1015"/>
    <n v="1006"/>
    <n v="988"/>
    <n v="981"/>
    <n v="1011"/>
    <n v="1020"/>
    <n v="975"/>
    <n v="1004.1"/>
    <s v=""/>
    <s v="assinatura"/>
    <n v="501"/>
    <n v="1000"/>
    <n v="4.1000000000000229E-3"/>
    <n v="4.1000000000000227"/>
    <x v="8"/>
    <x v="1"/>
  </r>
  <r>
    <x v="32"/>
    <x v="2"/>
    <s v="6aaa20b6942fa544448aa08d"/>
    <s v="15/09/2026 17:30:48"/>
    <s v="16/09/2026 01:53:10"/>
    <s v="Ranieli"/>
    <s v="15/09/2026"/>
    <x v="0"/>
    <s v="JOSEFA KELY NUNES DE SOUSA"/>
    <n v="992093"/>
    <n v="5014"/>
    <n v="5005"/>
    <n v="5012"/>
    <n v="5007"/>
    <n v="5015"/>
    <n v="5012"/>
    <n v="5006"/>
    <n v="5012"/>
    <n v="5005"/>
    <n v="5003"/>
    <n v="5009.1000000000004"/>
    <s v=""/>
    <s v="assinatura"/>
    <n v="200"/>
    <n v="5000"/>
    <n v="1.8200000000000729E-3"/>
    <n v="9.1000000000003638"/>
    <x v="13"/>
    <x v="3"/>
  </r>
  <r>
    <x v="32"/>
    <x v="2"/>
    <s v="6aaa20b6942fa544448aa087"/>
    <s v="15/09/2026 17:29:00"/>
    <s v="16/09/2026 01:53:10"/>
    <s v="Ranieli"/>
    <s v="15/09/2026"/>
    <x v="0"/>
    <s v="JOSEFA KELY NUNES DE SOUSA"/>
    <n v="15849"/>
    <n v="1011"/>
    <n v="1010"/>
    <n v="1008"/>
    <n v="1006"/>
    <n v="1005"/>
    <n v="998"/>
    <n v="1023"/>
    <n v="1005"/>
    <n v="998"/>
    <n v="995"/>
    <n v="1005.9"/>
    <s v=""/>
    <s v=""/>
    <n v="106"/>
    <n v="1000"/>
    <n v="5.8999999999999773E-3"/>
    <n v="5.8999999999999773"/>
    <x v="29"/>
    <x v="2"/>
  </r>
  <r>
    <x v="32"/>
    <x v="2"/>
    <s v="6aaa20b6942fa544448aa081"/>
    <s v="15/09/2026 17:21:46"/>
    <s v="16/09/2026 01:53:10"/>
    <s v="Ranieli"/>
    <s v="15/09/2026"/>
    <x v="0"/>
    <s v="JOSEFA KELY NUNES DE SOUSA"/>
    <n v="15105"/>
    <n v="916"/>
    <n v="1096"/>
    <n v="1000"/>
    <n v="1062"/>
    <n v="1001"/>
    <n v="997"/>
    <n v="999"/>
    <n v="1001"/>
    <n v="1006"/>
    <n v="1033"/>
    <n v="1011.1"/>
    <s v=""/>
    <s v="assinatura"/>
    <n v="425"/>
    <n v="1000"/>
    <n v="1.1100000000000023E-2"/>
    <n v="11.100000000000023"/>
    <x v="0"/>
    <x v="0"/>
  </r>
  <r>
    <x v="27"/>
    <x v="2"/>
    <s v="6aaa20b6942fa544448aa075"/>
    <s v="10/09/2026 18:21:32"/>
    <s v="16/09/2026 01:53:10"/>
    <s v="Ranieli"/>
    <s v="10/09/2026"/>
    <x v="0"/>
    <s v="JOSEFA KELY NUNES DE SOUSA"/>
    <n v="40762"/>
    <n v="9995"/>
    <n v="9970"/>
    <n v="10040"/>
    <n v="9990"/>
    <n v="9975"/>
    <n v="9995"/>
    <n v="10015"/>
    <n v="9950"/>
    <n v="9955"/>
    <n v="10075"/>
    <n v="9996"/>
    <s v=""/>
    <s v="assinatura"/>
    <n v="454650"/>
    <n v="10000"/>
    <n v="-4.0000000000000002E-4"/>
    <n v="-4"/>
    <x v="3"/>
    <x v="1"/>
  </r>
  <r>
    <x v="24"/>
    <x v="2"/>
    <s v="6aaa20b6942fa544448aa06f"/>
    <s v="03/09/2026 18:33:34"/>
    <s v="16/09/2026 01:53:10"/>
    <s v="Ranieli"/>
    <s v="03/09/2026"/>
    <x v="0"/>
    <s v="JOSEFA KELY NUNES DE SOUSA"/>
    <n v="42862"/>
    <n v="2030"/>
    <n v="2056"/>
    <n v="2015"/>
    <n v="2061"/>
    <n v="2002"/>
    <n v="2023"/>
    <n v="2007"/>
    <n v="2006"/>
    <n v="2015"/>
    <n v="2048"/>
    <n v="2026.3"/>
    <s v=""/>
    <s v="assinatura"/>
    <n v="1047580"/>
    <n v="2000"/>
    <n v="1.3149999999999978E-2"/>
    <n v="26.299999999999955"/>
    <x v="5"/>
    <x v="1"/>
  </r>
  <r>
    <x v="32"/>
    <x v="2"/>
    <s v="6aa9ed4e7f6e099e55c3496f"/>
    <s v="15/09/2026 22:12:20"/>
    <s v="15/09/2026 22:13:50"/>
    <s v="Ranieli"/>
    <s v="15/09/2026"/>
    <x v="0"/>
    <s v="JULIANE GOMES NOVAIS"/>
    <n v="15229"/>
    <n v="1015"/>
    <n v="1006"/>
    <n v="1000"/>
    <n v="1003"/>
    <n v="1016"/>
    <n v="995"/>
    <n v="1009"/>
    <n v="1007"/>
    <n v="1007"/>
    <n v="1004"/>
    <n v="1006.2"/>
    <s v=""/>
    <s v="assinatura"/>
    <n v="84"/>
    <n v="1000"/>
    <n v="6.2000000000000458E-3"/>
    <n v="6.2000000000000455"/>
    <x v="9"/>
    <x v="1"/>
  </r>
  <r>
    <x v="32"/>
    <x v="2"/>
    <s v="6aa9eb1c942fa544448a8c94"/>
    <s v="15/09/2026 21:42:43"/>
    <s v="15/09/2026 22:04:28"/>
    <s v="Ranieli"/>
    <s v="15/09/2026"/>
    <x v="0"/>
    <s v="JULIANE GOMES NOVAIS"/>
    <n v="55552"/>
    <n v="15025"/>
    <n v="15020"/>
    <n v="15020"/>
    <n v="15030"/>
    <n v="15025"/>
    <n v="15025"/>
    <n v="15010"/>
    <n v="15015"/>
    <n v="15025"/>
    <n v="15025"/>
    <n v="15022"/>
    <s v=""/>
    <s v="assinatura"/>
    <n v="1225"/>
    <n v="15000"/>
    <n v="1.4666666666666667E-3"/>
    <n v="22"/>
    <x v="25"/>
    <x v="1"/>
  </r>
  <r>
    <x v="32"/>
    <x v="2"/>
    <s v="6aa9eb1c942fa544448a8c8e"/>
    <s v="15/09/2026 21:38:47"/>
    <s v="15/09/2026 22:04:28"/>
    <s v="Ranieli"/>
    <s v="15/09/2026"/>
    <x v="0"/>
    <s v="JULIANE GOMES NOVAIS"/>
    <n v="40762"/>
    <n v="10020"/>
    <n v="9985"/>
    <n v="10075"/>
    <n v="10040"/>
    <n v="10030"/>
    <n v="10060"/>
    <n v="9980"/>
    <n v="10035"/>
    <n v="9980"/>
    <n v="9995"/>
    <n v="10020"/>
    <s v=""/>
    <s v="assinatura"/>
    <n v="1482"/>
    <n v="10000"/>
    <n v="2E-3"/>
    <n v="20"/>
    <x v="3"/>
    <x v="1"/>
  </r>
  <r>
    <x v="32"/>
    <x v="2"/>
    <s v="6aa9eb1c942fa544448a8c88"/>
    <s v="15/09/2026 21:34:49"/>
    <s v="15/09/2026 22:04:28"/>
    <s v="Ranieli"/>
    <s v="15/09/2026"/>
    <x v="0"/>
    <s v="JULIANE GOMES NOVAIS"/>
    <n v="15105"/>
    <n v="989"/>
    <n v="1013"/>
    <n v="1041"/>
    <n v="999"/>
    <n v="992"/>
    <n v="1038"/>
    <n v="1010"/>
    <n v="1003"/>
    <n v="999"/>
    <n v="999"/>
    <n v="1008.3"/>
    <s v=""/>
    <s v="assinatura"/>
    <n v="168"/>
    <n v="1000"/>
    <n v="8.299999999999955E-3"/>
    <n v="8.2999999999999545"/>
    <x v="0"/>
    <x v="0"/>
  </r>
  <r>
    <x v="32"/>
    <x v="2"/>
    <s v="6aa9c4f2aef038cf66e9b9be"/>
    <s v="15/09/2026 19:15:06"/>
    <s v="15/09/2026 19:21:38"/>
    <s v="Ranieli"/>
    <s v="15/09/2026"/>
    <x v="0"/>
    <s v="JULIANE GOMES NOVAIS"/>
    <n v="197742"/>
    <n v="1002"/>
    <n v="1003"/>
    <n v="1012"/>
    <n v="1011"/>
    <n v="1032"/>
    <n v="1009"/>
    <n v="985"/>
    <n v="1001"/>
    <n v="1004"/>
    <n v="1008"/>
    <n v="1006.7"/>
    <s v=""/>
    <s v="assinatura"/>
    <n v="355"/>
    <n v="1000"/>
    <n v="6.7000000000000453E-3"/>
    <n v="6.7000000000000455"/>
    <x v="23"/>
    <x v="3"/>
  </r>
  <r>
    <x v="32"/>
    <x v="2"/>
    <s v="6aa9c451aef038cf66e9b937"/>
    <s v="15/09/2026 19:13:54"/>
    <s v="15/09/2026 19:18:57"/>
    <s v="Ranieli"/>
    <s v="15/09/2026"/>
    <x v="0"/>
    <s v="JULIANE GOMES NOVAIS"/>
    <n v="197742"/>
    <n v="1020"/>
    <n v="1006"/>
    <n v="972"/>
    <n v="999"/>
    <n v="1011"/>
    <n v="1007"/>
    <n v="1008"/>
    <n v="1018"/>
    <n v="1000"/>
    <n v="998"/>
    <n v="1003.9"/>
    <s v=""/>
    <s v="assinatura"/>
    <n v="283"/>
    <n v="1000"/>
    <n v="3.8999999999999773E-3"/>
    <n v="3.8999999999999773"/>
    <x v="23"/>
    <x v="3"/>
  </r>
  <r>
    <x v="32"/>
    <x v="2"/>
    <s v="6aa9c273e5756b0e3c4a9935"/>
    <s v="15/09/2026 19:08:30"/>
    <s v="15/09/2026 19:10:59"/>
    <s v="Ranieli"/>
    <s v="15/09/2026"/>
    <x v="0"/>
    <s v="JULIANE GOMES NOVAIS"/>
    <n v="15229"/>
    <n v="1000"/>
    <n v="999"/>
    <n v="1010"/>
    <n v="995"/>
    <n v="1011"/>
    <n v="1009"/>
    <n v="998"/>
    <n v="1018"/>
    <n v="1010"/>
    <n v="1008"/>
    <n v="1005.8"/>
    <s v=""/>
    <s v="assinatura"/>
    <n v="122"/>
    <n v="1000"/>
    <n v="5.7999999999999545E-3"/>
    <n v="5.7999999999999545"/>
    <x v="9"/>
    <x v="1"/>
  </r>
  <r>
    <x v="32"/>
    <x v="2"/>
    <s v="6aa9c273e5756b0e3c4a992d"/>
    <s v="15/09/2026 19:05:51"/>
    <s v="15/09/2026 19:10:59"/>
    <s v="Ranieli"/>
    <s v="15/09/2026"/>
    <x v="0"/>
    <s v="JULIANE GOMES NOVAIS"/>
    <n v="13188"/>
    <n v="997"/>
    <n v="1011"/>
    <n v="998"/>
    <n v="997"/>
    <n v="1008"/>
    <n v="1008"/>
    <n v="1002"/>
    <n v="1004"/>
    <n v="1008"/>
    <n v="1001"/>
    <n v="1003.4"/>
    <s v=""/>
    <s v="assinatura"/>
    <n v="158"/>
    <n v="1000"/>
    <n v="3.3999999999999773E-3"/>
    <n v="3.3999999999999773"/>
    <x v="8"/>
    <x v="1"/>
  </r>
  <r>
    <x v="32"/>
    <x v="2"/>
    <s v="6aa9c273e5756b0e3c4a9927"/>
    <s v="15/09/2026 18:48:13"/>
    <s v="15/09/2026 19:10:59"/>
    <s v="Ranieli"/>
    <s v="15/09/2026"/>
    <x v="0"/>
    <s v="JULIANE GOMES NOVAIS"/>
    <n v="962198"/>
    <n v="18100"/>
    <n v="18235"/>
    <n v="18070"/>
    <n v="18345"/>
    <n v="18275"/>
    <n v="18315"/>
    <n v="18050"/>
    <n v="18065"/>
    <n v="18120"/>
    <n v="18110"/>
    <n v="18168.5"/>
    <s v=""/>
    <s v="assinatura"/>
    <n v="888"/>
    <n v="18000"/>
    <n v="9.3611111111111117E-3"/>
    <n v="168.5"/>
    <x v="33"/>
    <x v="1"/>
  </r>
  <r>
    <x v="32"/>
    <x v="2"/>
    <s v="6aa9b37df450a2f6bc80c1a5"/>
    <s v="15/09/2026 16:45:43"/>
    <s v="15/09/2026 18:07:09"/>
    <s v="Ranieli"/>
    <s v="15/09/2026"/>
    <x v="0"/>
    <s v="JULIANE GOMES NOVAIS"/>
    <n v="13188"/>
    <n v="1018"/>
    <n v="1011"/>
    <n v="1003"/>
    <n v="1009"/>
    <n v="1011"/>
    <n v="1019"/>
    <n v="1014"/>
    <n v="1013"/>
    <n v="1007"/>
    <n v="1010"/>
    <n v="1011.5"/>
    <s v=""/>
    <s v="assinatura"/>
    <n v="275"/>
    <n v="1000"/>
    <n v="1.15E-2"/>
    <n v="11.5"/>
    <x v="8"/>
    <x v="1"/>
  </r>
  <r>
    <x v="32"/>
    <x v="2"/>
    <s v="6aa9b37df450a2f6bc80c19f"/>
    <s v="15/09/2026 16:43:48"/>
    <s v="15/09/2026 18:07:09"/>
    <s v="Ranieli"/>
    <s v="15/09/2026"/>
    <x v="0"/>
    <s v="JULIANE GOMES NOVAIS"/>
    <n v="15229"/>
    <n v="1008"/>
    <n v="1007"/>
    <n v="1003"/>
    <n v="1012"/>
    <n v="1007"/>
    <n v="995"/>
    <n v="1013"/>
    <n v="996"/>
    <n v="999"/>
    <n v="1010"/>
    <n v="1005"/>
    <s v=""/>
    <s v="assinatura"/>
    <n v="407"/>
    <n v="1000"/>
    <n v="5.0000000000000001E-3"/>
    <n v="5"/>
    <x v="9"/>
    <x v="1"/>
  </r>
  <r>
    <x v="32"/>
    <x v="2"/>
    <s v="6aa9b37df450a2f6bc80c199"/>
    <s v="15/09/2026 16:34:27"/>
    <s v="15/09/2026 18:07:09"/>
    <s v="Ranieli"/>
    <s v="15/09/2026"/>
    <x v="0"/>
    <s v="JULIANE GOMES NOVAIS"/>
    <n v="40762"/>
    <n v="10015"/>
    <n v="10045"/>
    <n v="9945"/>
    <n v="10010"/>
    <n v="10010"/>
    <n v="10040"/>
    <n v="9995"/>
    <n v="10040"/>
    <n v="10015"/>
    <n v="10035"/>
    <n v="10015"/>
    <s v=""/>
    <s v="assinatura"/>
    <n v="992"/>
    <n v="10000"/>
    <n v="1.5E-3"/>
    <n v="15"/>
    <x v="3"/>
    <x v="1"/>
  </r>
  <r>
    <x v="32"/>
    <x v="2"/>
    <s v="6aa99d56d0d0671dc82cd2df"/>
    <s v="15/09/2026 16:25:08"/>
    <s v="15/09/2026 16:32:38"/>
    <s v="Ranieli"/>
    <s v="15/09/2026"/>
    <x v="0"/>
    <s v="JULIANE GOMES NOVAIS"/>
    <n v="15105"/>
    <n v="1029"/>
    <n v="1014"/>
    <n v="1038"/>
    <n v="1012"/>
    <n v="1023"/>
    <n v="1031"/>
    <n v="822"/>
    <n v="1025"/>
    <n v="1006"/>
    <n v="1030"/>
    <n v="1003"/>
    <s v=""/>
    <s v="assinatura"/>
    <n v="442"/>
    <n v="1000"/>
    <n v="3.0000000000000001E-3"/>
    <n v="3"/>
    <x v="0"/>
    <x v="0"/>
  </r>
  <r>
    <x v="32"/>
    <x v="2"/>
    <s v="6aa99557eb9b8323123834dd"/>
    <s v="15/09/2026 15:23:04"/>
    <s v="15/09/2026 15:58:31"/>
    <s v="Ranieli"/>
    <s v="15/09/2026"/>
    <x v="1"/>
    <s v="ALANA DA SILVA MARTINS"/>
    <n v="15105"/>
    <n v="1003"/>
    <n v="1024"/>
    <n v="1016"/>
    <n v="1022"/>
    <n v="993"/>
    <n v="1017"/>
    <n v="1000"/>
    <n v="1023"/>
    <n v="1019"/>
    <n v="1018"/>
    <n v="1013.5"/>
    <s v=""/>
    <s v="assinatura"/>
    <n v="233"/>
    <n v="1000"/>
    <n v="1.35E-2"/>
    <n v="13.5"/>
    <x v="0"/>
    <x v="0"/>
  </r>
  <r>
    <x v="32"/>
    <x v="2"/>
    <s v="6aa97eec067199cb194812ed"/>
    <s v="15/09/2026 13:09:47"/>
    <s v="15/09/2026 14:22:52"/>
    <s v="Ranieli"/>
    <s v="15/09/2026"/>
    <x v="1"/>
    <s v="ALANA DA SILVA MARTINS"/>
    <n v="15105"/>
    <n v="1017"/>
    <n v="995"/>
    <n v="1015"/>
    <n v="991"/>
    <n v="1027"/>
    <n v="1050"/>
    <n v="1017"/>
    <n v="1038"/>
    <n v="1009"/>
    <n v="1027"/>
    <n v="1018.6"/>
    <s v=""/>
    <s v="assinatura"/>
    <n v="278"/>
    <n v="1000"/>
    <n v="1.8600000000000023E-2"/>
    <n v="18.600000000000023"/>
    <x v="0"/>
    <x v="0"/>
  </r>
  <r>
    <x v="32"/>
    <x v="2"/>
    <s v="6aa97eec067199cb194812e7"/>
    <s v="15/09/2026 13:04:17"/>
    <s v="15/09/2026 14:22:52"/>
    <s v="Ranieli"/>
    <s v="15/09/2026"/>
    <x v="1"/>
    <s v="ALANA DA SILVA MARTINS"/>
    <n v="54632"/>
    <n v="1006"/>
    <n v="994"/>
    <n v="1011"/>
    <n v="1010"/>
    <n v="1001"/>
    <n v="1014"/>
    <n v="1000"/>
    <n v="1021"/>
    <n v="1009"/>
    <n v="990"/>
    <n v="1005.6"/>
    <s v=""/>
    <s v="assinatura"/>
    <n v="648"/>
    <n v="1000"/>
    <n v="5.6000000000000225E-3"/>
    <n v="5.6000000000000227"/>
    <x v="11"/>
    <x v="1"/>
  </r>
  <r>
    <x v="32"/>
    <x v="2"/>
    <s v="6aa97eec067199cb194812e1"/>
    <s v="15/09/2026 12:58:24"/>
    <s v="15/09/2026 14:22:52"/>
    <s v="Ranieli"/>
    <s v="15/09/2026"/>
    <x v="1"/>
    <s v="ALANA DA SILVA MARTINS"/>
    <n v="42854"/>
    <n v="2164"/>
    <n v="2055"/>
    <n v="1960"/>
    <n v="2152"/>
    <n v="2026"/>
    <n v="2187"/>
    <n v="2190"/>
    <n v="2172"/>
    <n v="2125"/>
    <n v="2160"/>
    <n v="2119.1"/>
    <s v=""/>
    <s v="assinatura"/>
    <n v="1047"/>
    <n v="2080"/>
    <n v="1.8798076923076879E-2"/>
    <n v="39.099999999999909"/>
    <x v="4"/>
    <x v="1"/>
  </r>
  <r>
    <x v="32"/>
    <x v="2"/>
    <s v="6aa97eec067199cb194812db"/>
    <s v="15/09/2026 12:53:57"/>
    <s v="15/09/2026 14:22:52"/>
    <s v="Ranieli"/>
    <s v="15/09/2026"/>
    <x v="1"/>
    <s v="ALANA DA SILVA MARTINS"/>
    <n v="42846"/>
    <n v="2065"/>
    <n v="2003"/>
    <n v="2002"/>
    <n v="2080"/>
    <n v="1997"/>
    <n v="2006"/>
    <n v="2009"/>
    <n v="2041"/>
    <n v="2078"/>
    <n v="2001"/>
    <n v="2028.2"/>
    <s v=""/>
    <s v="assinatura"/>
    <n v="176"/>
    <n v="2000"/>
    <n v="1.4100000000000022E-2"/>
    <n v="28.200000000000045"/>
    <x v="6"/>
    <x v="1"/>
  </r>
  <r>
    <x v="32"/>
    <x v="2"/>
    <s v="6aa97eec067199cb194812d5"/>
    <s v="15/09/2026 12:34:11"/>
    <s v="15/09/2026 14:22:52"/>
    <s v="Ranieli"/>
    <s v="15/09/2026"/>
    <x v="1"/>
    <s v="ALANA DA SILVA MARTINS"/>
    <n v="18163"/>
    <n v="1012"/>
    <n v="1032"/>
    <n v="1021"/>
    <n v="1012"/>
    <n v="1028"/>
    <n v="1024"/>
    <n v="1006"/>
    <n v="1000"/>
    <n v="1018"/>
    <n v="1025"/>
    <n v="1017.8"/>
    <s v=""/>
    <s v="assinatura"/>
    <n v="509"/>
    <n v="1000"/>
    <n v="1.7799999999999955E-2"/>
    <n v="17.799999999999955"/>
    <x v="27"/>
    <x v="6"/>
  </r>
  <r>
    <x v="32"/>
    <x v="2"/>
    <s v="6aa97eec067199cb194812cf"/>
    <s v="15/09/2026 12:31:01"/>
    <s v="15/09/2026 14:22:52"/>
    <s v="Ranieli"/>
    <s v="15/09/2026"/>
    <x v="1"/>
    <s v="ALANA DA SILVA MARTINS"/>
    <n v="18228"/>
    <n v="994"/>
    <n v="1018"/>
    <n v="1000"/>
    <n v="999"/>
    <n v="1009"/>
    <n v="999"/>
    <n v="1008"/>
    <n v="1009"/>
    <n v="1017"/>
    <n v="1004"/>
    <n v="1005.7"/>
    <s v=""/>
    <s v="assinatura"/>
    <n v="651"/>
    <n v="1000"/>
    <n v="5.7000000000000453E-3"/>
    <n v="5.7000000000000455"/>
    <x v="16"/>
    <x v="4"/>
  </r>
  <r>
    <x v="32"/>
    <x v="2"/>
    <s v="6aa97eec067199cb194812c9"/>
    <s v="15/09/2026 12:23:08"/>
    <s v="15/09/2026 14:22:52"/>
    <s v="Ranieli"/>
    <s v="15/09/2026"/>
    <x v="1"/>
    <s v="ALANA DA SILVA MARTINS"/>
    <n v="209319"/>
    <n v="1019"/>
    <n v="1006"/>
    <n v="1061"/>
    <n v="1074"/>
    <n v="1003"/>
    <n v="1017"/>
    <n v="995"/>
    <n v="1023"/>
    <n v="1005"/>
    <n v="1012"/>
    <n v="1021.5"/>
    <s v=""/>
    <s v="assinatura"/>
    <n v="162"/>
    <n v="1000"/>
    <n v="2.1499999999999998E-2"/>
    <n v="21.5"/>
    <x v="34"/>
    <x v="1"/>
  </r>
  <r>
    <x v="32"/>
    <x v="2"/>
    <s v="6aa97eec067199cb194812c3"/>
    <s v="15/09/2026 12:06:59"/>
    <s v="15/09/2026 14:22:52"/>
    <s v="Ranieli"/>
    <s v="15/09/2026"/>
    <x v="1"/>
    <s v="ALANA DA SILVA MARTINS"/>
    <n v="42838"/>
    <n v="2005"/>
    <n v="2050"/>
    <n v="2105"/>
    <n v="2071"/>
    <n v="2074"/>
    <n v="2036"/>
    <n v="2100"/>
    <n v="2060"/>
    <n v="2051"/>
    <n v="2026"/>
    <n v="2057.8000000000002"/>
    <s v=""/>
    <s v="assinatura"/>
    <n v="487"/>
    <n v="2000"/>
    <n v="2.8900000000000092E-2"/>
    <n v="57.800000000000182"/>
    <x v="7"/>
    <x v="1"/>
  </r>
  <r>
    <x v="32"/>
    <x v="2"/>
    <s v="6aa97eec067199cb194812bd"/>
    <s v="15/09/2026 11:58:03"/>
    <s v="15/09/2026 14:22:52"/>
    <s v="Ranieli"/>
    <s v="15/09/2026"/>
    <x v="1"/>
    <s v="ALANA DA SILVA MARTINS"/>
    <n v="42854"/>
    <n v="2190"/>
    <n v="2207"/>
    <n v="2239"/>
    <n v="2175"/>
    <n v="2192"/>
    <n v="2111"/>
    <n v="2201"/>
    <n v="2149"/>
    <n v="2134"/>
    <n v="2227"/>
    <n v="2182.5"/>
    <s v=""/>
    <s v="assinatura"/>
    <n v="1040"/>
    <n v="2080"/>
    <n v="4.9278846153846152E-2"/>
    <n v="102.5"/>
    <x v="4"/>
    <x v="1"/>
  </r>
  <r>
    <x v="32"/>
    <x v="2"/>
    <s v="6aa97eec067199cb194812b7"/>
    <s v="15/09/2026 11:53:06"/>
    <s v="15/09/2026 14:22:52"/>
    <s v="Ranieli"/>
    <s v="15/09/2026"/>
    <x v="1"/>
    <s v="ALANA DA SILVA MARTINS"/>
    <n v="42820"/>
    <n v="1983"/>
    <n v="2127"/>
    <n v="2037"/>
    <n v="2065"/>
    <n v="2085"/>
    <n v="2081"/>
    <n v="2136"/>
    <n v="2157"/>
    <n v="1951"/>
    <n v="2052"/>
    <n v="2067.4"/>
    <s v=""/>
    <s v="assinatura"/>
    <n v="1355"/>
    <n v="2000"/>
    <n v="3.3700000000000042E-2"/>
    <n v="67.400000000000091"/>
    <x v="10"/>
    <x v="1"/>
  </r>
  <r>
    <x v="32"/>
    <x v="2"/>
    <s v="6aa97eec067199cb194812b1"/>
    <s v="15/09/2026 11:44:54"/>
    <s v="15/09/2026 14:22:52"/>
    <s v="Ranieli"/>
    <s v="15/09/2026"/>
    <x v="1"/>
    <s v="ALANA DA SILVA MARTINS"/>
    <n v="864048"/>
    <n v="2029"/>
    <n v="2166"/>
    <n v="2180"/>
    <n v="2030"/>
    <n v="1989"/>
    <n v="2078"/>
    <n v="2072"/>
    <n v="2165"/>
    <n v="2093"/>
    <n v="2023"/>
    <n v="2082.5"/>
    <s v=""/>
    <s v="assinatura"/>
    <n v="1862"/>
    <n v="2000"/>
    <n v="4.1250000000000002E-2"/>
    <n v="82.5"/>
    <x v="26"/>
    <x v="1"/>
  </r>
  <r>
    <x v="33"/>
    <x v="2"/>
    <s v="6aab7374dbc8f9ae695173be"/>
    <s v="16/09/2026 23:23:51"/>
    <s v="17/09/2026 01:58:28"/>
    <s v="Ranieli"/>
    <s v="16/09/2026"/>
    <x v="0"/>
    <s v="JOSEFA KELY NUNES DE SOUSA"/>
    <n v="42820"/>
    <n v="2013"/>
    <n v="2041"/>
    <n v="2023"/>
    <n v="2062"/>
    <n v="2020"/>
    <n v="2038"/>
    <n v="2038"/>
    <n v="2042"/>
    <n v="2051"/>
    <n v="2041"/>
    <n v="2036.9"/>
    <s v=""/>
    <s v="assinatura"/>
    <n v="1312"/>
    <n v="2000"/>
    <n v="1.8450000000000046E-2"/>
    <n v="36.900000000000091"/>
    <x v="10"/>
    <x v="1"/>
  </r>
  <r>
    <x v="33"/>
    <x v="2"/>
    <s v="6aab7374dbc8f9ae695173b8"/>
    <s v="16/09/2026 23:20:06"/>
    <s v="17/09/2026 01:58:28"/>
    <s v="Ranieli"/>
    <s v="16/09/2026"/>
    <x v="0"/>
    <s v="JOSEFA KELY NUNES DE SOUSA"/>
    <n v="42838"/>
    <n v="2020"/>
    <n v="2020"/>
    <n v="2051"/>
    <n v="2030"/>
    <n v="2025"/>
    <n v="2025"/>
    <n v="2022"/>
    <n v="2030"/>
    <n v="2028"/>
    <n v="2039"/>
    <n v="2029"/>
    <s v=""/>
    <s v="assinatura"/>
    <n v="8499"/>
    <n v="2000"/>
    <n v="1.4500000000000001E-2"/>
    <n v="29"/>
    <x v="7"/>
    <x v="1"/>
  </r>
  <r>
    <x v="33"/>
    <x v="2"/>
    <s v="6aab7374dbc8f9ae695173b2"/>
    <s v="16/09/2026 23:11:49"/>
    <s v="17/09/2026 01:58:28"/>
    <s v="Ranieli"/>
    <s v="16/09/2026"/>
    <x v="0"/>
    <s v="JOSEFA KELY NUNES DE SOUSA"/>
    <n v="864048"/>
    <n v="2017"/>
    <n v="2025"/>
    <n v="2072"/>
    <n v="2015"/>
    <n v="2020"/>
    <n v="2017"/>
    <n v="2003"/>
    <n v="2007"/>
    <n v="2015"/>
    <n v="2000"/>
    <n v="2019.1"/>
    <s v=""/>
    <s v="assinatura"/>
    <n v="496"/>
    <n v="2000"/>
    <n v="9.5499999999999544E-3"/>
    <n v="19.099999999999909"/>
    <x v="26"/>
    <x v="1"/>
  </r>
  <r>
    <x v="33"/>
    <x v="2"/>
    <s v="6aab7374dbc8f9ae695173ac"/>
    <s v="16/09/2026 23:05:12"/>
    <s v="17/09/2026 01:58:28"/>
    <s v="Ranieli"/>
    <s v="16/09/2026"/>
    <x v="0"/>
    <s v="JOSEFA KELY NUNES DE SOUSA"/>
    <n v="992014"/>
    <n v="702"/>
    <n v="704"/>
    <n v="703"/>
    <n v="709"/>
    <n v="703"/>
    <n v="702"/>
    <n v="702"/>
    <n v="700"/>
    <n v="712"/>
    <n v="701"/>
    <n v="703.8"/>
    <s v=""/>
    <s v="assinatura"/>
    <n v="8025"/>
    <n v="700"/>
    <n v="5.4285714285713634E-3"/>
    <n v="3.7999999999999545"/>
    <x v="14"/>
    <x v="1"/>
  </r>
  <r>
    <x v="33"/>
    <x v="2"/>
    <s v="6aab7373dbc8f9ae695173a6"/>
    <s v="16/09/2026 21:51:48"/>
    <s v="17/09/2026 01:58:27"/>
    <s v="Ranieli"/>
    <s v="16/09/2026"/>
    <x v="0"/>
    <s v="JOSEFA KELY NUNES DE SOUSA"/>
    <n v="995638"/>
    <n v="15065"/>
    <n v="15055"/>
    <n v="15050"/>
    <n v="15075"/>
    <n v="15090"/>
    <n v="15040"/>
    <n v="15020"/>
    <n v="15020"/>
    <n v="15035"/>
    <n v="15015"/>
    <n v="15046.5"/>
    <s v=""/>
    <s v="assinatura"/>
    <n v="918"/>
    <n v="15000"/>
    <n v="3.0999999999999999E-3"/>
    <n v="46.5"/>
    <x v="21"/>
    <x v="3"/>
  </r>
  <r>
    <x v="33"/>
    <x v="2"/>
    <s v="6aab7373dbc8f9ae69517392"/>
    <s v="16/09/2026 20:44:23"/>
    <s v="17/09/2026 01:58:27"/>
    <s v="Ranieli"/>
    <s v="16/09/2026"/>
    <x v="0"/>
    <s v="JOSEFA KELY NUNES DE SOUSA"/>
    <n v="40762"/>
    <n v="9980"/>
    <n v="10060"/>
    <n v="9920"/>
    <n v="10075"/>
    <n v="10230"/>
    <n v="9960"/>
    <n v="10190"/>
    <n v="9970"/>
    <n v="10155"/>
    <n v="10120"/>
    <n v="10066"/>
    <s v=""/>
    <s v="assinatura"/>
    <n v="749"/>
    <n v="10000"/>
    <n v="6.6E-3"/>
    <n v="66"/>
    <x v="3"/>
    <x v="1"/>
  </r>
  <r>
    <x v="33"/>
    <x v="2"/>
    <s v="6aab7373dbc8f9ae6951738c"/>
    <s v="16/09/2026 20:39:10"/>
    <s v="17/09/2026 01:58:27"/>
    <s v="Ranieli"/>
    <s v="16/09/2026"/>
    <x v="0"/>
    <s v="JOSEFA KELY NUNES DE SOUSA"/>
    <n v="15105"/>
    <n v="1028"/>
    <n v="1039"/>
    <n v="1005"/>
    <n v="1027"/>
    <n v="1042"/>
    <n v="1010"/>
    <n v="1006"/>
    <n v="996"/>
    <n v="1019"/>
    <n v="1056"/>
    <n v="1022.8"/>
    <s v=""/>
    <s v="assinatura"/>
    <n v="253"/>
    <n v="1000"/>
    <n v="2.2799999999999956E-2"/>
    <n v="22.799999999999955"/>
    <x v="0"/>
    <x v="0"/>
  </r>
  <r>
    <x v="33"/>
    <x v="2"/>
    <s v="6aab7373dbc8f9ae69517386"/>
    <s v="16/09/2026 20:29:50"/>
    <s v="17/09/2026 01:58:27"/>
    <s v="Ranieli"/>
    <s v="16/09/2026"/>
    <x v="0"/>
    <s v="JOSEFA KELY NUNES DE SOUSA"/>
    <n v="209099"/>
    <n v="1035"/>
    <n v="1022"/>
    <n v="999"/>
    <n v="994"/>
    <n v="1006"/>
    <n v="995"/>
    <n v="990"/>
    <n v="1049"/>
    <n v="1000"/>
    <n v="1027"/>
    <n v="1011.7"/>
    <s v=""/>
    <s v="assinatura"/>
    <n v="167"/>
    <n v="1000"/>
    <n v="1.1700000000000045E-2"/>
    <n v="11.700000000000045"/>
    <x v="31"/>
    <x v="1"/>
  </r>
  <r>
    <x v="33"/>
    <x v="2"/>
    <s v="6aab7373dbc8f9ae69517380"/>
    <s v="16/09/2026 18:23:30"/>
    <s v="17/09/2026 01:58:27"/>
    <s v="Ranieli"/>
    <s v="16/09/2026"/>
    <x v="0"/>
    <s v="JOSEFA KELY NUNES DE SOUSA"/>
    <n v="40762"/>
    <n v="9980"/>
    <n v="10040"/>
    <n v="10200"/>
    <n v="10030"/>
    <n v="10000"/>
    <n v="9995"/>
    <n v="10040"/>
    <n v="10225"/>
    <n v="10025"/>
    <n v="10000"/>
    <n v="10053.5"/>
    <s v=""/>
    <s v="assinatura"/>
    <n v="2449"/>
    <n v="10000"/>
    <n v="5.3499999999999997E-3"/>
    <n v="53.5"/>
    <x v="3"/>
    <x v="1"/>
  </r>
  <r>
    <x v="33"/>
    <x v="2"/>
    <s v="6aab7373dbc8f9ae6951737a"/>
    <s v="16/09/2026 18:18:20"/>
    <s v="17/09/2026 01:58:27"/>
    <s v="Ranieli"/>
    <s v="16/09/2026"/>
    <x v="0"/>
    <s v="JOSEFA KELY NUNES DE SOUSA"/>
    <n v="42854"/>
    <n v="2180"/>
    <n v="2111"/>
    <n v="2097"/>
    <n v="2177"/>
    <n v="2105"/>
    <n v="2103"/>
    <n v="2117"/>
    <n v="2107"/>
    <n v="2105"/>
    <n v="2088"/>
    <n v="2119"/>
    <s v=""/>
    <s v=""/>
    <n v="307"/>
    <n v="2080"/>
    <n v="1.8749999999999999E-2"/>
    <n v="39"/>
    <x v="4"/>
    <x v="1"/>
  </r>
  <r>
    <x v="33"/>
    <x v="2"/>
    <s v="6aab7373dbc8f9ae69517374"/>
    <s v="16/09/2026 18:14:01"/>
    <s v="17/09/2026 01:58:27"/>
    <s v="Ranieli"/>
    <s v="16/09/2026"/>
    <x v="0"/>
    <s v="JOSEFA KELY NUNES DE SOUSA"/>
    <n v="42846"/>
    <n v="2015"/>
    <n v="2028"/>
    <n v="2021"/>
    <n v="2014"/>
    <n v="2013"/>
    <n v="2008"/>
    <n v="2013"/>
    <n v="2011"/>
    <n v="2021"/>
    <n v="2019"/>
    <n v="2016.3"/>
    <s v=""/>
    <s v="assinatura"/>
    <n v="258"/>
    <n v="2000"/>
    <n v="8.1499999999999767E-3"/>
    <n v="16.299999999999955"/>
    <x v="6"/>
    <x v="1"/>
  </r>
  <r>
    <x v="33"/>
    <x v="2"/>
    <s v="6aab7373dbc8f9ae6951736e"/>
    <s v="16/09/2026 18:12:29"/>
    <s v="17/09/2026 01:58:27"/>
    <s v="Ranieli"/>
    <s v="16/09/2026"/>
    <x v="0"/>
    <s v="JOSEFA KELY NUNES DE SOUSA"/>
    <n v="42838"/>
    <n v="2028"/>
    <n v="2057"/>
    <n v="2053"/>
    <n v="2052"/>
    <n v="2002"/>
    <n v="1991"/>
    <n v="2009"/>
    <n v="2007"/>
    <n v="2016"/>
    <n v="2046"/>
    <n v="2026.1"/>
    <s v=""/>
    <s v=""/>
    <n v="91"/>
    <n v="2000"/>
    <n v="1.3049999999999954E-2"/>
    <n v="26.099999999999909"/>
    <x v="7"/>
    <x v="1"/>
  </r>
  <r>
    <x v="33"/>
    <x v="2"/>
    <s v="6aab7373dbc8f9ae69517368"/>
    <s v="16/09/2026 18:07:11"/>
    <s v="17/09/2026 01:58:27"/>
    <s v="Ranieli"/>
    <s v="16/09/2026"/>
    <x v="0"/>
    <s v="JOSEFA KELY NUNES DE SOUSA"/>
    <n v="42862"/>
    <n v="2024"/>
    <n v="2029"/>
    <n v="2002"/>
    <n v="2022"/>
    <n v="2027"/>
    <n v="2034"/>
    <n v="2006"/>
    <n v="2019"/>
    <n v="2036"/>
    <n v="2028"/>
    <n v="2022.7"/>
    <s v=""/>
    <s v="assinatura"/>
    <n v="244"/>
    <n v="2000"/>
    <n v="1.1350000000000023E-2"/>
    <n v="22.700000000000045"/>
    <x v="5"/>
    <x v="1"/>
  </r>
  <r>
    <x v="33"/>
    <x v="2"/>
    <s v="6aab7373dbc8f9ae69517362"/>
    <s v="16/09/2026 18:02:05"/>
    <s v="17/09/2026 01:58:27"/>
    <s v="Ranieli"/>
    <s v="16/09/2026"/>
    <x v="0"/>
    <s v="JOSEFA KELY NUNES DE SOUSA"/>
    <n v="792799"/>
    <n v="15025"/>
    <n v="15040"/>
    <n v="15055"/>
    <n v="15025"/>
    <n v="15000"/>
    <n v="14990"/>
    <n v="15025"/>
    <n v="15045"/>
    <n v="15035"/>
    <n v="15050"/>
    <n v="15029"/>
    <s v=""/>
    <s v="assinatura"/>
    <n v="300"/>
    <n v="15000"/>
    <n v="1.9333333333333333E-3"/>
    <n v="29"/>
    <x v="12"/>
    <x v="3"/>
  </r>
  <r>
    <x v="33"/>
    <x v="2"/>
    <s v="6aab7373dbc8f9ae6951735c"/>
    <s v="16/09/2026 17:59:18"/>
    <s v="17/09/2026 01:58:27"/>
    <s v="Ranieli"/>
    <s v="16/09/2026"/>
    <x v="0"/>
    <s v="JOSEFA KELY NUNES DE SOUSA"/>
    <n v="15105"/>
    <n v="1052"/>
    <n v="1008"/>
    <n v="1042"/>
    <n v="1017"/>
    <n v="1003"/>
    <n v="1053"/>
    <n v="1013"/>
    <n v="1035"/>
    <n v="1013"/>
    <n v="988"/>
    <n v="1022.4"/>
    <s v=""/>
    <s v="assinatura"/>
    <n v="161"/>
    <n v="1000"/>
    <n v="2.2399999999999979E-2"/>
    <n v="22.399999999999977"/>
    <x v="0"/>
    <x v="0"/>
  </r>
  <r>
    <x v="33"/>
    <x v="2"/>
    <s v="6aab7373dbc8f9ae69517356"/>
    <s v="16/09/2026 17:41:14"/>
    <s v="17/09/2026 01:58:27"/>
    <s v="Ranieli"/>
    <s v="16/09/2026"/>
    <x v="0"/>
    <s v="JOSEFA KELY NUNES DE SOUSA"/>
    <n v="992093"/>
    <n v="5007"/>
    <n v="5003"/>
    <n v="5015"/>
    <n v="5012"/>
    <n v="5009"/>
    <n v="5016"/>
    <n v="5008"/>
    <n v="5016"/>
    <n v="5003"/>
    <n v="5015"/>
    <n v="5010.3999999999996"/>
    <s v=""/>
    <s v="assinatura"/>
    <n v="211"/>
    <n v="5000"/>
    <n v="2.0799999999999274E-3"/>
    <n v="10.399999999999636"/>
    <x v="13"/>
    <x v="3"/>
  </r>
  <r>
    <x v="33"/>
    <x v="2"/>
    <s v="6aab6f1f067199cb1949b351"/>
    <s v="16/09/2026 22:10:27"/>
    <s v="17/09/2026 01:39:59"/>
    <s v="Ranieli"/>
    <s v="16/09/2026"/>
    <x v="0"/>
    <s v="JULIANE GOMES NOVAIS"/>
    <n v="42846"/>
    <n v="1997"/>
    <n v="2002"/>
    <n v="2007"/>
    <n v="2024"/>
    <n v="2017"/>
    <n v="2008"/>
    <n v="2024"/>
    <n v="1739"/>
    <n v="2002"/>
    <n v="2018"/>
    <n v="1983.8"/>
    <s v=""/>
    <s v="assinatura"/>
    <n v="311"/>
    <n v="2000"/>
    <n v="-8.1000000000000221E-3"/>
    <n v="-16.200000000000045"/>
    <x v="6"/>
    <x v="1"/>
  </r>
  <r>
    <x v="33"/>
    <x v="2"/>
    <s v="6aab6f097e065da368bebb60"/>
    <s v="16/09/2026 22:25:17"/>
    <s v="17/09/2026 01:39:37"/>
    <s v="Ranieli"/>
    <s v="16/09/2026"/>
    <x v="0"/>
    <s v="JULIANE GOMES NOVAIS"/>
    <n v="42854"/>
    <n v="2099"/>
    <n v="2050"/>
    <n v="2093"/>
    <n v="2106"/>
    <n v="2031"/>
    <n v="2088"/>
    <n v="2060"/>
    <n v="2078"/>
    <n v="2092"/>
    <n v="2085"/>
    <n v="2078.1999999999998"/>
    <s v=""/>
    <s v="assinatura"/>
    <n v="337"/>
    <n v="2080"/>
    <n v="-8.653846153847028E-4"/>
    <n v="-1.8000000000001819"/>
    <x v="4"/>
    <x v="1"/>
  </r>
  <r>
    <x v="33"/>
    <x v="2"/>
    <s v="6aab6f097e065da368bebb5a"/>
    <s v="16/09/2026 22:18:43"/>
    <s v="17/09/2026 01:39:37"/>
    <s v="Ranieli"/>
    <s v="16/09/2026"/>
    <x v="0"/>
    <s v="JULIANE GOMES NOVAIS"/>
    <n v="42811"/>
    <n v="2019"/>
    <n v="2000"/>
    <n v="2018"/>
    <n v="1807"/>
    <n v="2002"/>
    <n v="2068"/>
    <n v="2072"/>
    <n v="2079"/>
    <n v="2084"/>
    <n v="2099"/>
    <n v="2024.8"/>
    <s v=""/>
    <s v="assinatura"/>
    <n v="385"/>
    <n v="2000"/>
    <n v="1.2399999999999977E-2"/>
    <n v="24.799999999999955"/>
    <x v="32"/>
    <x v="1"/>
  </r>
  <r>
    <x v="33"/>
    <x v="2"/>
    <s v="6aab6f097e065da368bebb54"/>
    <s v="16/09/2026 22:02:55"/>
    <s v="17/09/2026 01:39:37"/>
    <s v="Ranieli"/>
    <s v="16/09/2026"/>
    <x v="0"/>
    <s v="JULIANE GOMES NOVAIS"/>
    <n v="864048"/>
    <n v="2002"/>
    <n v="2020"/>
    <n v="1998"/>
    <n v="2019"/>
    <n v="2103"/>
    <n v="1983"/>
    <n v="1998"/>
    <n v="2091"/>
    <n v="1969"/>
    <n v="2112"/>
    <n v="2029.5"/>
    <s v=""/>
    <s v="assinatura"/>
    <n v="724"/>
    <n v="2000"/>
    <n v="1.4749999999999999E-2"/>
    <n v="29.5"/>
    <x v="26"/>
    <x v="1"/>
  </r>
  <r>
    <x v="33"/>
    <x v="2"/>
    <s v="6aab3a9e40b0d358276f483f"/>
    <s v="16/09/2026 20:44:31"/>
    <s v="16/09/2026 21:55:58"/>
    <s v="Ranieli"/>
    <s v="16/09/2026"/>
    <x v="0"/>
    <s v="JULIANE GOMES NOVAIS"/>
    <n v="15105"/>
    <n v="1011"/>
    <n v="1020"/>
    <n v="1012"/>
    <n v="872"/>
    <n v="1000"/>
    <n v="1009"/>
    <n v="1019"/>
    <n v="1030"/>
    <n v="996"/>
    <n v="970"/>
    <n v="993.9"/>
    <s v=""/>
    <s v="assinatura"/>
    <n v="235"/>
    <n v="1000"/>
    <n v="-6.1000000000000229E-3"/>
    <n v="-6.1000000000000227"/>
    <x v="0"/>
    <x v="0"/>
  </r>
  <r>
    <x v="33"/>
    <x v="2"/>
    <s v="6aab3a9e40b0d358276f4839"/>
    <s v="16/09/2026 20:38:09"/>
    <s v="16/09/2026 21:55:58"/>
    <s v="Ranieli"/>
    <s v="16/09/2026"/>
    <x v="0"/>
    <s v="JULIANE GOMES NOVAIS"/>
    <n v="40762"/>
    <n v="10025"/>
    <n v="10130"/>
    <n v="10085"/>
    <n v="10050"/>
    <n v="10035"/>
    <n v="10010"/>
    <n v="10000"/>
    <n v="10035"/>
    <n v="9995"/>
    <n v="10040"/>
    <n v="10040.5"/>
    <s v=""/>
    <s v="assinatura"/>
    <n v="4071"/>
    <n v="10000"/>
    <n v="4.0499999999999998E-3"/>
    <n v="40.5"/>
    <x v="3"/>
    <x v="1"/>
  </r>
  <r>
    <x v="32"/>
    <x v="2"/>
    <s v="6aab3a9e40b0d358276f4833"/>
    <s v="15/09/2026 22:15:06"/>
    <s v="16/09/2026 21:55:58"/>
    <s v="Ranieli"/>
    <s v="15/09/2026"/>
    <x v="0"/>
    <s v="JULIANE GOMES NOVAIS"/>
    <n v="15105"/>
    <n v="1009"/>
    <n v="998"/>
    <n v="1009"/>
    <n v="1005"/>
    <n v="1000"/>
    <n v="1012"/>
    <n v="1039"/>
    <n v="990"/>
    <n v="995"/>
    <n v="1005"/>
    <n v="1006.2"/>
    <s v=""/>
    <s v="assinatura"/>
    <n v="145"/>
    <n v="1000"/>
    <n v="6.2000000000000458E-3"/>
    <n v="6.2000000000000455"/>
    <x v="0"/>
    <x v="0"/>
  </r>
  <r>
    <x v="33"/>
    <x v="2"/>
    <s v="6aaad83bf450a2f6bc869e1a"/>
    <s v="16/09/2026 14:45:45"/>
    <s v="16/09/2026 14:56:11"/>
    <s v="Ranieli"/>
    <s v="16/09/2026"/>
    <x v="1"/>
    <s v="RANIELI MARIA MASQUIETI DOURADO"/>
    <n v="197734"/>
    <n v="1022"/>
    <n v="1003"/>
    <n v="1039"/>
    <n v="1006"/>
    <n v="1015"/>
    <n v="1006"/>
    <n v="1011"/>
    <n v="1007"/>
    <n v="1009"/>
    <n v="1011"/>
    <n v="1012.9"/>
    <s v=""/>
    <s v="assinatura"/>
    <n v="127"/>
    <n v="1000"/>
    <n v="1.2899999999999977E-2"/>
    <n v="12.899999999999977"/>
    <x v="2"/>
    <x v="2"/>
  </r>
  <r>
    <x v="33"/>
    <x v="2"/>
    <s v="6aaad83bf450a2f6bc869e14"/>
    <s v="16/09/2026 14:40:18"/>
    <s v="16/09/2026 14:56:11"/>
    <s v="Ranieli"/>
    <s v="16/09/2026"/>
    <x v="1"/>
    <s v="RANIELI MARIA MASQUIETI DOURADO"/>
    <n v="15105"/>
    <n v="996"/>
    <n v="1017"/>
    <n v="1021"/>
    <n v="1025"/>
    <n v="1018"/>
    <n v="1023"/>
    <n v="1023"/>
    <n v="982"/>
    <n v="1018"/>
    <n v="1023"/>
    <n v="1014.6"/>
    <s v=""/>
    <s v="assinatura"/>
    <n v="194"/>
    <n v="1000"/>
    <n v="1.4600000000000023E-2"/>
    <n v="14.600000000000023"/>
    <x v="0"/>
    <x v="0"/>
  </r>
  <r>
    <x v="33"/>
    <x v="2"/>
    <s v="6aaad83bf450a2f6bc869e0e"/>
    <s v="16/09/2026 14:32:08"/>
    <s v="16/09/2026 14:56:11"/>
    <s v="Ranieli"/>
    <s v="16/09/2026"/>
    <x v="1"/>
    <s v="RANIELI MARIA MASQUIETI DOURADO"/>
    <n v="864048"/>
    <n v="2045"/>
    <n v="2040"/>
    <n v="1990"/>
    <n v="2041"/>
    <n v="1991"/>
    <n v="2029"/>
    <n v="2049"/>
    <n v="1981"/>
    <n v="1979"/>
    <n v="2018"/>
    <n v="2016.3"/>
    <s v=""/>
    <s v="assinatura"/>
    <n v="370"/>
    <n v="2000"/>
    <n v="8.1499999999999767E-3"/>
    <n v="16.299999999999955"/>
    <x v="26"/>
    <x v="1"/>
  </r>
  <r>
    <x v="34"/>
    <x v="2"/>
    <s v="6aae15e403d0d5807444bcee"/>
    <s v="19/09/2026 00:50:34"/>
    <s v="19/09/2026 01:56:04"/>
    <s v="Ranieli"/>
    <s v="18/09/2026"/>
    <x v="0"/>
    <s v="JOSEFA KELY NUNES DE SOUSA"/>
    <n v="13188"/>
    <n v="1012"/>
    <n v="1024"/>
    <n v="1018"/>
    <n v="1002"/>
    <n v="1016"/>
    <n v="998"/>
    <n v="1005"/>
    <n v="996"/>
    <n v="1007"/>
    <n v="1008"/>
    <n v="1008.6"/>
    <s v=""/>
    <s v="assinatura"/>
    <n v="107"/>
    <n v="1000"/>
    <n v="8.6000000000000226E-3"/>
    <n v="8.6000000000000227"/>
    <x v="8"/>
    <x v="1"/>
  </r>
  <r>
    <x v="34"/>
    <x v="2"/>
    <s v="6aae15e403d0d5807444bce8"/>
    <s v="19/09/2026 00:46:59"/>
    <s v="19/09/2026 01:56:04"/>
    <s v="Ranieli"/>
    <s v="18/09/2026"/>
    <x v="0"/>
    <s v="JOSEFA KELY NUNES DE SOUSA"/>
    <n v="209319"/>
    <n v="1027"/>
    <n v="1009"/>
    <n v="1052"/>
    <n v="1004"/>
    <n v="999"/>
    <n v="1046"/>
    <n v="996"/>
    <n v="1011"/>
    <n v="1022"/>
    <n v="1025"/>
    <n v="1019.1"/>
    <s v=""/>
    <s v="assinatura"/>
    <n v="2719"/>
    <n v="1000"/>
    <n v="1.9100000000000023E-2"/>
    <n v="19.100000000000023"/>
    <x v="34"/>
    <x v="1"/>
  </r>
  <r>
    <x v="34"/>
    <x v="2"/>
    <s v="6aae15e403d0d5807444bce2"/>
    <s v="19/09/2026 00:35:00"/>
    <s v="19/09/2026 01:56:04"/>
    <s v="Ranieli"/>
    <s v="18/09/2026"/>
    <x v="0"/>
    <s v="JOSEFA KELY NUNES DE SOUSA"/>
    <n v="40762"/>
    <n v="10025"/>
    <n v="9975"/>
    <n v="9945"/>
    <n v="10050"/>
    <n v="9975"/>
    <n v="10040"/>
    <n v="9980"/>
    <n v="9990"/>
    <n v="10018"/>
    <n v="9985"/>
    <n v="9998.2999999999993"/>
    <s v=""/>
    <s v="assinatura"/>
    <n v="2402"/>
    <n v="10000"/>
    <n v="-1.7000000000007276E-4"/>
    <n v="-1.7000000000007276"/>
    <x v="3"/>
    <x v="1"/>
  </r>
  <r>
    <x v="34"/>
    <x v="2"/>
    <s v="6aae15e403d0d5807444bcdc"/>
    <s v="19/09/2026 00:33:11"/>
    <s v="19/09/2026 01:56:04"/>
    <s v="Ranieli"/>
    <s v="18/09/2026"/>
    <x v="0"/>
    <s v="JOSEFA KELY NUNES DE SOUSA"/>
    <n v="13188"/>
    <n v="1003"/>
    <n v="1005"/>
    <n v="997"/>
    <n v="1009"/>
    <n v="1003"/>
    <n v="1006"/>
    <n v="1003"/>
    <n v="1003"/>
    <n v="1022"/>
    <n v="1005"/>
    <n v="1005.6"/>
    <s v=""/>
    <s v=""/>
    <n v="107"/>
    <n v="1000"/>
    <n v="5.6000000000000225E-3"/>
    <n v="5.6000000000000227"/>
    <x v="8"/>
    <x v="1"/>
  </r>
  <r>
    <x v="34"/>
    <x v="2"/>
    <s v="6aae15e403d0d5807444bcd6"/>
    <s v="19/09/2026 00:29:29"/>
    <s v="19/09/2026 01:56:04"/>
    <s v="Ranieli"/>
    <s v="18/09/2026"/>
    <x v="0"/>
    <s v="JOSEFA KELY NUNES DE SOUSA"/>
    <n v="15229"/>
    <n v="998"/>
    <n v="1005"/>
    <n v="1001"/>
    <n v="1005"/>
    <n v="1009"/>
    <n v="1007"/>
    <n v="1018"/>
    <n v="1018"/>
    <n v="1001"/>
    <n v="1011"/>
    <n v="1007.3"/>
    <s v=""/>
    <s v="assinatura"/>
    <n v="146"/>
    <n v="1000"/>
    <n v="7.2999999999999541E-3"/>
    <n v="7.2999999999999545"/>
    <x v="9"/>
    <x v="1"/>
  </r>
  <r>
    <x v="34"/>
    <x v="2"/>
    <s v="6aae15e403d0d5807444bcd0"/>
    <s v="19/09/2026 00:26:34"/>
    <s v="19/09/2026 01:56:04"/>
    <s v="Ranieli"/>
    <s v="18/09/2026"/>
    <x v="0"/>
    <s v="JOSEFA KELY NUNES DE SOUSA"/>
    <n v="15849"/>
    <n v="1007"/>
    <n v="1004"/>
    <n v="1000"/>
    <n v="1000"/>
    <n v="998"/>
    <n v="996"/>
    <n v="1014"/>
    <n v="994"/>
    <n v="1006"/>
    <n v="1008"/>
    <n v="1002.7"/>
    <s v=""/>
    <s v="assinatura"/>
    <n v="170"/>
    <n v="1000"/>
    <n v="2.7000000000000457E-3"/>
    <n v="2.7000000000000455"/>
    <x v="29"/>
    <x v="2"/>
  </r>
  <r>
    <x v="34"/>
    <x v="2"/>
    <s v="6aae15e403d0d5807444bcca"/>
    <s v="18/09/2026 23:42:08"/>
    <s v="19/09/2026 01:56:04"/>
    <s v="Ranieli"/>
    <s v="18/09/2026"/>
    <x v="0"/>
    <s v="JOSEFA KELY NUNES DE SOUSA"/>
    <n v="15105"/>
    <n v="1018"/>
    <n v="1006"/>
    <n v="1037"/>
    <n v="987"/>
    <n v="1047"/>
    <n v="1024"/>
    <n v="1038"/>
    <n v="986"/>
    <n v="1006"/>
    <n v="975"/>
    <n v="1012.4"/>
    <s v=""/>
    <s v="assinatura"/>
    <n v="2638"/>
    <n v="1000"/>
    <n v="1.2399999999999977E-2"/>
    <n v="12.399999999999977"/>
    <x v="0"/>
    <x v="0"/>
  </r>
  <r>
    <x v="34"/>
    <x v="2"/>
    <s v="6aae15e403d0d5807444bcb6"/>
    <s v="18/09/2026 21:20:15"/>
    <s v="19/09/2026 01:56:04"/>
    <s v="Ranieli"/>
    <s v="18/09/2026"/>
    <x v="0"/>
    <s v="JOSEFA KELY NUNES DE SOUSA"/>
    <n v="209069"/>
    <n v="1021"/>
    <n v="1011"/>
    <n v="1042"/>
    <n v="1092"/>
    <n v="1070"/>
    <n v="1023"/>
    <n v="1029"/>
    <n v="1019"/>
    <n v="1059"/>
    <n v="1017"/>
    <n v="1038.3"/>
    <s v=""/>
    <s v="assinatura"/>
    <n v="178"/>
    <n v="1000"/>
    <n v="3.8299999999999952E-2"/>
    <n v="38.299999999999955"/>
    <x v="28"/>
    <x v="0"/>
  </r>
  <r>
    <x v="34"/>
    <x v="2"/>
    <s v="6aae15e403d0d5807444bcb0"/>
    <s v="18/09/2026 19:23:40"/>
    <s v="19/09/2026 01:56:04"/>
    <s v="Ranieli"/>
    <s v="18/09/2026"/>
    <x v="0"/>
    <s v="JOSEFA KELY NUNES DE SOUSA"/>
    <n v="42854"/>
    <n v="2020"/>
    <n v="2027"/>
    <n v="2018"/>
    <n v="2002"/>
    <n v="2005"/>
    <n v="2017"/>
    <n v="2024"/>
    <n v="2026"/>
    <n v="2034"/>
    <n v="2005"/>
    <n v="2017.8"/>
    <s v=""/>
    <s v="assinatura"/>
    <n v="261"/>
    <n v="2080"/>
    <n v="-2.9903846153846177E-2"/>
    <n v="-62.200000000000045"/>
    <x v="4"/>
    <x v="1"/>
  </r>
  <r>
    <x v="34"/>
    <x v="2"/>
    <s v="6aae15e403d0d5807444bcaa"/>
    <s v="18/09/2026 19:21:42"/>
    <s v="19/09/2026 01:56:04"/>
    <s v="Ranieli"/>
    <s v="18/09/2026"/>
    <x v="0"/>
    <s v="JOSEFA KELY NUNES DE SOUSA"/>
    <n v="42846"/>
    <n v="2001"/>
    <n v="1991"/>
    <n v="2002"/>
    <n v="2005"/>
    <n v="2014"/>
    <n v="2008"/>
    <n v="2004"/>
    <n v="2008"/>
    <n v="2017"/>
    <n v="1992"/>
    <n v="2004.2"/>
    <s v=""/>
    <s v=""/>
    <n v="116"/>
    <n v="2000"/>
    <n v="2.1000000000000229E-3"/>
    <n v="4.2000000000000455"/>
    <x v="6"/>
    <x v="1"/>
  </r>
  <r>
    <x v="34"/>
    <x v="2"/>
    <s v="6aae15e403d0d5807444bca4"/>
    <s v="18/09/2026 19:19:35"/>
    <s v="19/09/2026 01:56:04"/>
    <s v="Ranieli"/>
    <s v="18/09/2026"/>
    <x v="0"/>
    <s v="JOSEFA KELY NUNES DE SOUSA"/>
    <n v="42820"/>
    <n v="2080"/>
    <n v="2093"/>
    <n v="2046"/>
    <n v="2064"/>
    <n v="2011"/>
    <n v="2045"/>
    <n v="2027"/>
    <n v="2050"/>
    <n v="2084"/>
    <n v="2003"/>
    <n v="2050.3000000000002"/>
    <s v=""/>
    <s v="assinatura"/>
    <n v="115"/>
    <n v="2000"/>
    <n v="2.5150000000000092E-2"/>
    <n v="50.300000000000182"/>
    <x v="10"/>
    <x v="1"/>
  </r>
  <r>
    <x v="34"/>
    <x v="2"/>
    <s v="6aae15e303d0d5807444bc9e"/>
    <s v="18/09/2026 19:17:08"/>
    <s v="19/09/2026 01:56:03"/>
    <s v="Ranieli"/>
    <s v="18/09/2026"/>
    <x v="0"/>
    <s v="JOSEFA KELY NUNES DE SOUSA"/>
    <n v="42854"/>
    <n v="2104"/>
    <n v="2095"/>
    <n v="2093"/>
    <n v="2085"/>
    <n v="2095"/>
    <n v="2108"/>
    <n v="2012"/>
    <n v="2093"/>
    <n v="2037"/>
    <n v="2007"/>
    <n v="2072.9"/>
    <s v=""/>
    <s v=""/>
    <n v="131"/>
    <n v="2080"/>
    <n v="-3.4134615384614946E-3"/>
    <n v="-7.0999999999999091"/>
    <x v="4"/>
    <x v="1"/>
  </r>
  <r>
    <x v="34"/>
    <x v="2"/>
    <s v="6aae15e303d0d5807444bc98"/>
    <s v="18/09/2026 19:15:02"/>
    <s v="19/09/2026 01:56:03"/>
    <s v="Ranieli"/>
    <s v="18/09/2026"/>
    <x v="0"/>
    <s v="JOSEFA KELY NUNES DE SOUSA"/>
    <n v="42838"/>
    <n v="2069"/>
    <n v="2024"/>
    <n v="2039"/>
    <n v="2023"/>
    <n v="2008"/>
    <n v="2049"/>
    <n v="2045"/>
    <n v="2045"/>
    <n v="2036"/>
    <n v="2061"/>
    <n v="2039.9"/>
    <s v=""/>
    <s v="assinatura"/>
    <n v="105"/>
    <n v="2000"/>
    <n v="1.9950000000000044E-2"/>
    <n v="39.900000000000091"/>
    <x v="7"/>
    <x v="1"/>
  </r>
  <r>
    <x v="34"/>
    <x v="2"/>
    <s v="6aae15e303d0d5807444bc92"/>
    <s v="18/09/2026 19:03:57"/>
    <s v="19/09/2026 01:56:03"/>
    <s v="Ranieli"/>
    <s v="18/09/2026"/>
    <x v="0"/>
    <s v="JOSEFA KELY NUNES DE SOUSA"/>
    <n v="40762"/>
    <n v="10060"/>
    <n v="10080"/>
    <n v="10065"/>
    <n v="10010"/>
    <n v="10020"/>
    <n v="10080"/>
    <n v="10065"/>
    <n v="10050"/>
    <n v="10040"/>
    <n v="9985"/>
    <n v="10045.5"/>
    <s v=""/>
    <s v=""/>
    <n v="418"/>
    <n v="10000"/>
    <n v="4.5500000000000002E-3"/>
    <n v="45.5"/>
    <x v="3"/>
    <x v="1"/>
  </r>
  <r>
    <x v="34"/>
    <x v="2"/>
    <s v="6aae15e303d0d5807444bc8c"/>
    <s v="18/09/2026 19:01:21"/>
    <s v="19/09/2026 01:56:03"/>
    <s v="Ranieli"/>
    <s v="18/09/2026"/>
    <x v="0"/>
    <s v="JOSEFA KELY NUNES DE SOUSA"/>
    <n v="13188"/>
    <n v="1012"/>
    <n v="1010"/>
    <n v="1010"/>
    <n v="1008"/>
    <n v="1007"/>
    <n v="1015"/>
    <n v="1016"/>
    <n v="1006"/>
    <n v="1008"/>
    <n v="1003"/>
    <n v="1009.5"/>
    <s v=""/>
    <s v="assinatura"/>
    <n v="154"/>
    <n v="1000"/>
    <n v="9.4999999999999998E-3"/>
    <n v="9.5"/>
    <x v="8"/>
    <x v="1"/>
  </r>
  <r>
    <x v="34"/>
    <x v="2"/>
    <s v="6aae15e303d0d5807444bc86"/>
    <s v="18/09/2026 18:58:27"/>
    <s v="19/09/2026 01:56:03"/>
    <s v="Ranieli"/>
    <s v="18/09/2026"/>
    <x v="0"/>
    <s v="JOSEFA KELY NUNES DE SOUSA"/>
    <n v="15849"/>
    <n v="1004"/>
    <n v="1010"/>
    <n v="1004"/>
    <n v="1003"/>
    <n v="1001"/>
    <n v="997"/>
    <n v="999"/>
    <n v="1013"/>
    <n v="999"/>
    <n v="1013"/>
    <n v="1004.3"/>
    <s v=""/>
    <s v="assinatura"/>
    <n v="3375"/>
    <n v="1000"/>
    <n v="4.2999999999999549E-3"/>
    <n v="4.2999999999999545"/>
    <x v="29"/>
    <x v="2"/>
  </r>
  <r>
    <x v="34"/>
    <x v="2"/>
    <s v="6aae15e303d0d5807444bc80"/>
    <s v="18/09/2026 18:55:19"/>
    <s v="19/09/2026 01:56:03"/>
    <s v="Ranieli"/>
    <s v="18/09/2026"/>
    <x v="0"/>
    <s v="JOSEFA KELY NUNES DE SOUSA"/>
    <n v="15105"/>
    <n v="995"/>
    <n v="1031"/>
    <n v="1028"/>
    <n v="1010"/>
    <n v="1015"/>
    <n v="1007"/>
    <n v="999"/>
    <n v="1049"/>
    <n v="1007"/>
    <n v="966"/>
    <n v="1010.7"/>
    <s v=""/>
    <s v="assinatura"/>
    <n v="3553"/>
    <n v="1000"/>
    <n v="1.0700000000000046E-2"/>
    <n v="10.700000000000045"/>
    <x v="0"/>
    <x v="0"/>
  </r>
  <r>
    <x v="34"/>
    <x v="2"/>
    <s v="6aae15e303d0d5807444bc7a"/>
    <s v="18/09/2026 18:52:08"/>
    <s v="19/09/2026 01:56:03"/>
    <s v="Ranieli"/>
    <s v="18/09/2026"/>
    <x v="0"/>
    <s v="JOSEFA KELY NUNES DE SOUSA"/>
    <n v="992093"/>
    <n v="5011"/>
    <n v="5009"/>
    <n v="5008"/>
    <n v="5006"/>
    <n v="5011"/>
    <n v="5010"/>
    <n v="5012"/>
    <n v="5015"/>
    <n v="5014"/>
    <n v="5021"/>
    <n v="5011.7"/>
    <s v=""/>
    <s v="assinatura"/>
    <n v="189"/>
    <n v="5000"/>
    <n v="2.3399999999999636E-3"/>
    <n v="11.699999999999818"/>
    <x v="13"/>
    <x v="3"/>
  </r>
  <r>
    <x v="34"/>
    <x v="2"/>
    <s v="6aadf406fcd9f74974256494"/>
    <s v="18/09/2026 23:22:20"/>
    <s v="18/09/2026 23:31:34"/>
    <s v="Ranieli"/>
    <s v="18/09/2026"/>
    <x v="0"/>
    <s v="JULIANE GOMES NOVAIS"/>
    <n v="42820"/>
    <n v="2080"/>
    <n v="2012"/>
    <n v="2003"/>
    <n v="2014"/>
    <n v="1987"/>
    <n v="1983"/>
    <n v="2042"/>
    <n v="2064"/>
    <n v="2017"/>
    <n v="2045"/>
    <n v="2024.7"/>
    <s v=""/>
    <s v="assinatura"/>
    <n v="484"/>
    <n v="2000"/>
    <n v="1.2350000000000022E-2"/>
    <n v="24.700000000000045"/>
    <x v="10"/>
    <x v="1"/>
  </r>
  <r>
    <x v="34"/>
    <x v="2"/>
    <s v="6aadf406fcd9f7497425648e"/>
    <s v="18/09/2026 23:20:03"/>
    <s v="18/09/2026 23:31:34"/>
    <s v="Ranieli"/>
    <s v="18/09/2026"/>
    <x v="0"/>
    <s v="JULIANE GOMES NOVAIS"/>
    <n v="42846"/>
    <n v="2003"/>
    <n v="1999"/>
    <n v="2014"/>
    <n v="2012"/>
    <n v="2001"/>
    <n v="2003"/>
    <n v="2000"/>
    <n v="2007"/>
    <n v="2012"/>
    <n v="2025"/>
    <n v="2007.6"/>
    <s v=""/>
    <s v="assinatura"/>
    <n v="639"/>
    <n v="2000"/>
    <n v="3.7999999999999545E-3"/>
    <n v="7.5999999999999091"/>
    <x v="6"/>
    <x v="1"/>
  </r>
  <r>
    <x v="34"/>
    <x v="2"/>
    <s v="6aadf406fcd9f74974256488"/>
    <s v="18/09/2026 23:16:34"/>
    <s v="18/09/2026 23:31:34"/>
    <s v="Ranieli"/>
    <s v="18/09/2026"/>
    <x v="0"/>
    <s v="JULIANE GOMES NOVAIS"/>
    <n v="42838"/>
    <n v="2016"/>
    <n v="2026"/>
    <n v="2016"/>
    <n v="2058"/>
    <n v="2038"/>
    <n v="2011"/>
    <n v="2032"/>
    <n v="2008"/>
    <n v="2009"/>
    <n v="2000"/>
    <n v="2021.4"/>
    <s v=""/>
    <s v="assinatura"/>
    <n v="204"/>
    <n v="2000"/>
    <n v="1.0700000000000046E-2"/>
    <n v="21.400000000000091"/>
    <x v="7"/>
    <x v="1"/>
  </r>
  <r>
    <x v="34"/>
    <x v="2"/>
    <s v="6aaddbf1d77fed4595fab5ea"/>
    <s v="18/09/2026 21:44:28"/>
    <s v="18/09/2026 21:48:49"/>
    <s v="Ranieli"/>
    <s v="18/09/2026"/>
    <x v="0"/>
    <s v="JULIANE GOMES NOVAIS"/>
    <n v="209069"/>
    <n v="1013"/>
    <n v="997"/>
    <n v="1010"/>
    <n v="1003"/>
    <n v="993"/>
    <n v="988"/>
    <n v="1037"/>
    <n v="1027"/>
    <n v="994"/>
    <n v="1044"/>
    <n v="1010.6"/>
    <s v=""/>
    <s v="assinatura"/>
    <n v="229"/>
    <n v="1000"/>
    <n v="1.0600000000000023E-2"/>
    <n v="10.600000000000023"/>
    <x v="28"/>
    <x v="0"/>
  </r>
  <r>
    <x v="34"/>
    <x v="2"/>
    <s v="6aaddaf503d0d58074449fcb"/>
    <s v="18/09/2026 19:01:17"/>
    <s v="18/09/2026 21:44:37"/>
    <s v="Ranieli"/>
    <s v="18/09/2026"/>
    <x v="0"/>
    <s v="JULIANE GOMES NOVAIS"/>
    <n v="40762"/>
    <n v="10075"/>
    <n v="10065"/>
    <n v="9990"/>
    <n v="10010"/>
    <n v="10060"/>
    <n v="10075"/>
    <n v="10055"/>
    <n v="10000"/>
    <n v="10020"/>
    <n v="10075"/>
    <n v="10042.5"/>
    <s v=""/>
    <s v=""/>
    <n v="456"/>
    <n v="10000"/>
    <n v="4.2500000000000003E-3"/>
    <n v="42.5"/>
    <x v="3"/>
    <x v="1"/>
  </r>
  <r>
    <x v="34"/>
    <x v="2"/>
    <s v="6aaddaf503d0d58074449fc5"/>
    <s v="18/09/2026 18:57:55"/>
    <s v="18/09/2026 21:44:37"/>
    <s v="Ranieli"/>
    <s v="18/09/2026"/>
    <x v="0"/>
    <s v="JULIANE GOMES NOVAIS"/>
    <n v="40762"/>
    <n v="10025"/>
    <n v="10035"/>
    <n v="9965"/>
    <n v="9985"/>
    <n v="10030"/>
    <n v="10055"/>
    <n v="10040"/>
    <n v="9995"/>
    <n v="10040"/>
    <n v="10025"/>
    <n v="10019.5"/>
    <s v=""/>
    <s v=""/>
    <n v="201"/>
    <n v="10000"/>
    <n v="1.9499999999999999E-3"/>
    <n v="19.5"/>
    <x v="3"/>
    <x v="1"/>
  </r>
  <r>
    <x v="34"/>
    <x v="2"/>
    <s v="6aaddaf503d0d58074449fbf"/>
    <s v="18/09/2026 18:55:20"/>
    <s v="18/09/2026 21:44:37"/>
    <s v="Ranieli"/>
    <s v="18/09/2026"/>
    <x v="0"/>
    <s v="JULIANE GOMES NOVAIS"/>
    <n v="40762"/>
    <n v="10040"/>
    <n v="10015"/>
    <n v="10085"/>
    <n v="10025"/>
    <n v="10005"/>
    <n v="10010"/>
    <n v="10050"/>
    <n v="10025"/>
    <n v="10030"/>
    <n v="9995"/>
    <n v="10028"/>
    <s v=""/>
    <s v=""/>
    <n v="151"/>
    <n v="10000"/>
    <n v="2.8E-3"/>
    <n v="28"/>
    <x v="3"/>
    <x v="1"/>
  </r>
  <r>
    <x v="34"/>
    <x v="2"/>
    <s v="6aaddaf503d0d58074449fb9"/>
    <s v="18/09/2026 18:46:29"/>
    <s v="18/09/2026 21:44:37"/>
    <s v="Ranieli"/>
    <s v="18/09/2026"/>
    <x v="0"/>
    <s v="JULIANE GOMES NOVAIS"/>
    <n v="55552"/>
    <n v="15005"/>
    <n v="15010"/>
    <n v="15020"/>
    <n v="15015"/>
    <n v="15005"/>
    <n v="15015"/>
    <n v="15015"/>
    <n v="15010"/>
    <n v="15000"/>
    <n v="15010"/>
    <n v="15010.5"/>
    <s v=""/>
    <s v="assinatura"/>
    <n v="452"/>
    <n v="15000"/>
    <n v="6.9999999999999999E-4"/>
    <n v="10.5"/>
    <x v="25"/>
    <x v="1"/>
  </r>
  <r>
    <x v="34"/>
    <x v="2"/>
    <s v="6aadb0c0fbc61ed447c23d2b"/>
    <s v="18/09/2026 18:40:47"/>
    <s v="18/09/2026 18:44:32"/>
    <s v="Ranieli"/>
    <s v="18/09/2026"/>
    <x v="0"/>
    <s v="JULIANE GOMES NOVAIS"/>
    <n v="13188"/>
    <n v="1000"/>
    <n v="1012"/>
    <n v="1003"/>
    <n v="1011"/>
    <n v="1014"/>
    <n v="1002"/>
    <n v="997"/>
    <n v="1008"/>
    <n v="1000"/>
    <n v="1014"/>
    <n v="1006.1"/>
    <s v=""/>
    <s v="assinatura"/>
    <n v="192"/>
    <n v="1000"/>
    <n v="6.1000000000000229E-3"/>
    <n v="6.1000000000000227"/>
    <x v="8"/>
    <x v="1"/>
  </r>
  <r>
    <x v="34"/>
    <x v="2"/>
    <s v="6aadb0c0fbc61ed447c23d25"/>
    <s v="18/09/2026 18:37:07"/>
    <s v="18/09/2026 18:44:32"/>
    <s v="Ranieli"/>
    <s v="18/09/2026"/>
    <x v="0"/>
    <s v="JULIANE GOMES NOVAIS"/>
    <n v="13188"/>
    <n v="1001"/>
    <n v="1009"/>
    <n v="1006"/>
    <n v="1011"/>
    <n v="1005"/>
    <n v="996"/>
    <n v="1008"/>
    <n v="1000"/>
    <n v="999"/>
    <n v="1002"/>
    <n v="1003.7"/>
    <s v=""/>
    <s v="assinatura"/>
    <n v="178"/>
    <n v="1000"/>
    <n v="3.7000000000000453E-3"/>
    <n v="3.7000000000000455"/>
    <x v="8"/>
    <x v="1"/>
  </r>
  <r>
    <x v="34"/>
    <x v="2"/>
    <s v="6aadb0c0fbc61ed447c23d1f"/>
    <s v="18/09/2026 18:35:41"/>
    <s v="18/09/2026 18:44:32"/>
    <s v="Ranieli"/>
    <s v="18/09/2026"/>
    <x v="0"/>
    <s v="JULIANE GOMES NOVAIS"/>
    <n v="15229"/>
    <n v="1012"/>
    <n v="1018"/>
    <n v="1002"/>
    <n v="1016"/>
    <n v="998"/>
    <n v="1005"/>
    <n v="996"/>
    <n v="1007"/>
    <n v="1011"/>
    <n v="1008"/>
    <n v="1007.3"/>
    <s v=""/>
    <s v="assinatura"/>
    <n v="81"/>
    <n v="1000"/>
    <n v="7.2999999999999541E-3"/>
    <n v="7.2999999999999545"/>
    <x v="9"/>
    <x v="1"/>
  </r>
  <r>
    <x v="34"/>
    <x v="2"/>
    <s v="6aadb0c0fbc61ed447c23d19"/>
    <s v="18/09/2026 18:33:10"/>
    <s v="18/09/2026 18:44:32"/>
    <s v="Ranieli"/>
    <s v="18/09/2026"/>
    <x v="0"/>
    <s v="JULIANE GOMES NOVAIS"/>
    <n v="15229"/>
    <n v="1006"/>
    <n v="995"/>
    <n v="1014"/>
    <n v="995"/>
    <n v="1013"/>
    <n v="1003"/>
    <n v="1002"/>
    <n v="1008"/>
    <n v="1004"/>
    <n v="1009"/>
    <n v="1004.9"/>
    <s v=""/>
    <s v="assinatura"/>
    <n v="149"/>
    <n v="1000"/>
    <n v="4.8999999999999773E-3"/>
    <n v="4.8999999999999773"/>
    <x v="9"/>
    <x v="1"/>
  </r>
  <r>
    <x v="34"/>
    <x v="2"/>
    <s v="6aadb0c0fbc61ed447c23d13"/>
    <s v="18/09/2026 18:13:40"/>
    <s v="18/09/2026 18:44:32"/>
    <s v="Ranieli"/>
    <s v="18/09/2026"/>
    <x v="0"/>
    <s v="JULIANE GOMES NOVAIS"/>
    <n v="15105"/>
    <n v="1020"/>
    <n v="1067"/>
    <n v="999"/>
    <n v="995"/>
    <n v="1003"/>
    <n v="1042"/>
    <n v="989"/>
    <n v="990"/>
    <n v="1015"/>
    <n v="1030"/>
    <n v="1015"/>
    <s v=""/>
    <s v="assinatura"/>
    <n v="208"/>
    <n v="1000"/>
    <n v="1.4999999999999999E-2"/>
    <n v="15"/>
    <x v="0"/>
    <x v="0"/>
  </r>
  <r>
    <x v="34"/>
    <x v="2"/>
    <s v="6aad6a5e34389a7f1f0fa6e2"/>
    <s v="18/09/2026 11:02:44"/>
    <s v="18/09/2026 13:44:14"/>
    <s v="Ranieli"/>
    <s v="18/09/2026"/>
    <x v="1"/>
    <s v="ALANA DA SILVA MARTINS"/>
    <n v="209039"/>
    <n v="1040"/>
    <n v="1022"/>
    <n v="1041"/>
    <n v="1005"/>
    <n v="1046"/>
    <n v="1059"/>
    <n v="1034"/>
    <n v="1047"/>
    <n v="1012"/>
    <n v="1009"/>
    <n v="1031.5"/>
    <s v=""/>
    <s v="assinatura"/>
    <n v="158"/>
    <n v="1000"/>
    <n v="3.15E-2"/>
    <n v="31.5"/>
    <x v="19"/>
    <x v="3"/>
  </r>
  <r>
    <x v="35"/>
    <x v="2"/>
    <s v="6aad4487fcd9f7497422cc8a"/>
    <s v="17/09/2026 16:35:09"/>
    <s v="18/09/2026 11:02:47"/>
    <s v="Ranieli"/>
    <s v="17/09/2026"/>
    <x v="1"/>
    <s v="ALANA DA SILVA MARTINS"/>
    <n v="197734"/>
    <n v="1003"/>
    <n v="1000"/>
    <n v="999"/>
    <n v="1027"/>
    <n v="1023"/>
    <n v="1015"/>
    <n v="995"/>
    <n v="1002"/>
    <n v="996"/>
    <n v="1004"/>
    <n v="1006.4"/>
    <s v=""/>
    <s v="assinatura"/>
    <n v="174"/>
    <n v="1000"/>
    <n v="6.3999999999999769E-3"/>
    <n v="6.3999999999999773"/>
    <x v="2"/>
    <x v="2"/>
  </r>
  <r>
    <x v="34"/>
    <x v="2"/>
    <s v="6aacc411a0b92a3a6b29cc1f"/>
    <s v="17/09/2026 23:12:36"/>
    <s v="18/09/2026 01:54:41"/>
    <s v="Ranieli"/>
    <s v="18/09/2026"/>
    <x v="0"/>
    <s v="JOSEFA KELY NUNES DE SOUSA"/>
    <n v="42820"/>
    <n v="2012"/>
    <n v="2004"/>
    <n v="2011"/>
    <n v="2011"/>
    <n v="2005"/>
    <n v="2006"/>
    <n v="2000"/>
    <n v="2012"/>
    <n v="2004"/>
    <n v="2047"/>
    <n v="2011.2"/>
    <s v=""/>
    <s v="assinatura"/>
    <n v="8825"/>
    <n v="2000"/>
    <n v="5.6000000000000225E-3"/>
    <n v="11.200000000000045"/>
    <x v="10"/>
    <x v="1"/>
  </r>
  <r>
    <x v="35"/>
    <x v="2"/>
    <s v="6aacc411a0b92a3a6b29cc19"/>
    <s v="17/09/2026 23:09:58"/>
    <s v="18/09/2026 01:54:41"/>
    <s v="Ranieli"/>
    <s v="17/09/2026"/>
    <x v="0"/>
    <s v="JOSEFA KELY NUNES DE SOUSA"/>
    <n v="42820"/>
    <n v="2040"/>
    <n v="2021"/>
    <n v="2032"/>
    <n v="2024"/>
    <n v="2012"/>
    <n v="2001"/>
    <n v="2018"/>
    <n v="2021"/>
    <n v="2019"/>
    <n v="2033"/>
    <n v="2022.1"/>
    <s v=""/>
    <s v="assinatura"/>
    <n v="8315"/>
    <n v="2000"/>
    <n v="1.1049999999999954E-2"/>
    <n v="22.099999999999909"/>
    <x v="10"/>
    <x v="1"/>
  </r>
  <r>
    <x v="35"/>
    <x v="2"/>
    <s v="6aacc411a0b92a3a6b29cc13"/>
    <s v="17/09/2026 23:07:50"/>
    <s v="18/09/2026 01:54:41"/>
    <s v="Ranieli"/>
    <s v="17/09/2026"/>
    <x v="0"/>
    <s v="JOSEFA KELY NUNES DE SOUSA"/>
    <n v="42838"/>
    <n v="2003"/>
    <n v="2054"/>
    <n v="2033"/>
    <n v="2027"/>
    <n v="2031"/>
    <n v="2036"/>
    <n v="2007"/>
    <n v="2028"/>
    <n v="2041"/>
    <n v="2035"/>
    <n v="2029.5"/>
    <s v=""/>
    <s v="assinatura"/>
    <n v="7735"/>
    <n v="2000"/>
    <n v="1.4749999999999999E-2"/>
    <n v="29.5"/>
    <x v="7"/>
    <x v="1"/>
  </r>
  <r>
    <x v="35"/>
    <x v="2"/>
    <s v="6aacc411a0b92a3a6b29cc0d"/>
    <s v="17/09/2026 23:06:09"/>
    <s v="18/09/2026 01:54:41"/>
    <s v="Ranieli"/>
    <s v="17/09/2026"/>
    <x v="0"/>
    <s v="JOSEFA KELY NUNES DE SOUSA"/>
    <n v="864048"/>
    <n v="2011"/>
    <n v="2012"/>
    <n v="2007"/>
    <n v="2013"/>
    <n v="2055"/>
    <n v="2048"/>
    <n v="2005"/>
    <n v="2016"/>
    <n v="1998"/>
    <n v="2014"/>
    <n v="2017.9"/>
    <s v=""/>
    <s v=""/>
    <n v="100"/>
    <n v="2000"/>
    <n v="8.9500000000000447E-3"/>
    <n v="17.900000000000091"/>
    <x v="26"/>
    <x v="1"/>
  </r>
  <r>
    <x v="35"/>
    <x v="2"/>
    <s v="6aacc411a0b92a3a6b29cc07"/>
    <s v="17/09/2026 23:04:12"/>
    <s v="18/09/2026 01:54:41"/>
    <s v="Ranieli"/>
    <s v="17/09/2026"/>
    <x v="0"/>
    <s v="JOSEFA KELY NUNES DE SOUSA"/>
    <n v="42811"/>
    <n v="2024"/>
    <n v="2003"/>
    <n v="2033"/>
    <n v="2028"/>
    <n v="1992"/>
    <n v="2018"/>
    <n v="2006"/>
    <n v="2012"/>
    <n v="2021"/>
    <n v="2007"/>
    <n v="2014.4"/>
    <s v=""/>
    <s v=""/>
    <n v="116"/>
    <n v="2000"/>
    <n v="7.2000000000000458E-3"/>
    <n v="14.400000000000091"/>
    <x v="32"/>
    <x v="1"/>
  </r>
  <r>
    <x v="35"/>
    <x v="2"/>
    <s v="6aacc411a0b92a3a6b29cc01"/>
    <s v="17/09/2026 22:59:29"/>
    <s v="18/09/2026 01:54:41"/>
    <s v="Ranieli"/>
    <s v="17/09/2026"/>
    <x v="0"/>
    <s v="JOSEFA KELY NUNES DE SOUSA"/>
    <n v="42862"/>
    <n v="2033"/>
    <n v="1997"/>
    <n v="2025"/>
    <n v="2019"/>
    <n v="2000"/>
    <n v="2017"/>
    <n v="2018"/>
    <n v="2015"/>
    <n v="2081"/>
    <n v="2019"/>
    <n v="2022.4"/>
    <s v=""/>
    <s v="assinatura"/>
    <n v="281"/>
    <n v="2000"/>
    <n v="1.1200000000000045E-2"/>
    <n v="22.400000000000091"/>
    <x v="5"/>
    <x v="1"/>
  </r>
  <r>
    <x v="35"/>
    <x v="2"/>
    <s v="6aacc411a0b92a3a6b29cbfb"/>
    <s v="17/09/2026 22:55:30"/>
    <s v="18/09/2026 01:54:41"/>
    <s v="Ranieli"/>
    <s v="17/09/2026"/>
    <x v="0"/>
    <s v="JOSEFA KELY NUNES DE SOUSA"/>
    <n v="15105"/>
    <n v="1014"/>
    <n v="1000"/>
    <n v="963"/>
    <n v="1029"/>
    <n v="1028"/>
    <n v="1046"/>
    <n v="995"/>
    <n v="1029"/>
    <n v="1057"/>
    <n v="1009"/>
    <n v="1017"/>
    <s v=""/>
    <s v="assinatura"/>
    <n v="197"/>
    <n v="1000"/>
    <n v="1.7000000000000001E-2"/>
    <n v="17"/>
    <x v="0"/>
    <x v="0"/>
  </r>
  <r>
    <x v="35"/>
    <x v="2"/>
    <s v="6aacc410a0b92a3a6b29cbe9"/>
    <s v="17/09/2026 20:28:16"/>
    <s v="18/09/2026 01:54:40"/>
    <s v="Ranieli"/>
    <s v="17/09/2026"/>
    <x v="0"/>
    <s v="JOSEFA KELY NUNES DE SOUSA"/>
    <n v="209069"/>
    <n v="1050"/>
    <n v="1081"/>
    <n v="1055"/>
    <n v="1018"/>
    <n v="1002"/>
    <n v="1000"/>
    <n v="1001"/>
    <n v="1013"/>
    <n v="1010"/>
    <n v="1045"/>
    <n v="1027.5"/>
    <s v=""/>
    <s v=""/>
    <n v="114"/>
    <n v="1000"/>
    <n v="2.75E-2"/>
    <n v="27.5"/>
    <x v="28"/>
    <x v="0"/>
  </r>
  <r>
    <x v="35"/>
    <x v="2"/>
    <s v="6aacc410a0b92a3a6b29cbe3"/>
    <s v="17/09/2026 18:32:32"/>
    <s v="18/09/2026 01:54:40"/>
    <s v="Ranieli"/>
    <s v="17/09/2026"/>
    <x v="0"/>
    <s v="JOSEFA KELY NUNES DE SOUSA"/>
    <n v="15105"/>
    <n v="960"/>
    <n v="960"/>
    <n v="974"/>
    <n v="974"/>
    <n v="988"/>
    <n v="981"/>
    <n v="970"/>
    <n v="1002"/>
    <n v="971"/>
    <n v="979"/>
    <n v="975.9"/>
    <s v=""/>
    <s v="assinatura"/>
    <n v="486"/>
    <n v="1000"/>
    <n v="-2.4100000000000024E-2"/>
    <n v="-24.100000000000023"/>
    <x v="0"/>
    <x v="0"/>
  </r>
  <r>
    <x v="35"/>
    <x v="2"/>
    <s v="6aacc410a0b92a3a6b29cbdd"/>
    <s v="17/09/2026 18:26:16"/>
    <s v="18/09/2026 01:54:40"/>
    <s v="Ranieli"/>
    <s v="17/09/2026"/>
    <x v="0"/>
    <s v="JOSEFA KELY NUNES DE SOUSA"/>
    <n v="42838"/>
    <n v="2018"/>
    <n v="2051"/>
    <n v="2007"/>
    <n v="2013"/>
    <n v="2029"/>
    <n v="2046"/>
    <n v="2026"/>
    <n v="2030"/>
    <n v="2025"/>
    <n v="2025"/>
    <n v="2027"/>
    <s v=""/>
    <s v="assinatura"/>
    <n v="374"/>
    <n v="2000"/>
    <n v="1.35E-2"/>
    <n v="27"/>
    <x v="7"/>
    <x v="1"/>
  </r>
  <r>
    <x v="35"/>
    <x v="2"/>
    <s v="6aacc410a0b92a3a6b29cbd7"/>
    <s v="17/09/2026 18:22:37"/>
    <s v="18/09/2026 01:54:40"/>
    <s v="Ranieli"/>
    <s v="17/09/2026"/>
    <x v="0"/>
    <s v="JOSEFA KELY NUNES DE SOUSA"/>
    <n v="42846"/>
    <n v="2004"/>
    <n v="2019"/>
    <n v="2002"/>
    <n v="2012"/>
    <n v="2012"/>
    <n v="2016"/>
    <n v="2005"/>
    <n v="2007"/>
    <n v="2017"/>
    <n v="2011"/>
    <n v="2010.5"/>
    <s v=""/>
    <s v=""/>
    <n v="218"/>
    <n v="2000"/>
    <n v="5.2500000000000003E-3"/>
    <n v="10.5"/>
    <x v="6"/>
    <x v="1"/>
  </r>
  <r>
    <x v="35"/>
    <x v="2"/>
    <s v="6aacc410a0b92a3a6b29cbd1"/>
    <s v="17/09/2026 18:19:58"/>
    <s v="18/09/2026 01:54:40"/>
    <s v="Ranieli"/>
    <s v="17/09/2026"/>
    <x v="0"/>
    <s v="JOSEFA KELY NUNES DE SOUSA"/>
    <n v="42862"/>
    <n v="2001"/>
    <n v="2017"/>
    <n v="2002"/>
    <n v="2017"/>
    <n v="2015"/>
    <n v="2019"/>
    <n v="2017"/>
    <n v="2008"/>
    <n v="2011"/>
    <n v="2020"/>
    <n v="2012.7"/>
    <s v=""/>
    <s v="assinatura"/>
    <n v="157"/>
    <n v="2000"/>
    <n v="6.3500000000000232E-3"/>
    <n v="12.700000000000045"/>
    <x v="5"/>
    <x v="1"/>
  </r>
  <r>
    <x v="35"/>
    <x v="2"/>
    <s v="6aacc410a0b92a3a6b29cbcb"/>
    <s v="17/09/2026 18:18:08"/>
    <s v="18/09/2026 01:54:40"/>
    <s v="Ranieli"/>
    <s v="17/09/2026"/>
    <x v="0"/>
    <s v="JOSEFA KELY NUNES DE SOUSA"/>
    <n v="42854"/>
    <n v="2091"/>
    <n v="2103"/>
    <n v="2101"/>
    <n v="2099"/>
    <n v="2095"/>
    <n v="2002"/>
    <n v="2100"/>
    <n v="2105"/>
    <n v="2080"/>
    <n v="2101"/>
    <n v="2087.6999999999998"/>
    <s v=""/>
    <s v=""/>
    <n v="109"/>
    <n v="2080"/>
    <n v="3.7019230769229894E-3"/>
    <n v="7.6999999999998181"/>
    <x v="4"/>
    <x v="1"/>
  </r>
  <r>
    <x v="35"/>
    <x v="2"/>
    <s v="6aacc410a0b92a3a6b29cbc5"/>
    <s v="17/09/2026 17:25:09"/>
    <s v="18/09/2026 01:54:40"/>
    <s v="Ranieli"/>
    <s v="17/09/2026"/>
    <x v="0"/>
    <s v="JOSEFA KELY NUNES DE SOUSA"/>
    <n v="40762"/>
    <n v="10000"/>
    <n v="10045"/>
    <n v="10030"/>
    <n v="10020"/>
    <n v="10005"/>
    <n v="9975"/>
    <n v="10055"/>
    <n v="10015"/>
    <n v="10025"/>
    <n v="10030"/>
    <n v="10020"/>
    <s v=""/>
    <s v="assinatura"/>
    <n v="340"/>
    <n v="10000"/>
    <n v="2E-3"/>
    <n v="20"/>
    <x v="3"/>
    <x v="1"/>
  </r>
  <r>
    <x v="35"/>
    <x v="2"/>
    <s v="6aacc410a0b92a3a6b29cbbf"/>
    <s v="17/09/2026 17:19:00"/>
    <s v="18/09/2026 01:54:40"/>
    <s v="Ranieli"/>
    <s v="17/09/2026"/>
    <x v="0"/>
    <s v="JOSEFA KELY NUNES DE SOUSA"/>
    <n v="995638"/>
    <n v="15015"/>
    <n v="15025"/>
    <n v="15055"/>
    <n v="15065"/>
    <n v="15000"/>
    <n v="15030"/>
    <n v="15030"/>
    <n v="15020"/>
    <n v="15045"/>
    <n v="15025"/>
    <n v="15031"/>
    <s v=""/>
    <s v="assinatura"/>
    <n v="351"/>
    <n v="15000"/>
    <n v="2.0666666666666667E-3"/>
    <n v="31"/>
    <x v="21"/>
    <x v="3"/>
  </r>
  <r>
    <x v="35"/>
    <x v="2"/>
    <s v="6aacc410a0b92a3a6b29cbb9"/>
    <s v="17/09/2026 17:16:09"/>
    <s v="18/09/2026 01:54:40"/>
    <s v="Ranieli"/>
    <s v="17/09/2026"/>
    <x v="0"/>
    <s v="JOSEFA KELY NUNES DE SOUSA"/>
    <n v="992093"/>
    <n v="5009"/>
    <n v="5014"/>
    <n v="5009"/>
    <n v="5000"/>
    <n v="5007"/>
    <n v="5004"/>
    <n v="5003"/>
    <n v="5004"/>
    <n v="5006"/>
    <n v="5006"/>
    <n v="5006.2"/>
    <s v=""/>
    <s v=""/>
    <n v="170"/>
    <n v="5000"/>
    <n v="1.2399999999999636E-3"/>
    <n v="6.1999999999998181"/>
    <x v="13"/>
    <x v="3"/>
  </r>
  <r>
    <x v="35"/>
    <x v="2"/>
    <s v="6aacc410a0b92a3a6b29cbb3"/>
    <s v="17/09/2026 17:11:09"/>
    <s v="18/09/2026 01:54:40"/>
    <s v="Ranieli"/>
    <s v="17/09/2026"/>
    <x v="0"/>
    <s v="JOSEFA KELY NUNES DE SOUSA"/>
    <n v="15105"/>
    <n v="998"/>
    <n v="1038"/>
    <n v="1058"/>
    <n v="998"/>
    <n v="1008"/>
    <n v="1026"/>
    <n v="993"/>
    <n v="1050"/>
    <n v="1009"/>
    <n v="1014"/>
    <n v="1019.2"/>
    <s v=""/>
    <s v="assinatura"/>
    <n v="299"/>
    <n v="1000"/>
    <n v="1.9200000000000047E-2"/>
    <n v="19.200000000000045"/>
    <x v="0"/>
    <x v="0"/>
  </r>
  <r>
    <x v="35"/>
    <x v="2"/>
    <s v="6aac89962058495d6bd9f23e"/>
    <s v="17/09/2026 18:03:15"/>
    <s v="17/09/2026 21:45:10"/>
    <s v="Ranieli"/>
    <s v="17/09/2026"/>
    <x v="0"/>
    <s v="JULIANE GOMES NOVAIS"/>
    <n v="40762"/>
    <n v="9990"/>
    <n v="10065"/>
    <n v="10070"/>
    <n v="10020"/>
    <n v="10085"/>
    <n v="10015"/>
    <n v="10080"/>
    <n v="10010"/>
    <n v="10065"/>
    <n v="10070"/>
    <n v="10047"/>
    <s v=""/>
    <s v="assinatura"/>
    <n v="318"/>
    <n v="10000"/>
    <n v="4.7000000000000002E-3"/>
    <n v="47"/>
    <x v="3"/>
    <x v="1"/>
  </r>
  <r>
    <x v="35"/>
    <x v="2"/>
    <s v="6aac3f3c03d0d5807441df72"/>
    <s v="17/09/2026 15:01:06"/>
    <s v="17/09/2026 16:27:56"/>
    <s v="Ranieli"/>
    <s v="17/09/2026"/>
    <x v="1"/>
    <s v="ALANA DA SILVA MARTINS"/>
    <n v="209299"/>
    <n v="1012"/>
    <n v="1000"/>
    <n v="1047"/>
    <n v="1000"/>
    <n v="1095"/>
    <n v="1003"/>
    <n v="996"/>
    <n v="1005"/>
    <n v="1056"/>
    <n v="1006"/>
    <n v="1022"/>
    <s v=""/>
    <s v="assinatura"/>
    <n v="189"/>
    <n v="1000"/>
    <n v="2.1999999999999999E-2"/>
    <n v="22"/>
    <x v="30"/>
    <x v="1"/>
  </r>
  <r>
    <x v="35"/>
    <x v="2"/>
    <s v="6aac246461edf70c814e55e1"/>
    <s v="17/09/2026 11:23:15"/>
    <s v="17/09/2026 14:33:24"/>
    <s v="Ranieli"/>
    <s v="17/09/2026"/>
    <x v="1"/>
    <s v="ALANA DA SILVA MARTINS"/>
    <n v="40762"/>
    <n v="10250"/>
    <n v="10085"/>
    <n v="10105"/>
    <n v="10095"/>
    <n v="10090"/>
    <n v="10120"/>
    <n v="9935"/>
    <n v="10040"/>
    <n v="9915"/>
    <n v="10140"/>
    <n v="10077.5"/>
    <s v=""/>
    <s v="assinatura"/>
    <n v="1142"/>
    <n v="10000"/>
    <n v="7.7499999999999999E-3"/>
    <n v="77.5"/>
    <x v="3"/>
    <x v="1"/>
  </r>
  <r>
    <x v="35"/>
    <x v="2"/>
    <s v="6aac246461edf70c814e55db"/>
    <s v="17/09/2026 11:18:55"/>
    <s v="17/09/2026 14:33:24"/>
    <s v="Ranieli"/>
    <s v="17/09/2026"/>
    <x v="1"/>
    <s v="ALANA DA SILVA MARTINS"/>
    <n v="42862"/>
    <n v="2016"/>
    <n v="2027"/>
    <n v="2037"/>
    <n v="2044"/>
    <n v="2048"/>
    <n v="2066"/>
    <n v="2034"/>
    <n v="2076"/>
    <n v="2020"/>
    <n v="2026"/>
    <n v="2039.4"/>
    <s v=""/>
    <s v="assinatura"/>
    <n v="1336"/>
    <n v="2000"/>
    <n v="1.9700000000000044E-2"/>
    <n v="39.400000000000091"/>
    <x v="5"/>
    <x v="1"/>
  </r>
  <r>
    <x v="35"/>
    <x v="2"/>
    <s v="6aac246461edf70c814e55d3"/>
    <s v="17/09/2026 10:05:30"/>
    <s v="17/09/2026 14:33:24"/>
    <s v="Ranieli"/>
    <s v="17/09/2026"/>
    <x v="1"/>
    <s v="ALANA DA SILVA MARTINS"/>
    <n v="15105"/>
    <n v="1045"/>
    <n v="1003"/>
    <n v="995"/>
    <n v="1022"/>
    <n v="1009"/>
    <n v="1004"/>
    <n v="1000"/>
    <n v="1028"/>
    <n v="1021"/>
    <n v="1008"/>
    <n v="1013.5"/>
    <s v=""/>
    <s v="assinatura"/>
    <n v="5707"/>
    <n v="1000"/>
    <n v="1.35E-2"/>
    <n v="13.5"/>
    <x v="0"/>
    <x v="0"/>
  </r>
  <r>
    <x v="35"/>
    <x v="2"/>
    <s v="6aac246461edf70c814e55cd"/>
    <s v="17/09/2026 09:59:26"/>
    <s v="17/09/2026 14:33:24"/>
    <s v="Ranieli"/>
    <s v="17/09/2026"/>
    <x v="1"/>
    <s v="ALANA DA SILVA MARTINS"/>
    <n v="43784"/>
    <n v="993"/>
    <n v="988"/>
    <n v="994"/>
    <n v="989"/>
    <n v="988"/>
    <n v="990"/>
    <n v="989"/>
    <n v="995"/>
    <n v="998"/>
    <n v="999"/>
    <n v="992.3"/>
    <s v=""/>
    <s v="assinatura"/>
    <n v="6038"/>
    <n v="1000"/>
    <n v="-7.7000000000000453E-3"/>
    <n v="-7.7000000000000455"/>
    <x v="35"/>
    <x v="7"/>
  </r>
  <r>
    <x v="35"/>
    <x v="2"/>
    <s v="6aac246461edf70c814e55c7"/>
    <s v="17/09/2026 09:53:40"/>
    <s v="17/09/2026 14:33:24"/>
    <s v="Ranieli"/>
    <s v="17/09/2026"/>
    <x v="1"/>
    <s v="ALANA DA SILVA MARTINS"/>
    <n v="864048"/>
    <n v="2071"/>
    <n v="2031"/>
    <n v="2064"/>
    <n v="2038"/>
    <n v="1999"/>
    <n v="1989"/>
    <n v="2083"/>
    <n v="2031"/>
    <n v="2000"/>
    <n v="2011"/>
    <n v="2031.7"/>
    <s v=""/>
    <s v="assinatura"/>
    <n v="1691"/>
    <n v="2000"/>
    <n v="1.5850000000000024E-2"/>
    <n v="31.700000000000045"/>
    <x v="26"/>
    <x v="1"/>
  </r>
  <r>
    <x v="35"/>
    <x v="2"/>
    <s v="6aac246461edf70c814e55c1"/>
    <s v="17/09/2026 09:47:44"/>
    <s v="17/09/2026 14:33:24"/>
    <s v="Ranieli"/>
    <s v="17/09/2026"/>
    <x v="1"/>
    <s v="ALANA DA SILVA MARTINS"/>
    <n v="42854"/>
    <n v="2100"/>
    <n v="2118"/>
    <n v="2152"/>
    <n v="2063"/>
    <n v="2152"/>
    <n v="2070"/>
    <n v="2146"/>
    <n v="2153"/>
    <n v="2179"/>
    <n v="2166"/>
    <n v="2129.9"/>
    <s v=""/>
    <s v="assinatura"/>
    <n v="2082"/>
    <n v="2080"/>
    <n v="2.399038461538466E-2"/>
    <n v="49.900000000000091"/>
    <x v="4"/>
    <x v="1"/>
  </r>
  <r>
    <x v="35"/>
    <x v="2"/>
    <s v="6aac246461edf70c814e55bb"/>
    <s v="17/09/2026 09:43:27"/>
    <s v="17/09/2026 14:33:24"/>
    <s v="Ranieli"/>
    <s v="17/09/2026"/>
    <x v="1"/>
    <s v="ALANA DA SILVA MARTINS"/>
    <n v="42838"/>
    <n v="2060"/>
    <n v="2059"/>
    <n v="2090"/>
    <n v="2053"/>
    <n v="2045"/>
    <n v="2062"/>
    <n v="2079"/>
    <n v="2114"/>
    <n v="2058"/>
    <n v="2053"/>
    <n v="2067.3000000000002"/>
    <s v=""/>
    <s v="assinatura"/>
    <n v="2381"/>
    <n v="2000"/>
    <n v="3.365000000000009E-2"/>
    <n v="67.300000000000182"/>
    <x v="7"/>
    <x v="1"/>
  </r>
  <r>
    <x v="35"/>
    <x v="2"/>
    <s v="6aac246461edf70c814e55b5"/>
    <s v="17/09/2026 09:39:55"/>
    <s v="17/09/2026 14:33:24"/>
    <s v="Ranieli"/>
    <s v="17/09/2026"/>
    <x v="1"/>
    <s v="ALANA DA SILVA MARTINS"/>
    <n v="42846"/>
    <n v="2014"/>
    <n v="2001"/>
    <n v="2006"/>
    <n v="2026"/>
    <n v="2008"/>
    <n v="2000"/>
    <n v="2021"/>
    <n v="2018"/>
    <n v="2005"/>
    <n v="2037"/>
    <n v="2013.6"/>
    <s v=""/>
    <s v="assinatura"/>
    <n v="2630"/>
    <n v="2000"/>
    <n v="6.7999999999999545E-3"/>
    <n v="13.599999999999909"/>
    <x v="6"/>
    <x v="1"/>
  </r>
  <r>
    <x v="35"/>
    <x v="2"/>
    <s v="6aac246461edf70c814e55af"/>
    <s v="17/09/2026 09:36:33"/>
    <s v="17/09/2026 14:33:24"/>
    <s v="Ranieli"/>
    <s v="17/09/2026"/>
    <x v="1"/>
    <s v="ALANA DA SILVA MARTINS"/>
    <n v="15849"/>
    <n v="1004"/>
    <n v="961"/>
    <n v="1000"/>
    <n v="1010"/>
    <n v="999"/>
    <n v="1000"/>
    <n v="1017"/>
    <n v="1012"/>
    <n v="1008"/>
    <n v="1021"/>
    <n v="1003.2"/>
    <s v=""/>
    <s v="assinatura"/>
    <n v="7326"/>
    <n v="1000"/>
    <n v="3.2000000000000457E-3"/>
    <n v="3.2000000000000455"/>
    <x v="29"/>
    <x v="2"/>
  </r>
  <r>
    <x v="33"/>
    <x v="2"/>
    <s v="6aac246461edf70c814e55a9"/>
    <s v="16/09/2026 15:07:30"/>
    <s v="17/09/2026 14:33:24"/>
    <s v="Ranieli"/>
    <s v="16/09/2026"/>
    <x v="1"/>
    <s v="ALANA DA SILVA MARTINS"/>
    <n v="42838"/>
    <n v="2084"/>
    <n v="1913"/>
    <n v="2015"/>
    <n v="2055"/>
    <n v="2143"/>
    <n v="2073"/>
    <n v="2087"/>
    <n v="2057"/>
    <n v="1989"/>
    <n v="2124"/>
    <n v="2054"/>
    <s v=""/>
    <s v="assinatura"/>
    <n v="73773"/>
    <n v="2000"/>
    <n v="2.7E-2"/>
    <n v="54"/>
    <x v="7"/>
    <x v="1"/>
  </r>
  <r>
    <x v="33"/>
    <x v="2"/>
    <s v="6aac246461edf70c814e55a3"/>
    <s v="16/09/2026 15:02:46"/>
    <s v="17/09/2026 14:33:24"/>
    <s v="Ranieli"/>
    <s v="16/09/2026"/>
    <x v="1"/>
    <s v="ALANA DA SILVA MARTINS"/>
    <n v="864048"/>
    <n v="2066"/>
    <n v="2023"/>
    <n v="2068"/>
    <n v="2015"/>
    <n v="1989"/>
    <n v="2075"/>
    <n v="2025"/>
    <n v="2003"/>
    <n v="1984"/>
    <n v="2057"/>
    <n v="2030.5"/>
    <s v=""/>
    <s v="assinatura"/>
    <n v="69721"/>
    <n v="2000"/>
    <n v="1.525E-2"/>
    <n v="30.5"/>
    <x v="26"/>
    <x v="1"/>
  </r>
  <r>
    <x v="33"/>
    <x v="2"/>
    <s v="6aac246461edf70c814e559d"/>
    <s v="16/09/2026 14:56:32"/>
    <s v="17/09/2026 14:33:24"/>
    <s v="Ranieli"/>
    <s v="16/09/2026"/>
    <x v="1"/>
    <s v="ALANA DA SILVA MARTINS"/>
    <n v="42854"/>
    <n v="2164"/>
    <n v="2157"/>
    <n v="2150"/>
    <n v="2054"/>
    <n v="2157"/>
    <n v="2173"/>
    <n v="2151"/>
    <n v="2130"/>
    <n v="2149"/>
    <n v="2161"/>
    <n v="2144.6"/>
    <s v=""/>
    <s v="assinatura"/>
    <n v="74407"/>
    <n v="2080"/>
    <n v="3.1057692307692265E-2"/>
    <n v="64.599999999999909"/>
    <x v="4"/>
    <x v="1"/>
  </r>
  <r>
    <x v="33"/>
    <x v="2"/>
    <s v="6aac246461edf70c814e5597"/>
    <s v="16/09/2026 14:20:14"/>
    <s v="17/09/2026 14:33:24"/>
    <s v="Ranieli"/>
    <s v="16/09/2026"/>
    <x v="1"/>
    <s v="ALANA DA SILVA MARTINS"/>
    <n v="197734"/>
    <n v="1020"/>
    <n v="1007"/>
    <n v="1006"/>
    <n v="1011"/>
    <n v="1020"/>
    <n v="1004"/>
    <n v="997"/>
    <n v="1006"/>
    <n v="1008"/>
    <n v="1007"/>
    <n v="1008.6"/>
    <s v=""/>
    <s v="assinatura"/>
    <n v="158"/>
    <n v="1000"/>
    <n v="8.6000000000000226E-3"/>
    <n v="8.6000000000000227"/>
    <x v="2"/>
    <x v="2"/>
  </r>
  <r>
    <x v="33"/>
    <x v="2"/>
    <s v="6aac246461edf70c814e5591"/>
    <s v="16/09/2026 13:05:55"/>
    <s v="17/09/2026 14:33:24"/>
    <s v="Ranieli"/>
    <s v="16/09/2026"/>
    <x v="1"/>
    <s v="ALANA DA SILVA MARTINS"/>
    <n v="15105"/>
    <n v="997"/>
    <n v="1016"/>
    <n v="1006"/>
    <n v="996"/>
    <n v="1018"/>
    <n v="1022"/>
    <n v="996"/>
    <n v="1024"/>
    <n v="1003"/>
    <n v="1025"/>
    <n v="1010.3"/>
    <s v=""/>
    <s v="assinatura"/>
    <n v="286"/>
    <n v="1000"/>
    <n v="1.0299999999999955E-2"/>
    <n v="10.299999999999955"/>
    <x v="0"/>
    <x v="0"/>
  </r>
  <r>
    <x v="35"/>
    <x v="2"/>
    <s v="6aac1c9f40dec24642319dbe"/>
    <s v="17/09/2026 13:49:42"/>
    <s v="17/09/2026 14:00:15"/>
    <s v="Ranieli"/>
    <s v="17/09/2026"/>
    <x v="1"/>
    <s v="RANIELI MARIA MASQUIETI DOURADO"/>
    <n v="31454"/>
    <n v="2514"/>
    <n v="2497"/>
    <n v="2522"/>
    <n v="2459"/>
    <n v="2524"/>
    <n v="2500"/>
    <n v="2494"/>
    <n v="2497"/>
    <n v="2546"/>
    <n v="2492"/>
    <n v="2504.5"/>
    <s v=""/>
    <s v="assinatura"/>
    <n v="152"/>
    <n v="2500"/>
    <n v="1.8E-3"/>
    <n v="4.5"/>
    <x v="20"/>
    <x v="3"/>
  </r>
  <r>
    <x v="35"/>
    <x v="2"/>
    <s v="6aac1c9f40dec24642319db8"/>
    <s v="17/09/2026 13:38:21"/>
    <s v="17/09/2026 14:00:15"/>
    <s v="Ranieli"/>
    <s v="17/09/2026"/>
    <x v="1"/>
    <s v="RANIELI MARIA MASQUIETI DOURADO"/>
    <n v="42862"/>
    <n v="2037"/>
    <n v="2054"/>
    <n v="2035"/>
    <n v="1985"/>
    <n v="2052"/>
    <n v="2007"/>
    <n v="2070"/>
    <n v="2005"/>
    <n v="2024"/>
    <n v="2002"/>
    <n v="2027.1"/>
    <s v=""/>
    <s v="assinatura"/>
    <n v="342"/>
    <n v="2000"/>
    <n v="1.3549999999999954E-2"/>
    <n v="27.099999999999909"/>
    <x v="5"/>
    <x v="1"/>
  </r>
  <r>
    <x v="35"/>
    <x v="2"/>
    <s v="6aac1c9f40dec24642319db2"/>
    <s v="17/09/2026 13:33:20"/>
    <s v="17/09/2026 14:00:15"/>
    <s v="Ranieli"/>
    <s v="17/09/2026"/>
    <x v="1"/>
    <s v="RANIELI MARIA MASQUIETI DOURADO"/>
    <n v="42846"/>
    <n v="2044"/>
    <n v="1996"/>
    <n v="1986"/>
    <n v="2000"/>
    <n v="2040"/>
    <n v="2004"/>
    <n v="1993"/>
    <n v="2028"/>
    <n v="2005"/>
    <n v="2009"/>
    <n v="2010.5"/>
    <s v=""/>
    <s v="assinatura"/>
    <n v="151"/>
    <n v="2000"/>
    <n v="5.2500000000000003E-3"/>
    <n v="10.5"/>
    <x v="6"/>
    <x v="1"/>
  </r>
  <r>
    <x v="35"/>
    <x v="2"/>
    <s v="6aac1c9f40dec24642319dac"/>
    <s v="17/09/2026 13:26:51"/>
    <s v="17/09/2026 14:00:15"/>
    <s v="Ranieli"/>
    <s v="17/09/2026"/>
    <x v="1"/>
    <s v="RANIELI MARIA MASQUIETI DOURADO"/>
    <n v="15105"/>
    <n v="987"/>
    <n v="995"/>
    <n v="1038"/>
    <n v="1014"/>
    <n v="1015"/>
    <n v="1008"/>
    <n v="994"/>
    <n v="1002"/>
    <n v="1013"/>
    <n v="1056"/>
    <n v="1012.2"/>
    <s v=""/>
    <s v="assinatura"/>
    <n v="141"/>
    <n v="1000"/>
    <n v="1.2200000000000046E-2"/>
    <n v="12.200000000000045"/>
    <x v="0"/>
    <x v="0"/>
  </r>
  <r>
    <x v="33"/>
    <x v="2"/>
    <s v="6aab7374dbc8f9ae695173be"/>
    <s v="16/09/2026 23:23:51"/>
    <s v="17/09/2026 01:58:28"/>
    <s v="Ranieli"/>
    <s v="16/09/2026"/>
    <x v="0"/>
    <s v="JOSEFA KELY NUNES DE SOUSA"/>
    <n v="42820"/>
    <n v="2013"/>
    <n v="2041"/>
    <n v="2023"/>
    <n v="2062"/>
    <n v="2020"/>
    <n v="2038"/>
    <n v="2038"/>
    <n v="2042"/>
    <n v="2051"/>
    <n v="2041"/>
    <n v="2036.9"/>
    <s v=""/>
    <s v="assinatura"/>
    <n v="1312"/>
    <n v="2000"/>
    <n v="1.8450000000000046E-2"/>
    <n v="36.900000000000091"/>
    <x v="10"/>
    <x v="1"/>
  </r>
  <r>
    <x v="33"/>
    <x v="2"/>
    <s v="6aab7374dbc8f9ae695173b8"/>
    <s v="16/09/2026 23:20:06"/>
    <s v="17/09/2026 01:58:28"/>
    <s v="Ranieli"/>
    <s v="16/09/2026"/>
    <x v="0"/>
    <s v="JOSEFA KELY NUNES DE SOUSA"/>
    <n v="42838"/>
    <n v="2020"/>
    <n v="2020"/>
    <n v="2051"/>
    <n v="2030"/>
    <n v="2025"/>
    <n v="2025"/>
    <n v="2022"/>
    <n v="2030"/>
    <n v="2028"/>
    <n v="2039"/>
    <n v="2029"/>
    <s v=""/>
    <s v="assinatura"/>
    <n v="8499"/>
    <n v="2000"/>
    <n v="1.4500000000000001E-2"/>
    <n v="29"/>
    <x v="7"/>
    <x v="1"/>
  </r>
  <r>
    <x v="33"/>
    <x v="2"/>
    <s v="6aab7374dbc8f9ae695173b2"/>
    <s v="16/09/2026 23:11:49"/>
    <s v="17/09/2026 01:58:28"/>
    <s v="Ranieli"/>
    <s v="16/09/2026"/>
    <x v="0"/>
    <s v="JOSEFA KELY NUNES DE SOUSA"/>
    <n v="864048"/>
    <n v="2017"/>
    <n v="2025"/>
    <n v="2072"/>
    <n v="2015"/>
    <n v="2020"/>
    <n v="2017"/>
    <n v="2003"/>
    <n v="2007"/>
    <n v="2015"/>
    <n v="2000"/>
    <n v="2019.1"/>
    <s v=""/>
    <s v="assinatura"/>
    <n v="496"/>
    <n v="2000"/>
    <n v="9.5499999999999544E-3"/>
    <n v="19.099999999999909"/>
    <x v="26"/>
    <x v="1"/>
  </r>
  <r>
    <x v="33"/>
    <x v="2"/>
    <s v="6aab7374dbc8f9ae695173ac"/>
    <s v="16/09/2026 23:05:12"/>
    <s v="17/09/2026 01:58:28"/>
    <s v="Ranieli"/>
    <s v="16/09/2026"/>
    <x v="0"/>
    <s v="JOSEFA KELY NUNES DE SOUSA"/>
    <n v="992014"/>
    <n v="702"/>
    <n v="704"/>
    <n v="703"/>
    <n v="709"/>
    <n v="703"/>
    <n v="702"/>
    <n v="702"/>
    <n v="700"/>
    <n v="712"/>
    <n v="701"/>
    <n v="703.8"/>
    <s v=""/>
    <s v="assinatura"/>
    <n v="8025"/>
    <n v="700"/>
    <n v="5.4285714285713634E-3"/>
    <n v="3.7999999999999545"/>
    <x v="14"/>
    <x v="1"/>
  </r>
  <r>
    <x v="33"/>
    <x v="2"/>
    <s v="6aab7373dbc8f9ae695173a6"/>
    <s v="16/09/2026 21:51:48"/>
    <s v="17/09/2026 01:58:27"/>
    <s v="Ranieli"/>
    <s v="16/09/2026"/>
    <x v="0"/>
    <s v="JOSEFA KELY NUNES DE SOUSA"/>
    <n v="995638"/>
    <n v="15065"/>
    <n v="15055"/>
    <n v="15050"/>
    <n v="15075"/>
    <n v="15090"/>
    <n v="15040"/>
    <n v="15020"/>
    <n v="15020"/>
    <n v="15035"/>
    <n v="15015"/>
    <n v="15046.5"/>
    <s v=""/>
    <s v="assinatura"/>
    <n v="918"/>
    <n v="15000"/>
    <n v="3.0999999999999999E-3"/>
    <n v="46.5"/>
    <x v="21"/>
    <x v="3"/>
  </r>
  <r>
    <x v="33"/>
    <x v="2"/>
    <s v="6aab7373dbc8f9ae69517392"/>
    <s v="16/09/2026 20:44:23"/>
    <s v="17/09/2026 01:58:27"/>
    <s v="Ranieli"/>
    <s v="16/09/2026"/>
    <x v="0"/>
    <s v="JOSEFA KELY NUNES DE SOUSA"/>
    <n v="40762"/>
    <n v="9980"/>
    <n v="10060"/>
    <n v="9920"/>
    <n v="10075"/>
    <n v="10230"/>
    <n v="9960"/>
    <n v="10190"/>
    <n v="9970"/>
    <n v="10155"/>
    <n v="10120"/>
    <n v="10066"/>
    <s v=""/>
    <s v="assinatura"/>
    <n v="749"/>
    <n v="10000"/>
    <n v="6.6E-3"/>
    <n v="66"/>
    <x v="3"/>
    <x v="1"/>
  </r>
  <r>
    <x v="33"/>
    <x v="2"/>
    <s v="6aab7373dbc8f9ae6951738c"/>
    <s v="16/09/2026 20:39:10"/>
    <s v="17/09/2026 01:58:27"/>
    <s v="Ranieli"/>
    <s v="16/09/2026"/>
    <x v="0"/>
    <s v="JOSEFA KELY NUNES DE SOUSA"/>
    <n v="15105"/>
    <n v="1028"/>
    <n v="1039"/>
    <n v="1005"/>
    <n v="1027"/>
    <n v="1042"/>
    <n v="1010"/>
    <n v="1006"/>
    <n v="996"/>
    <n v="1019"/>
    <n v="1056"/>
    <n v="1022.8"/>
    <s v=""/>
    <s v="assinatura"/>
    <n v="253"/>
    <n v="1000"/>
    <n v="2.2799999999999956E-2"/>
    <n v="22.799999999999955"/>
    <x v="0"/>
    <x v="0"/>
  </r>
  <r>
    <x v="33"/>
    <x v="2"/>
    <s v="6aab7373dbc8f9ae69517386"/>
    <s v="16/09/2026 20:29:50"/>
    <s v="17/09/2026 01:58:27"/>
    <s v="Ranieli"/>
    <s v="16/09/2026"/>
    <x v="0"/>
    <s v="JOSEFA KELY NUNES DE SOUSA"/>
    <n v="209099"/>
    <n v="1035"/>
    <n v="1022"/>
    <n v="999"/>
    <n v="994"/>
    <n v="1006"/>
    <n v="995"/>
    <n v="990"/>
    <n v="1049"/>
    <n v="1000"/>
    <n v="1027"/>
    <n v="1011.7"/>
    <s v=""/>
    <s v="assinatura"/>
    <n v="167"/>
    <n v="1000"/>
    <n v="1.1700000000000045E-2"/>
    <n v="11.700000000000045"/>
    <x v="31"/>
    <x v="1"/>
  </r>
  <r>
    <x v="33"/>
    <x v="2"/>
    <s v="6aab7373dbc8f9ae69517380"/>
    <s v="16/09/2026 18:23:30"/>
    <s v="17/09/2026 01:58:27"/>
    <s v="Ranieli"/>
    <s v="16/09/2026"/>
    <x v="0"/>
    <s v="JOSEFA KELY NUNES DE SOUSA"/>
    <n v="40762"/>
    <n v="9980"/>
    <n v="10040"/>
    <n v="10200"/>
    <n v="10030"/>
    <n v="10000"/>
    <n v="9995"/>
    <n v="10040"/>
    <n v="10225"/>
    <n v="10025"/>
    <n v="10000"/>
    <n v="10053.5"/>
    <s v=""/>
    <s v="assinatura"/>
    <n v="2449"/>
    <n v="10000"/>
    <n v="5.3499999999999997E-3"/>
    <n v="53.5"/>
    <x v="3"/>
    <x v="1"/>
  </r>
  <r>
    <x v="33"/>
    <x v="2"/>
    <s v="6aab7373dbc8f9ae6951737a"/>
    <s v="16/09/2026 18:18:20"/>
    <s v="17/09/2026 01:58:27"/>
    <s v="Ranieli"/>
    <s v="16/09/2026"/>
    <x v="0"/>
    <s v="JOSEFA KELY NUNES DE SOUSA"/>
    <n v="42854"/>
    <n v="2180"/>
    <n v="2111"/>
    <n v="2097"/>
    <n v="2177"/>
    <n v="2105"/>
    <n v="2103"/>
    <n v="2117"/>
    <n v="2107"/>
    <n v="2105"/>
    <n v="2088"/>
    <n v="2119"/>
    <s v=""/>
    <s v=""/>
    <n v="307"/>
    <n v="2080"/>
    <n v="1.8749999999999999E-2"/>
    <n v="39"/>
    <x v="4"/>
    <x v="1"/>
  </r>
  <r>
    <x v="33"/>
    <x v="2"/>
    <s v="6aab7373dbc8f9ae69517374"/>
    <s v="16/09/2026 18:14:01"/>
    <s v="17/09/2026 01:58:27"/>
    <s v="Ranieli"/>
    <s v="16/09/2026"/>
    <x v="0"/>
    <s v="JOSEFA KELY NUNES DE SOUSA"/>
    <n v="42846"/>
    <n v="2015"/>
    <n v="2028"/>
    <n v="2021"/>
    <n v="2014"/>
    <n v="2013"/>
    <n v="2008"/>
    <n v="2013"/>
    <n v="2011"/>
    <n v="2021"/>
    <n v="2019"/>
    <n v="2016.3"/>
    <s v=""/>
    <s v="assinatura"/>
    <n v="258"/>
    <n v="2000"/>
    <n v="8.1499999999999767E-3"/>
    <n v="16.299999999999955"/>
    <x v="6"/>
    <x v="1"/>
  </r>
  <r>
    <x v="33"/>
    <x v="2"/>
    <s v="6aab7373dbc8f9ae6951736e"/>
    <s v="16/09/2026 18:12:29"/>
    <s v="17/09/2026 01:58:27"/>
    <s v="Ranieli"/>
    <s v="16/09/2026"/>
    <x v="0"/>
    <s v="JOSEFA KELY NUNES DE SOUSA"/>
    <n v="42838"/>
    <n v="2028"/>
    <n v="2057"/>
    <n v="2053"/>
    <n v="2052"/>
    <n v="2002"/>
    <n v="1991"/>
    <n v="2009"/>
    <n v="2007"/>
    <n v="2016"/>
    <n v="2046"/>
    <n v="2026.1"/>
    <s v=""/>
    <s v=""/>
    <n v="91"/>
    <n v="2000"/>
    <n v="1.3049999999999954E-2"/>
    <n v="26.099999999999909"/>
    <x v="7"/>
    <x v="1"/>
  </r>
  <r>
    <x v="33"/>
    <x v="2"/>
    <s v="6aab7373dbc8f9ae69517368"/>
    <s v="16/09/2026 18:07:11"/>
    <s v="17/09/2026 01:58:27"/>
    <s v="Ranieli"/>
    <s v="16/09/2026"/>
    <x v="0"/>
    <s v="JOSEFA KELY NUNES DE SOUSA"/>
    <n v="42862"/>
    <n v="2024"/>
    <n v="2029"/>
    <n v="2002"/>
    <n v="2022"/>
    <n v="2027"/>
    <n v="2034"/>
    <n v="2006"/>
    <n v="2019"/>
    <n v="2036"/>
    <n v="2028"/>
    <n v="2022.7"/>
    <s v=""/>
    <s v="assinatura"/>
    <n v="244"/>
    <n v="2000"/>
    <n v="1.1350000000000023E-2"/>
    <n v="22.700000000000045"/>
    <x v="5"/>
    <x v="1"/>
  </r>
  <r>
    <x v="33"/>
    <x v="2"/>
    <s v="6aab7373dbc8f9ae69517362"/>
    <s v="16/09/2026 18:02:05"/>
    <s v="17/09/2026 01:58:27"/>
    <s v="Ranieli"/>
    <s v="16/09/2026"/>
    <x v="0"/>
    <s v="JOSEFA KELY NUNES DE SOUSA"/>
    <n v="792799"/>
    <n v="15025"/>
    <n v="15040"/>
    <n v="15055"/>
    <n v="15025"/>
    <n v="15000"/>
    <n v="14990"/>
    <n v="15025"/>
    <n v="15045"/>
    <n v="15035"/>
    <n v="15050"/>
    <n v="15029"/>
    <s v=""/>
    <s v="assinatura"/>
    <n v="300"/>
    <n v="15000"/>
    <n v="1.9333333333333333E-3"/>
    <n v="29"/>
    <x v="12"/>
    <x v="3"/>
  </r>
  <r>
    <x v="33"/>
    <x v="2"/>
    <s v="6aab7373dbc8f9ae6951735c"/>
    <s v="16/09/2026 17:59:18"/>
    <s v="17/09/2026 01:58:27"/>
    <s v="Ranieli"/>
    <s v="16/09/2026"/>
    <x v="0"/>
    <s v="JOSEFA KELY NUNES DE SOUSA"/>
    <n v="15105"/>
    <n v="1052"/>
    <n v="1008"/>
    <n v="1042"/>
    <n v="1017"/>
    <n v="1003"/>
    <n v="1053"/>
    <n v="1013"/>
    <n v="1035"/>
    <n v="1013"/>
    <n v="988"/>
    <n v="1022.4"/>
    <s v=""/>
    <s v="assinatura"/>
    <n v="161"/>
    <n v="1000"/>
    <n v="2.2399999999999979E-2"/>
    <n v="22.399999999999977"/>
    <x v="0"/>
    <x v="0"/>
  </r>
  <r>
    <x v="33"/>
    <x v="2"/>
    <s v="6aab7373dbc8f9ae69517356"/>
    <s v="16/09/2026 17:41:14"/>
    <s v="17/09/2026 01:58:27"/>
    <s v="Ranieli"/>
    <s v="16/09/2026"/>
    <x v="0"/>
    <s v="JOSEFA KELY NUNES DE SOUSA"/>
    <n v="992093"/>
    <n v="5007"/>
    <n v="5003"/>
    <n v="5015"/>
    <n v="5012"/>
    <n v="5009"/>
    <n v="5016"/>
    <n v="5008"/>
    <n v="5016"/>
    <n v="5003"/>
    <n v="5015"/>
    <n v="5010.3999999999996"/>
    <s v=""/>
    <s v="assinatura"/>
    <n v="211"/>
    <n v="5000"/>
    <n v="2.0799999999999274E-3"/>
    <n v="10.399999999999636"/>
    <x v="13"/>
    <x v="3"/>
  </r>
  <r>
    <x v="33"/>
    <x v="2"/>
    <s v="6aab6f1f067199cb1949b351"/>
    <s v="16/09/2026 22:10:27"/>
    <s v="17/09/2026 01:39:59"/>
    <s v="Ranieli"/>
    <s v="16/09/2026"/>
    <x v="0"/>
    <s v="JULIANE GOMES NOVAIS"/>
    <n v="42846"/>
    <n v="1997"/>
    <n v="2002"/>
    <n v="2007"/>
    <n v="2024"/>
    <n v="2017"/>
    <n v="2008"/>
    <n v="2024"/>
    <n v="1739"/>
    <n v="2002"/>
    <n v="2018"/>
    <n v="1983.8"/>
    <s v=""/>
    <s v="assinatura"/>
    <n v="311"/>
    <n v="2000"/>
    <n v="-8.1000000000000221E-3"/>
    <n v="-16.200000000000045"/>
    <x v="6"/>
    <x v="1"/>
  </r>
  <r>
    <x v="33"/>
    <x v="2"/>
    <s v="6aab6f097e065da368bebb60"/>
    <s v="16/09/2026 22:25:17"/>
    <s v="17/09/2026 01:39:37"/>
    <s v="Ranieli"/>
    <s v="16/09/2026"/>
    <x v="0"/>
    <s v="JULIANE GOMES NOVAIS"/>
    <n v="42854"/>
    <n v="2099"/>
    <n v="2050"/>
    <n v="2093"/>
    <n v="2106"/>
    <n v="2031"/>
    <n v="2088"/>
    <n v="2060"/>
    <n v="2078"/>
    <n v="2092"/>
    <n v="2085"/>
    <n v="2078.1999999999998"/>
    <s v=""/>
    <s v="assinatura"/>
    <n v="337"/>
    <n v="2080"/>
    <n v="-8.653846153847028E-4"/>
    <n v="-1.8000000000001819"/>
    <x v="4"/>
    <x v="1"/>
  </r>
  <r>
    <x v="33"/>
    <x v="2"/>
    <s v="6aab6f097e065da368bebb5a"/>
    <s v="16/09/2026 22:18:43"/>
    <s v="17/09/2026 01:39:37"/>
    <s v="Ranieli"/>
    <s v="16/09/2026"/>
    <x v="0"/>
    <s v="JULIANE GOMES NOVAIS"/>
    <n v="42811"/>
    <n v="2019"/>
    <n v="2000"/>
    <n v="2018"/>
    <n v="1807"/>
    <n v="2002"/>
    <n v="2068"/>
    <n v="2072"/>
    <n v="2079"/>
    <n v="2084"/>
    <n v="2099"/>
    <n v="2024.8"/>
    <s v=""/>
    <s v="assinatura"/>
    <n v="385"/>
    <n v="2000"/>
    <n v="1.2399999999999977E-2"/>
    <n v="24.799999999999955"/>
    <x v="32"/>
    <x v="1"/>
  </r>
  <r>
    <x v="33"/>
    <x v="2"/>
    <s v="6aab6f097e065da368bebb54"/>
    <s v="16/09/2026 22:02:55"/>
    <s v="17/09/2026 01:39:37"/>
    <s v="Ranieli"/>
    <s v="16/09/2026"/>
    <x v="0"/>
    <s v="JULIANE GOMES NOVAIS"/>
    <n v="864048"/>
    <n v="2002"/>
    <n v="2020"/>
    <n v="1998"/>
    <n v="2019"/>
    <n v="2103"/>
    <n v="1983"/>
    <n v="1998"/>
    <n v="2091"/>
    <n v="1969"/>
    <n v="2112"/>
    <n v="2029.5"/>
    <s v=""/>
    <s v="assinatura"/>
    <n v="724"/>
    <n v="2000"/>
    <n v="1.4749999999999999E-2"/>
    <n v="29.5"/>
    <x v="26"/>
    <x v="1"/>
  </r>
  <r>
    <x v="33"/>
    <x v="2"/>
    <s v="6aab3a9e40b0d358276f483f"/>
    <s v="16/09/2026 20:44:31"/>
    <s v="16/09/2026 21:55:58"/>
    <s v="Ranieli"/>
    <s v="16/09/2026"/>
    <x v="0"/>
    <s v="JULIANE GOMES NOVAIS"/>
    <n v="15105"/>
    <n v="1011"/>
    <n v="1020"/>
    <n v="1012"/>
    <n v="872"/>
    <n v="1000"/>
    <n v="1009"/>
    <n v="1019"/>
    <n v="1030"/>
    <n v="996"/>
    <n v="970"/>
    <n v="993.9"/>
    <s v=""/>
    <s v="assinatura"/>
    <n v="235"/>
    <n v="1000"/>
    <n v="-6.1000000000000229E-3"/>
    <n v="-6.1000000000000227"/>
    <x v="0"/>
    <x v="0"/>
  </r>
  <r>
    <x v="33"/>
    <x v="2"/>
    <s v="6aab3a9e40b0d358276f4839"/>
    <s v="16/09/2026 20:38:09"/>
    <s v="16/09/2026 21:55:58"/>
    <s v="Ranieli"/>
    <s v="16/09/2026"/>
    <x v="0"/>
    <s v="JULIANE GOMES NOVAIS"/>
    <n v="40762"/>
    <n v="10025"/>
    <n v="10130"/>
    <n v="10085"/>
    <n v="10050"/>
    <n v="10035"/>
    <n v="10010"/>
    <n v="10000"/>
    <n v="10035"/>
    <n v="9995"/>
    <n v="10040"/>
    <n v="10040.5"/>
    <s v=""/>
    <s v="assinatura"/>
    <n v="4071"/>
    <n v="10000"/>
    <n v="4.0499999999999998E-3"/>
    <n v="40.5"/>
    <x v="3"/>
    <x v="1"/>
  </r>
  <r>
    <x v="32"/>
    <x v="2"/>
    <s v="6aab3a9e40b0d358276f4833"/>
    <s v="15/09/2026 22:15:06"/>
    <s v="16/09/2026 21:55:58"/>
    <s v="Ranieli"/>
    <s v="15/09/2026"/>
    <x v="0"/>
    <s v="JULIANE GOMES NOVAIS"/>
    <n v="15105"/>
    <n v="1009"/>
    <n v="998"/>
    <n v="1009"/>
    <n v="1005"/>
    <n v="1000"/>
    <n v="1012"/>
    <n v="1039"/>
    <n v="990"/>
    <n v="995"/>
    <n v="1005"/>
    <n v="1006.2"/>
    <s v=""/>
    <s v="assinatura"/>
    <n v="145"/>
    <n v="1000"/>
    <n v="6.2000000000000458E-3"/>
    <n v="6.2000000000000455"/>
    <x v="0"/>
    <x v="0"/>
  </r>
  <r>
    <x v="33"/>
    <x v="2"/>
    <s v="6aaad83bf450a2f6bc869e1a"/>
    <s v="16/09/2026 14:45:45"/>
    <s v="16/09/2026 14:56:11"/>
    <s v="Ranieli"/>
    <s v="16/09/2026"/>
    <x v="1"/>
    <s v="RANIELI MARIA MASQUIETI DOURADO"/>
    <n v="197734"/>
    <n v="1022"/>
    <n v="1003"/>
    <n v="1039"/>
    <n v="1006"/>
    <n v="1015"/>
    <n v="1006"/>
    <n v="1011"/>
    <n v="1007"/>
    <n v="1009"/>
    <n v="1011"/>
    <n v="1012.9"/>
    <s v=""/>
    <s v="assinatura"/>
    <n v="127"/>
    <n v="1000"/>
    <n v="1.2899999999999977E-2"/>
    <n v="12.899999999999977"/>
    <x v="2"/>
    <x v="2"/>
  </r>
  <r>
    <x v="33"/>
    <x v="2"/>
    <s v="6aaad83bf450a2f6bc869e14"/>
    <s v="16/09/2026 14:40:18"/>
    <s v="16/09/2026 14:56:11"/>
    <s v="Ranieli"/>
    <s v="16/09/2026"/>
    <x v="1"/>
    <s v="RANIELI MARIA MASQUIETI DOURADO"/>
    <n v="15105"/>
    <n v="996"/>
    <n v="1017"/>
    <n v="1021"/>
    <n v="1025"/>
    <n v="1018"/>
    <n v="1023"/>
    <n v="1023"/>
    <n v="982"/>
    <n v="1018"/>
    <n v="1023"/>
    <n v="1014.6"/>
    <s v=""/>
    <s v="assinatura"/>
    <n v="194"/>
    <n v="1000"/>
    <n v="1.4600000000000023E-2"/>
    <n v="14.600000000000023"/>
    <x v="0"/>
    <x v="0"/>
  </r>
  <r>
    <x v="33"/>
    <x v="2"/>
    <s v="6aaad83bf450a2f6bc869e0e"/>
    <s v="16/09/2026 14:32:08"/>
    <s v="16/09/2026 14:56:11"/>
    <s v="Ranieli"/>
    <s v="16/09/2026"/>
    <x v="1"/>
    <s v="RANIELI MARIA MASQUIETI DOURADO"/>
    <n v="864048"/>
    <n v="2045"/>
    <n v="2040"/>
    <n v="1990"/>
    <n v="2041"/>
    <n v="1991"/>
    <n v="2029"/>
    <n v="2049"/>
    <n v="1981"/>
    <n v="1979"/>
    <n v="2018"/>
    <n v="2016.3"/>
    <s v=""/>
    <s v="assinatura"/>
    <n v="370"/>
    <n v="2000"/>
    <n v="8.1499999999999767E-3"/>
    <n v="16.299999999999955"/>
    <x v="26"/>
    <x v="1"/>
  </r>
  <r>
    <x v="36"/>
    <x v="2"/>
    <s v="6ab294bd88ce3e06cc49a3a8"/>
    <s v="22/09/2026 11:43:10"/>
    <s v="22/09/2026 11:46:21"/>
    <s v="Ranieli"/>
    <s v="22/09/2026"/>
    <x v="1"/>
    <s v="ALANA DA SILVA MARTINS"/>
    <n v="209069"/>
    <n v="1117"/>
    <n v="1022"/>
    <n v="1000"/>
    <n v="1008"/>
    <n v="1122"/>
    <n v="1001"/>
    <n v="1005"/>
    <n v="1106"/>
    <n v="1003"/>
    <n v="1033"/>
    <n v="1041.7"/>
    <s v=""/>
    <s v="assinatura"/>
    <n v="173"/>
    <n v="1000"/>
    <n v="4.1700000000000043E-2"/>
    <n v="41.700000000000045"/>
    <x v="28"/>
    <x v="0"/>
  </r>
  <r>
    <x v="36"/>
    <x v="2"/>
    <s v="6ab293ef7dc9e21ef606c642"/>
    <s v="22/09/2026 09:09:02"/>
    <s v="22/09/2026 11:42:55"/>
    <s v="Ranieli"/>
    <s v="22/09/2026"/>
    <x v="1"/>
    <s v="ALANA DA SILVA MARTINS"/>
    <n v="15105"/>
    <n v="955"/>
    <n v="1009"/>
    <n v="994"/>
    <n v="931"/>
    <n v="987"/>
    <n v="1013"/>
    <n v="1018"/>
    <n v="1183"/>
    <n v="1002"/>
    <n v="1024"/>
    <n v="1011.6"/>
    <s v=""/>
    <s v="assinatura"/>
    <n v="273"/>
    <n v="1000"/>
    <n v="1.1600000000000023E-2"/>
    <n v="11.600000000000023"/>
    <x v="0"/>
    <x v="0"/>
  </r>
  <r>
    <x v="37"/>
    <x v="2"/>
    <s v="6ab20c3388ce3e06cc4940ca"/>
    <s v="22/09/2026 01:04:53"/>
    <s v="22/09/2026 02:03:47"/>
    <s v="Ranieli"/>
    <s v="21/09/2026"/>
    <x v="0"/>
    <s v="JOSEFA KELY NUNES DE SOUSA"/>
    <n v="197734"/>
    <n v="1010"/>
    <n v="1008"/>
    <n v="1003"/>
    <n v="1025"/>
    <n v="1034"/>
    <n v="1006"/>
    <n v="1014"/>
    <n v="978"/>
    <n v="990"/>
    <n v="1003"/>
    <n v="1007.1"/>
    <s v=""/>
    <s v="assinatura"/>
    <n v="262"/>
    <n v="1000"/>
    <n v="7.100000000000023E-3"/>
    <n v="7.1000000000000227"/>
    <x v="2"/>
    <x v="2"/>
  </r>
  <r>
    <x v="37"/>
    <x v="2"/>
    <s v="6ab20c3388ce3e06cc4940c4"/>
    <s v="22/09/2026 00:56:01"/>
    <s v="22/09/2026 02:03:47"/>
    <s v="Ranieli"/>
    <s v="21/09/2026"/>
    <x v="0"/>
    <s v="JOSEFA KELY NUNES DE SOUSA"/>
    <n v="40762"/>
    <n v="9970"/>
    <n v="9960"/>
    <n v="9965"/>
    <n v="10000"/>
    <n v="10010"/>
    <n v="10020"/>
    <n v="9995"/>
    <n v="9985"/>
    <n v="9975"/>
    <n v="10005"/>
    <n v="9988.5"/>
    <s v=""/>
    <s v="assinatura"/>
    <n v="2830"/>
    <n v="10000"/>
    <n v="-1.15E-3"/>
    <n v="-11.5"/>
    <x v="3"/>
    <x v="1"/>
  </r>
  <r>
    <x v="37"/>
    <x v="2"/>
    <s v="6ab20c3288ce3e06cc4940b8"/>
    <s v="21/09/2026 21:57:51"/>
    <s v="22/09/2026 02:03:46"/>
    <s v="Ranieli"/>
    <s v="21/09/2026"/>
    <x v="0"/>
    <s v="JOSEFA KELY NUNES DE SOUSA"/>
    <n v="209069"/>
    <n v="1072"/>
    <n v="998"/>
    <n v="1085"/>
    <n v="1029"/>
    <n v="1000"/>
    <n v="1010"/>
    <n v="1041"/>
    <n v="1035"/>
    <n v="997"/>
    <n v="1005"/>
    <n v="1027.2"/>
    <s v=""/>
    <s v="assinatura"/>
    <n v="334"/>
    <n v="1000"/>
    <n v="2.7200000000000047E-2"/>
    <n v="27.200000000000045"/>
    <x v="28"/>
    <x v="0"/>
  </r>
  <r>
    <x v="37"/>
    <x v="2"/>
    <s v="6ab20c3288ce3e06cc4940b2"/>
    <s v="21/09/2026 21:47:42"/>
    <s v="22/09/2026 02:03:46"/>
    <s v="Ranieli"/>
    <s v="21/09/2026"/>
    <x v="0"/>
    <s v="JOSEFA KELY NUNES DE SOUSA"/>
    <n v="40762"/>
    <n v="9980"/>
    <n v="10025"/>
    <n v="9985"/>
    <n v="9945"/>
    <n v="9980"/>
    <n v="10025"/>
    <n v="9965"/>
    <n v="10025"/>
    <n v="10000"/>
    <n v="9965"/>
    <n v="9989.5"/>
    <s v=""/>
    <s v="assinatura"/>
    <n v="404"/>
    <n v="10000"/>
    <n v="-1.0499999999999999E-3"/>
    <n v="-10.5"/>
    <x v="3"/>
    <x v="1"/>
  </r>
  <r>
    <x v="37"/>
    <x v="2"/>
    <s v="6ab20c3288ce3e06cc4940ac"/>
    <s v="21/09/2026 21:44:12"/>
    <s v="22/09/2026 02:03:46"/>
    <s v="Ranieli"/>
    <s v="21/09/2026"/>
    <x v="0"/>
    <s v="JOSEFA KELY NUNES DE SOUSA"/>
    <n v="42811"/>
    <n v="2035"/>
    <n v="2071"/>
    <n v="2038"/>
    <n v="2009"/>
    <n v="2067"/>
    <n v="2034"/>
    <n v="2011"/>
    <n v="2004"/>
    <n v="2012"/>
    <n v="2000"/>
    <n v="2028.1"/>
    <s v=""/>
    <s v="assinatura"/>
    <n v="11863"/>
    <n v="2000"/>
    <n v="1.4049999999999955E-2"/>
    <n v="28.099999999999909"/>
    <x v="32"/>
    <x v="1"/>
  </r>
  <r>
    <x v="37"/>
    <x v="2"/>
    <s v="6ab20c3288ce3e06cc4940a6"/>
    <s v="21/09/2026 21:42:50"/>
    <s v="22/09/2026 02:03:46"/>
    <s v="Ranieli"/>
    <s v="21/09/2026"/>
    <x v="0"/>
    <s v="JOSEFA KELY NUNES DE SOUSA"/>
    <n v="42820"/>
    <n v="2035"/>
    <n v="2067"/>
    <n v="2013"/>
    <n v="2070"/>
    <n v="2028"/>
    <n v="2006"/>
    <n v="2018"/>
    <n v="2060"/>
    <n v="2065"/>
    <n v="2008"/>
    <n v="2037"/>
    <s v=""/>
    <s v="assinatura"/>
    <n v="12887"/>
    <n v="2000"/>
    <n v="1.8499999999999999E-2"/>
    <n v="37"/>
    <x v="10"/>
    <x v="1"/>
  </r>
  <r>
    <x v="37"/>
    <x v="2"/>
    <s v="6ab20c3288ce3e06cc4940a0"/>
    <s v="21/09/2026 21:38:35"/>
    <s v="22/09/2026 02:03:46"/>
    <s v="Ranieli"/>
    <s v="21/09/2026"/>
    <x v="0"/>
    <s v="JOSEFA KELY NUNES DE SOUSA"/>
    <n v="42838"/>
    <n v="2000"/>
    <n v="2040"/>
    <n v="2037"/>
    <n v="2033"/>
    <n v="2026"/>
    <n v="2016"/>
    <n v="2039"/>
    <n v="2030"/>
    <n v="2007"/>
    <n v="2016"/>
    <n v="2024.4"/>
    <s v=""/>
    <s v="assinatura"/>
    <n v="5598"/>
    <n v="2000"/>
    <n v="1.2200000000000046E-2"/>
    <n v="24.400000000000091"/>
    <x v="7"/>
    <x v="1"/>
  </r>
  <r>
    <x v="37"/>
    <x v="2"/>
    <s v="6ab20c3288ce3e06cc49409a"/>
    <s v="21/09/2026 21:34:52"/>
    <s v="22/09/2026 02:03:46"/>
    <s v="Ranieli"/>
    <s v="21/09/2026"/>
    <x v="0"/>
    <s v="JOSEFA KELY NUNES DE SOUSA"/>
    <n v="42846"/>
    <n v="1999"/>
    <n v="2003"/>
    <n v="2013"/>
    <n v="2007"/>
    <n v="2001"/>
    <n v="2006"/>
    <n v="2026"/>
    <n v="2001"/>
    <n v="2005"/>
    <n v="2008"/>
    <n v="2006.9"/>
    <s v=""/>
    <s v="assinatura"/>
    <n v="4010"/>
    <n v="2000"/>
    <n v="3.4500000000000455E-3"/>
    <n v="6.9000000000000909"/>
    <x v="6"/>
    <x v="1"/>
  </r>
  <r>
    <x v="37"/>
    <x v="2"/>
    <s v="6ab20c3288ce3e06cc494094"/>
    <s v="21/09/2026 21:31:21"/>
    <s v="22/09/2026 02:03:46"/>
    <s v="Ranieli"/>
    <s v="21/09/2026"/>
    <x v="0"/>
    <s v="JOSEFA KELY NUNES DE SOUSA"/>
    <n v="42854"/>
    <n v="2101"/>
    <n v="2069"/>
    <n v="2113"/>
    <n v="2086"/>
    <n v="2117"/>
    <n v="2088"/>
    <n v="2071"/>
    <n v="2083"/>
    <n v="2117"/>
    <n v="2116"/>
    <n v="2096.1"/>
    <s v=""/>
    <s v="assinatura"/>
    <n v="4173"/>
    <n v="2080"/>
    <n v="7.7403846153845718E-3"/>
    <n v="16.099999999999909"/>
    <x v="4"/>
    <x v="1"/>
  </r>
  <r>
    <x v="37"/>
    <x v="2"/>
    <s v="6ab20c3288ce3e06cc49408e"/>
    <s v="21/09/2026 21:28:11"/>
    <s v="22/09/2026 02:03:46"/>
    <s v="Ranieli"/>
    <s v="21/09/2026"/>
    <x v="0"/>
    <s v="JOSEFA KELY NUNES DE SOUSA"/>
    <n v="42862"/>
    <n v="2004"/>
    <n v="2009"/>
    <n v="2017"/>
    <n v="2065"/>
    <n v="2016"/>
    <n v="1979"/>
    <n v="2023"/>
    <n v="2007"/>
    <n v="1991"/>
    <n v="1999"/>
    <n v="2011"/>
    <s v=""/>
    <s v="assinatura"/>
    <n v="3861"/>
    <n v="2000"/>
    <n v="5.4999999999999997E-3"/>
    <n v="11"/>
    <x v="5"/>
    <x v="1"/>
  </r>
  <r>
    <x v="37"/>
    <x v="2"/>
    <s v="6ab20c3288ce3e06cc494088"/>
    <s v="21/09/2026 21:21:54"/>
    <s v="22/09/2026 02:03:46"/>
    <s v="Ranieli"/>
    <s v="21/09/2026"/>
    <x v="0"/>
    <s v="JOSEFA KELY NUNES DE SOUSA"/>
    <n v="15105"/>
    <n v="985"/>
    <n v="1028"/>
    <n v="1006"/>
    <n v="1002"/>
    <n v="1056"/>
    <n v="1008"/>
    <n v="996"/>
    <n v="1021"/>
    <n v="1025"/>
    <n v="992"/>
    <n v="1011.9"/>
    <s v=""/>
    <s v="assinatura"/>
    <n v="3737"/>
    <n v="1000"/>
    <n v="1.1899999999999977E-2"/>
    <n v="11.899999999999977"/>
    <x v="0"/>
    <x v="0"/>
  </r>
  <r>
    <x v="37"/>
    <x v="2"/>
    <s v="6ab20c3288ce3e06cc494074"/>
    <s v="21/09/2026 17:40:21"/>
    <s v="22/09/2026 02:03:46"/>
    <s v="Ranieli"/>
    <s v="21/09/2026"/>
    <x v="0"/>
    <s v="JOSEFA KELY NUNES DE SOUSA"/>
    <n v="13188"/>
    <n v="1007"/>
    <n v="998"/>
    <n v="1011"/>
    <n v="1005"/>
    <n v="1005"/>
    <n v="1004"/>
    <n v="1009"/>
    <n v="1010"/>
    <n v="1012"/>
    <n v="993"/>
    <n v="1005.4"/>
    <s v=""/>
    <s v=""/>
    <n v="153"/>
    <n v="1000"/>
    <n v="5.3999999999999769E-3"/>
    <n v="5.3999999999999773"/>
    <x v="8"/>
    <x v="1"/>
  </r>
  <r>
    <x v="37"/>
    <x v="2"/>
    <s v="6ab20c3288ce3e06cc49406e"/>
    <s v="21/09/2026 17:35:38"/>
    <s v="22/09/2026 02:03:46"/>
    <s v="Ranieli"/>
    <s v="21/09/2026"/>
    <x v="0"/>
    <s v="JOSEFA KELY NUNES DE SOUSA"/>
    <n v="15229"/>
    <n v="1007"/>
    <n v="1014"/>
    <n v="999"/>
    <n v="1009"/>
    <n v="1011"/>
    <n v="1004"/>
    <n v="1008"/>
    <n v="1007"/>
    <n v="1017"/>
    <n v="1015"/>
    <n v="1009.1"/>
    <s v=""/>
    <s v="assinatura"/>
    <n v="282"/>
    <n v="1000"/>
    <n v="9.100000000000023E-3"/>
    <n v="9.1000000000000227"/>
    <x v="9"/>
    <x v="1"/>
  </r>
  <r>
    <x v="37"/>
    <x v="2"/>
    <s v="6ab20c3288ce3e06cc494068"/>
    <s v="21/09/2026 17:30:50"/>
    <s v="22/09/2026 02:03:46"/>
    <s v="Ranieli"/>
    <s v="21/09/2026"/>
    <x v="0"/>
    <s v="JOSEFA KELY NUNES DE SOUSA"/>
    <n v="15105"/>
    <n v="1011"/>
    <n v="1057"/>
    <n v="1025"/>
    <n v="1013"/>
    <n v="1016"/>
    <n v="967"/>
    <n v="1004"/>
    <n v="1053"/>
    <n v="1037"/>
    <n v="983"/>
    <n v="1016.6"/>
    <s v=""/>
    <s v="assinatura"/>
    <n v="284"/>
    <n v="1000"/>
    <n v="1.6600000000000024E-2"/>
    <n v="16.600000000000023"/>
    <x v="0"/>
    <x v="0"/>
  </r>
  <r>
    <x v="37"/>
    <x v="2"/>
    <s v="6ab20c3288ce3e06cc494062"/>
    <s v="21/09/2026 17:17:53"/>
    <s v="22/09/2026 02:03:46"/>
    <s v="Ranieli"/>
    <s v="21/09/2026"/>
    <x v="0"/>
    <s v="JOSEFA KELY NUNES DE SOUSA"/>
    <n v="792799"/>
    <n v="15060"/>
    <n v="15080"/>
    <n v="15060"/>
    <n v="15090"/>
    <n v="15025"/>
    <n v="15070"/>
    <n v="15070"/>
    <n v="15060"/>
    <n v="15075"/>
    <n v="15005"/>
    <n v="15059.5"/>
    <s v=""/>
    <s v=""/>
    <n v="773"/>
    <n v="15000"/>
    <n v="3.966666666666667E-3"/>
    <n v="59.5"/>
    <x v="12"/>
    <x v="3"/>
  </r>
  <r>
    <x v="37"/>
    <x v="2"/>
    <s v="6ab20c3188ce3e06cc49405c"/>
    <s v="21/09/2026 17:14:06"/>
    <s v="22/09/2026 02:03:45"/>
    <s v="Ranieli"/>
    <s v="21/09/2026"/>
    <x v="0"/>
    <s v="JOSEFA KELY NUNES DE SOUSA"/>
    <n v="992093"/>
    <n v="5003"/>
    <n v="5008"/>
    <n v="5012"/>
    <n v="5013"/>
    <n v="5012"/>
    <n v="5001"/>
    <n v="5002"/>
    <n v="5012"/>
    <n v="5009"/>
    <n v="5009"/>
    <n v="5008.1000000000004"/>
    <s v=""/>
    <s v="assinatura"/>
    <n v="226"/>
    <n v="5000"/>
    <n v="1.6200000000000728E-3"/>
    <n v="8.1000000000003638"/>
    <x v="13"/>
    <x v="3"/>
  </r>
  <r>
    <x v="37"/>
    <x v="2"/>
    <s v="6ab1f3cb7b71afa134f4a125"/>
    <s v="21/09/2026 23:49:29"/>
    <s v="22/09/2026 00:19:39"/>
    <s v="Ranieli"/>
    <s v="21/09/2026"/>
    <x v="0"/>
    <s v="JULIANE GOMES NOVAIS"/>
    <n v="15105"/>
    <n v="1023"/>
    <n v="1024"/>
    <n v="1030"/>
    <n v="988"/>
    <n v="1001"/>
    <n v="1027"/>
    <n v="1005"/>
    <n v="1021"/>
    <n v="1012"/>
    <n v="1005"/>
    <n v="1013.6"/>
    <s v=""/>
    <s v="assinatura"/>
    <n v="144"/>
    <n v="1000"/>
    <n v="1.3600000000000024E-2"/>
    <n v="13.600000000000023"/>
    <x v="0"/>
    <x v="0"/>
  </r>
  <r>
    <x v="37"/>
    <x v="2"/>
    <s v="6ab1f3cb7b71afa134f4a11f"/>
    <s v="21/09/2026 23:42:18"/>
    <s v="22/09/2026 00:19:39"/>
    <s v="Ranieli"/>
    <s v="21/09/2026"/>
    <x v="0"/>
    <s v="JULIANE GOMES NOVAIS"/>
    <n v="42838"/>
    <n v="2013"/>
    <n v="2012"/>
    <n v="1994"/>
    <n v="2030"/>
    <n v="2031"/>
    <n v="2006"/>
    <n v="2029"/>
    <n v="2017"/>
    <n v="2027"/>
    <n v="2017"/>
    <n v="2017.6"/>
    <s v=""/>
    <s v="assinatura"/>
    <n v="284"/>
    <n v="2000"/>
    <n v="8.7999999999999537E-3"/>
    <n v="17.599999999999909"/>
    <x v="7"/>
    <x v="1"/>
  </r>
  <r>
    <x v="37"/>
    <x v="2"/>
    <s v="6ab1f3cb7b71afa134f4a119"/>
    <s v="21/09/2026 23:37:57"/>
    <s v="22/09/2026 00:19:39"/>
    <s v="Ranieli"/>
    <s v="21/09/2026"/>
    <x v="0"/>
    <s v="JULIANE GOMES NOVAIS"/>
    <n v="42820"/>
    <n v="2033"/>
    <n v="2021"/>
    <n v="1997"/>
    <n v="2044"/>
    <n v="2010"/>
    <n v="2010"/>
    <n v="2011"/>
    <n v="2039"/>
    <n v="2067"/>
    <n v="2093"/>
    <n v="2032.5"/>
    <s v=""/>
    <s v="assinatura"/>
    <n v="560"/>
    <n v="2000"/>
    <n v="1.6250000000000001E-2"/>
    <n v="32.5"/>
    <x v="10"/>
    <x v="1"/>
  </r>
  <r>
    <x v="37"/>
    <x v="2"/>
    <s v="6ab1f3cb7b71afa134f4a113"/>
    <s v="21/09/2026 23:31:25"/>
    <s v="22/09/2026 00:19:39"/>
    <s v="Ranieli"/>
    <s v="21/09/2026"/>
    <x v="0"/>
    <s v="JULIANE GOMES NOVAIS"/>
    <n v="42846"/>
    <n v="2008"/>
    <n v="2013"/>
    <n v="2006"/>
    <n v="2005"/>
    <n v="2006"/>
    <n v="2013"/>
    <n v="2003"/>
    <n v="2006"/>
    <n v="2004"/>
    <n v="2026"/>
    <n v="2009"/>
    <s v=""/>
    <s v="assinatura"/>
    <n v="978"/>
    <n v="2000"/>
    <n v="4.4999999999999997E-3"/>
    <n v="9"/>
    <x v="6"/>
    <x v="1"/>
  </r>
  <r>
    <x v="37"/>
    <x v="2"/>
    <s v="6ab1f3cb7b71afa134f4a10d"/>
    <s v="21/09/2026 23:27:34"/>
    <s v="22/09/2026 00:19:39"/>
    <s v="Ranieli"/>
    <s v="21/09/2026"/>
    <x v="0"/>
    <s v="JULIANE GOMES NOVAIS"/>
    <n v="42862"/>
    <n v="1998"/>
    <n v="2014"/>
    <n v="2010"/>
    <n v="2012"/>
    <n v="2003"/>
    <n v="2044"/>
    <n v="2011"/>
    <n v="2010"/>
    <n v="2011"/>
    <n v="2026"/>
    <n v="2013.9"/>
    <s v=""/>
    <s v="assinatura"/>
    <n v="1227"/>
    <n v="2000"/>
    <n v="6.9500000000000456E-3"/>
    <n v="13.900000000000091"/>
    <x v="5"/>
    <x v="1"/>
  </r>
  <r>
    <x v="37"/>
    <x v="2"/>
    <s v="6ab1f3cb7b71afa134f4a107"/>
    <s v="21/09/2026 23:23:53"/>
    <s v="22/09/2026 00:19:39"/>
    <s v="Ranieli"/>
    <s v="21/09/2026"/>
    <x v="0"/>
    <s v="JULIANE GOMES NOVAIS"/>
    <n v="42854"/>
    <n v="2105"/>
    <n v="2077"/>
    <n v="2082"/>
    <n v="2085"/>
    <n v="2080"/>
    <n v="2091"/>
    <n v="2037"/>
    <n v="2098"/>
    <n v="2102"/>
    <n v="2077"/>
    <n v="2083.4"/>
    <s v=""/>
    <s v="assinatura"/>
    <n v="1468"/>
    <n v="2080"/>
    <n v="1.6346153846154283E-3"/>
    <n v="3.4000000000000909"/>
    <x v="4"/>
    <x v="1"/>
  </r>
  <r>
    <x v="37"/>
    <x v="2"/>
    <s v="6ab1ce114b9e362083c8465e"/>
    <s v="21/09/2026 20:41:07"/>
    <s v="21/09/2026 21:38:41"/>
    <s v="Ranieli"/>
    <s v="21/09/2026"/>
    <x v="0"/>
    <s v="JULIANE GOMES NOVAIS"/>
    <n v="40762"/>
    <n v="9985"/>
    <n v="10015"/>
    <n v="9945"/>
    <n v="9965"/>
    <n v="10035"/>
    <n v="9945"/>
    <n v="9990"/>
    <n v="10020"/>
    <n v="9955"/>
    <n v="10000"/>
    <n v="9985.5"/>
    <s v=""/>
    <s v="assinatura"/>
    <n v="355"/>
    <n v="10000"/>
    <n v="-1.4499999999999999E-3"/>
    <n v="-14.5"/>
    <x v="3"/>
    <x v="1"/>
  </r>
  <r>
    <x v="37"/>
    <x v="2"/>
    <s v="6ab1ce114b9e362083c84658"/>
    <s v="21/09/2026 20:37:52"/>
    <s v="21/09/2026 21:38:41"/>
    <s v="Ranieli"/>
    <s v="21/09/2026"/>
    <x v="0"/>
    <s v="JULIANE GOMES NOVAIS"/>
    <n v="40762"/>
    <n v="9995"/>
    <n v="10005"/>
    <n v="9945"/>
    <n v="9950"/>
    <n v="9990"/>
    <n v="10005"/>
    <n v="9940"/>
    <n v="11380"/>
    <n v="9955"/>
    <n v="10010"/>
    <n v="10117.5"/>
    <s v=""/>
    <s v="assinatura"/>
    <n v="516"/>
    <n v="10000"/>
    <n v="1.175E-2"/>
    <n v="117.5"/>
    <x v="3"/>
    <x v="1"/>
  </r>
  <r>
    <x v="37"/>
    <x v="2"/>
    <s v="6ab14ad504f4a88168f7b4ff"/>
    <s v="21/09/2026 12:15:27"/>
    <s v="21/09/2026 12:18:45"/>
    <s v="Ranieli"/>
    <s v="21/09/2026"/>
    <x v="1"/>
    <s v="ALANA DA SILVA MARTINS"/>
    <n v="197742"/>
    <n v="1018"/>
    <n v="1001"/>
    <n v="1003"/>
    <n v="1003"/>
    <n v="1002"/>
    <n v="1003"/>
    <n v="1009"/>
    <n v="1007"/>
    <n v="1001"/>
    <n v="1004"/>
    <n v="1005.1"/>
    <s v=""/>
    <s v="assinatura"/>
    <n v="192"/>
    <n v="1000"/>
    <n v="5.1000000000000229E-3"/>
    <n v="5.1000000000000227"/>
    <x v="23"/>
    <x v="3"/>
  </r>
  <r>
    <x v="37"/>
    <x v="2"/>
    <s v="6ab1464717b1be0d71fbe50b"/>
    <s v="21/09/2026 11:39:30"/>
    <s v="21/09/2026 11:59:19"/>
    <s v="Ranieli"/>
    <s v="21/09/2026"/>
    <x v="1"/>
    <s v="ALANA DA SILVA MARTINS"/>
    <n v="992014"/>
    <n v="694"/>
    <n v="668"/>
    <n v="688"/>
    <n v="700"/>
    <n v="696"/>
    <n v="699"/>
    <n v="686"/>
    <n v="687"/>
    <n v="693"/>
    <n v="700"/>
    <n v="691.1"/>
    <s v=""/>
    <s v="assinatura"/>
    <n v="700"/>
    <n v="700"/>
    <n v="-1.2714285714285681E-2"/>
    <n v="-8.8999999999999773"/>
    <x v="14"/>
    <x v="1"/>
  </r>
  <r>
    <x v="37"/>
    <x v="2"/>
    <s v="6ab1464717b1be0d71fbe505"/>
    <s v="21/09/2026 11:34:02"/>
    <s v="21/09/2026 11:59:19"/>
    <s v="Ranieli"/>
    <s v="21/09/2026"/>
    <x v="1"/>
    <s v="ALANA DA SILVA MARTINS"/>
    <n v="40762"/>
    <n v="10135"/>
    <n v="10010"/>
    <n v="10295"/>
    <n v="10020"/>
    <n v="10080"/>
    <n v="10075"/>
    <n v="10110"/>
    <n v="10120"/>
    <n v="9935"/>
    <n v="10060"/>
    <n v="10084"/>
    <s v=""/>
    <s v="assinatura"/>
    <n v="1052"/>
    <n v="10000"/>
    <n v="8.3999999999999995E-3"/>
    <n v="84"/>
    <x v="3"/>
    <x v="1"/>
  </r>
  <r>
    <x v="37"/>
    <x v="2"/>
    <s v="6ab1464717b1be0d71fbe4ff"/>
    <s v="21/09/2026 11:30:52"/>
    <s v="21/09/2026 11:59:19"/>
    <s v="Ranieli"/>
    <s v="21/09/2026"/>
    <x v="1"/>
    <s v="ALANA DA SILVA MARTINS"/>
    <n v="43784"/>
    <n v="993"/>
    <n v="996"/>
    <n v="1024"/>
    <n v="995"/>
    <n v="992"/>
    <n v="967"/>
    <n v="991"/>
    <n v="1002"/>
    <n v="998"/>
    <n v="1000"/>
    <n v="995.8"/>
    <s v=""/>
    <s v="assinatura"/>
    <n v="1305"/>
    <n v="1000"/>
    <n v="-4.2000000000000457E-3"/>
    <n v="-4.2000000000000455"/>
    <x v="35"/>
    <x v="7"/>
  </r>
  <r>
    <x v="37"/>
    <x v="2"/>
    <s v="6ab1464717b1be0d71fbe4f9"/>
    <s v="21/09/2026 11:26:35"/>
    <s v="21/09/2026 11:59:19"/>
    <s v="Ranieli"/>
    <s v="21/09/2026"/>
    <x v="1"/>
    <s v="ALANA DA SILVA MARTINS"/>
    <n v="42862"/>
    <n v="2063"/>
    <n v="2020"/>
    <n v="2041"/>
    <n v="2088"/>
    <n v="2036"/>
    <n v="2034"/>
    <n v="1994"/>
    <n v="2057"/>
    <n v="2064"/>
    <n v="2061"/>
    <n v="2045.8"/>
    <s v=""/>
    <s v="assinatura"/>
    <n v="1429"/>
    <n v="2000"/>
    <n v="2.2899999999999976E-2"/>
    <n v="45.799999999999955"/>
    <x v="5"/>
    <x v="1"/>
  </r>
  <r>
    <x v="37"/>
    <x v="2"/>
    <s v="6ab1464717b1be0d71fbe4f3"/>
    <s v="21/09/2026 11:22:06"/>
    <s v="21/09/2026 11:59:19"/>
    <s v="Ranieli"/>
    <s v="21/09/2026"/>
    <x v="1"/>
    <s v="ALANA DA SILVA MARTINS"/>
    <n v="42846"/>
    <n v="2055"/>
    <n v="2034"/>
    <n v="2003"/>
    <n v="2002"/>
    <n v="2029"/>
    <n v="2033"/>
    <n v="2036"/>
    <n v="2045"/>
    <n v="2017"/>
    <n v="2007"/>
    <n v="2026.1"/>
    <s v=""/>
    <s v="assinatura"/>
    <n v="1862"/>
    <n v="2000"/>
    <n v="1.3049999999999954E-2"/>
    <n v="26.099999999999909"/>
    <x v="6"/>
    <x v="1"/>
  </r>
  <r>
    <x v="37"/>
    <x v="2"/>
    <s v="6ab1464717b1be0d71fbe4ed"/>
    <s v="21/09/2026 11:16:11"/>
    <s v="21/09/2026 11:59:19"/>
    <s v="Ranieli"/>
    <s v="21/09/2026"/>
    <x v="1"/>
    <s v="ALANA DA SILVA MARTINS"/>
    <n v="42854"/>
    <n v="2149"/>
    <n v="2154"/>
    <n v="2154"/>
    <n v="2108"/>
    <n v="2108"/>
    <n v="2158"/>
    <n v="2159"/>
    <n v="2005"/>
    <n v="2175"/>
    <n v="2143"/>
    <n v="2131.3000000000002"/>
    <s v=""/>
    <s v="assinatura"/>
    <n v="2261"/>
    <n v="2080"/>
    <n v="2.4663461538461627E-2"/>
    <n v="51.300000000000182"/>
    <x v="4"/>
    <x v="1"/>
  </r>
  <r>
    <x v="34"/>
    <x v="2"/>
    <s v="6ab1464717b1be0d71fbe4e7"/>
    <s v="21/09/2026 09:21:36"/>
    <s v="21/09/2026 11:59:19"/>
    <s v="Ranieli"/>
    <s v="18/09/2026"/>
    <x v="1"/>
    <s v="ALANA DA SILVA MARTINS"/>
    <n v="15105"/>
    <n v="1015"/>
    <n v="1023"/>
    <n v="999"/>
    <n v="1044"/>
    <n v="1013"/>
    <n v="1001"/>
    <n v="998"/>
    <n v="1039"/>
    <n v="1018"/>
    <n v="1002"/>
    <n v="1015.2"/>
    <s v=""/>
    <s v="assinatura"/>
    <n v="9184"/>
    <n v="1000"/>
    <n v="1.5200000000000045E-2"/>
    <n v="15.200000000000045"/>
    <x v="0"/>
    <x v="0"/>
  </r>
  <r>
    <x v="37"/>
    <x v="2"/>
    <s v="6ab1464717b1be0d71fbe4e1"/>
    <s v="21/09/2026 09:15:57"/>
    <s v="21/09/2026 11:59:19"/>
    <s v="Ranieli"/>
    <s v="21/09/2026"/>
    <x v="1"/>
    <s v="ALANA DA SILVA MARTINS"/>
    <n v="15105"/>
    <n v="999"/>
    <n v="1001"/>
    <n v="1023"/>
    <n v="1019"/>
    <n v="996"/>
    <n v="1028"/>
    <n v="997"/>
    <n v="985"/>
    <n v="999"/>
    <n v="992"/>
    <n v="1003.9"/>
    <s v=""/>
    <s v="assinatura"/>
    <n v="9553"/>
    <n v="1000"/>
    <n v="3.8999999999999773E-3"/>
    <n v="3.8999999999999773"/>
    <x v="0"/>
    <x v="0"/>
  </r>
  <r>
    <x v="37"/>
    <x v="2"/>
    <s v="6ab1464717b1be0d71fbe4db"/>
    <s v="21/09/2026 09:03:40"/>
    <s v="21/09/2026 11:59:19"/>
    <s v="Ranieli"/>
    <s v="21/09/2026"/>
    <x v="1"/>
    <s v="ALANA DA SILVA MARTINS"/>
    <n v="15105"/>
    <n v="987"/>
    <n v="990"/>
    <n v="1014"/>
    <n v="995"/>
    <n v="987"/>
    <n v="988"/>
    <n v="1040"/>
    <n v="996"/>
    <n v="977"/>
    <n v="992"/>
    <n v="996.6"/>
    <s v=""/>
    <s v="assinatura"/>
    <n v="10317"/>
    <n v="1000"/>
    <n v="-3.3999999999999773E-3"/>
    <n v="-3.3999999999999773"/>
    <x v="0"/>
    <x v="0"/>
  </r>
  <r>
    <x v="37"/>
    <x v="2"/>
    <s v="6ab1464717b1be0d71fbe4d5"/>
    <s v="21/09/2026 08:58:33"/>
    <s v="21/09/2026 11:59:19"/>
    <s v="Ranieli"/>
    <s v="21/09/2026"/>
    <x v="1"/>
    <s v="ALANA DA SILVA MARTINS"/>
    <n v="54632"/>
    <n v="999"/>
    <n v="996"/>
    <n v="1022"/>
    <n v="1002"/>
    <n v="1024"/>
    <n v="1006"/>
    <n v="1000"/>
    <n v="1019"/>
    <n v="987"/>
    <n v="1003"/>
    <n v="1005.8"/>
    <s v=""/>
    <s v="assinatura"/>
    <n v="10650"/>
    <n v="1000"/>
    <n v="5.7999999999999545E-3"/>
    <n v="5.7999999999999545"/>
    <x v="11"/>
    <x v="1"/>
  </r>
  <r>
    <x v="37"/>
    <x v="2"/>
    <s v="6ab1464717b1be0d71fbe4cf"/>
    <s v="21/09/2026 08:53:32"/>
    <s v="21/09/2026 11:59:19"/>
    <s v="Ranieli"/>
    <s v="21/09/2026"/>
    <x v="1"/>
    <s v="ALANA DA SILVA MARTINS"/>
    <n v="15849"/>
    <n v="995"/>
    <n v="992"/>
    <n v="1013"/>
    <n v="1001"/>
    <n v="1007"/>
    <n v="990"/>
    <n v="1015"/>
    <n v="996"/>
    <n v="1016"/>
    <n v="1013"/>
    <n v="1003.8"/>
    <s v=""/>
    <s v="assinatura"/>
    <n v="10964"/>
    <n v="1000"/>
    <n v="3.7999999999999545E-3"/>
    <n v="3.7999999999999545"/>
    <x v="29"/>
    <x v="2"/>
  </r>
  <r>
    <x v="37"/>
    <x v="2"/>
    <s v="6ab1464717b1be0d71fbe4c9"/>
    <s v="21/09/2026 08:24:44"/>
    <s v="21/09/2026 11:59:19"/>
    <s v="Ranieli"/>
    <s v="21/09/2026"/>
    <x v="1"/>
    <s v="ALANA DA SILVA MARTINS"/>
    <n v="18163"/>
    <n v="1012"/>
    <n v="1002"/>
    <n v="1007"/>
    <n v="1001"/>
    <n v="1004"/>
    <n v="1003"/>
    <n v="991"/>
    <n v="1006"/>
    <n v="996"/>
    <n v="1008"/>
    <n v="1003"/>
    <s v=""/>
    <s v="assinatura"/>
    <n v="12326"/>
    <n v="1000"/>
    <n v="3.0000000000000001E-3"/>
    <n v="3"/>
    <x v="27"/>
    <x v="6"/>
  </r>
  <r>
    <x v="34"/>
    <x v="2"/>
    <s v="6ab1464717b1be0d71fbe4c3"/>
    <s v="18/09/2026 10:49:38"/>
    <s v="21/09/2026 11:59:19"/>
    <s v="Ranieli"/>
    <s v="18/09/2026"/>
    <x v="1"/>
    <s v="ALANA DA SILVA MARTINS"/>
    <n v="15849"/>
    <n v="1040"/>
    <n v="1007"/>
    <n v="1031"/>
    <n v="1035"/>
    <n v="1054"/>
    <n v="1029"/>
    <n v="1024"/>
    <n v="793"/>
    <n v="1191"/>
    <n v="1101"/>
    <n v="1030.5"/>
    <s v=""/>
    <s v="assinatura"/>
    <n v="263234"/>
    <n v="1000"/>
    <n v="3.0499999999999999E-2"/>
    <n v="30.5"/>
    <x v="29"/>
    <x v="2"/>
  </r>
  <r>
    <x v="34"/>
    <x v="2"/>
    <s v="6aae15e403d0d5807444bcee"/>
    <s v="19/09/2026 00:50:34"/>
    <s v="19/09/2026 01:56:04"/>
    <s v="Ranieli"/>
    <s v="18/09/2026"/>
    <x v="0"/>
    <s v="JOSEFA KELY NUNES DE SOUSA"/>
    <n v="13188"/>
    <n v="1012"/>
    <n v="1024"/>
    <n v="1018"/>
    <n v="1002"/>
    <n v="1016"/>
    <n v="998"/>
    <n v="1005"/>
    <n v="996"/>
    <n v="1007"/>
    <n v="1008"/>
    <n v="1008.6"/>
    <s v=""/>
    <s v="assinatura"/>
    <n v="107"/>
    <n v="1000"/>
    <n v="8.6000000000000226E-3"/>
    <n v="8.6000000000000227"/>
    <x v="8"/>
    <x v="1"/>
  </r>
  <r>
    <x v="34"/>
    <x v="2"/>
    <s v="6aae15e403d0d5807444bce8"/>
    <s v="19/09/2026 00:46:59"/>
    <s v="19/09/2026 01:56:04"/>
    <s v="Ranieli"/>
    <s v="18/09/2026"/>
    <x v="0"/>
    <s v="JOSEFA KELY NUNES DE SOUSA"/>
    <n v="209319"/>
    <n v="1027"/>
    <n v="1009"/>
    <n v="1052"/>
    <n v="1004"/>
    <n v="999"/>
    <n v="1046"/>
    <n v="996"/>
    <n v="1011"/>
    <n v="1022"/>
    <n v="1025"/>
    <n v="1019.1"/>
    <s v=""/>
    <s v="assinatura"/>
    <n v="2719"/>
    <n v="1000"/>
    <n v="1.9100000000000023E-2"/>
    <n v="19.100000000000023"/>
    <x v="34"/>
    <x v="1"/>
  </r>
  <r>
    <x v="34"/>
    <x v="2"/>
    <s v="6aae15e403d0d5807444bce2"/>
    <s v="19/09/2026 00:35:00"/>
    <s v="19/09/2026 01:56:04"/>
    <s v="Ranieli"/>
    <s v="18/09/2026"/>
    <x v="0"/>
    <s v="JOSEFA KELY NUNES DE SOUSA"/>
    <n v="40762"/>
    <n v="10025"/>
    <n v="9975"/>
    <n v="9945"/>
    <n v="10050"/>
    <n v="9975"/>
    <n v="10040"/>
    <n v="9980"/>
    <n v="9990"/>
    <n v="10018"/>
    <n v="9985"/>
    <n v="9998.2999999999993"/>
    <s v=""/>
    <s v="assinatura"/>
    <n v="2402"/>
    <n v="10000"/>
    <n v="-1.7000000000007276E-4"/>
    <n v="-1.7000000000007276"/>
    <x v="3"/>
    <x v="1"/>
  </r>
  <r>
    <x v="34"/>
    <x v="2"/>
    <s v="6aae15e403d0d5807444bcdc"/>
    <s v="19/09/2026 00:33:11"/>
    <s v="19/09/2026 01:56:04"/>
    <s v="Ranieli"/>
    <s v="18/09/2026"/>
    <x v="0"/>
    <s v="JOSEFA KELY NUNES DE SOUSA"/>
    <n v="13188"/>
    <n v="1003"/>
    <n v="1005"/>
    <n v="997"/>
    <n v="1009"/>
    <n v="1003"/>
    <n v="1006"/>
    <n v="1003"/>
    <n v="1003"/>
    <n v="1022"/>
    <n v="1005"/>
    <n v="1005.6"/>
    <s v=""/>
    <s v=""/>
    <n v="107"/>
    <n v="1000"/>
    <n v="5.6000000000000225E-3"/>
    <n v="5.6000000000000227"/>
    <x v="8"/>
    <x v="1"/>
  </r>
  <r>
    <x v="34"/>
    <x v="2"/>
    <s v="6aae15e403d0d5807444bcd6"/>
    <s v="19/09/2026 00:29:29"/>
    <s v="19/09/2026 01:56:04"/>
    <s v="Ranieli"/>
    <s v="18/09/2026"/>
    <x v="0"/>
    <s v="JOSEFA KELY NUNES DE SOUSA"/>
    <n v="15229"/>
    <n v="998"/>
    <n v="1005"/>
    <n v="1001"/>
    <n v="1005"/>
    <n v="1009"/>
    <n v="1007"/>
    <n v="1018"/>
    <n v="1018"/>
    <n v="1001"/>
    <n v="1011"/>
    <n v="1007.3"/>
    <s v=""/>
    <s v="assinatura"/>
    <n v="146"/>
    <n v="1000"/>
    <n v="7.2999999999999541E-3"/>
    <n v="7.2999999999999545"/>
    <x v="9"/>
    <x v="1"/>
  </r>
  <r>
    <x v="34"/>
    <x v="2"/>
    <s v="6aae15e403d0d5807444bcd0"/>
    <s v="19/09/2026 00:26:34"/>
    <s v="19/09/2026 01:56:04"/>
    <s v="Ranieli"/>
    <s v="18/09/2026"/>
    <x v="0"/>
    <s v="JOSEFA KELY NUNES DE SOUSA"/>
    <n v="15849"/>
    <n v="1007"/>
    <n v="1004"/>
    <n v="1000"/>
    <n v="1000"/>
    <n v="998"/>
    <n v="996"/>
    <n v="1014"/>
    <n v="994"/>
    <n v="1006"/>
    <n v="1008"/>
    <n v="1002.7"/>
    <s v=""/>
    <s v="assinatura"/>
    <n v="170"/>
    <n v="1000"/>
    <n v="2.7000000000000457E-3"/>
    <n v="2.7000000000000455"/>
    <x v="29"/>
    <x v="2"/>
  </r>
  <r>
    <x v="34"/>
    <x v="2"/>
    <s v="6aae15e403d0d5807444bcca"/>
    <s v="18/09/2026 23:42:08"/>
    <s v="19/09/2026 01:56:04"/>
    <s v="Ranieli"/>
    <s v="18/09/2026"/>
    <x v="0"/>
    <s v="JOSEFA KELY NUNES DE SOUSA"/>
    <n v="15105"/>
    <n v="1018"/>
    <n v="1006"/>
    <n v="1037"/>
    <n v="987"/>
    <n v="1047"/>
    <n v="1024"/>
    <n v="1038"/>
    <n v="986"/>
    <n v="1006"/>
    <n v="975"/>
    <n v="1012.4"/>
    <s v=""/>
    <s v="assinatura"/>
    <n v="2638"/>
    <n v="1000"/>
    <n v="1.2399999999999977E-2"/>
    <n v="12.399999999999977"/>
    <x v="0"/>
    <x v="0"/>
  </r>
  <r>
    <x v="34"/>
    <x v="2"/>
    <s v="6aae15e403d0d5807444bcb6"/>
    <s v="18/09/2026 21:20:15"/>
    <s v="19/09/2026 01:56:04"/>
    <s v="Ranieli"/>
    <s v="18/09/2026"/>
    <x v="0"/>
    <s v="JOSEFA KELY NUNES DE SOUSA"/>
    <n v="209069"/>
    <n v="1021"/>
    <n v="1011"/>
    <n v="1042"/>
    <n v="1092"/>
    <n v="1070"/>
    <n v="1023"/>
    <n v="1029"/>
    <n v="1019"/>
    <n v="1059"/>
    <n v="1017"/>
    <n v="1038.3"/>
    <s v=""/>
    <s v="assinatura"/>
    <n v="178"/>
    <n v="1000"/>
    <n v="3.8299999999999952E-2"/>
    <n v="38.299999999999955"/>
    <x v="28"/>
    <x v="0"/>
  </r>
  <r>
    <x v="34"/>
    <x v="2"/>
    <s v="6aae15e403d0d5807444bcb0"/>
    <s v="18/09/2026 19:23:40"/>
    <s v="19/09/2026 01:56:04"/>
    <s v="Ranieli"/>
    <s v="18/09/2026"/>
    <x v="0"/>
    <s v="JOSEFA KELY NUNES DE SOUSA"/>
    <n v="42854"/>
    <n v="2020"/>
    <n v="2027"/>
    <n v="2018"/>
    <n v="2002"/>
    <n v="2005"/>
    <n v="2017"/>
    <n v="2024"/>
    <n v="2026"/>
    <n v="2034"/>
    <n v="2005"/>
    <n v="2017.8"/>
    <s v=""/>
    <s v="assinatura"/>
    <n v="261"/>
    <n v="2080"/>
    <n v="-2.9903846153846177E-2"/>
    <n v="-62.200000000000045"/>
    <x v="4"/>
    <x v="1"/>
  </r>
  <r>
    <x v="34"/>
    <x v="2"/>
    <s v="6aae15e403d0d5807444bcaa"/>
    <s v="18/09/2026 19:21:42"/>
    <s v="19/09/2026 01:56:04"/>
    <s v="Ranieli"/>
    <s v="18/09/2026"/>
    <x v="0"/>
    <s v="JOSEFA KELY NUNES DE SOUSA"/>
    <n v="42846"/>
    <n v="2001"/>
    <n v="1991"/>
    <n v="2002"/>
    <n v="2005"/>
    <n v="2014"/>
    <n v="2008"/>
    <n v="2004"/>
    <n v="2008"/>
    <n v="2017"/>
    <n v="1992"/>
    <n v="2004.2"/>
    <s v=""/>
    <s v=""/>
    <n v="116"/>
    <n v="2000"/>
    <n v="2.1000000000000229E-3"/>
    <n v="4.2000000000000455"/>
    <x v="6"/>
    <x v="1"/>
  </r>
  <r>
    <x v="34"/>
    <x v="2"/>
    <s v="6aae15e403d0d5807444bca4"/>
    <s v="18/09/2026 19:19:35"/>
    <s v="19/09/2026 01:56:04"/>
    <s v="Ranieli"/>
    <s v="18/09/2026"/>
    <x v="0"/>
    <s v="JOSEFA KELY NUNES DE SOUSA"/>
    <n v="42820"/>
    <n v="2080"/>
    <n v="2093"/>
    <n v="2046"/>
    <n v="2064"/>
    <n v="2011"/>
    <n v="2045"/>
    <n v="2027"/>
    <n v="2050"/>
    <n v="2084"/>
    <n v="2003"/>
    <n v="2050.3000000000002"/>
    <s v=""/>
    <s v="assinatura"/>
    <n v="115"/>
    <n v="2000"/>
    <n v="2.5150000000000092E-2"/>
    <n v="50.300000000000182"/>
    <x v="10"/>
    <x v="1"/>
  </r>
  <r>
    <x v="34"/>
    <x v="2"/>
    <s v="6aae15e303d0d5807444bc9e"/>
    <s v="18/09/2026 19:17:08"/>
    <s v="19/09/2026 01:56:03"/>
    <s v="Ranieli"/>
    <s v="18/09/2026"/>
    <x v="0"/>
    <s v="JOSEFA KELY NUNES DE SOUSA"/>
    <n v="42854"/>
    <n v="2104"/>
    <n v="2095"/>
    <n v="2093"/>
    <n v="2085"/>
    <n v="2095"/>
    <n v="2108"/>
    <n v="2012"/>
    <n v="2093"/>
    <n v="2037"/>
    <n v="2007"/>
    <n v="2072.9"/>
    <s v=""/>
    <s v=""/>
    <n v="131"/>
    <n v="2080"/>
    <n v="-3.4134615384614946E-3"/>
    <n v="-7.0999999999999091"/>
    <x v="4"/>
    <x v="1"/>
  </r>
  <r>
    <x v="34"/>
    <x v="2"/>
    <s v="6aae15e303d0d5807444bc98"/>
    <s v="18/09/2026 19:15:02"/>
    <s v="19/09/2026 01:56:03"/>
    <s v="Ranieli"/>
    <s v="18/09/2026"/>
    <x v="0"/>
    <s v="JOSEFA KELY NUNES DE SOUSA"/>
    <n v="42838"/>
    <n v="2069"/>
    <n v="2024"/>
    <n v="2039"/>
    <n v="2023"/>
    <n v="2008"/>
    <n v="2049"/>
    <n v="2045"/>
    <n v="2045"/>
    <n v="2036"/>
    <n v="2061"/>
    <n v="2039.9"/>
    <s v=""/>
    <s v="assinatura"/>
    <n v="105"/>
    <n v="2000"/>
    <n v="1.9950000000000044E-2"/>
    <n v="39.900000000000091"/>
    <x v="7"/>
    <x v="1"/>
  </r>
  <r>
    <x v="34"/>
    <x v="2"/>
    <s v="6aae15e303d0d5807444bc92"/>
    <s v="18/09/2026 19:03:57"/>
    <s v="19/09/2026 01:56:03"/>
    <s v="Ranieli"/>
    <s v="18/09/2026"/>
    <x v="0"/>
    <s v="JOSEFA KELY NUNES DE SOUSA"/>
    <n v="40762"/>
    <n v="10060"/>
    <n v="10080"/>
    <n v="10065"/>
    <n v="10010"/>
    <n v="10020"/>
    <n v="10080"/>
    <n v="10065"/>
    <n v="10050"/>
    <n v="10040"/>
    <n v="9985"/>
    <n v="10045.5"/>
    <s v=""/>
    <s v=""/>
    <n v="418"/>
    <n v="10000"/>
    <n v="4.5500000000000002E-3"/>
    <n v="45.5"/>
    <x v="3"/>
    <x v="1"/>
  </r>
  <r>
    <x v="34"/>
    <x v="2"/>
    <s v="6aae15e303d0d5807444bc8c"/>
    <s v="18/09/2026 19:01:21"/>
    <s v="19/09/2026 01:56:03"/>
    <s v="Ranieli"/>
    <s v="18/09/2026"/>
    <x v="0"/>
    <s v="JOSEFA KELY NUNES DE SOUSA"/>
    <n v="13188"/>
    <n v="1012"/>
    <n v="1010"/>
    <n v="1010"/>
    <n v="1008"/>
    <n v="1007"/>
    <n v="1015"/>
    <n v="1016"/>
    <n v="1006"/>
    <n v="1008"/>
    <n v="1003"/>
    <n v="1009.5"/>
    <s v=""/>
    <s v="assinatura"/>
    <n v="154"/>
    <n v="1000"/>
    <n v="9.4999999999999998E-3"/>
    <n v="9.5"/>
    <x v="8"/>
    <x v="1"/>
  </r>
  <r>
    <x v="34"/>
    <x v="2"/>
    <s v="6aae15e303d0d5807444bc86"/>
    <s v="18/09/2026 18:58:27"/>
    <s v="19/09/2026 01:56:03"/>
    <s v="Ranieli"/>
    <s v="18/09/2026"/>
    <x v="0"/>
    <s v="JOSEFA KELY NUNES DE SOUSA"/>
    <n v="15849"/>
    <n v="1004"/>
    <n v="1010"/>
    <n v="1004"/>
    <n v="1003"/>
    <n v="1001"/>
    <n v="997"/>
    <n v="999"/>
    <n v="1013"/>
    <n v="999"/>
    <n v="1013"/>
    <n v="1004.3"/>
    <s v=""/>
    <s v="assinatura"/>
    <n v="3375"/>
    <n v="1000"/>
    <n v="4.2999999999999549E-3"/>
    <n v="4.2999999999999545"/>
    <x v="29"/>
    <x v="2"/>
  </r>
  <r>
    <x v="34"/>
    <x v="2"/>
    <s v="6aae15e303d0d5807444bc80"/>
    <s v="18/09/2026 18:55:19"/>
    <s v="19/09/2026 01:56:03"/>
    <s v="Ranieli"/>
    <s v="18/09/2026"/>
    <x v="0"/>
    <s v="JOSEFA KELY NUNES DE SOUSA"/>
    <n v="15105"/>
    <n v="995"/>
    <n v="1031"/>
    <n v="1028"/>
    <n v="1010"/>
    <n v="1015"/>
    <n v="1007"/>
    <n v="999"/>
    <n v="1049"/>
    <n v="1007"/>
    <n v="966"/>
    <n v="1010.7"/>
    <s v=""/>
    <s v="assinatura"/>
    <n v="3553"/>
    <n v="1000"/>
    <n v="1.0700000000000046E-2"/>
    <n v="10.700000000000045"/>
    <x v="0"/>
    <x v="0"/>
  </r>
  <r>
    <x v="34"/>
    <x v="2"/>
    <s v="6aae15e303d0d5807444bc7a"/>
    <s v="18/09/2026 18:52:08"/>
    <s v="19/09/2026 01:56:03"/>
    <s v="Ranieli"/>
    <s v="18/09/2026"/>
    <x v="0"/>
    <s v="JOSEFA KELY NUNES DE SOUSA"/>
    <n v="992093"/>
    <n v="5011"/>
    <n v="5009"/>
    <n v="5008"/>
    <n v="5006"/>
    <n v="5011"/>
    <n v="5010"/>
    <n v="5012"/>
    <n v="5015"/>
    <n v="5014"/>
    <n v="5021"/>
    <n v="5011.7"/>
    <s v=""/>
    <s v="assinatura"/>
    <n v="189"/>
    <n v="5000"/>
    <n v="2.3399999999999636E-3"/>
    <n v="11.699999999999818"/>
    <x v="13"/>
    <x v="3"/>
  </r>
  <r>
    <x v="34"/>
    <x v="2"/>
    <s v="6aadf406fcd9f74974256494"/>
    <s v="18/09/2026 23:22:20"/>
    <s v="18/09/2026 23:31:34"/>
    <s v="Ranieli"/>
    <s v="18/09/2026"/>
    <x v="0"/>
    <s v="JULIANE GOMES NOVAIS"/>
    <n v="42820"/>
    <n v="2080"/>
    <n v="2012"/>
    <n v="2003"/>
    <n v="2014"/>
    <n v="1987"/>
    <n v="1983"/>
    <n v="2042"/>
    <n v="2064"/>
    <n v="2017"/>
    <n v="2045"/>
    <n v="2024.7"/>
    <s v=""/>
    <s v="assinatura"/>
    <n v="484"/>
    <n v="2000"/>
    <n v="1.2350000000000022E-2"/>
    <n v="24.700000000000045"/>
    <x v="10"/>
    <x v="1"/>
  </r>
  <r>
    <x v="34"/>
    <x v="2"/>
    <s v="6aadf406fcd9f7497425648e"/>
    <s v="18/09/2026 23:20:03"/>
    <s v="18/09/2026 23:31:34"/>
    <s v="Ranieli"/>
    <s v="18/09/2026"/>
    <x v="0"/>
    <s v="JULIANE GOMES NOVAIS"/>
    <n v="42846"/>
    <n v="2003"/>
    <n v="1999"/>
    <n v="2014"/>
    <n v="2012"/>
    <n v="2001"/>
    <n v="2003"/>
    <n v="2000"/>
    <n v="2007"/>
    <n v="2012"/>
    <n v="2025"/>
    <n v="2007.6"/>
    <s v=""/>
    <s v="assinatura"/>
    <n v="639"/>
    <n v="2000"/>
    <n v="3.7999999999999545E-3"/>
    <n v="7.5999999999999091"/>
    <x v="6"/>
    <x v="1"/>
  </r>
  <r>
    <x v="34"/>
    <x v="2"/>
    <s v="6aadf406fcd9f74974256488"/>
    <s v="18/09/2026 23:16:34"/>
    <s v="18/09/2026 23:31:34"/>
    <s v="Ranieli"/>
    <s v="18/09/2026"/>
    <x v="0"/>
    <s v="JULIANE GOMES NOVAIS"/>
    <n v="42838"/>
    <n v="2016"/>
    <n v="2026"/>
    <n v="2016"/>
    <n v="2058"/>
    <n v="2038"/>
    <n v="2011"/>
    <n v="2032"/>
    <n v="2008"/>
    <n v="2009"/>
    <n v="2000"/>
    <n v="2021.4"/>
    <s v=""/>
    <s v="assinatura"/>
    <n v="204"/>
    <n v="2000"/>
    <n v="1.0700000000000046E-2"/>
    <n v="21.400000000000091"/>
    <x v="7"/>
    <x v="1"/>
  </r>
  <r>
    <x v="34"/>
    <x v="2"/>
    <s v="6aaddbf1d77fed4595fab5ea"/>
    <s v="18/09/2026 21:44:28"/>
    <s v="18/09/2026 21:48:49"/>
    <s v="Ranieli"/>
    <s v="18/09/2026"/>
    <x v="0"/>
    <s v="JULIANE GOMES NOVAIS"/>
    <n v="209069"/>
    <n v="1013"/>
    <n v="997"/>
    <n v="1010"/>
    <n v="1003"/>
    <n v="993"/>
    <n v="988"/>
    <n v="1037"/>
    <n v="1027"/>
    <n v="994"/>
    <n v="1044"/>
    <n v="1010.6"/>
    <s v=""/>
    <s v="assinatura"/>
    <n v="229"/>
    <n v="1000"/>
    <n v="1.0600000000000023E-2"/>
    <n v="10.600000000000023"/>
    <x v="28"/>
    <x v="0"/>
  </r>
  <r>
    <x v="34"/>
    <x v="2"/>
    <s v="6aaddaf503d0d58074449fcb"/>
    <s v="18/09/2026 19:01:17"/>
    <s v="18/09/2026 21:44:37"/>
    <s v="Ranieli"/>
    <s v="18/09/2026"/>
    <x v="0"/>
    <s v="JULIANE GOMES NOVAIS"/>
    <n v="40762"/>
    <n v="10075"/>
    <n v="10065"/>
    <n v="9990"/>
    <n v="10010"/>
    <n v="10060"/>
    <n v="10075"/>
    <n v="10055"/>
    <n v="10000"/>
    <n v="10020"/>
    <n v="10075"/>
    <n v="10042.5"/>
    <s v=""/>
    <s v=""/>
    <n v="456"/>
    <n v="10000"/>
    <n v="4.2500000000000003E-3"/>
    <n v="42.5"/>
    <x v="3"/>
    <x v="1"/>
  </r>
  <r>
    <x v="34"/>
    <x v="2"/>
    <s v="6aaddaf503d0d58074449fc5"/>
    <s v="18/09/2026 18:57:55"/>
    <s v="18/09/2026 21:44:37"/>
    <s v="Ranieli"/>
    <s v="18/09/2026"/>
    <x v="0"/>
    <s v="JULIANE GOMES NOVAIS"/>
    <n v="40762"/>
    <n v="10025"/>
    <n v="10035"/>
    <n v="9965"/>
    <n v="9985"/>
    <n v="10030"/>
    <n v="10055"/>
    <n v="10040"/>
    <n v="9995"/>
    <n v="10040"/>
    <n v="10025"/>
    <n v="10019.5"/>
    <s v=""/>
    <s v=""/>
    <n v="201"/>
    <n v="10000"/>
    <n v="1.9499999999999999E-3"/>
    <n v="19.5"/>
    <x v="3"/>
    <x v="1"/>
  </r>
  <r>
    <x v="34"/>
    <x v="2"/>
    <s v="6aaddaf503d0d58074449fbf"/>
    <s v="18/09/2026 18:55:20"/>
    <s v="18/09/2026 21:44:37"/>
    <s v="Ranieli"/>
    <s v="18/09/2026"/>
    <x v="0"/>
    <s v="JULIANE GOMES NOVAIS"/>
    <n v="40762"/>
    <n v="10040"/>
    <n v="10015"/>
    <n v="10085"/>
    <n v="10025"/>
    <n v="10005"/>
    <n v="10010"/>
    <n v="10050"/>
    <n v="10025"/>
    <n v="10030"/>
    <n v="9995"/>
    <n v="10028"/>
    <s v=""/>
    <s v=""/>
    <n v="151"/>
    <n v="10000"/>
    <n v="2.8E-3"/>
    <n v="28"/>
    <x v="3"/>
    <x v="1"/>
  </r>
  <r>
    <x v="34"/>
    <x v="2"/>
    <s v="6aaddaf503d0d58074449fb9"/>
    <s v="18/09/2026 18:46:29"/>
    <s v="18/09/2026 21:44:37"/>
    <s v="Ranieli"/>
    <s v="18/09/2026"/>
    <x v="0"/>
    <s v="JULIANE GOMES NOVAIS"/>
    <n v="55552"/>
    <n v="15005"/>
    <n v="15010"/>
    <n v="15020"/>
    <n v="15015"/>
    <n v="15005"/>
    <n v="15015"/>
    <n v="15015"/>
    <n v="15010"/>
    <n v="15000"/>
    <n v="15010"/>
    <n v="15010.5"/>
    <s v=""/>
    <s v="assinatura"/>
    <n v="452"/>
    <n v="15000"/>
    <n v="6.9999999999999999E-4"/>
    <n v="10.5"/>
    <x v="25"/>
    <x v="1"/>
  </r>
  <r>
    <x v="34"/>
    <x v="2"/>
    <s v="6aadb0c0fbc61ed447c23d2b"/>
    <s v="18/09/2026 18:40:47"/>
    <s v="18/09/2026 18:44:32"/>
    <s v="Ranieli"/>
    <s v="18/09/2026"/>
    <x v="0"/>
    <s v="JULIANE GOMES NOVAIS"/>
    <n v="13188"/>
    <n v="1000"/>
    <n v="1012"/>
    <n v="1003"/>
    <n v="1011"/>
    <n v="1014"/>
    <n v="1002"/>
    <n v="997"/>
    <n v="1008"/>
    <n v="1000"/>
    <n v="1014"/>
    <n v="1006.1"/>
    <s v=""/>
    <s v="assinatura"/>
    <n v="192"/>
    <n v="1000"/>
    <n v="6.1000000000000229E-3"/>
    <n v="6.1000000000000227"/>
    <x v="8"/>
    <x v="1"/>
  </r>
  <r>
    <x v="34"/>
    <x v="2"/>
    <s v="6aadb0c0fbc61ed447c23d25"/>
    <s v="18/09/2026 18:37:07"/>
    <s v="18/09/2026 18:44:32"/>
    <s v="Ranieli"/>
    <s v="18/09/2026"/>
    <x v="0"/>
    <s v="JULIANE GOMES NOVAIS"/>
    <n v="13188"/>
    <n v="1001"/>
    <n v="1009"/>
    <n v="1006"/>
    <n v="1011"/>
    <n v="1005"/>
    <n v="996"/>
    <n v="1008"/>
    <n v="1000"/>
    <n v="999"/>
    <n v="1002"/>
    <n v="1003.7"/>
    <s v=""/>
    <s v="assinatura"/>
    <n v="178"/>
    <n v="1000"/>
    <n v="3.7000000000000453E-3"/>
    <n v="3.7000000000000455"/>
    <x v="8"/>
    <x v="1"/>
  </r>
  <r>
    <x v="34"/>
    <x v="2"/>
    <s v="6aadb0c0fbc61ed447c23d1f"/>
    <s v="18/09/2026 18:35:41"/>
    <s v="18/09/2026 18:44:32"/>
    <s v="Ranieli"/>
    <s v="18/09/2026"/>
    <x v="0"/>
    <s v="JULIANE GOMES NOVAIS"/>
    <n v="15229"/>
    <n v="1012"/>
    <n v="1018"/>
    <n v="1002"/>
    <n v="1016"/>
    <n v="998"/>
    <n v="1005"/>
    <n v="996"/>
    <n v="1007"/>
    <n v="1011"/>
    <n v="1008"/>
    <n v="1007.3"/>
    <s v=""/>
    <s v="assinatura"/>
    <n v="81"/>
    <n v="1000"/>
    <n v="7.2999999999999541E-3"/>
    <n v="7.2999999999999545"/>
    <x v="9"/>
    <x v="1"/>
  </r>
  <r>
    <x v="34"/>
    <x v="2"/>
    <s v="6aadb0c0fbc61ed447c23d19"/>
    <s v="18/09/2026 18:33:10"/>
    <s v="18/09/2026 18:44:32"/>
    <s v="Ranieli"/>
    <s v="18/09/2026"/>
    <x v="0"/>
    <s v="JULIANE GOMES NOVAIS"/>
    <n v="15229"/>
    <n v="1006"/>
    <n v="995"/>
    <n v="1014"/>
    <n v="995"/>
    <n v="1013"/>
    <n v="1003"/>
    <n v="1002"/>
    <n v="1008"/>
    <n v="1004"/>
    <n v="1009"/>
    <n v="1004.9"/>
    <s v=""/>
    <s v="assinatura"/>
    <n v="149"/>
    <n v="1000"/>
    <n v="4.8999999999999773E-3"/>
    <n v="4.8999999999999773"/>
    <x v="9"/>
    <x v="1"/>
  </r>
  <r>
    <x v="34"/>
    <x v="2"/>
    <s v="6aadb0c0fbc61ed447c23d13"/>
    <s v="18/09/2026 18:13:40"/>
    <s v="18/09/2026 18:44:32"/>
    <s v="Ranieli"/>
    <s v="18/09/2026"/>
    <x v="0"/>
    <s v="JULIANE GOMES NOVAIS"/>
    <n v="15105"/>
    <n v="1020"/>
    <n v="1067"/>
    <n v="999"/>
    <n v="995"/>
    <n v="1003"/>
    <n v="1042"/>
    <n v="989"/>
    <n v="990"/>
    <n v="1015"/>
    <n v="1030"/>
    <n v="1015"/>
    <s v=""/>
    <s v="assinatura"/>
    <n v="208"/>
    <n v="1000"/>
    <n v="1.4999999999999999E-2"/>
    <n v="15"/>
    <x v="0"/>
    <x v="0"/>
  </r>
  <r>
    <x v="34"/>
    <x v="2"/>
    <s v="6aad6a5e34389a7f1f0fa6e2"/>
    <s v="18/09/2026 11:02:44"/>
    <s v="18/09/2026 13:44:14"/>
    <s v="Ranieli"/>
    <s v="18/09/2026"/>
    <x v="1"/>
    <s v="ALANA DA SILVA MARTINS"/>
    <n v="209039"/>
    <n v="1040"/>
    <n v="1022"/>
    <n v="1041"/>
    <n v="1005"/>
    <n v="1046"/>
    <n v="1059"/>
    <n v="1034"/>
    <n v="1047"/>
    <n v="1012"/>
    <n v="1009"/>
    <n v="1031.5"/>
    <s v=""/>
    <s v="assinatura"/>
    <n v="158"/>
    <n v="1000"/>
    <n v="3.15E-2"/>
    <n v="31.5"/>
    <x v="19"/>
    <x v="3"/>
  </r>
  <r>
    <x v="35"/>
    <x v="2"/>
    <s v="6aad4487fcd9f7497422cc8a"/>
    <s v="17/09/2026 16:35:09"/>
    <s v="18/09/2026 11:02:47"/>
    <s v="Ranieli"/>
    <s v="17/09/2026"/>
    <x v="1"/>
    <s v="ALANA DA SILVA MARTINS"/>
    <n v="197734"/>
    <n v="1003"/>
    <n v="1000"/>
    <n v="999"/>
    <n v="1027"/>
    <n v="1023"/>
    <n v="1015"/>
    <n v="995"/>
    <n v="1002"/>
    <n v="996"/>
    <n v="1004"/>
    <n v="1006.4"/>
    <s v=""/>
    <s v="assinatura"/>
    <n v="174"/>
    <n v="1000"/>
    <n v="6.3999999999999769E-3"/>
    <n v="6.3999999999999773"/>
    <x v="2"/>
    <x v="2"/>
  </r>
  <r>
    <x v="34"/>
    <x v="2"/>
    <s v="6aacc411a0b92a3a6b29cc1f"/>
    <s v="17/09/2026 23:12:36"/>
    <s v="18/09/2026 01:54:41"/>
    <s v="Ranieli"/>
    <s v="18/09/2026"/>
    <x v="0"/>
    <s v="JOSEFA KELY NUNES DE SOUSA"/>
    <n v="42820"/>
    <n v="2012"/>
    <n v="2004"/>
    <n v="2011"/>
    <n v="2011"/>
    <n v="2005"/>
    <n v="2006"/>
    <n v="2000"/>
    <n v="2012"/>
    <n v="2004"/>
    <n v="2047"/>
    <n v="2011.2"/>
    <s v=""/>
    <s v="assinatura"/>
    <n v="8825"/>
    <n v="2000"/>
    <n v="5.6000000000000225E-3"/>
    <n v="11.200000000000045"/>
    <x v="10"/>
    <x v="1"/>
  </r>
  <r>
    <x v="35"/>
    <x v="2"/>
    <s v="6aacc411a0b92a3a6b29cc19"/>
    <s v="17/09/2026 23:09:58"/>
    <s v="18/09/2026 01:54:41"/>
    <s v="Ranieli"/>
    <s v="17/09/2026"/>
    <x v="0"/>
    <s v="JOSEFA KELY NUNES DE SOUSA"/>
    <n v="42820"/>
    <n v="2040"/>
    <n v="2021"/>
    <n v="2032"/>
    <n v="2024"/>
    <n v="2012"/>
    <n v="2001"/>
    <n v="2018"/>
    <n v="2021"/>
    <n v="2019"/>
    <n v="2033"/>
    <n v="2022.1"/>
    <s v=""/>
    <s v="assinatura"/>
    <n v="8315"/>
    <n v="2000"/>
    <n v="1.1049999999999954E-2"/>
    <n v="22.099999999999909"/>
    <x v="10"/>
    <x v="1"/>
  </r>
  <r>
    <x v="35"/>
    <x v="2"/>
    <s v="6aacc411a0b92a3a6b29cc13"/>
    <s v="17/09/2026 23:07:50"/>
    <s v="18/09/2026 01:54:41"/>
    <s v="Ranieli"/>
    <s v="17/09/2026"/>
    <x v="0"/>
    <s v="JOSEFA KELY NUNES DE SOUSA"/>
    <n v="42838"/>
    <n v="2003"/>
    <n v="2054"/>
    <n v="2033"/>
    <n v="2027"/>
    <n v="2031"/>
    <n v="2036"/>
    <n v="2007"/>
    <n v="2028"/>
    <n v="2041"/>
    <n v="2035"/>
    <n v="2029.5"/>
    <s v=""/>
    <s v="assinatura"/>
    <n v="7735"/>
    <n v="2000"/>
    <n v="1.4749999999999999E-2"/>
    <n v="29.5"/>
    <x v="7"/>
    <x v="1"/>
  </r>
  <r>
    <x v="35"/>
    <x v="2"/>
    <s v="6aacc411a0b92a3a6b29cc0d"/>
    <s v="17/09/2026 23:06:09"/>
    <s v="18/09/2026 01:54:41"/>
    <s v="Ranieli"/>
    <s v="17/09/2026"/>
    <x v="0"/>
    <s v="JOSEFA KELY NUNES DE SOUSA"/>
    <n v="864048"/>
    <n v="2011"/>
    <n v="2012"/>
    <n v="2007"/>
    <n v="2013"/>
    <n v="2055"/>
    <n v="2048"/>
    <n v="2005"/>
    <n v="2016"/>
    <n v="1998"/>
    <n v="2014"/>
    <n v="2017.9"/>
    <s v=""/>
    <s v=""/>
    <n v="100"/>
    <n v="2000"/>
    <n v="8.9500000000000447E-3"/>
    <n v="17.900000000000091"/>
    <x v="26"/>
    <x v="1"/>
  </r>
  <r>
    <x v="35"/>
    <x v="2"/>
    <s v="6aacc411a0b92a3a6b29cc07"/>
    <s v="17/09/2026 23:04:12"/>
    <s v="18/09/2026 01:54:41"/>
    <s v="Ranieli"/>
    <s v="17/09/2026"/>
    <x v="0"/>
    <s v="JOSEFA KELY NUNES DE SOUSA"/>
    <n v="42811"/>
    <n v="2024"/>
    <n v="2003"/>
    <n v="2033"/>
    <n v="2028"/>
    <n v="1992"/>
    <n v="2018"/>
    <n v="2006"/>
    <n v="2012"/>
    <n v="2021"/>
    <n v="2007"/>
    <n v="2014.4"/>
    <s v=""/>
    <s v=""/>
    <n v="116"/>
    <n v="2000"/>
    <n v="7.2000000000000458E-3"/>
    <n v="14.400000000000091"/>
    <x v="32"/>
    <x v="1"/>
  </r>
  <r>
    <x v="35"/>
    <x v="2"/>
    <s v="6aacc411a0b92a3a6b29cc01"/>
    <s v="17/09/2026 22:59:29"/>
    <s v="18/09/2026 01:54:41"/>
    <s v="Ranieli"/>
    <s v="17/09/2026"/>
    <x v="0"/>
    <s v="JOSEFA KELY NUNES DE SOUSA"/>
    <n v="42862"/>
    <n v="2033"/>
    <n v="1997"/>
    <n v="2025"/>
    <n v="2019"/>
    <n v="2000"/>
    <n v="2017"/>
    <n v="2018"/>
    <n v="2015"/>
    <n v="2081"/>
    <n v="2019"/>
    <n v="2022.4"/>
    <s v=""/>
    <s v="assinatura"/>
    <n v="281"/>
    <n v="2000"/>
    <n v="1.1200000000000045E-2"/>
    <n v="22.400000000000091"/>
    <x v="5"/>
    <x v="1"/>
  </r>
  <r>
    <x v="35"/>
    <x v="2"/>
    <s v="6aacc411a0b92a3a6b29cbfb"/>
    <s v="17/09/2026 22:55:30"/>
    <s v="18/09/2026 01:54:41"/>
    <s v="Ranieli"/>
    <s v="17/09/2026"/>
    <x v="0"/>
    <s v="JOSEFA KELY NUNES DE SOUSA"/>
    <n v="15105"/>
    <n v="1014"/>
    <n v="1000"/>
    <n v="963"/>
    <n v="1029"/>
    <n v="1028"/>
    <n v="1046"/>
    <n v="995"/>
    <n v="1029"/>
    <n v="1057"/>
    <n v="1009"/>
    <n v="1017"/>
    <s v=""/>
    <s v="assinatura"/>
    <n v="197"/>
    <n v="1000"/>
    <n v="1.7000000000000001E-2"/>
    <n v="17"/>
    <x v="0"/>
    <x v="0"/>
  </r>
  <r>
    <x v="35"/>
    <x v="2"/>
    <s v="6aacc410a0b92a3a6b29cbe9"/>
    <s v="17/09/2026 20:28:16"/>
    <s v="18/09/2026 01:54:40"/>
    <s v="Ranieli"/>
    <s v="17/09/2026"/>
    <x v="0"/>
    <s v="JOSEFA KELY NUNES DE SOUSA"/>
    <n v="209069"/>
    <n v="1050"/>
    <n v="1081"/>
    <n v="1055"/>
    <n v="1018"/>
    <n v="1002"/>
    <n v="1000"/>
    <n v="1001"/>
    <n v="1013"/>
    <n v="1010"/>
    <n v="1045"/>
    <n v="1027.5"/>
    <s v=""/>
    <s v=""/>
    <n v="114"/>
    <n v="1000"/>
    <n v="2.75E-2"/>
    <n v="27.5"/>
    <x v="28"/>
    <x v="0"/>
  </r>
  <r>
    <x v="35"/>
    <x v="2"/>
    <s v="6aacc410a0b92a3a6b29cbe3"/>
    <s v="17/09/2026 18:32:32"/>
    <s v="18/09/2026 01:54:40"/>
    <s v="Ranieli"/>
    <s v="17/09/2026"/>
    <x v="0"/>
    <s v="JOSEFA KELY NUNES DE SOUSA"/>
    <n v="15105"/>
    <n v="960"/>
    <n v="960"/>
    <n v="974"/>
    <n v="974"/>
    <n v="988"/>
    <n v="981"/>
    <n v="970"/>
    <n v="1002"/>
    <n v="971"/>
    <n v="979"/>
    <n v="975.9"/>
    <s v=""/>
    <s v="assinatura"/>
    <n v="486"/>
    <n v="1000"/>
    <n v="-2.4100000000000024E-2"/>
    <n v="-24.100000000000023"/>
    <x v="0"/>
    <x v="0"/>
  </r>
  <r>
    <x v="35"/>
    <x v="2"/>
    <s v="6aacc410a0b92a3a6b29cbdd"/>
    <s v="17/09/2026 18:26:16"/>
    <s v="18/09/2026 01:54:40"/>
    <s v="Ranieli"/>
    <s v="17/09/2026"/>
    <x v="0"/>
    <s v="JOSEFA KELY NUNES DE SOUSA"/>
    <n v="42838"/>
    <n v="2018"/>
    <n v="2051"/>
    <n v="2007"/>
    <n v="2013"/>
    <n v="2029"/>
    <n v="2046"/>
    <n v="2026"/>
    <n v="2030"/>
    <n v="2025"/>
    <n v="2025"/>
    <n v="2027"/>
    <s v=""/>
    <s v="assinatura"/>
    <n v="374"/>
    <n v="2000"/>
    <n v="1.35E-2"/>
    <n v="27"/>
    <x v="7"/>
    <x v="1"/>
  </r>
  <r>
    <x v="35"/>
    <x v="2"/>
    <s v="6aacc410a0b92a3a6b29cbd7"/>
    <s v="17/09/2026 18:22:37"/>
    <s v="18/09/2026 01:54:40"/>
    <s v="Ranieli"/>
    <s v="17/09/2026"/>
    <x v="0"/>
    <s v="JOSEFA KELY NUNES DE SOUSA"/>
    <n v="42846"/>
    <n v="2004"/>
    <n v="2019"/>
    <n v="2002"/>
    <n v="2012"/>
    <n v="2012"/>
    <n v="2016"/>
    <n v="2005"/>
    <n v="2007"/>
    <n v="2017"/>
    <n v="2011"/>
    <n v="2010.5"/>
    <s v=""/>
    <s v=""/>
    <n v="218"/>
    <n v="2000"/>
    <n v="5.2500000000000003E-3"/>
    <n v="10.5"/>
    <x v="6"/>
    <x v="1"/>
  </r>
  <r>
    <x v="35"/>
    <x v="2"/>
    <s v="6aacc410a0b92a3a6b29cbd1"/>
    <s v="17/09/2026 18:19:58"/>
    <s v="18/09/2026 01:54:40"/>
    <s v="Ranieli"/>
    <s v="17/09/2026"/>
    <x v="0"/>
    <s v="JOSEFA KELY NUNES DE SOUSA"/>
    <n v="42862"/>
    <n v="2001"/>
    <n v="2017"/>
    <n v="2002"/>
    <n v="2017"/>
    <n v="2015"/>
    <n v="2019"/>
    <n v="2017"/>
    <n v="2008"/>
    <n v="2011"/>
    <n v="2020"/>
    <n v="2012.7"/>
    <s v=""/>
    <s v="assinatura"/>
    <n v="157"/>
    <n v="2000"/>
    <n v="6.3500000000000232E-3"/>
    <n v="12.700000000000045"/>
    <x v="5"/>
    <x v="1"/>
  </r>
  <r>
    <x v="35"/>
    <x v="2"/>
    <s v="6aacc410a0b92a3a6b29cbcb"/>
    <s v="17/09/2026 18:18:08"/>
    <s v="18/09/2026 01:54:40"/>
    <s v="Ranieli"/>
    <s v="17/09/2026"/>
    <x v="0"/>
    <s v="JOSEFA KELY NUNES DE SOUSA"/>
    <n v="42854"/>
    <n v="2091"/>
    <n v="2103"/>
    <n v="2101"/>
    <n v="2099"/>
    <n v="2095"/>
    <n v="2002"/>
    <n v="2100"/>
    <n v="2105"/>
    <n v="2080"/>
    <n v="2101"/>
    <n v="2087.6999999999998"/>
    <s v=""/>
    <s v=""/>
    <n v="109"/>
    <n v="2080"/>
    <n v="3.7019230769229894E-3"/>
    <n v="7.6999999999998181"/>
    <x v="4"/>
    <x v="1"/>
  </r>
  <r>
    <x v="35"/>
    <x v="2"/>
    <s v="6aacc410a0b92a3a6b29cbc5"/>
    <s v="17/09/2026 17:25:09"/>
    <s v="18/09/2026 01:54:40"/>
    <s v="Ranieli"/>
    <s v="17/09/2026"/>
    <x v="0"/>
    <s v="JOSEFA KELY NUNES DE SOUSA"/>
    <n v="40762"/>
    <n v="10000"/>
    <n v="10045"/>
    <n v="10030"/>
    <n v="10020"/>
    <n v="10005"/>
    <n v="9975"/>
    <n v="10055"/>
    <n v="10015"/>
    <n v="10025"/>
    <n v="10030"/>
    <n v="10020"/>
    <s v=""/>
    <s v="assinatura"/>
    <n v="340"/>
    <n v="10000"/>
    <n v="2E-3"/>
    <n v="20"/>
    <x v="3"/>
    <x v="1"/>
  </r>
  <r>
    <x v="35"/>
    <x v="2"/>
    <s v="6aacc410a0b92a3a6b29cbbf"/>
    <s v="17/09/2026 17:19:00"/>
    <s v="18/09/2026 01:54:40"/>
    <s v="Ranieli"/>
    <s v="17/09/2026"/>
    <x v="0"/>
    <s v="JOSEFA KELY NUNES DE SOUSA"/>
    <n v="995638"/>
    <n v="15015"/>
    <n v="15025"/>
    <n v="15055"/>
    <n v="15065"/>
    <n v="15000"/>
    <n v="15030"/>
    <n v="15030"/>
    <n v="15020"/>
    <n v="15045"/>
    <n v="15025"/>
    <n v="15031"/>
    <s v=""/>
    <s v="assinatura"/>
    <n v="351"/>
    <n v="15000"/>
    <n v="2.0666666666666667E-3"/>
    <n v="31"/>
    <x v="21"/>
    <x v="3"/>
  </r>
  <r>
    <x v="35"/>
    <x v="2"/>
    <s v="6aacc410a0b92a3a6b29cbb9"/>
    <s v="17/09/2026 17:16:09"/>
    <s v="18/09/2026 01:54:40"/>
    <s v="Ranieli"/>
    <s v="17/09/2026"/>
    <x v="0"/>
    <s v="JOSEFA KELY NUNES DE SOUSA"/>
    <n v="992093"/>
    <n v="5009"/>
    <n v="5014"/>
    <n v="5009"/>
    <n v="5000"/>
    <n v="5007"/>
    <n v="5004"/>
    <n v="5003"/>
    <n v="5004"/>
    <n v="5006"/>
    <n v="5006"/>
    <n v="5006.2"/>
    <s v=""/>
    <s v=""/>
    <n v="170"/>
    <n v="5000"/>
    <n v="1.2399999999999636E-3"/>
    <n v="6.1999999999998181"/>
    <x v="13"/>
    <x v="3"/>
  </r>
  <r>
    <x v="35"/>
    <x v="2"/>
    <s v="6aacc410a0b92a3a6b29cbb3"/>
    <s v="17/09/2026 17:11:09"/>
    <s v="18/09/2026 01:54:40"/>
    <s v="Ranieli"/>
    <s v="17/09/2026"/>
    <x v="0"/>
    <s v="JOSEFA KELY NUNES DE SOUSA"/>
    <n v="15105"/>
    <n v="998"/>
    <n v="1038"/>
    <n v="1058"/>
    <n v="998"/>
    <n v="1008"/>
    <n v="1026"/>
    <n v="993"/>
    <n v="1050"/>
    <n v="1009"/>
    <n v="1014"/>
    <n v="1019.2"/>
    <s v=""/>
    <s v="assinatura"/>
    <n v="299"/>
    <n v="1000"/>
    <n v="1.9200000000000047E-2"/>
    <n v="19.200000000000045"/>
    <x v="0"/>
    <x v="0"/>
  </r>
  <r>
    <x v="35"/>
    <x v="2"/>
    <s v="6aac89962058495d6bd9f23e"/>
    <s v="17/09/2026 18:03:15"/>
    <s v="17/09/2026 21:45:10"/>
    <s v="Ranieli"/>
    <s v="17/09/2026"/>
    <x v="0"/>
    <s v="JULIANE GOMES NOVAIS"/>
    <n v="40762"/>
    <n v="9990"/>
    <n v="10065"/>
    <n v="10070"/>
    <n v="10020"/>
    <n v="10085"/>
    <n v="10015"/>
    <n v="10080"/>
    <n v="10010"/>
    <n v="10065"/>
    <n v="10070"/>
    <n v="10047"/>
    <s v=""/>
    <s v="assinatura"/>
    <n v="318"/>
    <n v="10000"/>
    <n v="4.7000000000000002E-3"/>
    <n v="47"/>
    <x v="3"/>
    <x v="1"/>
  </r>
  <r>
    <x v="35"/>
    <x v="2"/>
    <s v="6aac3f3c03d0d5807441df72"/>
    <s v="17/09/2026 15:01:06"/>
    <s v="17/09/2026 16:27:56"/>
    <s v="Ranieli"/>
    <s v="17/09/2026"/>
    <x v="1"/>
    <s v="ALANA DA SILVA MARTINS"/>
    <n v="209299"/>
    <n v="1012"/>
    <n v="1000"/>
    <n v="1047"/>
    <n v="1000"/>
    <n v="1095"/>
    <n v="1003"/>
    <n v="996"/>
    <n v="1005"/>
    <n v="1056"/>
    <n v="1006"/>
    <n v="1022"/>
    <s v=""/>
    <s v="assinatura"/>
    <n v="189"/>
    <n v="1000"/>
    <n v="2.1999999999999999E-2"/>
    <n v="22"/>
    <x v="30"/>
    <x v="1"/>
  </r>
  <r>
    <x v="35"/>
    <x v="2"/>
    <s v="6aac246461edf70c814e55e1"/>
    <s v="17/09/2026 11:23:15"/>
    <s v="17/09/2026 14:33:24"/>
    <s v="Ranieli"/>
    <s v="17/09/2026"/>
    <x v="1"/>
    <s v="ALANA DA SILVA MARTINS"/>
    <n v="40762"/>
    <n v="10250"/>
    <n v="10085"/>
    <n v="10105"/>
    <n v="10095"/>
    <n v="10090"/>
    <n v="10120"/>
    <n v="9935"/>
    <n v="10040"/>
    <n v="9915"/>
    <n v="10140"/>
    <n v="10077.5"/>
    <s v=""/>
    <s v="assinatura"/>
    <n v="1142"/>
    <n v="10000"/>
    <n v="7.7499999999999999E-3"/>
    <n v="77.5"/>
    <x v="3"/>
    <x v="1"/>
  </r>
  <r>
    <x v="35"/>
    <x v="2"/>
    <s v="6aac246461edf70c814e55db"/>
    <s v="17/09/2026 11:18:55"/>
    <s v="17/09/2026 14:33:24"/>
    <s v="Ranieli"/>
    <s v="17/09/2026"/>
    <x v="1"/>
    <s v="ALANA DA SILVA MARTINS"/>
    <n v="42862"/>
    <n v="2016"/>
    <n v="2027"/>
    <n v="2037"/>
    <n v="2044"/>
    <n v="2048"/>
    <n v="2066"/>
    <n v="2034"/>
    <n v="2076"/>
    <n v="2020"/>
    <n v="2026"/>
    <n v="2039.4"/>
    <s v=""/>
    <s v="assinatura"/>
    <n v="1336"/>
    <n v="2000"/>
    <n v="1.9700000000000044E-2"/>
    <n v="39.400000000000091"/>
    <x v="5"/>
    <x v="1"/>
  </r>
  <r>
    <x v="35"/>
    <x v="2"/>
    <s v="6aac246461edf70c814e55d3"/>
    <s v="17/09/2026 10:05:30"/>
    <s v="17/09/2026 14:33:24"/>
    <s v="Ranieli"/>
    <s v="17/09/2026"/>
    <x v="1"/>
    <s v="ALANA DA SILVA MARTINS"/>
    <n v="15105"/>
    <n v="1045"/>
    <n v="1003"/>
    <n v="995"/>
    <n v="1022"/>
    <n v="1009"/>
    <n v="1004"/>
    <n v="1000"/>
    <n v="1028"/>
    <n v="1021"/>
    <n v="1008"/>
    <n v="1013.5"/>
    <s v=""/>
    <s v="assinatura"/>
    <n v="5707"/>
    <n v="1000"/>
    <n v="1.35E-2"/>
    <n v="13.5"/>
    <x v="0"/>
    <x v="0"/>
  </r>
  <r>
    <x v="35"/>
    <x v="2"/>
    <s v="6aac246461edf70c814e55cd"/>
    <s v="17/09/2026 09:59:26"/>
    <s v="17/09/2026 14:33:24"/>
    <s v="Ranieli"/>
    <s v="17/09/2026"/>
    <x v="1"/>
    <s v="ALANA DA SILVA MARTINS"/>
    <n v="43784"/>
    <n v="993"/>
    <n v="988"/>
    <n v="994"/>
    <n v="989"/>
    <n v="988"/>
    <n v="990"/>
    <n v="989"/>
    <n v="995"/>
    <n v="998"/>
    <n v="999"/>
    <n v="992.3"/>
    <s v=""/>
    <s v="assinatura"/>
    <n v="6038"/>
    <n v="1000"/>
    <n v="-7.7000000000000453E-3"/>
    <n v="-7.7000000000000455"/>
    <x v="35"/>
    <x v="7"/>
  </r>
  <r>
    <x v="35"/>
    <x v="2"/>
    <s v="6aac246461edf70c814e55c7"/>
    <s v="17/09/2026 09:53:40"/>
    <s v="17/09/2026 14:33:24"/>
    <s v="Ranieli"/>
    <s v="17/09/2026"/>
    <x v="1"/>
    <s v="ALANA DA SILVA MARTINS"/>
    <n v="864048"/>
    <n v="2071"/>
    <n v="2031"/>
    <n v="2064"/>
    <n v="2038"/>
    <n v="1999"/>
    <n v="1989"/>
    <n v="2083"/>
    <n v="2031"/>
    <n v="2000"/>
    <n v="2011"/>
    <n v="2031.7"/>
    <s v=""/>
    <s v="assinatura"/>
    <n v="1691"/>
    <n v="2000"/>
    <n v="1.5850000000000024E-2"/>
    <n v="31.700000000000045"/>
    <x v="26"/>
    <x v="1"/>
  </r>
  <r>
    <x v="35"/>
    <x v="2"/>
    <s v="6aac246461edf70c814e55c1"/>
    <s v="17/09/2026 09:47:44"/>
    <s v="17/09/2026 14:33:24"/>
    <s v="Ranieli"/>
    <s v="17/09/2026"/>
    <x v="1"/>
    <s v="ALANA DA SILVA MARTINS"/>
    <n v="42854"/>
    <n v="2100"/>
    <n v="2118"/>
    <n v="2152"/>
    <n v="2063"/>
    <n v="2152"/>
    <n v="2070"/>
    <n v="2146"/>
    <n v="2153"/>
    <n v="2179"/>
    <n v="2166"/>
    <n v="2129.9"/>
    <s v=""/>
    <s v="assinatura"/>
    <n v="2082"/>
    <n v="2080"/>
    <n v="2.399038461538466E-2"/>
    <n v="49.900000000000091"/>
    <x v="4"/>
    <x v="1"/>
  </r>
  <r>
    <x v="35"/>
    <x v="2"/>
    <s v="6aac246461edf70c814e55bb"/>
    <s v="17/09/2026 09:43:27"/>
    <s v="17/09/2026 14:33:24"/>
    <s v="Ranieli"/>
    <s v="17/09/2026"/>
    <x v="1"/>
    <s v="ALANA DA SILVA MARTINS"/>
    <n v="42838"/>
    <n v="2060"/>
    <n v="2059"/>
    <n v="2090"/>
    <n v="2053"/>
    <n v="2045"/>
    <n v="2062"/>
    <n v="2079"/>
    <n v="2114"/>
    <n v="2058"/>
    <n v="2053"/>
    <n v="2067.3000000000002"/>
    <s v=""/>
    <s v="assinatura"/>
    <n v="2381"/>
    <n v="2000"/>
    <n v="3.365000000000009E-2"/>
    <n v="67.300000000000182"/>
    <x v="7"/>
    <x v="1"/>
  </r>
  <r>
    <x v="35"/>
    <x v="2"/>
    <s v="6aac246461edf70c814e55b5"/>
    <s v="17/09/2026 09:39:55"/>
    <s v="17/09/2026 14:33:24"/>
    <s v="Ranieli"/>
    <s v="17/09/2026"/>
    <x v="1"/>
    <s v="ALANA DA SILVA MARTINS"/>
    <n v="42846"/>
    <n v="2014"/>
    <n v="2001"/>
    <n v="2006"/>
    <n v="2026"/>
    <n v="2008"/>
    <n v="2000"/>
    <n v="2021"/>
    <n v="2018"/>
    <n v="2005"/>
    <n v="2037"/>
    <n v="2013.6"/>
    <s v=""/>
    <s v="assinatura"/>
    <n v="2630"/>
    <n v="2000"/>
    <n v="6.7999999999999545E-3"/>
    <n v="13.599999999999909"/>
    <x v="6"/>
    <x v="1"/>
  </r>
  <r>
    <x v="35"/>
    <x v="2"/>
    <s v="6aac246461edf70c814e55af"/>
    <s v="17/09/2026 09:36:33"/>
    <s v="17/09/2026 14:33:24"/>
    <s v="Ranieli"/>
    <s v="17/09/2026"/>
    <x v="1"/>
    <s v="ALANA DA SILVA MARTINS"/>
    <n v="15849"/>
    <n v="1004"/>
    <n v="961"/>
    <n v="1000"/>
    <n v="1010"/>
    <n v="999"/>
    <n v="1000"/>
    <n v="1017"/>
    <n v="1012"/>
    <n v="1008"/>
    <n v="1021"/>
    <n v="1003.2"/>
    <s v=""/>
    <s v="assinatura"/>
    <n v="7326"/>
    <n v="1000"/>
    <n v="3.2000000000000457E-3"/>
    <n v="3.2000000000000455"/>
    <x v="29"/>
    <x v="2"/>
  </r>
  <r>
    <x v="33"/>
    <x v="2"/>
    <s v="6aac246461edf70c814e55a9"/>
    <s v="16/09/2026 15:07:30"/>
    <s v="17/09/2026 14:33:24"/>
    <s v="Ranieli"/>
    <s v="16/09/2026"/>
    <x v="1"/>
    <s v="ALANA DA SILVA MARTINS"/>
    <n v="42838"/>
    <n v="2084"/>
    <n v="1913"/>
    <n v="2015"/>
    <n v="2055"/>
    <n v="2143"/>
    <n v="2073"/>
    <n v="2087"/>
    <n v="2057"/>
    <n v="1989"/>
    <n v="2124"/>
    <n v="2054"/>
    <s v=""/>
    <s v="assinatura"/>
    <n v="73773"/>
    <n v="2000"/>
    <n v="2.7E-2"/>
    <n v="54"/>
    <x v="7"/>
    <x v="1"/>
  </r>
  <r>
    <x v="33"/>
    <x v="2"/>
    <s v="6aac246461edf70c814e55a3"/>
    <s v="16/09/2026 15:02:46"/>
    <s v="17/09/2026 14:33:24"/>
    <s v="Ranieli"/>
    <s v="16/09/2026"/>
    <x v="1"/>
    <s v="ALANA DA SILVA MARTINS"/>
    <n v="864048"/>
    <n v="2066"/>
    <n v="2023"/>
    <n v="2068"/>
    <n v="2015"/>
    <n v="1989"/>
    <n v="2075"/>
    <n v="2025"/>
    <n v="2003"/>
    <n v="1984"/>
    <n v="2057"/>
    <n v="2030.5"/>
    <s v=""/>
    <s v="assinatura"/>
    <n v="69721"/>
    <n v="2000"/>
    <n v="1.525E-2"/>
    <n v="30.5"/>
    <x v="26"/>
    <x v="1"/>
  </r>
  <r>
    <x v="33"/>
    <x v="2"/>
    <s v="6aac246461edf70c814e559d"/>
    <s v="16/09/2026 14:56:32"/>
    <s v="17/09/2026 14:33:24"/>
    <s v="Ranieli"/>
    <s v="16/09/2026"/>
    <x v="1"/>
    <s v="ALANA DA SILVA MARTINS"/>
    <n v="42854"/>
    <n v="2164"/>
    <n v="2157"/>
    <n v="2150"/>
    <n v="2054"/>
    <n v="2157"/>
    <n v="2173"/>
    <n v="2151"/>
    <n v="2130"/>
    <n v="2149"/>
    <n v="2161"/>
    <n v="2144.6"/>
    <s v=""/>
    <s v="assinatura"/>
    <n v="74407"/>
    <n v="2080"/>
    <n v="3.1057692307692265E-2"/>
    <n v="64.599999999999909"/>
    <x v="4"/>
    <x v="1"/>
  </r>
  <r>
    <x v="33"/>
    <x v="2"/>
    <s v="6aac246461edf70c814e5597"/>
    <s v="16/09/2026 14:20:14"/>
    <s v="17/09/2026 14:33:24"/>
    <s v="Ranieli"/>
    <s v="16/09/2026"/>
    <x v="1"/>
    <s v="ALANA DA SILVA MARTINS"/>
    <n v="197734"/>
    <n v="1020"/>
    <n v="1007"/>
    <n v="1006"/>
    <n v="1011"/>
    <n v="1020"/>
    <n v="1004"/>
    <n v="997"/>
    <n v="1006"/>
    <n v="1008"/>
    <n v="1007"/>
    <n v="1008.6"/>
    <s v=""/>
    <s v="assinatura"/>
    <n v="158"/>
    <n v="1000"/>
    <n v="8.6000000000000226E-3"/>
    <n v="8.6000000000000227"/>
    <x v="2"/>
    <x v="2"/>
  </r>
  <r>
    <x v="33"/>
    <x v="2"/>
    <s v="6aac246461edf70c814e5591"/>
    <s v="16/09/2026 13:05:55"/>
    <s v="17/09/2026 14:33:24"/>
    <s v="Ranieli"/>
    <s v="16/09/2026"/>
    <x v="1"/>
    <s v="ALANA DA SILVA MARTINS"/>
    <n v="15105"/>
    <n v="997"/>
    <n v="1016"/>
    <n v="1006"/>
    <n v="996"/>
    <n v="1018"/>
    <n v="1022"/>
    <n v="996"/>
    <n v="1024"/>
    <n v="1003"/>
    <n v="1025"/>
    <n v="1010.3"/>
    <s v=""/>
    <s v="assinatura"/>
    <n v="286"/>
    <n v="1000"/>
    <n v="1.0299999999999955E-2"/>
    <n v="10.299999999999955"/>
    <x v="0"/>
    <x v="0"/>
  </r>
  <r>
    <x v="35"/>
    <x v="2"/>
    <s v="6aac1c9f40dec24642319dbe"/>
    <s v="17/09/2026 13:49:42"/>
    <s v="17/09/2026 14:00:15"/>
    <s v="Ranieli"/>
    <s v="17/09/2026"/>
    <x v="1"/>
    <s v="RANIELI MARIA MASQUIETI DOURADO"/>
    <n v="31454"/>
    <n v="2514"/>
    <n v="2497"/>
    <n v="2522"/>
    <n v="2459"/>
    <n v="2524"/>
    <n v="2500"/>
    <n v="2494"/>
    <n v="2497"/>
    <n v="2546"/>
    <n v="2492"/>
    <n v="2504.5"/>
    <s v=""/>
    <s v="assinatura"/>
    <n v="152"/>
    <n v="2500"/>
    <n v="1.8E-3"/>
    <n v="4.5"/>
    <x v="20"/>
    <x v="3"/>
  </r>
  <r>
    <x v="35"/>
    <x v="2"/>
    <s v="6aac1c9f40dec24642319db8"/>
    <s v="17/09/2026 13:38:21"/>
    <s v="17/09/2026 14:00:15"/>
    <s v="Ranieli"/>
    <s v="17/09/2026"/>
    <x v="1"/>
    <s v="RANIELI MARIA MASQUIETI DOURADO"/>
    <n v="42862"/>
    <n v="2037"/>
    <n v="2054"/>
    <n v="2035"/>
    <n v="1985"/>
    <n v="2052"/>
    <n v="2007"/>
    <n v="2070"/>
    <n v="2005"/>
    <n v="2024"/>
    <n v="2002"/>
    <n v="2027.1"/>
    <s v=""/>
    <s v="assinatura"/>
    <n v="342"/>
    <n v="2000"/>
    <n v="1.3549999999999954E-2"/>
    <n v="27.099999999999909"/>
    <x v="5"/>
    <x v="1"/>
  </r>
  <r>
    <x v="35"/>
    <x v="2"/>
    <s v="6aac1c9f40dec24642319db2"/>
    <s v="17/09/2026 13:33:20"/>
    <s v="17/09/2026 14:00:15"/>
    <s v="Ranieli"/>
    <s v="17/09/2026"/>
    <x v="1"/>
    <s v="RANIELI MARIA MASQUIETI DOURADO"/>
    <n v="42846"/>
    <n v="2044"/>
    <n v="1996"/>
    <n v="1986"/>
    <n v="2000"/>
    <n v="2040"/>
    <n v="2004"/>
    <n v="1993"/>
    <n v="2028"/>
    <n v="2005"/>
    <n v="2009"/>
    <n v="2010.5"/>
    <s v=""/>
    <s v="assinatura"/>
    <n v="151"/>
    <n v="2000"/>
    <n v="5.2500000000000003E-3"/>
    <n v="10.5"/>
    <x v="6"/>
    <x v="1"/>
  </r>
  <r>
    <x v="35"/>
    <x v="2"/>
    <s v="6aac1c9f40dec24642319dac"/>
    <s v="17/09/2026 13:26:51"/>
    <s v="17/09/2026 14:00:15"/>
    <s v="Ranieli"/>
    <s v="17/09/2026"/>
    <x v="1"/>
    <s v="RANIELI MARIA MASQUIETI DOURADO"/>
    <n v="15105"/>
    <n v="987"/>
    <n v="995"/>
    <n v="1038"/>
    <n v="1014"/>
    <n v="1015"/>
    <n v="1008"/>
    <n v="994"/>
    <n v="1002"/>
    <n v="1013"/>
    <n v="1056"/>
    <n v="1012.2"/>
    <s v=""/>
    <s v="assinatura"/>
    <n v="141"/>
    <n v="1000"/>
    <n v="1.2200000000000046E-2"/>
    <n v="12.200000000000045"/>
    <x v="0"/>
    <x v="0"/>
  </r>
  <r>
    <x v="33"/>
    <x v="2"/>
    <s v="6aab7374dbc8f9ae695173be"/>
    <s v="16/09/2026 23:23:51"/>
    <s v="17/09/2026 01:58:28"/>
    <s v="Ranieli"/>
    <s v="16/09/2026"/>
    <x v="0"/>
    <s v="JOSEFA KELY NUNES DE SOUSA"/>
    <n v="42820"/>
    <n v="2013"/>
    <n v="2041"/>
    <n v="2023"/>
    <n v="2062"/>
    <n v="2020"/>
    <n v="2038"/>
    <n v="2038"/>
    <n v="2042"/>
    <n v="2051"/>
    <n v="2041"/>
    <n v="2036.9"/>
    <s v=""/>
    <s v="assinatura"/>
    <n v="1312"/>
    <n v="2000"/>
    <n v="1.8450000000000046E-2"/>
    <n v="36.900000000000091"/>
    <x v="10"/>
    <x v="1"/>
  </r>
  <r>
    <x v="33"/>
    <x v="2"/>
    <s v="6aab7374dbc8f9ae695173b8"/>
    <s v="16/09/2026 23:20:06"/>
    <s v="17/09/2026 01:58:28"/>
    <s v="Ranieli"/>
    <s v="16/09/2026"/>
    <x v="0"/>
    <s v="JOSEFA KELY NUNES DE SOUSA"/>
    <n v="42838"/>
    <n v="2020"/>
    <n v="2020"/>
    <n v="2051"/>
    <n v="2030"/>
    <n v="2025"/>
    <n v="2025"/>
    <n v="2022"/>
    <n v="2030"/>
    <n v="2028"/>
    <n v="2039"/>
    <n v="2029"/>
    <s v=""/>
    <s v="assinatura"/>
    <n v="8499"/>
    <n v="2000"/>
    <n v="1.4500000000000001E-2"/>
    <n v="29"/>
    <x v="7"/>
    <x v="1"/>
  </r>
  <r>
    <x v="33"/>
    <x v="2"/>
    <s v="6aab7374dbc8f9ae695173b2"/>
    <s v="16/09/2026 23:11:49"/>
    <s v="17/09/2026 01:58:28"/>
    <s v="Ranieli"/>
    <s v="16/09/2026"/>
    <x v="0"/>
    <s v="JOSEFA KELY NUNES DE SOUSA"/>
    <n v="864048"/>
    <n v="2017"/>
    <n v="2025"/>
    <n v="2072"/>
    <n v="2015"/>
    <n v="2020"/>
    <n v="2017"/>
    <n v="2003"/>
    <n v="2007"/>
    <n v="2015"/>
    <n v="2000"/>
    <n v="2019.1"/>
    <s v=""/>
    <s v="assinatura"/>
    <n v="496"/>
    <n v="2000"/>
    <n v="9.5499999999999544E-3"/>
    <n v="19.099999999999909"/>
    <x v="26"/>
    <x v="1"/>
  </r>
  <r>
    <x v="33"/>
    <x v="2"/>
    <s v="6aab7374dbc8f9ae695173ac"/>
    <s v="16/09/2026 23:05:12"/>
    <s v="17/09/2026 01:58:28"/>
    <s v="Ranieli"/>
    <s v="16/09/2026"/>
    <x v="0"/>
    <s v="JOSEFA KELY NUNES DE SOUSA"/>
    <n v="992014"/>
    <n v="702"/>
    <n v="704"/>
    <n v="703"/>
    <n v="709"/>
    <n v="703"/>
    <n v="702"/>
    <n v="702"/>
    <n v="700"/>
    <n v="712"/>
    <n v="701"/>
    <n v="703.8"/>
    <s v=""/>
    <s v="assinatura"/>
    <n v="8025"/>
    <n v="700"/>
    <n v="5.4285714285713634E-3"/>
    <n v="3.7999999999999545"/>
    <x v="14"/>
    <x v="1"/>
  </r>
  <r>
    <x v="33"/>
    <x v="2"/>
    <s v="6aab7373dbc8f9ae695173a6"/>
    <s v="16/09/2026 21:51:48"/>
    <s v="17/09/2026 01:58:27"/>
    <s v="Ranieli"/>
    <s v="16/09/2026"/>
    <x v="0"/>
    <s v="JOSEFA KELY NUNES DE SOUSA"/>
    <n v="995638"/>
    <n v="15065"/>
    <n v="15055"/>
    <n v="15050"/>
    <n v="15075"/>
    <n v="15090"/>
    <n v="15040"/>
    <n v="15020"/>
    <n v="15020"/>
    <n v="15035"/>
    <n v="15015"/>
    <n v="15046.5"/>
    <s v=""/>
    <s v="assinatura"/>
    <n v="918"/>
    <n v="15000"/>
    <n v="3.0999999999999999E-3"/>
    <n v="46.5"/>
    <x v="21"/>
    <x v="3"/>
  </r>
  <r>
    <x v="33"/>
    <x v="2"/>
    <s v="6aab7373dbc8f9ae69517392"/>
    <s v="16/09/2026 20:44:23"/>
    <s v="17/09/2026 01:58:27"/>
    <s v="Ranieli"/>
    <s v="16/09/2026"/>
    <x v="0"/>
    <s v="JOSEFA KELY NUNES DE SOUSA"/>
    <n v="40762"/>
    <n v="9980"/>
    <n v="10060"/>
    <n v="9920"/>
    <n v="10075"/>
    <n v="10230"/>
    <n v="9960"/>
    <n v="10190"/>
    <n v="9970"/>
    <n v="10155"/>
    <n v="10120"/>
    <n v="10066"/>
    <s v=""/>
    <s v="assinatura"/>
    <n v="749"/>
    <n v="10000"/>
    <n v="6.6E-3"/>
    <n v="66"/>
    <x v="3"/>
    <x v="1"/>
  </r>
  <r>
    <x v="33"/>
    <x v="2"/>
    <s v="6aab7373dbc8f9ae6951738c"/>
    <s v="16/09/2026 20:39:10"/>
    <s v="17/09/2026 01:58:27"/>
    <s v="Ranieli"/>
    <s v="16/09/2026"/>
    <x v="0"/>
    <s v="JOSEFA KELY NUNES DE SOUSA"/>
    <n v="15105"/>
    <n v="1028"/>
    <n v="1039"/>
    <n v="1005"/>
    <n v="1027"/>
    <n v="1042"/>
    <n v="1010"/>
    <n v="1006"/>
    <n v="996"/>
    <n v="1019"/>
    <n v="1056"/>
    <n v="1022.8"/>
    <s v=""/>
    <s v="assinatura"/>
    <n v="253"/>
    <n v="1000"/>
    <n v="2.2799999999999956E-2"/>
    <n v="22.799999999999955"/>
    <x v="0"/>
    <x v="0"/>
  </r>
  <r>
    <x v="33"/>
    <x v="2"/>
    <s v="6aab7373dbc8f9ae69517386"/>
    <s v="16/09/2026 20:29:50"/>
    <s v="17/09/2026 01:58:27"/>
    <s v="Ranieli"/>
    <s v="16/09/2026"/>
    <x v="0"/>
    <s v="JOSEFA KELY NUNES DE SOUSA"/>
    <n v="209099"/>
    <n v="1035"/>
    <n v="1022"/>
    <n v="999"/>
    <n v="994"/>
    <n v="1006"/>
    <n v="995"/>
    <n v="990"/>
    <n v="1049"/>
    <n v="1000"/>
    <n v="1027"/>
    <n v="1011.7"/>
    <s v=""/>
    <s v="assinatura"/>
    <n v="167"/>
    <n v="1000"/>
    <n v="1.1700000000000045E-2"/>
    <n v="11.700000000000045"/>
    <x v="31"/>
    <x v="1"/>
  </r>
  <r>
    <x v="33"/>
    <x v="2"/>
    <s v="6aab7373dbc8f9ae69517380"/>
    <s v="16/09/2026 18:23:30"/>
    <s v="17/09/2026 01:58:27"/>
    <s v="Ranieli"/>
    <s v="16/09/2026"/>
    <x v="0"/>
    <s v="JOSEFA KELY NUNES DE SOUSA"/>
    <n v="40762"/>
    <n v="9980"/>
    <n v="10040"/>
    <n v="10200"/>
    <n v="10030"/>
    <n v="10000"/>
    <n v="9995"/>
    <n v="10040"/>
    <n v="10225"/>
    <n v="10025"/>
    <n v="10000"/>
    <n v="10053.5"/>
    <s v=""/>
    <s v="assinatura"/>
    <n v="2449"/>
    <n v="10000"/>
    <n v="5.3499999999999997E-3"/>
    <n v="53.5"/>
    <x v="3"/>
    <x v="1"/>
  </r>
  <r>
    <x v="33"/>
    <x v="2"/>
    <s v="6aab7373dbc8f9ae6951737a"/>
    <s v="16/09/2026 18:18:20"/>
    <s v="17/09/2026 01:58:27"/>
    <s v="Ranieli"/>
    <s v="16/09/2026"/>
    <x v="0"/>
    <s v="JOSEFA KELY NUNES DE SOUSA"/>
    <n v="42854"/>
    <n v="2180"/>
    <n v="2111"/>
    <n v="2097"/>
    <n v="2177"/>
    <n v="2105"/>
    <n v="2103"/>
    <n v="2117"/>
    <n v="2107"/>
    <n v="2105"/>
    <n v="2088"/>
    <n v="2119"/>
    <s v=""/>
    <s v=""/>
    <n v="307"/>
    <n v="2080"/>
    <n v="1.8749999999999999E-2"/>
    <n v="39"/>
    <x v="4"/>
    <x v="1"/>
  </r>
  <r>
    <x v="33"/>
    <x v="2"/>
    <s v="6aab7373dbc8f9ae69517374"/>
    <s v="16/09/2026 18:14:01"/>
    <s v="17/09/2026 01:58:27"/>
    <s v="Ranieli"/>
    <s v="16/09/2026"/>
    <x v="0"/>
    <s v="JOSEFA KELY NUNES DE SOUSA"/>
    <n v="42846"/>
    <n v="2015"/>
    <n v="2028"/>
    <n v="2021"/>
    <n v="2014"/>
    <n v="2013"/>
    <n v="2008"/>
    <n v="2013"/>
    <n v="2011"/>
    <n v="2021"/>
    <n v="2019"/>
    <n v="2016.3"/>
    <s v=""/>
    <s v="assinatura"/>
    <n v="258"/>
    <n v="2000"/>
    <n v="8.1499999999999767E-3"/>
    <n v="16.299999999999955"/>
    <x v="6"/>
    <x v="1"/>
  </r>
  <r>
    <x v="33"/>
    <x v="2"/>
    <s v="6aab7373dbc8f9ae6951736e"/>
    <s v="16/09/2026 18:12:29"/>
    <s v="17/09/2026 01:58:27"/>
    <s v="Ranieli"/>
    <s v="16/09/2026"/>
    <x v="0"/>
    <s v="JOSEFA KELY NUNES DE SOUSA"/>
    <n v="42838"/>
    <n v="2028"/>
    <n v="2057"/>
    <n v="2053"/>
    <n v="2052"/>
    <n v="2002"/>
    <n v="1991"/>
    <n v="2009"/>
    <n v="2007"/>
    <n v="2016"/>
    <n v="2046"/>
    <n v="2026.1"/>
    <s v=""/>
    <s v=""/>
    <n v="91"/>
    <n v="2000"/>
    <n v="1.3049999999999954E-2"/>
    <n v="26.099999999999909"/>
    <x v="7"/>
    <x v="1"/>
  </r>
  <r>
    <x v="33"/>
    <x v="2"/>
    <s v="6aab7373dbc8f9ae69517368"/>
    <s v="16/09/2026 18:07:11"/>
    <s v="17/09/2026 01:58:27"/>
    <s v="Ranieli"/>
    <s v="16/09/2026"/>
    <x v="0"/>
    <s v="JOSEFA KELY NUNES DE SOUSA"/>
    <n v="42862"/>
    <n v="2024"/>
    <n v="2029"/>
    <n v="2002"/>
    <n v="2022"/>
    <n v="2027"/>
    <n v="2034"/>
    <n v="2006"/>
    <n v="2019"/>
    <n v="2036"/>
    <n v="2028"/>
    <n v="2022.7"/>
    <s v=""/>
    <s v="assinatura"/>
    <n v="244"/>
    <n v="2000"/>
    <n v="1.1350000000000023E-2"/>
    <n v="22.700000000000045"/>
    <x v="5"/>
    <x v="1"/>
  </r>
  <r>
    <x v="33"/>
    <x v="2"/>
    <s v="6aab7373dbc8f9ae69517362"/>
    <s v="16/09/2026 18:02:05"/>
    <s v="17/09/2026 01:58:27"/>
    <s v="Ranieli"/>
    <s v="16/09/2026"/>
    <x v="0"/>
    <s v="JOSEFA KELY NUNES DE SOUSA"/>
    <n v="792799"/>
    <n v="15025"/>
    <n v="15040"/>
    <n v="15055"/>
    <n v="15025"/>
    <n v="15000"/>
    <n v="14990"/>
    <n v="15025"/>
    <n v="15045"/>
    <n v="15035"/>
    <n v="15050"/>
    <n v="15029"/>
    <s v=""/>
    <s v="assinatura"/>
    <n v="300"/>
    <n v="15000"/>
    <n v="1.9333333333333333E-3"/>
    <n v="29"/>
    <x v="12"/>
    <x v="3"/>
  </r>
  <r>
    <x v="33"/>
    <x v="2"/>
    <s v="6aab7373dbc8f9ae6951735c"/>
    <s v="16/09/2026 17:59:18"/>
    <s v="17/09/2026 01:58:27"/>
    <s v="Ranieli"/>
    <s v="16/09/2026"/>
    <x v="0"/>
    <s v="JOSEFA KELY NUNES DE SOUSA"/>
    <n v="15105"/>
    <n v="1052"/>
    <n v="1008"/>
    <n v="1042"/>
    <n v="1017"/>
    <n v="1003"/>
    <n v="1053"/>
    <n v="1013"/>
    <n v="1035"/>
    <n v="1013"/>
    <n v="988"/>
    <n v="1022.4"/>
    <s v=""/>
    <s v="assinatura"/>
    <n v="161"/>
    <n v="1000"/>
    <n v="2.2399999999999979E-2"/>
    <n v="22.399999999999977"/>
    <x v="0"/>
    <x v="0"/>
  </r>
  <r>
    <x v="33"/>
    <x v="2"/>
    <s v="6aab7373dbc8f9ae69517356"/>
    <s v="16/09/2026 17:41:14"/>
    <s v="17/09/2026 01:58:27"/>
    <s v="Ranieli"/>
    <s v="16/09/2026"/>
    <x v="0"/>
    <s v="JOSEFA KELY NUNES DE SOUSA"/>
    <n v="992093"/>
    <n v="5007"/>
    <n v="5003"/>
    <n v="5015"/>
    <n v="5012"/>
    <n v="5009"/>
    <n v="5016"/>
    <n v="5008"/>
    <n v="5016"/>
    <n v="5003"/>
    <n v="5015"/>
    <n v="5010.3999999999996"/>
    <s v=""/>
    <s v="assinatura"/>
    <n v="211"/>
    <n v="5000"/>
    <n v="2.0799999999999274E-3"/>
    <n v="10.399999999999636"/>
    <x v="13"/>
    <x v="3"/>
  </r>
  <r>
    <x v="33"/>
    <x v="2"/>
    <s v="6aab6f1f067199cb1949b351"/>
    <s v="16/09/2026 22:10:27"/>
    <s v="17/09/2026 01:39:59"/>
    <s v="Ranieli"/>
    <s v="16/09/2026"/>
    <x v="0"/>
    <s v="JULIANE GOMES NOVAIS"/>
    <n v="42846"/>
    <n v="1997"/>
    <n v="2002"/>
    <n v="2007"/>
    <n v="2024"/>
    <n v="2017"/>
    <n v="2008"/>
    <n v="2024"/>
    <n v="1739"/>
    <n v="2002"/>
    <n v="2018"/>
    <n v="1983.8"/>
    <s v=""/>
    <s v="assinatura"/>
    <n v="311"/>
    <n v="2000"/>
    <n v="-8.1000000000000221E-3"/>
    <n v="-16.200000000000045"/>
    <x v="6"/>
    <x v="1"/>
  </r>
  <r>
    <x v="33"/>
    <x v="2"/>
    <s v="6aab6f097e065da368bebb60"/>
    <s v="16/09/2026 22:25:17"/>
    <s v="17/09/2026 01:39:37"/>
    <s v="Ranieli"/>
    <s v="16/09/2026"/>
    <x v="0"/>
    <s v="JULIANE GOMES NOVAIS"/>
    <n v="42854"/>
    <n v="2099"/>
    <n v="2050"/>
    <n v="2093"/>
    <n v="2106"/>
    <n v="2031"/>
    <n v="2088"/>
    <n v="2060"/>
    <n v="2078"/>
    <n v="2092"/>
    <n v="2085"/>
    <n v="2078.1999999999998"/>
    <s v=""/>
    <s v="assinatura"/>
    <n v="337"/>
    <n v="2080"/>
    <n v="-8.653846153847028E-4"/>
    <n v="-1.8000000000001819"/>
    <x v="4"/>
    <x v="1"/>
  </r>
  <r>
    <x v="33"/>
    <x v="2"/>
    <s v="6aab6f097e065da368bebb5a"/>
    <s v="16/09/2026 22:18:43"/>
    <s v="17/09/2026 01:39:37"/>
    <s v="Ranieli"/>
    <s v="16/09/2026"/>
    <x v="0"/>
    <s v="JULIANE GOMES NOVAIS"/>
    <n v="42811"/>
    <n v="2019"/>
    <n v="2000"/>
    <n v="2018"/>
    <n v="1807"/>
    <n v="2002"/>
    <n v="2068"/>
    <n v="2072"/>
    <n v="2079"/>
    <n v="2084"/>
    <n v="2099"/>
    <n v="2024.8"/>
    <s v=""/>
    <s v="assinatura"/>
    <n v="385"/>
    <n v="2000"/>
    <n v="1.2399999999999977E-2"/>
    <n v="24.799999999999955"/>
    <x v="32"/>
    <x v="1"/>
  </r>
  <r>
    <x v="33"/>
    <x v="2"/>
    <s v="6aab6f097e065da368bebb54"/>
    <s v="16/09/2026 22:02:55"/>
    <s v="17/09/2026 01:39:37"/>
    <s v="Ranieli"/>
    <s v="16/09/2026"/>
    <x v="0"/>
    <s v="JULIANE GOMES NOVAIS"/>
    <n v="864048"/>
    <n v="2002"/>
    <n v="2020"/>
    <n v="1998"/>
    <n v="2019"/>
    <n v="2103"/>
    <n v="1983"/>
    <n v="1998"/>
    <n v="2091"/>
    <n v="1969"/>
    <n v="2112"/>
    <n v="2029.5"/>
    <s v=""/>
    <s v="assinatura"/>
    <n v="724"/>
    <n v="2000"/>
    <n v="1.4749999999999999E-2"/>
    <n v="29.5"/>
    <x v="26"/>
    <x v="1"/>
  </r>
  <r>
    <x v="33"/>
    <x v="2"/>
    <s v="6aab3a9e40b0d358276f483f"/>
    <s v="16/09/2026 20:44:31"/>
    <s v="16/09/2026 21:55:58"/>
    <s v="Ranieli"/>
    <s v="16/09/2026"/>
    <x v="0"/>
    <s v="JULIANE GOMES NOVAIS"/>
    <n v="15105"/>
    <n v="1011"/>
    <n v="1020"/>
    <n v="1012"/>
    <n v="872"/>
    <n v="1000"/>
    <n v="1009"/>
    <n v="1019"/>
    <n v="1030"/>
    <n v="996"/>
    <n v="970"/>
    <n v="993.9"/>
    <s v=""/>
    <s v="assinatura"/>
    <n v="235"/>
    <n v="1000"/>
    <n v="-6.1000000000000229E-3"/>
    <n v="-6.1000000000000227"/>
    <x v="0"/>
    <x v="0"/>
  </r>
  <r>
    <x v="33"/>
    <x v="2"/>
    <s v="6aab3a9e40b0d358276f4839"/>
    <s v="16/09/2026 20:38:09"/>
    <s v="16/09/2026 21:55:58"/>
    <s v="Ranieli"/>
    <s v="16/09/2026"/>
    <x v="0"/>
    <s v="JULIANE GOMES NOVAIS"/>
    <n v="40762"/>
    <n v="10025"/>
    <n v="10130"/>
    <n v="10085"/>
    <n v="10050"/>
    <n v="10035"/>
    <n v="10010"/>
    <n v="10000"/>
    <n v="10035"/>
    <n v="9995"/>
    <n v="10040"/>
    <n v="10040.5"/>
    <s v=""/>
    <s v="assinatura"/>
    <n v="4071"/>
    <n v="10000"/>
    <n v="4.0499999999999998E-3"/>
    <n v="40.5"/>
    <x v="3"/>
    <x v="1"/>
  </r>
  <r>
    <x v="32"/>
    <x v="2"/>
    <s v="6aab3a9e40b0d358276f4833"/>
    <s v="15/09/2026 22:15:06"/>
    <s v="16/09/2026 21:55:58"/>
    <s v="Ranieli"/>
    <s v="15/09/2026"/>
    <x v="0"/>
    <s v="JULIANE GOMES NOVAIS"/>
    <n v="15105"/>
    <n v="1009"/>
    <n v="998"/>
    <n v="1009"/>
    <n v="1005"/>
    <n v="1000"/>
    <n v="1012"/>
    <n v="1039"/>
    <n v="990"/>
    <n v="995"/>
    <n v="1005"/>
    <n v="1006.2"/>
    <s v=""/>
    <s v="assinatura"/>
    <n v="145"/>
    <n v="1000"/>
    <n v="6.2000000000000458E-3"/>
    <n v="6.2000000000000455"/>
    <x v="0"/>
    <x v="0"/>
  </r>
  <r>
    <x v="33"/>
    <x v="2"/>
    <s v="6aaad83bf450a2f6bc869e1a"/>
    <s v="16/09/2026 14:45:45"/>
    <s v="16/09/2026 14:56:11"/>
    <s v="Ranieli"/>
    <s v="16/09/2026"/>
    <x v="1"/>
    <s v="RANIELI MARIA MASQUIETI DOURADO"/>
    <n v="197734"/>
    <n v="1022"/>
    <n v="1003"/>
    <n v="1039"/>
    <n v="1006"/>
    <n v="1015"/>
    <n v="1006"/>
    <n v="1011"/>
    <n v="1007"/>
    <n v="1009"/>
    <n v="1011"/>
    <n v="1012.9"/>
    <s v=""/>
    <s v="assinatura"/>
    <n v="127"/>
    <n v="1000"/>
    <n v="1.2899999999999977E-2"/>
    <n v="12.899999999999977"/>
    <x v="2"/>
    <x v="2"/>
  </r>
  <r>
    <x v="33"/>
    <x v="2"/>
    <s v="6aaad83bf450a2f6bc869e14"/>
    <s v="16/09/2026 14:40:18"/>
    <s v="16/09/2026 14:56:11"/>
    <s v="Ranieli"/>
    <s v="16/09/2026"/>
    <x v="1"/>
    <s v="RANIELI MARIA MASQUIETI DOURADO"/>
    <n v="15105"/>
    <n v="996"/>
    <n v="1017"/>
    <n v="1021"/>
    <n v="1025"/>
    <n v="1018"/>
    <n v="1023"/>
    <n v="1023"/>
    <n v="982"/>
    <n v="1018"/>
    <n v="1023"/>
    <n v="1014.6"/>
    <s v=""/>
    <s v="assinatura"/>
    <n v="194"/>
    <n v="1000"/>
    <n v="1.4600000000000023E-2"/>
    <n v="14.600000000000023"/>
    <x v="0"/>
    <x v="0"/>
  </r>
  <r>
    <x v="33"/>
    <x v="2"/>
    <s v="6aaad83bf450a2f6bc869e0e"/>
    <s v="16/09/2026 14:32:08"/>
    <s v="16/09/2026 14:56:11"/>
    <s v="Ranieli"/>
    <s v="16/09/2026"/>
    <x v="1"/>
    <s v="RANIELI MARIA MASQUIETI DOURADO"/>
    <n v="864048"/>
    <n v="2045"/>
    <n v="2040"/>
    <n v="1990"/>
    <n v="2041"/>
    <n v="1991"/>
    <n v="2029"/>
    <n v="2049"/>
    <n v="1981"/>
    <n v="1979"/>
    <n v="2018"/>
    <n v="2016.3"/>
    <s v=""/>
    <s v="assinatura"/>
    <n v="370"/>
    <n v="2000"/>
    <n v="8.1499999999999767E-3"/>
    <n v="16.299999999999955"/>
    <x v="26"/>
    <x v="1"/>
  </r>
  <r>
    <x v="38"/>
    <x v="2"/>
    <s v="6ab4adae3a9c92219c3dfabd"/>
    <s v="23/09/2026 22:58:16"/>
    <s v="24/09/2026 01:57:18"/>
    <s v="Ranieli"/>
    <s v="23/09/2026"/>
    <x v="0"/>
    <s v="JOSEFA KELY NUNES DE SOUSA"/>
    <n v="15229"/>
    <n v="1008"/>
    <n v="1005"/>
    <n v="1004"/>
    <n v="1005"/>
    <n v="998"/>
    <n v="1011"/>
    <n v="1020"/>
    <n v="1011"/>
    <n v="1022"/>
    <n v="1020"/>
    <n v="1010.4"/>
    <s v=""/>
    <s v="assinatura"/>
    <n v="5923"/>
    <n v="1000"/>
    <n v="1.0399999999999977E-2"/>
    <n v="10.399999999999977"/>
    <x v="9"/>
    <x v="1"/>
  </r>
  <r>
    <x v="38"/>
    <x v="2"/>
    <s v="6ab4adae3a9c92219c3dfab1"/>
    <s v="23/09/2026 22:54:52"/>
    <s v="24/09/2026 01:57:18"/>
    <s v="Ranieli"/>
    <s v="23/09/2026"/>
    <x v="0"/>
    <s v="JOSEFA KELY NUNES DE SOUSA"/>
    <n v="15849"/>
    <n v="1005"/>
    <n v="1009"/>
    <n v="1006"/>
    <n v="999"/>
    <n v="1008"/>
    <n v="1011"/>
    <n v="1001"/>
    <n v="1007"/>
    <n v="1006"/>
    <n v="1022"/>
    <n v="1007.4"/>
    <s v=""/>
    <s v="assinatura"/>
    <n v="9682"/>
    <n v="1000"/>
    <n v="7.3999999999999769E-3"/>
    <n v="7.3999999999999773"/>
    <x v="29"/>
    <x v="2"/>
  </r>
  <r>
    <x v="38"/>
    <x v="2"/>
    <s v="6ab4adae3a9c92219c3dfaa9"/>
    <s v="23/09/2026 22:48:21"/>
    <s v="24/09/2026 01:57:18"/>
    <s v="Ranieli"/>
    <s v="23/09/2026"/>
    <x v="0"/>
    <s v="JOSEFA KELY NUNES DE SOUSA"/>
    <n v="15105"/>
    <n v="1004"/>
    <n v="1023"/>
    <n v="980"/>
    <n v="1002"/>
    <n v="1035"/>
    <n v="1041"/>
    <n v="1029"/>
    <n v="1019"/>
    <n v="1022"/>
    <n v="1029"/>
    <n v="1018.4"/>
    <s v=""/>
    <s v="assinatura"/>
    <n v="8836"/>
    <n v="1000"/>
    <n v="1.8399999999999979E-2"/>
    <n v="18.399999999999977"/>
    <x v="0"/>
    <x v="0"/>
  </r>
  <r>
    <x v="38"/>
    <x v="2"/>
    <s v="6ab4adae3a9c92219c3dfaa3"/>
    <s v="23/09/2026 22:34:37"/>
    <s v="24/09/2026 01:57:18"/>
    <s v="Ranieli"/>
    <s v="23/09/2026"/>
    <x v="0"/>
    <s v="JOSEFA KELY NUNES DE SOUSA"/>
    <n v="992093"/>
    <n v="5000"/>
    <n v="5008"/>
    <n v="5009"/>
    <n v="5018"/>
    <n v="5009"/>
    <n v="5008"/>
    <n v="5012"/>
    <n v="5002"/>
    <n v="5006"/>
    <n v="5009"/>
    <n v="5008.1000000000004"/>
    <s v=""/>
    <s v="assinatura"/>
    <n v="6836"/>
    <n v="5000"/>
    <n v="1.6200000000000728E-3"/>
    <n v="8.1000000000003638"/>
    <x v="13"/>
    <x v="3"/>
  </r>
  <r>
    <x v="38"/>
    <x v="2"/>
    <s v="6ab4adae3a9c92219c3dfa9d"/>
    <s v="23/09/2026 22:29:15"/>
    <s v="24/09/2026 01:57:18"/>
    <s v="Ranieli"/>
    <s v="23/09/2026"/>
    <x v="0"/>
    <s v="JOSEFA KELY NUNES DE SOUSA"/>
    <n v="40762"/>
    <n v="9975"/>
    <n v="10010"/>
    <n v="10005"/>
    <n v="9980"/>
    <n v="9990"/>
    <n v="10045"/>
    <n v="10000"/>
    <n v="10030"/>
    <n v="9985"/>
    <n v="10005"/>
    <n v="10002.5"/>
    <s v=""/>
    <s v="assinatura"/>
    <n v="261"/>
    <n v="10000"/>
    <n v="2.5000000000000001E-4"/>
    <n v="2.5"/>
    <x v="3"/>
    <x v="1"/>
  </r>
  <r>
    <x v="38"/>
    <x v="2"/>
    <s v="6ab4adae3a9c92219c3dfa97"/>
    <s v="23/09/2026 22:25:23"/>
    <s v="24/09/2026 01:57:18"/>
    <s v="Ranieli"/>
    <s v="23/09/2026"/>
    <x v="0"/>
    <s v="JOSEFA KELY NUNES DE SOUSA"/>
    <n v="42811"/>
    <n v="2025"/>
    <n v="2043"/>
    <n v="2035"/>
    <n v="2035"/>
    <n v="2023"/>
    <n v="2021"/>
    <n v="2037"/>
    <n v="2025"/>
    <n v="2023"/>
    <n v="2039"/>
    <n v="2030.6"/>
    <s v=""/>
    <s v=""/>
    <n v="231"/>
    <n v="2000"/>
    <n v="1.5299999999999954E-2"/>
    <n v="30.599999999999909"/>
    <x v="32"/>
    <x v="1"/>
  </r>
  <r>
    <x v="38"/>
    <x v="2"/>
    <s v="6ab4adae3a9c92219c3dfa91"/>
    <s v="23/09/2026 22:21:58"/>
    <s v="24/09/2026 01:57:18"/>
    <s v="Ranieli"/>
    <s v="23/09/2026"/>
    <x v="0"/>
    <s v="JOSEFA KELY NUNES DE SOUSA"/>
    <n v="42820"/>
    <n v="2032"/>
    <n v="2036"/>
    <n v="2031"/>
    <n v="2039"/>
    <n v="2049"/>
    <n v="2010"/>
    <n v="1995"/>
    <n v="2039"/>
    <n v="2009"/>
    <n v="2050"/>
    <n v="2029"/>
    <s v=""/>
    <s v="assinatura"/>
    <n v="203"/>
    <n v="2000"/>
    <n v="1.4500000000000001E-2"/>
    <n v="29"/>
    <x v="10"/>
    <x v="1"/>
  </r>
  <r>
    <x v="38"/>
    <x v="2"/>
    <s v="6ab4adae3a9c92219c3dfa8b"/>
    <s v="23/09/2026 22:18:30"/>
    <s v="24/09/2026 01:57:18"/>
    <s v="Ranieli"/>
    <s v="23/09/2026"/>
    <x v="0"/>
    <s v="JOSEFA KELY NUNES DE SOUSA"/>
    <n v="42838"/>
    <n v="2036"/>
    <n v="2022"/>
    <n v="2017"/>
    <n v="2012"/>
    <n v="2014"/>
    <n v="2026"/>
    <n v="2024"/>
    <n v="2026"/>
    <n v="2020"/>
    <n v="2028"/>
    <n v="2022.5"/>
    <s v=""/>
    <s v=""/>
    <n v="207"/>
    <n v="2000"/>
    <n v="1.125E-2"/>
    <n v="22.5"/>
    <x v="7"/>
    <x v="1"/>
  </r>
  <r>
    <x v="38"/>
    <x v="2"/>
    <s v="6ab4adad3a9c92219c3dfa85"/>
    <s v="23/09/2026 22:15:16"/>
    <s v="24/09/2026 01:57:17"/>
    <s v="Ranieli"/>
    <s v="23/09/2026"/>
    <x v="0"/>
    <s v="JOSEFA KELY NUNES DE SOUSA"/>
    <n v="42862"/>
    <n v="2062"/>
    <n v="2008"/>
    <n v="2015"/>
    <n v="2014"/>
    <n v="2008"/>
    <n v="2057"/>
    <n v="2003"/>
    <n v="2007"/>
    <n v="1991"/>
    <n v="2015"/>
    <n v="2018"/>
    <s v=""/>
    <s v="assinatura"/>
    <n v="193"/>
    <n v="2000"/>
    <n v="8.9999999999999993E-3"/>
    <n v="18"/>
    <x v="5"/>
    <x v="1"/>
  </r>
  <r>
    <x v="38"/>
    <x v="2"/>
    <s v="6ab4adad3a9c92219c3dfa7f"/>
    <s v="23/09/2026 22:11:28"/>
    <s v="24/09/2026 01:57:17"/>
    <s v="Ranieli"/>
    <s v="23/09/2026"/>
    <x v="0"/>
    <s v="JOSEFA KELY NUNES DE SOUSA"/>
    <n v="42854"/>
    <n v="2090"/>
    <n v="2080"/>
    <n v="2115"/>
    <n v="2109"/>
    <n v="2114"/>
    <n v="2102"/>
    <n v="2071"/>
    <n v="2092"/>
    <n v="2085"/>
    <n v="2079"/>
    <n v="2093.6999999999998"/>
    <s v=""/>
    <s v=""/>
    <n v="226"/>
    <n v="2080"/>
    <n v="6.5865384615383738E-3"/>
    <n v="13.699999999999818"/>
    <x v="4"/>
    <x v="1"/>
  </r>
  <r>
    <x v="38"/>
    <x v="2"/>
    <s v="6ab4adad3a9c92219c3dfa79"/>
    <s v="23/09/2026 22:09:27"/>
    <s v="24/09/2026 01:57:17"/>
    <s v="Ranieli"/>
    <s v="23/09/2026"/>
    <x v="0"/>
    <s v="JOSEFA KELY NUNES DE SOUSA"/>
    <n v="42846"/>
    <n v="1991"/>
    <n v="2006"/>
    <n v="2031"/>
    <n v="1973"/>
    <n v="2011"/>
    <n v="2011"/>
    <n v="2010"/>
    <n v="1990"/>
    <n v="2007"/>
    <n v="2015"/>
    <n v="2004.5"/>
    <s v=""/>
    <s v="assinatura"/>
    <n v="119"/>
    <n v="2000"/>
    <n v="2.2499999999999998E-3"/>
    <n v="4.5"/>
    <x v="6"/>
    <x v="1"/>
  </r>
  <r>
    <x v="38"/>
    <x v="2"/>
    <s v="6ab4adad3a9c92219c3dfa73"/>
    <s v="23/09/2026 21:55:04"/>
    <s v="24/09/2026 01:57:17"/>
    <s v="Ranieli"/>
    <s v="23/09/2026"/>
    <x v="0"/>
    <s v="JOSEFA KELY NUNES DE SOUSA"/>
    <n v="13188"/>
    <n v="1003"/>
    <n v="1010"/>
    <n v="1002"/>
    <n v="993"/>
    <n v="997"/>
    <n v="995"/>
    <n v="1006"/>
    <n v="1002"/>
    <n v="999"/>
    <n v="996"/>
    <n v="1000.3"/>
    <s v=""/>
    <s v=""/>
    <n v="862"/>
    <n v="1000"/>
    <n v="2.9999999999995455E-4"/>
    <n v="0.29999999999995453"/>
    <x v="8"/>
    <x v="1"/>
  </r>
  <r>
    <x v="38"/>
    <x v="2"/>
    <s v="6ab4adad3a9c92219c3dfa67"/>
    <s v="23/09/2026 18:39:36"/>
    <s v="24/09/2026 01:57:17"/>
    <s v="Ranieli"/>
    <s v="23/09/2026"/>
    <x v="0"/>
    <s v="JOSEFA KELY NUNES DE SOUSA"/>
    <n v="15105"/>
    <n v="1047"/>
    <n v="1045"/>
    <n v="993"/>
    <n v="1022"/>
    <n v="1005"/>
    <n v="999"/>
    <n v="1022"/>
    <n v="1032"/>
    <n v="1036"/>
    <n v="1057"/>
    <n v="1025.8"/>
    <s v=""/>
    <s v="assinatura"/>
    <n v="135"/>
    <n v="1000"/>
    <n v="2.5799999999999955E-2"/>
    <n v="25.799999999999955"/>
    <x v="0"/>
    <x v="0"/>
  </r>
  <r>
    <x v="38"/>
    <x v="2"/>
    <s v="6ab4adad3a9c92219c3dfa5b"/>
    <s v="23/09/2026 17:51:35"/>
    <s v="24/09/2026 01:57:17"/>
    <s v="Ranieli"/>
    <s v="23/09/2026"/>
    <x v="0"/>
    <s v="JOSEFA KELY NUNES DE SOUSA"/>
    <n v="13188"/>
    <n v="995"/>
    <n v="1008"/>
    <n v="1005"/>
    <n v="996"/>
    <n v="1003"/>
    <n v="1005"/>
    <n v="1015"/>
    <n v="1012"/>
    <n v="1008"/>
    <n v="990"/>
    <n v="1003.7"/>
    <s v=""/>
    <s v=""/>
    <n v="117"/>
    <n v="1000"/>
    <n v="3.7000000000000453E-3"/>
    <n v="3.7000000000000455"/>
    <x v="8"/>
    <x v="1"/>
  </r>
  <r>
    <x v="38"/>
    <x v="2"/>
    <s v="6ab4adad3a9c92219c3dfa55"/>
    <s v="23/09/2026 17:49:08"/>
    <s v="24/09/2026 01:57:17"/>
    <s v="Ranieli"/>
    <s v="23/09/2026"/>
    <x v="0"/>
    <s v="JOSEFA KELY NUNES DE SOUSA"/>
    <n v="15229"/>
    <n v="1013"/>
    <n v="1004"/>
    <n v="1012"/>
    <n v="1000"/>
    <n v="1012"/>
    <n v="1006"/>
    <n v="998"/>
    <n v="1000"/>
    <n v="1010"/>
    <n v="1011"/>
    <n v="1006.6"/>
    <s v=""/>
    <s v="assinatura"/>
    <n v="146"/>
    <n v="1000"/>
    <n v="6.6000000000000225E-3"/>
    <n v="6.6000000000000227"/>
    <x v="9"/>
    <x v="1"/>
  </r>
  <r>
    <x v="38"/>
    <x v="2"/>
    <s v="6ab43381ef139d24b80e2c66"/>
    <s v="23/09/2026 17:08:46"/>
    <s v="23/09/2026 17:16:01"/>
    <s v="Ranieli"/>
    <s v="23/09/2026"/>
    <x v="1"/>
    <s v="ALANA DA SILVA MARTINS"/>
    <n v="31454"/>
    <n v="2507"/>
    <n v="2449"/>
    <n v="2490"/>
    <n v="2511"/>
    <n v="2521"/>
    <n v="2585"/>
    <n v="2505"/>
    <n v="2672"/>
    <n v="2544"/>
    <n v="2643"/>
    <n v="2542.6999999999998"/>
    <s v=""/>
    <s v="assinatura"/>
    <n v="430"/>
    <n v="2500"/>
    <n v="1.7079999999999929E-2"/>
    <n v="42.699999999999818"/>
    <x v="20"/>
    <x v="3"/>
  </r>
  <r>
    <x v="38"/>
    <x v="2"/>
    <s v="6ab3efed2198fdc3939147cc"/>
    <s v="23/09/2026 09:30:15"/>
    <s v="23/09/2026 12:27:41"/>
    <s v="Ranieli"/>
    <s v="23/09/2026"/>
    <x v="1"/>
    <s v="ALANA DA SILVA MARTINS"/>
    <n v="54632"/>
    <n v="1030"/>
    <n v="1010"/>
    <n v="994"/>
    <n v="1002"/>
    <n v="1005"/>
    <n v="1020"/>
    <n v="1013"/>
    <n v="1007"/>
    <n v="1011"/>
    <n v="1013"/>
    <n v="1010.5"/>
    <s v=""/>
    <s v="assinatura"/>
    <n v="10640"/>
    <n v="1000"/>
    <n v="1.0500000000000001E-2"/>
    <n v="10.5"/>
    <x v="11"/>
    <x v="1"/>
  </r>
  <r>
    <x v="38"/>
    <x v="2"/>
    <s v="6ab3efcab91ebe7368fba2e6"/>
    <s v="23/09/2026 11:19:22"/>
    <s v="23/09/2026 12:27:06"/>
    <s v="Ranieli"/>
    <s v="23/09/2026"/>
    <x v="1"/>
    <s v="ALANA DA SILVA MARTINS"/>
    <n v="42838"/>
    <n v="2072"/>
    <n v="2058"/>
    <n v="2075"/>
    <n v="2041"/>
    <n v="2050"/>
    <n v="2056"/>
    <n v="2041"/>
    <n v="2075"/>
    <n v="2082"/>
    <n v="2046"/>
    <n v="2059.6"/>
    <s v=""/>
    <s v="assinatura"/>
    <n v="4061"/>
    <n v="2000"/>
    <n v="2.9799999999999955E-2"/>
    <n v="59.599999999999909"/>
    <x v="7"/>
    <x v="1"/>
  </r>
  <r>
    <x v="38"/>
    <x v="2"/>
    <s v="6ab3efb3d72df868b36f2cd2"/>
    <s v="23/09/2026 11:23:15"/>
    <s v="23/09/2026 12:26:43"/>
    <s v="Ranieli"/>
    <s v="23/09/2026"/>
    <x v="1"/>
    <s v="ALANA DA SILVA MARTINS"/>
    <n v="42846"/>
    <n v="2267"/>
    <n v="2027"/>
    <n v="2014"/>
    <n v="2007"/>
    <n v="2008"/>
    <n v="2002"/>
    <n v="1991"/>
    <n v="2019"/>
    <n v="1996"/>
    <n v="1997"/>
    <n v="2032.8"/>
    <s v=""/>
    <s v="assinatura"/>
    <n v="3806"/>
    <n v="2000"/>
    <n v="1.6399999999999977E-2"/>
    <n v="32.799999999999955"/>
    <x v="6"/>
    <x v="1"/>
  </r>
  <r>
    <x v="38"/>
    <x v="2"/>
    <s v="6ab3ef9814246dbb8f837347"/>
    <s v="23/09/2026 11:29:11"/>
    <s v="23/09/2026 12:26:16"/>
    <s v="Ranieli"/>
    <s v="23/09/2026"/>
    <x v="1"/>
    <s v="ALANA DA SILVA MARTINS"/>
    <n v="15849"/>
    <n v="1015"/>
    <n v="1004"/>
    <n v="999"/>
    <n v="998"/>
    <n v="1014"/>
    <n v="1019"/>
    <n v="1011"/>
    <n v="1013"/>
    <n v="1005"/>
    <n v="994"/>
    <n v="1007.2"/>
    <s v=""/>
    <s v="assinatura"/>
    <n v="3422"/>
    <n v="1000"/>
    <n v="7.2000000000000458E-3"/>
    <n v="7.2000000000000455"/>
    <x v="29"/>
    <x v="2"/>
  </r>
  <r>
    <x v="38"/>
    <x v="2"/>
    <s v="6ab3ef82a4adeea581725072"/>
    <s v="23/09/2026 11:33:25"/>
    <s v="23/09/2026 12:25:54"/>
    <s v="Ranieli"/>
    <s v="23/09/2026"/>
    <x v="1"/>
    <s v="ALANA DA SILVA MARTINS"/>
    <n v="992014"/>
    <n v="699"/>
    <n v="683"/>
    <n v="693"/>
    <n v="686"/>
    <n v="700"/>
    <n v="697"/>
    <n v="698"/>
    <n v="697"/>
    <n v="699"/>
    <n v="700"/>
    <n v="695.2"/>
    <s v=""/>
    <s v="assinatura"/>
    <n v="3145"/>
    <n v="700"/>
    <n v="-6.8571428571427926E-3"/>
    <n v="-4.7999999999999545"/>
    <x v="14"/>
    <x v="1"/>
  </r>
  <r>
    <x v="37"/>
    <x v="2"/>
    <s v="6ab3c979596883bd549f4e57"/>
    <s v="21/09/2026 08:27:36"/>
    <s v="23/09/2026 09:43:37"/>
    <s v="Ranieli"/>
    <s v="21/09/2026"/>
    <x v="1"/>
    <s v="ALANA DA SILVA MARTINS"/>
    <n v="18228"/>
    <n v="1000"/>
    <n v="994"/>
    <n v="999"/>
    <n v="1001"/>
    <n v="1000"/>
    <n v="1004"/>
    <n v="994"/>
    <n v="1002"/>
    <n v="1008"/>
    <n v="1002"/>
    <n v="1000.4"/>
    <s v=""/>
    <s v="assinatura"/>
    <n v="177357"/>
    <n v="1000"/>
    <n v="3.9999999999997725E-4"/>
    <n v="0.39999999999997726"/>
    <x v="16"/>
    <x v="4"/>
  </r>
  <r>
    <x v="36"/>
    <x v="2"/>
    <s v="6ab35bcaa4adeea581715e5a"/>
    <s v="23/09/2026 00:53:14"/>
    <s v="23/09/2026 01:55:38"/>
    <s v="Ranieli"/>
    <s v="22/09/2026"/>
    <x v="0"/>
    <s v="JOSEFA KELY NUNES DE SOUSA"/>
    <n v="864048"/>
    <n v="2030"/>
    <n v="2008"/>
    <n v="2084"/>
    <n v="2037"/>
    <n v="2019"/>
    <n v="2033"/>
    <n v="2020"/>
    <n v="2035"/>
    <n v="2014"/>
    <n v="2008"/>
    <n v="2028.8"/>
    <s v=""/>
    <s v="assinatura"/>
    <n v="3317"/>
    <n v="2000"/>
    <n v="1.4399999999999977E-2"/>
    <n v="28.799999999999955"/>
    <x v="26"/>
    <x v="1"/>
  </r>
  <r>
    <x v="36"/>
    <x v="2"/>
    <s v="6ab35bcaa4adeea581715e54"/>
    <s v="23/09/2026 00:50:54"/>
    <s v="23/09/2026 01:55:38"/>
    <s v="Ranieli"/>
    <s v="22/09/2026"/>
    <x v="0"/>
    <s v="JOSEFA KELY NUNES DE SOUSA"/>
    <n v="15229"/>
    <n v="1014"/>
    <n v="1013"/>
    <n v="1018"/>
    <n v="1003"/>
    <n v="1002"/>
    <n v="995"/>
    <n v="1003"/>
    <n v="996"/>
    <n v="1010"/>
    <n v="999"/>
    <n v="1005.3"/>
    <s v=""/>
    <s v="assinatura"/>
    <n v="2545"/>
    <n v="1000"/>
    <n v="5.2999999999999549E-3"/>
    <n v="5.2999999999999545"/>
    <x v="9"/>
    <x v="1"/>
  </r>
  <r>
    <x v="36"/>
    <x v="2"/>
    <s v="6ab35bcaa4adeea581715e4e"/>
    <s v="23/09/2026 00:47:41"/>
    <s v="23/09/2026 01:55:38"/>
    <s v="Ranieli"/>
    <s v="22/09/2026"/>
    <x v="0"/>
    <s v="JOSEFA KELY NUNES DE SOUSA"/>
    <n v="13188"/>
    <n v="1007"/>
    <n v="1015"/>
    <n v="1003"/>
    <n v="1006"/>
    <n v="1012"/>
    <n v="1016"/>
    <n v="1019"/>
    <n v="1001"/>
    <n v="1007"/>
    <n v="1011"/>
    <n v="1009.7"/>
    <s v=""/>
    <s v="assinatura"/>
    <n v="2268"/>
    <n v="1000"/>
    <n v="9.7000000000000454E-3"/>
    <n v="9.7000000000000455"/>
    <x v="8"/>
    <x v="1"/>
  </r>
  <r>
    <x v="36"/>
    <x v="2"/>
    <s v="6ab35bcaa4adeea581715e40"/>
    <s v="22/09/2026 23:16:05"/>
    <s v="23/09/2026 01:55:38"/>
    <s v="Ranieli"/>
    <s v="22/09/2026"/>
    <x v="0"/>
    <s v="JOSEFA KELY NUNES DE SOUSA"/>
    <n v="40762"/>
    <n v="10025"/>
    <n v="9965"/>
    <n v="10025"/>
    <n v="9970"/>
    <n v="10115"/>
    <n v="10060"/>
    <n v="10015"/>
    <n v="10010"/>
    <n v="9965"/>
    <n v="9985"/>
    <n v="10013.5"/>
    <s v=""/>
    <s v="assinatura"/>
    <n v="313"/>
    <n v="10000"/>
    <n v="1.3500000000000001E-3"/>
    <n v="13.5"/>
    <x v="3"/>
    <x v="1"/>
  </r>
  <r>
    <x v="36"/>
    <x v="2"/>
    <s v="6ab35bcaa4adeea581715e3a"/>
    <s v="22/09/2026 23:14:53"/>
    <s v="23/09/2026 01:55:38"/>
    <s v="Ranieli"/>
    <s v="22/09/2026"/>
    <x v="0"/>
    <s v="JOSEFA KELY NUNES DE SOUSA"/>
    <n v="42820"/>
    <n v="2006"/>
    <n v="2033"/>
    <n v="2035"/>
    <n v="2023"/>
    <n v="2033"/>
    <n v="2020"/>
    <n v="2029"/>
    <n v="2064"/>
    <n v="2037"/>
    <n v="2020"/>
    <n v="2030"/>
    <s v=""/>
    <s v=""/>
    <n v="69"/>
    <n v="2000"/>
    <n v="1.4999999999999999E-2"/>
    <n v="30"/>
    <x v="10"/>
    <x v="1"/>
  </r>
  <r>
    <x v="36"/>
    <x v="2"/>
    <s v="6ab35bcaa4adeea581715e34"/>
    <s v="22/09/2026 22:39:16"/>
    <s v="23/09/2026 01:55:38"/>
    <s v="Ranieli"/>
    <s v="22/09/2026"/>
    <x v="0"/>
    <s v="JOSEFA KELY NUNES DE SOUSA"/>
    <n v="42811"/>
    <n v="2021"/>
    <n v="2018"/>
    <n v="2020"/>
    <n v="2023"/>
    <n v="1999"/>
    <n v="2001"/>
    <n v="2019"/>
    <n v="2012"/>
    <n v="2026"/>
    <n v="2068"/>
    <n v="2020.7"/>
    <s v=""/>
    <s v="assinatura"/>
    <n v="2135"/>
    <n v="2000"/>
    <n v="1.0350000000000022E-2"/>
    <n v="20.700000000000045"/>
    <x v="32"/>
    <x v="1"/>
  </r>
  <r>
    <x v="36"/>
    <x v="2"/>
    <s v="6ab35bc9a4adeea581715e2e"/>
    <s v="22/09/2026 22:32:39"/>
    <s v="23/09/2026 01:55:37"/>
    <s v="Ranieli"/>
    <s v="22/09/2026"/>
    <x v="0"/>
    <s v="JOSEFA KELY NUNES DE SOUSA"/>
    <n v="42838"/>
    <n v="2019"/>
    <n v="2009"/>
    <n v="2012"/>
    <n v="1997"/>
    <n v="2001"/>
    <n v="2061"/>
    <n v="2034"/>
    <n v="2054"/>
    <n v="2036"/>
    <n v="2038"/>
    <n v="2026.1"/>
    <s v=""/>
    <s v="assinatura"/>
    <n v="4029"/>
    <n v="2000"/>
    <n v="1.3049999999999954E-2"/>
    <n v="26.099999999999909"/>
    <x v="7"/>
    <x v="1"/>
  </r>
  <r>
    <x v="36"/>
    <x v="2"/>
    <s v="6ab35bc9a4adeea581715e28"/>
    <s v="22/09/2026 22:28:02"/>
    <s v="23/09/2026 01:55:37"/>
    <s v="Ranieli"/>
    <s v="22/09/2026"/>
    <x v="0"/>
    <s v="JOSEFA KELY NUNES DE SOUSA"/>
    <n v="42846"/>
    <n v="2004"/>
    <n v="1982"/>
    <n v="2003"/>
    <n v="2021"/>
    <n v="2007"/>
    <n v="2002"/>
    <n v="2011"/>
    <n v="2014"/>
    <n v="2015"/>
    <n v="2009"/>
    <n v="2006.8"/>
    <s v=""/>
    <s v="assinatura"/>
    <n v="4327"/>
    <n v="2000"/>
    <n v="3.3999999999999773E-3"/>
    <n v="6.7999999999999545"/>
    <x v="6"/>
    <x v="1"/>
  </r>
  <r>
    <x v="36"/>
    <x v="2"/>
    <s v="6ab35bc9a4adeea581715e22"/>
    <s v="22/09/2026 22:25:33"/>
    <s v="23/09/2026 01:55:37"/>
    <s v="Ranieli"/>
    <s v="22/09/2026"/>
    <x v="0"/>
    <s v="JOSEFA KELY NUNES DE SOUSA"/>
    <n v="42854"/>
    <n v="2104"/>
    <n v="2124"/>
    <n v="2106"/>
    <n v="2116"/>
    <n v="2115"/>
    <n v="2106"/>
    <n v="2123"/>
    <n v="2106"/>
    <n v="2103"/>
    <n v="2016"/>
    <n v="2101.9"/>
    <s v=""/>
    <s v="assinatura"/>
    <n v="4490"/>
    <n v="2080"/>
    <n v="1.0528846153846198E-2"/>
    <n v="21.900000000000091"/>
    <x v="4"/>
    <x v="1"/>
  </r>
  <r>
    <x v="36"/>
    <x v="2"/>
    <s v="6ab35bc9a4adeea581715e1c"/>
    <s v="22/09/2026 22:23:32"/>
    <s v="23/09/2026 01:55:37"/>
    <s v="Ranieli"/>
    <s v="22/09/2026"/>
    <x v="0"/>
    <s v="JOSEFA KELY NUNES DE SOUSA"/>
    <n v="42862"/>
    <n v="2018"/>
    <n v="2021"/>
    <n v="2016"/>
    <n v="2012"/>
    <n v="2044"/>
    <n v="2007"/>
    <n v="2028"/>
    <n v="2034"/>
    <n v="2018"/>
    <n v="2030"/>
    <n v="2022.8"/>
    <s v=""/>
    <s v="assinatura"/>
    <n v="4621"/>
    <n v="2000"/>
    <n v="1.1399999999999978E-2"/>
    <n v="22.799999999999955"/>
    <x v="5"/>
    <x v="1"/>
  </r>
  <r>
    <x v="36"/>
    <x v="2"/>
    <s v="6ab35bc9a4adeea581715e16"/>
    <s v="22/09/2026 22:16:35"/>
    <s v="23/09/2026 01:55:37"/>
    <s v="Ranieli"/>
    <s v="22/09/2026"/>
    <x v="0"/>
    <s v="JOSEFA KELY NUNES DE SOUSA"/>
    <n v="15105"/>
    <n v="1018"/>
    <n v="1017"/>
    <n v="1009"/>
    <n v="1072"/>
    <n v="1014"/>
    <n v="1010"/>
    <n v="1042"/>
    <n v="1006"/>
    <n v="1016"/>
    <n v="997"/>
    <n v="1020.1"/>
    <s v=""/>
    <s v="assinatura"/>
    <n v="177"/>
    <n v="1000"/>
    <n v="2.0100000000000024E-2"/>
    <n v="20.100000000000023"/>
    <x v="0"/>
    <x v="0"/>
  </r>
  <r>
    <x v="36"/>
    <x v="2"/>
    <s v="6ab35bc9a4adeea581715e0a"/>
    <s v="22/09/2026 21:25:22"/>
    <s v="23/09/2026 01:55:37"/>
    <s v="Ranieli"/>
    <s v="22/09/2026"/>
    <x v="0"/>
    <s v="JOSEFA KELY NUNES DE SOUSA"/>
    <n v="197734"/>
    <n v="1019"/>
    <n v="989"/>
    <n v="994"/>
    <n v="994"/>
    <n v="1022"/>
    <n v="997"/>
    <n v="1027"/>
    <n v="997"/>
    <n v="995"/>
    <n v="997"/>
    <n v="1003.1"/>
    <s v=""/>
    <s v="assinatura"/>
    <n v="153"/>
    <n v="1000"/>
    <n v="3.1000000000000229E-3"/>
    <n v="3.1000000000000227"/>
    <x v="2"/>
    <x v="2"/>
  </r>
  <r>
    <x v="36"/>
    <x v="2"/>
    <s v="6ab35bc9a4adeea581715e04"/>
    <s v="22/09/2026 19:20:26"/>
    <s v="23/09/2026 01:55:37"/>
    <s v="Ranieli"/>
    <s v="22/09/2026"/>
    <x v="0"/>
    <s v="JOSEFA KELY NUNES DE SOUSA"/>
    <n v="15229"/>
    <n v="1004"/>
    <n v="1006"/>
    <n v="1002"/>
    <n v="1003"/>
    <n v="1003"/>
    <n v="992"/>
    <n v="994"/>
    <n v="998"/>
    <n v="1007"/>
    <n v="995"/>
    <n v="1000.4"/>
    <s v=""/>
    <s v="assinatura"/>
    <n v="1536"/>
    <n v="1000"/>
    <n v="3.9999999999997725E-4"/>
    <n v="0.39999999999997726"/>
    <x v="9"/>
    <x v="1"/>
  </r>
  <r>
    <x v="36"/>
    <x v="2"/>
    <s v="6ab35bc9a4adeea581715dfe"/>
    <s v="22/09/2026 19:18:08"/>
    <s v="23/09/2026 01:55:37"/>
    <s v="Ranieli"/>
    <s v="22/09/2026"/>
    <x v="0"/>
    <s v="JOSEFA KELY NUNES DE SOUSA"/>
    <n v="13188"/>
    <n v="1002"/>
    <n v="1009"/>
    <n v="1005"/>
    <n v="991"/>
    <n v="1015"/>
    <n v="1017"/>
    <n v="1002"/>
    <n v="997"/>
    <n v="1013"/>
    <n v="1012"/>
    <n v="1006.3"/>
    <s v=""/>
    <s v="assinatura"/>
    <n v="1418"/>
    <n v="1000"/>
    <n v="6.2999999999999549E-3"/>
    <n v="6.2999999999999545"/>
    <x v="8"/>
    <x v="1"/>
  </r>
  <r>
    <x v="36"/>
    <x v="2"/>
    <s v="6ab35bc9a4adeea581715df8"/>
    <s v="22/09/2026 19:04:33"/>
    <s v="23/09/2026 01:55:37"/>
    <s v="Ranieli"/>
    <s v="22/09/2026"/>
    <x v="0"/>
    <s v="JOSEFA KELY NUNES DE SOUSA"/>
    <n v="992093"/>
    <n v="5003"/>
    <n v="5009"/>
    <n v="5003"/>
    <n v="5005"/>
    <n v="5006"/>
    <n v="5007"/>
    <n v="5005"/>
    <n v="5005"/>
    <n v="5002"/>
    <n v="5009"/>
    <n v="5005.3999999999996"/>
    <s v=""/>
    <s v="assinatura"/>
    <n v="1332"/>
    <n v="5000"/>
    <n v="1.0799999999999272E-3"/>
    <n v="5.3999999999996362"/>
    <x v="13"/>
    <x v="3"/>
  </r>
  <r>
    <x v="36"/>
    <x v="2"/>
    <s v="6ab35bc9a4adeea581715dec"/>
    <s v="22/09/2026 18:05:11"/>
    <s v="23/09/2026 01:55:37"/>
    <s v="Ranieli"/>
    <s v="22/09/2026"/>
    <x v="0"/>
    <s v="JOSEFA KELY NUNES DE SOUSA"/>
    <n v="40762"/>
    <n v="10060"/>
    <n v="10025"/>
    <n v="10100"/>
    <n v="10030"/>
    <n v="10050"/>
    <n v="10050"/>
    <n v="10045"/>
    <n v="10040"/>
    <n v="10085"/>
    <n v="10015"/>
    <n v="10050"/>
    <s v=""/>
    <s v="assinatura"/>
    <n v="4367"/>
    <n v="10000"/>
    <n v="5.0000000000000001E-3"/>
    <n v="50"/>
    <x v="3"/>
    <x v="1"/>
  </r>
  <r>
    <x v="36"/>
    <x v="2"/>
    <s v="6ab35bc9a4adeea581715de6"/>
    <s v="22/09/2026 18:03:09"/>
    <s v="23/09/2026 01:55:37"/>
    <s v="Ranieli"/>
    <s v="22/09/2026"/>
    <x v="0"/>
    <s v="JOSEFA KELY NUNES DE SOUSA"/>
    <n v="13188"/>
    <n v="997"/>
    <n v="1012"/>
    <n v="996"/>
    <n v="999"/>
    <n v="1003"/>
    <n v="1001"/>
    <n v="1001"/>
    <n v="998"/>
    <n v="1004"/>
    <n v="1012"/>
    <n v="1002.3"/>
    <s v=""/>
    <s v=""/>
    <n v="121"/>
    <n v="1000"/>
    <n v="2.2999999999999544E-3"/>
    <n v="2.2999999999999545"/>
    <x v="8"/>
    <x v="1"/>
  </r>
  <r>
    <x v="36"/>
    <x v="2"/>
    <s v="6ab35bc9a4adeea581715de0"/>
    <s v="22/09/2026 18:01:12"/>
    <s v="23/09/2026 01:55:37"/>
    <s v="Ranieli"/>
    <s v="22/09/2026"/>
    <x v="0"/>
    <s v="JOSEFA KELY NUNES DE SOUSA"/>
    <n v="15229"/>
    <n v="996"/>
    <n v="1014"/>
    <n v="1012"/>
    <n v="1017"/>
    <n v="1017"/>
    <n v="1009"/>
    <n v="995"/>
    <n v="1018"/>
    <n v="1012"/>
    <n v="1009"/>
    <n v="1009.9"/>
    <s v=""/>
    <s v="assinatura"/>
    <n v="115"/>
    <n v="1000"/>
    <n v="9.8999999999999765E-3"/>
    <n v="9.8999999999999773"/>
    <x v="9"/>
    <x v="1"/>
  </r>
  <r>
    <x v="36"/>
    <x v="2"/>
    <s v="6ab35bc8a4adeea581715dda"/>
    <s v="22/09/2026 17:57:05"/>
    <s v="23/09/2026 01:55:36"/>
    <s v="Ranieli"/>
    <s v="22/09/2026"/>
    <x v="0"/>
    <s v="JOSEFA KELY NUNES DE SOUSA"/>
    <n v="15105"/>
    <n v="1004"/>
    <n v="1043"/>
    <n v="1032"/>
    <n v="996"/>
    <n v="1013"/>
    <n v="1007"/>
    <n v="1036"/>
    <n v="1012"/>
    <n v="1012"/>
    <n v="1021"/>
    <n v="1017.6"/>
    <s v=""/>
    <s v="assinatura"/>
    <n v="243"/>
    <n v="1000"/>
    <n v="1.7600000000000022E-2"/>
    <n v="17.600000000000023"/>
    <x v="0"/>
    <x v="0"/>
  </r>
  <r>
    <x v="36"/>
    <x v="2"/>
    <s v="6ab35bc8a4adeea581715dd4"/>
    <s v="22/09/2026 17:26:41"/>
    <s v="23/09/2026 01:55:36"/>
    <s v="Ranieli"/>
    <s v="22/09/2026"/>
    <x v="0"/>
    <s v="JOSEFA KELY NUNES DE SOUSA"/>
    <n v="995638"/>
    <n v="15005"/>
    <n v="15000"/>
    <n v="15035"/>
    <n v="15045"/>
    <n v="15030"/>
    <n v="15030"/>
    <n v="15015"/>
    <n v="15070"/>
    <n v="15050"/>
    <n v="15065"/>
    <n v="15034.5"/>
    <s v=""/>
    <s v="assinatura"/>
    <n v="1778"/>
    <n v="15000"/>
    <n v="2.3E-3"/>
    <n v="34.5"/>
    <x v="21"/>
    <x v="3"/>
  </r>
  <r>
    <x v="36"/>
    <x v="2"/>
    <s v="6ab35bc8a4adeea581715dce"/>
    <s v="22/09/2026 17:23:16"/>
    <s v="23/09/2026 01:55:36"/>
    <s v="Ranieli"/>
    <s v="22/09/2026"/>
    <x v="0"/>
    <s v="JOSEFA KELY NUNES DE SOUSA"/>
    <n v="995638"/>
    <n v="15060"/>
    <n v="15005"/>
    <n v="15070"/>
    <n v="15080"/>
    <n v="15100"/>
    <n v="15085"/>
    <n v="15070"/>
    <n v="15015"/>
    <n v="15035"/>
    <n v="15090"/>
    <n v="15061"/>
    <s v=""/>
    <s v="assinatura"/>
    <n v="2022"/>
    <n v="15000"/>
    <n v="4.0666666666666663E-3"/>
    <n v="61"/>
    <x v="21"/>
    <x v="3"/>
  </r>
  <r>
    <x v="36"/>
    <x v="2"/>
    <s v="6ab34378a4adeea581715661"/>
    <s v="22/09/2026 22:24:21"/>
    <s v="23/09/2026 00:11:52"/>
    <s v="Ranieli"/>
    <s v="22/09/2026"/>
    <x v="0"/>
    <s v="JULIANE GOMES NOVAIS"/>
    <n v="15105"/>
    <n v="1007"/>
    <n v="1020"/>
    <n v="999"/>
    <n v="991"/>
    <n v="1009"/>
    <n v="1032"/>
    <n v="1011"/>
    <n v="1033"/>
    <n v="1010"/>
    <n v="1011"/>
    <n v="1012.3"/>
    <s v=""/>
    <s v="assinatura"/>
    <n v="147"/>
    <n v="1000"/>
    <n v="1.2299999999999955E-2"/>
    <n v="12.299999999999955"/>
    <x v="0"/>
    <x v="0"/>
  </r>
  <r>
    <x v="36"/>
    <x v="2"/>
    <s v="6ab34378a4adeea58171565b"/>
    <s v="22/09/2026 21:54:31"/>
    <s v="23/09/2026 00:11:52"/>
    <s v="Ranieli"/>
    <s v="22/09/2026"/>
    <x v="0"/>
    <s v="JULIANE GOMES NOVAIS"/>
    <n v="13188"/>
    <n v="1012"/>
    <n v="1002"/>
    <n v="1010"/>
    <n v="1006"/>
    <n v="1012"/>
    <n v="1013"/>
    <n v="1011"/>
    <n v="1010"/>
    <n v="995"/>
    <n v="1013"/>
    <n v="1008.4"/>
    <s v=""/>
    <s v="assinatura"/>
    <n v="2083"/>
    <n v="1000"/>
    <n v="8.3999999999999769E-3"/>
    <n v="8.3999999999999773"/>
    <x v="8"/>
    <x v="1"/>
  </r>
  <r>
    <x v="36"/>
    <x v="2"/>
    <s v="6ab34378a4adeea581715655"/>
    <s v="22/09/2026 21:53:19"/>
    <s v="23/09/2026 00:11:52"/>
    <s v="Ranieli"/>
    <s v="22/09/2026"/>
    <x v="0"/>
    <s v="JULIANE GOMES NOVAIS"/>
    <n v="15229"/>
    <n v="996"/>
    <n v="1010"/>
    <n v="1007"/>
    <n v="999"/>
    <n v="1004"/>
    <n v="1005"/>
    <n v="1016"/>
    <n v="1003"/>
    <n v="1003"/>
    <n v="1009"/>
    <n v="1005.2"/>
    <s v=""/>
    <s v="assinatura"/>
    <n v="2122"/>
    <n v="1000"/>
    <n v="5.2000000000000457E-3"/>
    <n v="5.2000000000000455"/>
    <x v="9"/>
    <x v="1"/>
  </r>
  <r>
    <x v="36"/>
    <x v="2"/>
    <s v="6ab34378a4adeea58171564f"/>
    <s v="22/09/2026 21:46:59"/>
    <s v="23/09/2026 00:11:52"/>
    <s v="Ranieli"/>
    <s v="22/09/2026"/>
    <x v="0"/>
    <s v="JULIANE GOMES NOVAIS"/>
    <n v="42846"/>
    <n v="2001"/>
    <n v="2007"/>
    <n v="2011"/>
    <n v="2009"/>
    <n v="2006"/>
    <n v="2002"/>
    <n v="2005"/>
    <n v="2009"/>
    <n v="2022"/>
    <n v="2011"/>
    <n v="2008.3"/>
    <s v=""/>
    <s v="assinatura"/>
    <n v="2482"/>
    <n v="2000"/>
    <n v="4.1499999999999775E-3"/>
    <n v="8.2999999999999545"/>
    <x v="6"/>
    <x v="1"/>
  </r>
  <r>
    <x v="36"/>
    <x v="2"/>
    <s v="6ab34378a4adeea581715649"/>
    <s v="22/09/2026 21:44:05"/>
    <s v="23/09/2026 00:11:52"/>
    <s v="Ranieli"/>
    <s v="22/09/2026"/>
    <x v="0"/>
    <s v="JULIANE GOMES NOVAIS"/>
    <n v="42838"/>
    <n v="2020"/>
    <n v="2072"/>
    <n v="2010"/>
    <n v="2036"/>
    <n v="2033"/>
    <n v="2031"/>
    <n v="2000"/>
    <n v="2032"/>
    <n v="2020"/>
    <n v="2019"/>
    <n v="2027.3"/>
    <s v=""/>
    <s v="assinatura"/>
    <n v="2642"/>
    <n v="2000"/>
    <n v="1.3649999999999978E-2"/>
    <n v="27.299999999999955"/>
    <x v="7"/>
    <x v="1"/>
  </r>
  <r>
    <x v="36"/>
    <x v="2"/>
    <s v="6ab34378a4adeea581715643"/>
    <s v="22/09/2026 21:35:04"/>
    <s v="23/09/2026 00:11:52"/>
    <s v="Ranieli"/>
    <s v="22/09/2026"/>
    <x v="0"/>
    <s v="JULIANE GOMES NOVAIS"/>
    <n v="42820"/>
    <n v="2035"/>
    <n v="2014"/>
    <n v="2027"/>
    <n v="2033"/>
    <n v="2040"/>
    <n v="2007"/>
    <n v="2049"/>
    <n v="2037"/>
    <n v="2017"/>
    <n v="2025"/>
    <n v="2028.4"/>
    <s v=""/>
    <s v="assinatura"/>
    <n v="341"/>
    <n v="2000"/>
    <n v="1.4200000000000046E-2"/>
    <n v="28.400000000000091"/>
    <x v="10"/>
    <x v="1"/>
  </r>
  <r>
    <x v="36"/>
    <x v="2"/>
    <s v="6ab2ffdbd72df868b36e7d2e"/>
    <s v="22/09/2026 18:11:04"/>
    <s v="22/09/2026 19:23:23"/>
    <s v="Ranieli"/>
    <s v="22/09/2026"/>
    <x v="0"/>
    <s v="JULIANE GOMES NOVAIS"/>
    <n v="15105"/>
    <n v="1006"/>
    <n v="1025"/>
    <n v="1017"/>
    <n v="1011"/>
    <n v="1003"/>
    <n v="1021"/>
    <n v="1007"/>
    <n v="1023"/>
    <n v="996"/>
    <n v="1000"/>
    <n v="1010.9"/>
    <s v=""/>
    <s v="assinatura"/>
    <n v="114"/>
    <n v="1000"/>
    <n v="1.0899999999999977E-2"/>
    <n v="10.899999999999977"/>
    <x v="0"/>
    <x v="0"/>
  </r>
  <r>
    <x v="36"/>
    <x v="2"/>
    <s v="6ab2e4214b9e362083cbe5d0"/>
    <s v="22/09/2026 17:14:51"/>
    <s v="22/09/2026 17:25:05"/>
    <s v="Ranieli"/>
    <s v="22/09/2026"/>
    <x v="0"/>
    <s v="JULIANE GOMES NOVAIS"/>
    <n v="40762"/>
    <n v="10040"/>
    <n v="10065"/>
    <n v="10035"/>
    <n v="10020"/>
    <n v="10000"/>
    <n v="9990"/>
    <n v="10040"/>
    <n v="10080"/>
    <n v="9980"/>
    <n v="10000"/>
    <n v="10025"/>
    <s v=""/>
    <s v="assinatura"/>
    <n v="565"/>
    <n v="10000"/>
    <n v="2.5000000000000001E-3"/>
    <n v="25"/>
    <x v="3"/>
    <x v="1"/>
  </r>
  <r>
    <x v="36"/>
    <x v="2"/>
    <s v="6ab2e4214b9e362083cbe5ca"/>
    <s v="22/09/2026 17:08:10"/>
    <s v="22/09/2026 17:25:05"/>
    <s v="Ranieli"/>
    <s v="22/09/2026"/>
    <x v="0"/>
    <s v="JULIANE GOMES NOVAIS"/>
    <n v="15229"/>
    <n v="1004"/>
    <n v="1001"/>
    <n v="1014"/>
    <n v="1006"/>
    <n v="1004"/>
    <n v="1017"/>
    <n v="1010"/>
    <n v="1009"/>
    <n v="1008"/>
    <n v="999"/>
    <n v="1007.2"/>
    <s v=""/>
    <s v="assinatura"/>
    <n v="926"/>
    <n v="1000"/>
    <n v="7.2000000000000458E-3"/>
    <n v="7.2000000000000455"/>
    <x v="9"/>
    <x v="1"/>
  </r>
  <r>
    <x v="36"/>
    <x v="2"/>
    <s v="6ab2e4214b9e362083cbe5c4"/>
    <s v="22/09/2026 17:06:23"/>
    <s v="22/09/2026 17:25:05"/>
    <s v="Ranieli"/>
    <s v="22/09/2026"/>
    <x v="0"/>
    <s v="JULIANE GOMES NOVAIS"/>
    <n v="13188"/>
    <n v="998"/>
    <n v="1014"/>
    <n v="1002"/>
    <n v="1007"/>
    <n v="1007"/>
    <n v="1003"/>
    <n v="1009"/>
    <n v="1014"/>
    <n v="999"/>
    <n v="1009"/>
    <n v="1006.2"/>
    <s v=""/>
    <s v="assinatura"/>
    <n v="1017"/>
    <n v="1000"/>
    <n v="6.2000000000000458E-3"/>
    <n v="6.2000000000000455"/>
    <x v="8"/>
    <x v="1"/>
  </r>
  <r>
    <x v="36"/>
    <x v="2"/>
    <s v="6ab2e4163a9c92219c3b3867"/>
    <s v="22/09/2026 17:11:13"/>
    <s v="22/09/2026 17:24:54"/>
    <s v="Ranieli"/>
    <s v="22/09/2026"/>
    <x v="0"/>
    <s v="JULIANE GOMES NOVAIS"/>
    <n v="40762"/>
    <n v="9990"/>
    <n v="9985"/>
    <n v="10065"/>
    <n v="10055"/>
    <n v="10000"/>
    <n v="10035"/>
    <n v="9990"/>
    <n v="10020"/>
    <n v="10055"/>
    <n v="10000"/>
    <n v="10019.5"/>
    <s v=""/>
    <s v="assinatura"/>
    <n v="758"/>
    <n v="10000"/>
    <n v="1.9499999999999999E-3"/>
    <n v="19.5"/>
    <x v="3"/>
    <x v="1"/>
  </r>
  <r>
    <x v="39"/>
    <x v="2"/>
    <s v="6ab75082adfb4239b44a3e08"/>
    <s v="26/09/2026 00:50:30"/>
    <s v="26/09/2026 01:56:34"/>
    <s v="Ranieli"/>
    <s v="25/09/2026"/>
    <x v="0"/>
    <s v="JOSEFA KELY NUNES DE SOUSA"/>
    <n v="40762"/>
    <n v="10045"/>
    <n v="10005"/>
    <n v="10035"/>
    <n v="9995"/>
    <n v="9940"/>
    <n v="10070"/>
    <n v="9980"/>
    <n v="10025"/>
    <n v="10050"/>
    <n v="10030"/>
    <n v="10017.5"/>
    <s v=""/>
    <s v="assinatura"/>
    <n v="1944"/>
    <n v="10000"/>
    <n v="1.75E-3"/>
    <n v="17.5"/>
    <x v="3"/>
    <x v="1"/>
  </r>
  <r>
    <x v="39"/>
    <x v="2"/>
    <s v="6ab75082adfb4239b44a3e02"/>
    <s v="25/09/2026 23:50:38"/>
    <s v="26/09/2026 01:56:34"/>
    <s v="Ranieli"/>
    <s v="25/09/2026"/>
    <x v="0"/>
    <s v="JOSEFA KELY NUNES DE SOUSA"/>
    <n v="15105"/>
    <n v="1017"/>
    <n v="1018"/>
    <n v="995"/>
    <n v="1031"/>
    <n v="1113"/>
    <n v="1029"/>
    <n v="1013"/>
    <n v="1010"/>
    <n v="885"/>
    <n v="1049"/>
    <n v="1016"/>
    <s v=""/>
    <s v=""/>
    <n v="270"/>
    <n v="1000"/>
    <n v="1.6E-2"/>
    <n v="16"/>
    <x v="0"/>
    <x v="0"/>
  </r>
  <r>
    <x v="39"/>
    <x v="2"/>
    <s v="6ab75082adfb4239b44a3df0"/>
    <s v="25/09/2026 22:37:17"/>
    <s v="26/09/2026 01:56:34"/>
    <s v="Ranieli"/>
    <s v="25/09/2026"/>
    <x v="0"/>
    <s v="JOSEFA KELY NUNES DE SOUSA"/>
    <n v="209319"/>
    <n v="1012"/>
    <n v="1001"/>
    <n v="1026"/>
    <n v="1002"/>
    <n v="1063"/>
    <n v="1020"/>
    <n v="1015"/>
    <n v="1058"/>
    <n v="999"/>
    <n v="1063"/>
    <n v="1025.9000000000001"/>
    <s v=""/>
    <s v="assinatura"/>
    <n v="556"/>
    <n v="1000"/>
    <n v="2.590000000000009E-2"/>
    <n v="25.900000000000091"/>
    <x v="34"/>
    <x v="1"/>
  </r>
  <r>
    <x v="39"/>
    <x v="2"/>
    <s v="6ab75082adfb4239b44a3dea"/>
    <s v="25/09/2026 22:13:14"/>
    <s v="26/09/2026 01:56:34"/>
    <s v="Ranieli"/>
    <s v="25/09/2026"/>
    <x v="0"/>
    <s v="JOSEFA KELY NUNES DE SOUSA"/>
    <n v="15105"/>
    <n v="1016"/>
    <n v="1016"/>
    <n v="1042"/>
    <n v="1020"/>
    <n v="1001"/>
    <n v="1002"/>
    <n v="1031"/>
    <n v="1029"/>
    <n v="1011"/>
    <n v="1064"/>
    <n v="1023.2"/>
    <s v=""/>
    <s v="assinatura"/>
    <n v="682"/>
    <n v="1000"/>
    <n v="2.3200000000000047E-2"/>
    <n v="23.200000000000045"/>
    <x v="0"/>
    <x v="0"/>
  </r>
  <r>
    <x v="39"/>
    <x v="2"/>
    <s v="6ab75082adfb4239b44a3dde"/>
    <s v="25/09/2026 21:24:32"/>
    <s v="26/09/2026 01:56:34"/>
    <s v="Ranieli"/>
    <s v="25/09/2026"/>
    <x v="0"/>
    <s v="JOSEFA KELY NUNES DE SOUSA"/>
    <n v="40762"/>
    <n v="10045"/>
    <n v="9990"/>
    <n v="10035"/>
    <n v="10015"/>
    <n v="10055"/>
    <n v="9940"/>
    <n v="9995"/>
    <n v="10055"/>
    <n v="10065"/>
    <n v="10015"/>
    <n v="10021"/>
    <s v=""/>
    <s v="assinatura"/>
    <n v="204"/>
    <n v="10000"/>
    <n v="2.0999999999999999E-3"/>
    <n v="21"/>
    <x v="3"/>
    <x v="1"/>
  </r>
  <r>
    <x v="39"/>
    <x v="2"/>
    <s v="6ab75082adfb4239b44a3dd8"/>
    <s v="25/09/2026 19:16:01"/>
    <s v="26/09/2026 01:56:34"/>
    <s v="Ranieli"/>
    <s v="25/09/2026"/>
    <x v="0"/>
    <s v="JOSEFA KELY NUNES DE SOUSA"/>
    <n v="792799"/>
    <n v="15070"/>
    <n v="15020"/>
    <n v="15005"/>
    <n v="15030"/>
    <n v="15040"/>
    <n v="15030"/>
    <n v="15030"/>
    <n v="15000"/>
    <n v="15025"/>
    <n v="15045"/>
    <n v="15029.5"/>
    <s v=""/>
    <s v=""/>
    <n v="252"/>
    <n v="15000"/>
    <n v="1.9666666666666665E-3"/>
    <n v="29.5"/>
    <x v="12"/>
    <x v="3"/>
  </r>
  <r>
    <x v="39"/>
    <x v="2"/>
    <s v="6ab75082adfb4239b44a3dd2"/>
    <s v="25/09/2026 19:13:32"/>
    <s v="26/09/2026 01:56:34"/>
    <s v="Ranieli"/>
    <s v="25/09/2026"/>
    <x v="0"/>
    <s v="JOSEFA KELY NUNES DE SOUSA"/>
    <n v="992093"/>
    <n v="5009"/>
    <n v="5010"/>
    <n v="5010"/>
    <n v="5004"/>
    <n v="5010"/>
    <n v="5008"/>
    <n v="5016"/>
    <n v="5005"/>
    <n v="5005"/>
    <n v="5006"/>
    <n v="5008.3"/>
    <s v=""/>
    <s v="assinatura"/>
    <n v="148"/>
    <n v="5000"/>
    <n v="1.6600000000000364E-3"/>
    <n v="8.3000000000001819"/>
    <x v="13"/>
    <x v="3"/>
  </r>
  <r>
    <x v="39"/>
    <x v="2"/>
    <s v="6ab75082adfb4239b44a3dc6"/>
    <s v="25/09/2026 17:58:58"/>
    <s v="26/09/2026 01:56:34"/>
    <s v="Ranieli"/>
    <s v="25/09/2026"/>
    <x v="0"/>
    <s v="JOSEFA KELY NUNES DE SOUSA"/>
    <n v="42846"/>
    <n v="2022"/>
    <n v="2011"/>
    <n v="2006"/>
    <n v="2009"/>
    <n v="1983"/>
    <n v="1997"/>
    <n v="1969"/>
    <n v="2012"/>
    <n v="2029"/>
    <n v="2042"/>
    <n v="2008"/>
    <s v=""/>
    <s v=""/>
    <n v="1455"/>
    <n v="2000"/>
    <n v="4.0000000000000001E-3"/>
    <n v="8"/>
    <x v="6"/>
    <x v="1"/>
  </r>
  <r>
    <x v="39"/>
    <x v="2"/>
    <s v="6ab75081adfb4239b44a3dc0"/>
    <s v="25/09/2026 17:55:21"/>
    <s v="26/09/2026 01:56:33"/>
    <s v="Ranieli"/>
    <s v="25/09/2026"/>
    <x v="0"/>
    <s v="JOSEFA KELY NUNES DE SOUSA"/>
    <n v="42838"/>
    <n v="2009"/>
    <n v="2050"/>
    <n v="2028"/>
    <n v="2064"/>
    <n v="2028"/>
    <n v="2017"/>
    <n v="2040"/>
    <n v="2007"/>
    <n v="2072"/>
    <n v="2044"/>
    <n v="2035.9"/>
    <s v=""/>
    <s v="assinatura"/>
    <n v="146"/>
    <n v="2000"/>
    <n v="1.7950000000000046E-2"/>
    <n v="35.900000000000091"/>
    <x v="7"/>
    <x v="1"/>
  </r>
  <r>
    <x v="39"/>
    <x v="2"/>
    <s v="6ab75081adfb4239b44a3dba"/>
    <s v="25/09/2026 17:50:30"/>
    <s v="26/09/2026 01:56:33"/>
    <s v="Ranieli"/>
    <s v="25/09/2026"/>
    <x v="0"/>
    <s v="JOSEFA KELY NUNES DE SOUSA"/>
    <n v="42820"/>
    <n v="2051"/>
    <n v="2003"/>
    <n v="2009"/>
    <n v="2003"/>
    <n v="2077"/>
    <n v="2041"/>
    <n v="2000"/>
    <n v="2011"/>
    <n v="2005"/>
    <n v="2048"/>
    <n v="2024.8"/>
    <s v=""/>
    <s v=""/>
    <n v="184"/>
    <n v="2000"/>
    <n v="1.2399999999999977E-2"/>
    <n v="24.799999999999955"/>
    <x v="10"/>
    <x v="1"/>
  </r>
  <r>
    <x v="39"/>
    <x v="2"/>
    <s v="6ab75081adfb4239b44a3db4"/>
    <s v="25/09/2026 17:48:44"/>
    <s v="26/09/2026 01:56:33"/>
    <s v="Ranieli"/>
    <s v="25/09/2026"/>
    <x v="0"/>
    <s v="JOSEFA KELY NUNES DE SOUSA"/>
    <n v="42862"/>
    <n v="2009"/>
    <n v="2022"/>
    <n v="2025"/>
    <n v="2017"/>
    <n v="2003"/>
    <n v="2039"/>
    <n v="2034"/>
    <n v="2007"/>
    <n v="2004"/>
    <n v="2060"/>
    <n v="2022"/>
    <s v=""/>
    <s v="assinatura"/>
    <n v="104"/>
    <n v="2000"/>
    <n v="1.0999999999999999E-2"/>
    <n v="22"/>
    <x v="5"/>
    <x v="1"/>
  </r>
  <r>
    <x v="39"/>
    <x v="2"/>
    <s v="6ab75081adfb4239b44a3dae"/>
    <s v="25/09/2026 17:45:18"/>
    <s v="26/09/2026 01:56:33"/>
    <s v="Ranieli"/>
    <s v="25/09/2026"/>
    <x v="0"/>
    <s v="JOSEFA KELY NUNES DE SOUSA"/>
    <n v="42854"/>
    <n v="2091"/>
    <n v="2100"/>
    <n v="2097"/>
    <n v="2076"/>
    <n v="2095"/>
    <n v="2057"/>
    <n v="2100"/>
    <n v="2117"/>
    <n v="2103"/>
    <n v="2095"/>
    <n v="2093.1"/>
    <s v=""/>
    <s v=""/>
    <n v="194"/>
    <n v="2080"/>
    <n v="6.2980769230768794E-3"/>
    <n v="13.099999999999909"/>
    <x v="4"/>
    <x v="1"/>
  </r>
  <r>
    <x v="39"/>
    <x v="2"/>
    <s v="6ab75081adfb4239b44a3da8"/>
    <s v="25/09/2026 17:38:45"/>
    <s v="26/09/2026 01:56:33"/>
    <s v="Ranieli"/>
    <s v="25/09/2026"/>
    <x v="0"/>
    <s v="JOSEFA KELY NUNES DE SOUSA"/>
    <n v="40762"/>
    <n v="9940"/>
    <n v="9985"/>
    <n v="10040"/>
    <n v="10015"/>
    <n v="9980"/>
    <n v="10095"/>
    <n v="10010"/>
    <n v="10030"/>
    <n v="9890"/>
    <n v="10065"/>
    <n v="10005"/>
    <s v=""/>
    <s v="assinatura"/>
    <n v="390"/>
    <n v="10000"/>
    <n v="5.0000000000000001E-4"/>
    <n v="5"/>
    <x v="3"/>
    <x v="1"/>
  </r>
  <r>
    <x v="39"/>
    <x v="2"/>
    <s v="6ab75081adfb4239b44a3da2"/>
    <s v="25/09/2026 17:34:22"/>
    <s v="26/09/2026 01:56:33"/>
    <s v="Ranieli"/>
    <s v="25/09/2026"/>
    <x v="0"/>
    <s v="JOSEFA KELY NUNES DE SOUSA"/>
    <n v="15849"/>
    <n v="991"/>
    <n v="1006"/>
    <n v="1015"/>
    <n v="1017"/>
    <n v="1011"/>
    <n v="997"/>
    <n v="1001"/>
    <n v="1008"/>
    <n v="997"/>
    <n v="998"/>
    <n v="1004.1"/>
    <s v=""/>
    <s v=""/>
    <n v="174"/>
    <n v="1000"/>
    <n v="4.1000000000000229E-3"/>
    <n v="4.1000000000000227"/>
    <x v="29"/>
    <x v="2"/>
  </r>
  <r>
    <x v="39"/>
    <x v="2"/>
    <s v="6ab75081adfb4239b44a3d9a"/>
    <s v="25/09/2026 17:29:46"/>
    <s v="26/09/2026 01:56:33"/>
    <s v="Ranieli"/>
    <s v="25/09/2026"/>
    <x v="0"/>
    <s v="JOSEFA KELY NUNES DE SOUSA"/>
    <n v="15105"/>
    <n v="995"/>
    <n v="1019"/>
    <n v="1050"/>
    <n v="1007"/>
    <n v="986"/>
    <n v="995"/>
    <n v="1012"/>
    <n v="761"/>
    <n v="1006"/>
    <n v="997"/>
    <n v="982.8"/>
    <s v=""/>
    <s v="assinatura"/>
    <n v="240"/>
    <n v="1000"/>
    <n v="-1.7200000000000045E-2"/>
    <n v="-17.200000000000045"/>
    <x v="0"/>
    <x v="0"/>
  </r>
  <r>
    <x v="39"/>
    <x v="2"/>
    <s v="6ab6f3b497a0ca5bd7529251"/>
    <s v="25/09/2026 19:16:22"/>
    <s v="25/09/2026 19:20:36"/>
    <s v="Ranieli"/>
    <s v="25/09/2026"/>
    <x v="0"/>
    <s v="JULIANE GOMES NOVAIS"/>
    <n v="209099"/>
    <n v="989"/>
    <n v="1084"/>
    <n v="1016"/>
    <n v="994"/>
    <n v="1005"/>
    <n v="1018"/>
    <n v="996"/>
    <n v="997"/>
    <n v="1004"/>
    <n v="986"/>
    <n v="1008.9"/>
    <s v=""/>
    <s v="assinatura"/>
    <n v="241"/>
    <n v="1000"/>
    <n v="8.8999999999999774E-3"/>
    <n v="8.8999999999999773"/>
    <x v="31"/>
    <x v="1"/>
  </r>
  <r>
    <x v="39"/>
    <x v="2"/>
    <s v="6ab6f2c92d48c2171f40a13b"/>
    <s v="25/09/2026 18:22:40"/>
    <s v="25/09/2026 19:16:41"/>
    <s v="Ranieli"/>
    <s v="25/09/2026"/>
    <x v="0"/>
    <s v="JULIANE GOMES NOVAIS"/>
    <n v="42854"/>
    <n v="1987"/>
    <n v="2094"/>
    <n v="2090"/>
    <n v="2019"/>
    <n v="2095"/>
    <n v="2085"/>
    <n v="2104"/>
    <n v="2099"/>
    <n v="2096"/>
    <n v="2056"/>
    <n v="2072.5"/>
    <s v=""/>
    <s v="assinatura"/>
    <n v="297"/>
    <n v="2080"/>
    <n v="-3.605769230769231E-3"/>
    <n v="-7.5"/>
    <x v="4"/>
    <x v="1"/>
  </r>
  <r>
    <x v="39"/>
    <x v="2"/>
    <s v="6ab6f2c92d48c2171f40a135"/>
    <s v="25/09/2026 18:14:47"/>
    <s v="25/09/2026 19:16:41"/>
    <s v="Ranieli"/>
    <s v="25/09/2026"/>
    <x v="0"/>
    <s v="JULIANE GOMES NOVAIS"/>
    <n v="42862"/>
    <n v="2052"/>
    <n v="2011"/>
    <n v="2053"/>
    <n v="2063"/>
    <n v="2017"/>
    <n v="2029"/>
    <n v="2018"/>
    <n v="2031"/>
    <n v="2002"/>
    <n v="2027"/>
    <n v="2030.3"/>
    <s v=""/>
    <s v="assinatura"/>
    <n v="753"/>
    <n v="2000"/>
    <n v="1.5149999999999978E-2"/>
    <n v="30.299999999999955"/>
    <x v="5"/>
    <x v="1"/>
  </r>
  <r>
    <x v="39"/>
    <x v="2"/>
    <s v="6ab6f2c92d48c2171f40a12f"/>
    <s v="25/09/2026 18:08:28"/>
    <s v="25/09/2026 19:16:41"/>
    <s v="Ranieli"/>
    <s v="25/09/2026"/>
    <x v="0"/>
    <s v="JULIANE GOMES NOVAIS"/>
    <n v="40762"/>
    <n v="10065"/>
    <n v="10075"/>
    <n v="10035"/>
    <n v="10050"/>
    <n v="10090"/>
    <n v="10095"/>
    <n v="10070"/>
    <n v="9770"/>
    <n v="10100"/>
    <n v="10010"/>
    <n v="10036"/>
    <s v=""/>
    <s v="assinatura"/>
    <n v="508"/>
    <n v="10000"/>
    <n v="3.5999999999999999E-3"/>
    <n v="36"/>
    <x v="3"/>
    <x v="1"/>
  </r>
  <r>
    <x v="39"/>
    <x v="2"/>
    <s v="6ab6f2c92d48c2171f40a129"/>
    <s v="25/09/2026 18:02:56"/>
    <s v="25/09/2026 19:16:41"/>
    <s v="Ranieli"/>
    <s v="25/09/2026"/>
    <x v="0"/>
    <s v="JULIANE GOMES NOVAIS"/>
    <n v="15105"/>
    <n v="1049"/>
    <n v="1027"/>
    <n v="997"/>
    <n v="1024"/>
    <n v="1000"/>
    <n v="1003"/>
    <n v="874"/>
    <n v="991"/>
    <n v="1000"/>
    <n v="992"/>
    <n v="995.7"/>
    <s v=""/>
    <s v="assinatura"/>
    <n v="183"/>
    <n v="1000"/>
    <n v="-4.2999999999999549E-3"/>
    <n v="-4.2999999999999545"/>
    <x v="0"/>
    <x v="0"/>
  </r>
  <r>
    <x v="39"/>
    <x v="2"/>
    <s v="6ab6b6d55255bb2a51fe8ed6"/>
    <s v="25/09/2026 14:12:42"/>
    <s v="25/09/2026 15:00:53"/>
    <s v="Ranieli"/>
    <s v="25/09/2026"/>
    <x v="1"/>
    <s v="ALANA DA SILVA MARTINS"/>
    <n v="54632"/>
    <n v="994"/>
    <n v="1008"/>
    <n v="1006"/>
    <n v="1000"/>
    <n v="1011"/>
    <n v="996"/>
    <n v="1010"/>
    <n v="1014"/>
    <n v="1011"/>
    <n v="998"/>
    <n v="1004.8"/>
    <s v=""/>
    <s v="assinatura"/>
    <n v="2883"/>
    <n v="1000"/>
    <n v="4.7999999999999545E-3"/>
    <n v="4.7999999999999545"/>
    <x v="11"/>
    <x v="1"/>
  </r>
  <r>
    <x v="39"/>
    <x v="2"/>
    <s v="6ab6b6c92d48c2171f406428"/>
    <s v="25/09/2026 14:17:42"/>
    <s v="25/09/2026 15:00:41"/>
    <s v="Ranieli"/>
    <s v="25/09/2026"/>
    <x v="1"/>
    <s v="ALANA DA SILVA MARTINS"/>
    <n v="50580"/>
    <n v="2028"/>
    <n v="2074"/>
    <n v="2078"/>
    <n v="2134"/>
    <n v="1990"/>
    <n v="2073"/>
    <n v="2023"/>
    <n v="2029"/>
    <n v="2067"/>
    <n v="2032"/>
    <n v="2052.8000000000002"/>
    <s v=""/>
    <s v="assinatura"/>
    <n v="2557"/>
    <n v="2000"/>
    <n v="2.640000000000009E-2"/>
    <n v="52.800000000000182"/>
    <x v="36"/>
    <x v="1"/>
  </r>
  <r>
    <x v="39"/>
    <x v="2"/>
    <s v="6ab6b69a5255bb2a51fe8e95"/>
    <s v="25/09/2026 14:22:28"/>
    <s v="25/09/2026 14:59:54"/>
    <s v="Ranieli"/>
    <s v="25/09/2026"/>
    <x v="1"/>
    <s v="ALANA DA SILVA MARTINS"/>
    <n v="42838"/>
    <n v="2072"/>
    <n v="2019"/>
    <n v="2042"/>
    <n v="2096"/>
    <n v="2058"/>
    <n v="2086"/>
    <n v="2087"/>
    <n v="1999"/>
    <n v="2084"/>
    <n v="2063"/>
    <n v="2060.6"/>
    <s v=""/>
    <s v="assinatura"/>
    <n v="2243"/>
    <n v="2000"/>
    <n v="3.0299999999999955E-2"/>
    <n v="60.599999999999909"/>
    <x v="7"/>
    <x v="1"/>
  </r>
  <r>
    <x v="39"/>
    <x v="2"/>
    <s v="6ab6b6872d48c2171f4063e6"/>
    <s v="25/09/2026 14:26:13"/>
    <s v="25/09/2026 14:59:35"/>
    <s v="Ranieli"/>
    <s v="25/09/2026"/>
    <x v="1"/>
    <s v="ALANA DA SILVA MARTINS"/>
    <n v="42854"/>
    <n v="2152"/>
    <n v="2157"/>
    <n v="2145"/>
    <n v="2143"/>
    <n v="2179"/>
    <n v="2154"/>
    <n v="2138"/>
    <n v="2146"/>
    <n v="2152"/>
    <n v="2147"/>
    <n v="2151.3000000000002"/>
    <s v=""/>
    <s v="assinatura"/>
    <n v="2000"/>
    <n v="2080"/>
    <n v="3.4278846153846243E-2"/>
    <n v="71.300000000000182"/>
    <x v="4"/>
    <x v="1"/>
  </r>
  <r>
    <x v="39"/>
    <x v="2"/>
    <s v="6ab6b675acf1d04b2dd9517f"/>
    <s v="25/09/2026 14:35:18"/>
    <s v="25/09/2026 14:59:17"/>
    <s v="Ranieli"/>
    <s v="25/09/2026"/>
    <x v="1"/>
    <s v="ALANA DA SILVA MARTINS"/>
    <n v="15105"/>
    <n v="1006"/>
    <n v="1052"/>
    <n v="1031"/>
    <n v="1091"/>
    <n v="1047"/>
    <n v="991"/>
    <n v="1023"/>
    <n v="1015"/>
    <n v="998"/>
    <n v="1012"/>
    <n v="1026.5999999999999"/>
    <s v=""/>
    <s v="assinatura"/>
    <n v="1436"/>
    <n v="1000"/>
    <n v="2.6599999999999908E-2"/>
    <n v="26.599999999999909"/>
    <x v="0"/>
    <x v="0"/>
  </r>
  <r>
    <x v="40"/>
    <x v="2"/>
    <s v="6ab5e3a4adfb4239b4479880"/>
    <s v="24/09/2026 23:55:11"/>
    <s v="24/09/2026 23:59:48"/>
    <s v="Ranieli"/>
    <s v="24/09/2026"/>
    <x v="0"/>
    <s v="JULIANE GOMES NOVAIS"/>
    <n v="209069"/>
    <n v="1023"/>
    <n v="1006"/>
    <n v="1007"/>
    <n v="1011"/>
    <n v="1015"/>
    <n v="973"/>
    <n v="1001"/>
    <n v="1014"/>
    <n v="1049"/>
    <n v="1094"/>
    <n v="1019.3"/>
    <s v=""/>
    <s v="assinatura"/>
    <n v="241"/>
    <n v="1000"/>
    <n v="1.9299999999999956E-2"/>
    <n v="19.299999999999955"/>
    <x v="28"/>
    <x v="0"/>
  </r>
  <r>
    <x v="40"/>
    <x v="2"/>
    <s v="6ab5e3a4adfb4239b447987a"/>
    <s v="24/09/2026 23:51:55"/>
    <s v="24/09/2026 23:59:48"/>
    <s v="Ranieli"/>
    <s v="24/09/2026"/>
    <x v="0"/>
    <s v="JULIANE GOMES NOVAIS"/>
    <n v="209069"/>
    <n v="1034"/>
    <n v="998"/>
    <n v="1017"/>
    <n v="1000"/>
    <n v="1012"/>
    <n v="1036"/>
    <n v="1023"/>
    <n v="995"/>
    <n v="1003"/>
    <n v="1013"/>
    <n v="1013.1"/>
    <s v=""/>
    <s v="assinatura"/>
    <n v="458"/>
    <n v="1000"/>
    <n v="1.3100000000000023E-2"/>
    <n v="13.100000000000023"/>
    <x v="28"/>
    <x v="0"/>
  </r>
  <r>
    <x v="40"/>
    <x v="2"/>
    <s v="6ab5e1ca0c83eeef88081ec9"/>
    <s v="24/09/2026 22:10:05"/>
    <s v="24/09/2026 23:51:54"/>
    <s v="Ranieli"/>
    <s v="24/09/2026"/>
    <x v="0"/>
    <s v="JULIANE GOMES NOVAIS"/>
    <n v="15105"/>
    <n v="1010"/>
    <n v="1019"/>
    <n v="1010"/>
    <n v="1034"/>
    <n v="1009"/>
    <n v="1014"/>
    <n v="1044"/>
    <n v="1035"/>
    <n v="1002"/>
    <n v="988"/>
    <n v="1016.5"/>
    <s v=""/>
    <s v="assinatura"/>
    <n v="2252"/>
    <n v="1000"/>
    <n v="1.6500000000000001E-2"/>
    <n v="16.5"/>
    <x v="0"/>
    <x v="0"/>
  </r>
  <r>
    <x v="40"/>
    <x v="2"/>
    <s v="6ab5c9c90289b29ebe86d1c9"/>
    <s v="24/09/2026 21:58:22"/>
    <s v="24/09/2026 22:09:29"/>
    <s v="Ranieli"/>
    <s v="24/09/2026"/>
    <x v="0"/>
    <s v="JULIANE GOMES NOVAIS"/>
    <n v="40762"/>
    <n v="10005"/>
    <n v="10025"/>
    <n v="10040"/>
    <n v="10035"/>
    <n v="9955"/>
    <n v="9990"/>
    <n v="10065"/>
    <n v="9960"/>
    <n v="10025"/>
    <n v="9950"/>
    <n v="10005"/>
    <s v=""/>
    <s v="assinatura"/>
    <n v="406"/>
    <n v="10000"/>
    <n v="5.0000000000000001E-4"/>
    <n v="5"/>
    <x v="3"/>
    <x v="1"/>
  </r>
  <r>
    <x v="40"/>
    <x v="2"/>
    <s v="6ab5c9c90289b29ebe86d1c3"/>
    <s v="24/09/2026 21:55:56"/>
    <s v="24/09/2026 22:09:29"/>
    <s v="Ranieli"/>
    <s v="24/09/2026"/>
    <x v="0"/>
    <s v="JULIANE GOMES NOVAIS"/>
    <n v="40762"/>
    <n v="10060"/>
    <n v="10000"/>
    <n v="9820"/>
    <n v="10015"/>
    <n v="9960"/>
    <n v="10075"/>
    <n v="10042"/>
    <n v="10000"/>
    <n v="10080"/>
    <n v="10010"/>
    <n v="10006.200000000001"/>
    <s v=""/>
    <s v="assinatura"/>
    <n v="584"/>
    <n v="10000"/>
    <n v="6.2000000000007275E-4"/>
    <n v="6.2000000000007276"/>
    <x v="3"/>
    <x v="1"/>
  </r>
  <r>
    <x v="40"/>
    <x v="2"/>
    <s v="6ab5c9c90289b29ebe86d1bd"/>
    <s v="24/09/2026 21:53:06"/>
    <s v="24/09/2026 22:09:29"/>
    <s v="Ranieli"/>
    <s v="24/09/2026"/>
    <x v="0"/>
    <s v="JULIANE GOMES NOVAIS"/>
    <n v="40762"/>
    <n v="10060"/>
    <n v="10045"/>
    <n v="10130"/>
    <n v="9700"/>
    <n v="10000"/>
    <n v="10050"/>
    <n v="10060"/>
    <n v="10005"/>
    <n v="9950"/>
    <n v="9895"/>
    <n v="9989.5"/>
    <s v=""/>
    <s v="assinatura"/>
    <n v="783"/>
    <n v="10000"/>
    <n v="-1.0499999999999999E-3"/>
    <n v="-10.5"/>
    <x v="3"/>
    <x v="1"/>
  </r>
  <r>
    <x v="40"/>
    <x v="2"/>
    <s v="6ab5c9c90289b29ebe86d1b5"/>
    <s v="24/09/2026 21:50:41"/>
    <s v="24/09/2026 22:09:29"/>
    <s v="Ranieli"/>
    <s v="24/09/2026"/>
    <x v="0"/>
    <s v="JULIANE GOMES NOVAIS"/>
    <n v="54632"/>
    <n v="1016"/>
    <n v="1006"/>
    <n v="1006"/>
    <n v="1042"/>
    <n v="1014"/>
    <n v="1017"/>
    <n v="1010"/>
    <n v="1018"/>
    <n v="1013"/>
    <n v="1005"/>
    <n v="1014.7"/>
    <s v=""/>
    <s v="assinatura"/>
    <n v="941"/>
    <n v="1000"/>
    <n v="1.4700000000000045E-2"/>
    <n v="14.700000000000045"/>
    <x v="11"/>
    <x v="1"/>
  </r>
  <r>
    <x v="40"/>
    <x v="2"/>
    <s v="6ab5c9c90289b29ebe86d1af"/>
    <s v="24/09/2026 21:42:39"/>
    <s v="24/09/2026 22:09:29"/>
    <s v="Ranieli"/>
    <s v="24/09/2026"/>
    <x v="0"/>
    <s v="JULIANE GOMES NOVAIS"/>
    <n v="42862"/>
    <n v="2016"/>
    <n v="2016"/>
    <n v="2036"/>
    <n v="2021"/>
    <n v="2026"/>
    <n v="2028"/>
    <n v="2024"/>
    <n v="2043"/>
    <n v="2013"/>
    <n v="2000"/>
    <n v="2022.3"/>
    <s v=""/>
    <s v="assinatura"/>
    <n v="1445"/>
    <n v="2000"/>
    <n v="1.1149999999999978E-2"/>
    <n v="22.299999999999955"/>
    <x v="5"/>
    <x v="1"/>
  </r>
  <r>
    <x v="40"/>
    <x v="2"/>
    <s v="6ab5c9c90289b29ebe86d1a9"/>
    <s v="24/09/2026 21:40:52"/>
    <s v="24/09/2026 22:09:29"/>
    <s v="Ranieli"/>
    <s v="24/09/2026"/>
    <x v="0"/>
    <s v="JULIANE GOMES NOVAIS"/>
    <n v="42854"/>
    <n v="2114"/>
    <n v="2120"/>
    <n v="2112"/>
    <n v="2109"/>
    <n v="2103"/>
    <n v="2100"/>
    <n v="2108"/>
    <n v="2105"/>
    <n v="2102"/>
    <n v="2122"/>
    <n v="2109.5"/>
    <s v=""/>
    <s v="assinatura"/>
    <n v="1573"/>
    <n v="2080"/>
    <n v="1.4182692307692308E-2"/>
    <n v="29.5"/>
    <x v="4"/>
    <x v="1"/>
  </r>
  <r>
    <x v="40"/>
    <x v="2"/>
    <s v="6ab5c9c90289b29ebe86d1a3"/>
    <s v="24/09/2026 21:38:56"/>
    <s v="24/09/2026 22:09:29"/>
    <s v="Ranieli"/>
    <s v="24/09/2026"/>
    <x v="0"/>
    <s v="JULIANE GOMES NOVAIS"/>
    <n v="42838"/>
    <n v="2039"/>
    <n v="2027"/>
    <n v="2034"/>
    <n v="2050"/>
    <n v="2026"/>
    <n v="2026"/>
    <n v="2015"/>
    <n v="2027"/>
    <n v="2032"/>
    <n v="2023"/>
    <n v="2029.9"/>
    <s v=""/>
    <s v="assinatura"/>
    <n v="1707"/>
    <n v="2000"/>
    <n v="1.4950000000000045E-2"/>
    <n v="29.900000000000091"/>
    <x v="7"/>
    <x v="1"/>
  </r>
  <r>
    <x v="40"/>
    <x v="2"/>
    <s v="6ab5c9c90289b29ebe86d19d"/>
    <s v="24/09/2026 21:35:43"/>
    <s v="24/09/2026 22:09:29"/>
    <s v="Ranieli"/>
    <s v="24/09/2026"/>
    <x v="0"/>
    <s v="JULIANE GOMES NOVAIS"/>
    <n v="42820"/>
    <n v="2025"/>
    <n v="2013"/>
    <n v="2014"/>
    <n v="2085"/>
    <n v="2021"/>
    <n v="2070"/>
    <n v="2013"/>
    <n v="2010"/>
    <n v="2020"/>
    <n v="2099"/>
    <n v="2037"/>
    <s v=""/>
    <s v="assinatura"/>
    <n v="1923"/>
    <n v="2000"/>
    <n v="1.8499999999999999E-2"/>
    <n v="37"/>
    <x v="10"/>
    <x v="1"/>
  </r>
  <r>
    <x v="40"/>
    <x v="2"/>
    <s v="6ab5c9c90289b29ebe86d197"/>
    <s v="24/09/2026 21:33:07"/>
    <s v="24/09/2026 22:09:29"/>
    <s v="Ranieli"/>
    <s v="24/09/2026"/>
    <x v="0"/>
    <s v="JULIANE GOMES NOVAIS"/>
    <n v="42811"/>
    <n v="2044"/>
    <n v="2003"/>
    <n v="2032"/>
    <n v="2010"/>
    <n v="2034"/>
    <n v="2060"/>
    <n v="2017"/>
    <n v="2073"/>
    <n v="2055"/>
    <n v="2032"/>
    <n v="2036"/>
    <s v=""/>
    <s v="assinatura"/>
    <n v="2094"/>
    <n v="2000"/>
    <n v="1.7999999999999999E-2"/>
    <n v="36"/>
    <x v="32"/>
    <x v="1"/>
  </r>
  <r>
    <x v="40"/>
    <x v="2"/>
    <s v="6ab5c9c90289b29ebe86d185"/>
    <s v="24/09/2026 21:13:36"/>
    <s v="24/09/2026 22:09:29"/>
    <s v="Ranieli"/>
    <s v="24/09/2026"/>
    <x v="0"/>
    <s v="JULIANE GOMES NOVAIS"/>
    <n v="18228"/>
    <n v="995"/>
    <n v="1004"/>
    <n v="999"/>
    <n v="1000"/>
    <n v="998"/>
    <n v="1005"/>
    <n v="997"/>
    <n v="996"/>
    <n v="1003"/>
    <n v="1005"/>
    <n v="1000.2"/>
    <s v=""/>
    <s v="assinatura"/>
    <n v="776"/>
    <n v="1000"/>
    <n v="2.0000000000004546E-4"/>
    <n v="0.20000000000004547"/>
    <x v="16"/>
    <x v="4"/>
  </r>
  <r>
    <x v="40"/>
    <x v="2"/>
    <s v="6ab5a1570c83eeef88080252"/>
    <s v="24/09/2026 18:27:39"/>
    <s v="24/09/2026 19:16:55"/>
    <s v="Ranieli"/>
    <s v="24/09/2026"/>
    <x v="0"/>
    <s v="JULIANE GOMES NOVAIS"/>
    <n v="793124"/>
    <n v="2000"/>
    <n v="2006"/>
    <n v="2005"/>
    <n v="2008"/>
    <n v="2014"/>
    <n v="1992"/>
    <n v="2000"/>
    <n v="2005"/>
    <n v="2004"/>
    <n v="2005"/>
    <n v="2003.9"/>
    <s v=""/>
    <s v="assinatura"/>
    <n v="2954"/>
    <n v="2000"/>
    <n v="1.9500000000000454E-3"/>
    <n v="3.9000000000000909"/>
    <x v="37"/>
    <x v="8"/>
  </r>
  <r>
    <x v="40"/>
    <x v="2"/>
    <s v="6ab5a1540289b29ebe86be7a"/>
    <s v="24/09/2026 18:39:13"/>
    <s v="24/09/2026 19:16:52"/>
    <s v="Ranieli"/>
    <s v="24/09/2026"/>
    <x v="0"/>
    <s v="JULIANE GOMES NOVAIS"/>
    <n v="42820"/>
    <n v="2030"/>
    <n v="2041"/>
    <n v="2009"/>
    <n v="2016"/>
    <n v="2002"/>
    <n v="2008"/>
    <n v="2014"/>
    <n v="2040"/>
    <n v="2019"/>
    <n v="2025"/>
    <n v="2020.4"/>
    <s v=""/>
    <s v=""/>
    <n v="460"/>
    <n v="2000"/>
    <n v="1.0200000000000046E-2"/>
    <n v="20.400000000000091"/>
    <x v="10"/>
    <x v="1"/>
  </r>
  <r>
    <x v="40"/>
    <x v="2"/>
    <s v="6ab5a1540289b29ebe86be74"/>
    <s v="24/09/2026 18:13:00"/>
    <s v="24/09/2026 19:16:52"/>
    <s v="Ranieli"/>
    <s v="24/09/2026"/>
    <x v="0"/>
    <s v="JULIANE GOMES NOVAIS"/>
    <n v="54632"/>
    <n v="1008"/>
    <n v="1002"/>
    <n v="1007"/>
    <n v="998"/>
    <n v="1008"/>
    <n v="1012"/>
    <n v="1005"/>
    <n v="1014"/>
    <n v="1000"/>
    <n v="1012"/>
    <n v="1006.6"/>
    <s v=""/>
    <s v="assinatura"/>
    <n v="271"/>
    <n v="1000"/>
    <n v="6.6000000000000225E-3"/>
    <n v="6.6000000000000227"/>
    <x v="11"/>
    <x v="1"/>
  </r>
  <r>
    <x v="40"/>
    <x v="2"/>
    <s v="6ab5a1530289b29ebe86be6e"/>
    <s v="24/09/2026 18:05:39"/>
    <s v="24/09/2026 19:16:51"/>
    <s v="Ranieli"/>
    <s v="24/09/2026"/>
    <x v="0"/>
    <s v="JULIANE GOMES NOVAIS"/>
    <n v="42862"/>
    <n v="2014"/>
    <n v="2015"/>
    <n v="2055"/>
    <n v="2036"/>
    <n v="2025"/>
    <n v="2014"/>
    <n v="2031"/>
    <n v="2024"/>
    <n v="2027"/>
    <n v="2045"/>
    <n v="2028.6"/>
    <s v=""/>
    <s v="assinatura"/>
    <n v="620"/>
    <n v="2000"/>
    <n v="1.4299999999999955E-2"/>
    <n v="28.599999999999909"/>
    <x v="5"/>
    <x v="1"/>
  </r>
  <r>
    <x v="40"/>
    <x v="2"/>
    <s v="6ab5a1530289b29ebe86be68"/>
    <s v="24/09/2026 18:02:03"/>
    <s v="24/09/2026 19:16:51"/>
    <s v="Ranieli"/>
    <s v="24/09/2026"/>
    <x v="0"/>
    <s v="JULIANE GOMES NOVAIS"/>
    <n v="42854"/>
    <n v="2113"/>
    <n v="2113"/>
    <n v="2118"/>
    <n v="2109"/>
    <n v="2119"/>
    <n v="2108"/>
    <n v="2030"/>
    <n v="2118"/>
    <n v="2111"/>
    <n v="2126"/>
    <n v="2106.5"/>
    <s v=""/>
    <s v="assinatura"/>
    <n v="856"/>
    <n v="2080"/>
    <n v="1.2740384615384615E-2"/>
    <n v="26.5"/>
    <x v="4"/>
    <x v="1"/>
  </r>
  <r>
    <x v="40"/>
    <x v="2"/>
    <s v="6ab5a1530289b29ebe86be62"/>
    <s v="24/09/2026 17:58:02"/>
    <s v="24/09/2026 19:16:51"/>
    <s v="Ranieli"/>
    <s v="24/09/2026"/>
    <x v="0"/>
    <s v="JULIANE GOMES NOVAIS"/>
    <n v="42838"/>
    <n v="2016"/>
    <n v="2028"/>
    <n v="2033"/>
    <n v="2028"/>
    <n v="2016"/>
    <n v="2033"/>
    <n v="2029"/>
    <n v="2034"/>
    <n v="2010"/>
    <n v="2015"/>
    <n v="2024.2"/>
    <s v=""/>
    <s v="assinatura"/>
    <n v="1112"/>
    <n v="2000"/>
    <n v="1.2100000000000022E-2"/>
    <n v="24.200000000000045"/>
    <x v="7"/>
    <x v="1"/>
  </r>
  <r>
    <x v="40"/>
    <x v="2"/>
    <s v="6ab5a1530289b29ebe86be50"/>
    <s v="24/09/2026 17:29:22"/>
    <s v="24/09/2026 19:16:51"/>
    <s v="Ranieli"/>
    <s v="24/09/2026"/>
    <x v="0"/>
    <s v="JULIANE GOMES NOVAIS"/>
    <n v="963925"/>
    <n v="18130"/>
    <n v="18050"/>
    <n v="18265"/>
    <n v="18175"/>
    <n v="18255"/>
    <n v="17995"/>
    <n v="18000"/>
    <n v="18250"/>
    <n v="17990"/>
    <n v="18235"/>
    <n v="18134.5"/>
    <s v=""/>
    <s v="assinatura"/>
    <n v="1934"/>
    <n v="18000"/>
    <n v="7.4722222222222221E-3"/>
    <n v="134.5"/>
    <x v="15"/>
    <x v="3"/>
  </r>
  <r>
    <x v="40"/>
    <x v="2"/>
    <s v="6ab5a1530289b29ebe86be4a"/>
    <s v="24/09/2026 17:27:36"/>
    <s v="24/09/2026 19:16:51"/>
    <s v="Ranieli"/>
    <s v="24/09/2026"/>
    <x v="0"/>
    <s v="JULIANE GOMES NOVAIS"/>
    <n v="55552"/>
    <n v="15000"/>
    <n v="15020"/>
    <n v="15000"/>
    <n v="14995"/>
    <n v="15005"/>
    <n v="15000"/>
    <n v="15005"/>
    <n v="15000"/>
    <n v="14990"/>
    <n v="15030"/>
    <n v="15004.5"/>
    <s v=""/>
    <s v="assinatura"/>
    <n v="473"/>
    <n v="15000"/>
    <n v="2.9999999999999997E-4"/>
    <n v="4.5"/>
    <x v="25"/>
    <x v="1"/>
  </r>
  <r>
    <x v="40"/>
    <x v="2"/>
    <s v="6ab5a1530289b29ebe86be44"/>
    <s v="24/09/2026 17:22:18"/>
    <s v="24/09/2026 19:16:51"/>
    <s v="Ranieli"/>
    <s v="24/09/2026"/>
    <x v="0"/>
    <s v="JULIANE GOMES NOVAIS"/>
    <n v="40762"/>
    <n v="10055"/>
    <n v="10060"/>
    <n v="10005"/>
    <n v="10025"/>
    <n v="10015"/>
    <n v="9980"/>
    <n v="10020"/>
    <n v="10065"/>
    <n v="9995"/>
    <n v="9990"/>
    <n v="10021"/>
    <s v=""/>
    <s v="assinatura"/>
    <n v="816"/>
    <n v="10000"/>
    <n v="2.0999999999999999E-3"/>
    <n v="21"/>
    <x v="3"/>
    <x v="1"/>
  </r>
  <r>
    <x v="40"/>
    <x v="2"/>
    <s v="6ab5a1530289b29ebe86be3e"/>
    <s v="24/09/2026 16:13:16"/>
    <s v="24/09/2026 19:16:51"/>
    <s v="Ranieli"/>
    <s v="24/09/2026"/>
    <x v="0"/>
    <s v="JULIANE GOMES NOVAIS"/>
    <n v="15105"/>
    <n v="1012"/>
    <n v="1023"/>
    <n v="999"/>
    <n v="1038"/>
    <n v="1014"/>
    <n v="1031"/>
    <n v="991"/>
    <n v="1002"/>
    <n v="1038"/>
    <n v="1036"/>
    <n v="1018.4"/>
    <s v=""/>
    <s v="assinatura"/>
    <n v="1762"/>
    <n v="1000"/>
    <n v="1.8399999999999979E-2"/>
    <n v="18.399999999999977"/>
    <x v="0"/>
    <x v="0"/>
  </r>
  <r>
    <x v="38"/>
    <x v="2"/>
    <s v="6ab584bae3b3b33e06ed3d36"/>
    <s v="23/09/2026 12:36:34"/>
    <s v="24/09/2026 17:14:50"/>
    <s v="Ranieli"/>
    <s v="23/09/2026"/>
    <x v="1"/>
    <s v="ALANA DA SILVA MARTINS"/>
    <n v="15105"/>
    <n v="1007"/>
    <n v="1019"/>
    <n v="1046"/>
    <n v="995"/>
    <n v="1000"/>
    <n v="993"/>
    <n v="1026"/>
    <n v="994"/>
    <n v="1003"/>
    <n v="1022"/>
    <n v="1010.5"/>
    <s v=""/>
    <s v=""/>
    <n v="103094"/>
    <n v="1000"/>
    <n v="1.0500000000000001E-2"/>
    <n v="10.5"/>
    <x v="0"/>
    <x v="0"/>
  </r>
  <r>
    <x v="40"/>
    <x v="2"/>
    <s v="6ab58492e3b3b33e06ed3cfc"/>
    <s v="24/09/2026 17:11:17"/>
    <s v="24/09/2026 17:14:10"/>
    <s v="Ranieli"/>
    <s v="24/09/2026"/>
    <x v="1"/>
    <s v="ALANA DA SILVA MARTINS"/>
    <n v="197734"/>
    <n v="1015"/>
    <n v="1034"/>
    <n v="1016"/>
    <n v="1013"/>
    <n v="1027"/>
    <n v="1016"/>
    <n v="1022"/>
    <n v="1015"/>
    <n v="1010"/>
    <n v="1042"/>
    <n v="1021"/>
    <s v=""/>
    <s v="assinatura"/>
    <n v="161"/>
    <n v="1000"/>
    <n v="2.1000000000000001E-2"/>
    <n v="21"/>
    <x v="2"/>
    <x v="2"/>
  </r>
  <r>
    <x v="41"/>
    <x v="2"/>
    <s v="6abb47852d48c2171f434110"/>
    <s v="28/09/2026 23:53:45"/>
    <s v="29/09/2026 02:07:17"/>
    <s v="Ranieli"/>
    <s v="28/09/2026"/>
    <x v="0"/>
    <s v="JOSEFA KELY NUNES DE SOUSA"/>
    <n v="15229"/>
    <n v="1007"/>
    <n v="1004"/>
    <n v="1013"/>
    <n v="1000"/>
    <n v="1003"/>
    <n v="995"/>
    <n v="1005"/>
    <n v="1004"/>
    <n v="1015"/>
    <n v="1011"/>
    <n v="1005.7"/>
    <s v=""/>
    <s v=""/>
    <n v="826"/>
    <n v="1000"/>
    <n v="5.7000000000000453E-3"/>
    <n v="5.7000000000000455"/>
    <x v="9"/>
    <x v="1"/>
  </r>
  <r>
    <x v="41"/>
    <x v="2"/>
    <s v="6abb47852d48c2171f43410a"/>
    <s v="28/09/2026 23:50:30"/>
    <s v="29/09/2026 02:07:17"/>
    <s v="Ranieli"/>
    <s v="28/09/2026"/>
    <x v="0"/>
    <s v="JOSEFA KELY NUNES DE SOUSA"/>
    <n v="13188"/>
    <n v="1004"/>
    <n v="1001"/>
    <n v="999"/>
    <n v="1000"/>
    <n v="1021"/>
    <n v="1019"/>
    <n v="1003"/>
    <n v="1009"/>
    <n v="1004"/>
    <n v="997"/>
    <n v="1005.7"/>
    <s v=""/>
    <s v="assinatura"/>
    <n v="194"/>
    <n v="1000"/>
    <n v="5.7000000000000453E-3"/>
    <n v="5.7000000000000455"/>
    <x v="8"/>
    <x v="1"/>
  </r>
  <r>
    <x v="41"/>
    <x v="2"/>
    <s v="6abb47842d48c2171f4340fe"/>
    <s v="28/09/2026 22:56:24"/>
    <s v="29/09/2026 02:07:16"/>
    <s v="Ranieli"/>
    <s v="28/09/2026"/>
    <x v="0"/>
    <s v="JOSEFA KELY NUNES DE SOUSA"/>
    <n v="15105"/>
    <n v="1023"/>
    <n v="1025"/>
    <n v="1026"/>
    <n v="1003"/>
    <n v="1012"/>
    <n v="1003"/>
    <n v="1001"/>
    <n v="993"/>
    <n v="1029"/>
    <n v="1021"/>
    <n v="1013.6"/>
    <s v=""/>
    <s v="assinatura"/>
    <n v="10612"/>
    <n v="1000"/>
    <n v="1.3600000000000024E-2"/>
    <n v="13.600000000000023"/>
    <x v="0"/>
    <x v="0"/>
  </r>
  <r>
    <x v="41"/>
    <x v="2"/>
    <s v="6abb47842d48c2171f4340f8"/>
    <s v="28/09/2026 22:52:44"/>
    <s v="29/09/2026 02:07:16"/>
    <s v="Ranieli"/>
    <s v="28/09/2026"/>
    <x v="0"/>
    <s v="JOSEFA KELY NUNES DE SOUSA"/>
    <n v="15849"/>
    <n v="1003"/>
    <n v="1019"/>
    <n v="1001"/>
    <n v="996"/>
    <n v="998"/>
    <n v="1013"/>
    <n v="1016"/>
    <n v="1007"/>
    <n v="997"/>
    <n v="1019"/>
    <n v="1006.9"/>
    <s v=""/>
    <s v=""/>
    <n v="10139"/>
    <n v="1000"/>
    <n v="6.8999999999999773E-3"/>
    <n v="6.8999999999999773"/>
    <x v="29"/>
    <x v="2"/>
  </r>
  <r>
    <x v="41"/>
    <x v="2"/>
    <s v="6abb47842d48c2171f4340f2"/>
    <s v="28/09/2026 22:48:33"/>
    <s v="29/09/2026 02:07:16"/>
    <s v="Ranieli"/>
    <s v="28/09/2026"/>
    <x v="0"/>
    <s v="JOSEFA KELY NUNES DE SOUSA"/>
    <n v="40762"/>
    <n v="10030"/>
    <n v="9920"/>
    <n v="10005"/>
    <n v="9975"/>
    <n v="10050"/>
    <n v="10080"/>
    <n v="9960"/>
    <n v="9940"/>
    <n v="10090"/>
    <n v="9960"/>
    <n v="10001"/>
    <s v=""/>
    <s v="assinatura"/>
    <n v="9157"/>
    <n v="10000"/>
    <n v="1E-4"/>
    <n v="1"/>
    <x v="3"/>
    <x v="1"/>
  </r>
  <r>
    <x v="41"/>
    <x v="2"/>
    <s v="6abb47842d48c2171f4340ec"/>
    <s v="28/09/2026 22:43:55"/>
    <s v="29/09/2026 02:07:16"/>
    <s v="Ranieli"/>
    <s v="28/09/2026"/>
    <x v="0"/>
    <s v="JOSEFA KELY NUNES DE SOUSA"/>
    <n v="42838"/>
    <n v="2036"/>
    <n v="2022"/>
    <n v="2013"/>
    <n v="2009"/>
    <n v="2021"/>
    <n v="2020"/>
    <n v="2007"/>
    <n v="2025"/>
    <n v="2010"/>
    <n v="2019"/>
    <n v="2018.2"/>
    <s v=""/>
    <s v="assinatura"/>
    <n v="8238"/>
    <n v="2000"/>
    <n v="9.100000000000023E-3"/>
    <n v="18.200000000000045"/>
    <x v="7"/>
    <x v="1"/>
  </r>
  <r>
    <x v="41"/>
    <x v="2"/>
    <s v="6abb47842d48c2171f4340e6"/>
    <s v="28/09/2026 22:40:14"/>
    <s v="29/09/2026 02:07:16"/>
    <s v="Ranieli"/>
    <s v="28/09/2026"/>
    <x v="0"/>
    <s v="JOSEFA KELY NUNES DE SOUSA"/>
    <n v="42854"/>
    <n v="2097"/>
    <n v="2082"/>
    <n v="2021"/>
    <n v="2094"/>
    <n v="2080"/>
    <n v="2103"/>
    <n v="2091"/>
    <n v="2083"/>
    <n v="2092"/>
    <n v="2105"/>
    <n v="2084.8000000000002"/>
    <s v=""/>
    <s v=""/>
    <n v="219"/>
    <n v="2080"/>
    <n v="2.3076923076923951E-3"/>
    <n v="4.8000000000001819"/>
    <x v="4"/>
    <x v="1"/>
  </r>
  <r>
    <x v="41"/>
    <x v="2"/>
    <s v="6abb47842d48c2171f4340e0"/>
    <s v="28/09/2026 22:35:56"/>
    <s v="29/09/2026 02:07:16"/>
    <s v="Ranieli"/>
    <s v="28/09/2026"/>
    <x v="0"/>
    <s v="JOSEFA KELY NUNES DE SOUSA"/>
    <n v="42846"/>
    <n v="2003"/>
    <n v="2027"/>
    <n v="2001"/>
    <n v="2023"/>
    <n v="1992"/>
    <n v="1985"/>
    <n v="1996"/>
    <n v="2051"/>
    <n v="2030"/>
    <n v="2026"/>
    <n v="2013.4"/>
    <s v=""/>
    <s v="assinatura"/>
    <n v="257"/>
    <n v="2000"/>
    <n v="6.7000000000000453E-3"/>
    <n v="13.400000000000091"/>
    <x v="6"/>
    <x v="1"/>
  </r>
  <r>
    <x v="41"/>
    <x v="2"/>
    <s v="6abb47842d48c2171f4340da"/>
    <s v="28/09/2026 22:32:48"/>
    <s v="29/09/2026 02:07:16"/>
    <s v="Ranieli"/>
    <s v="28/09/2026"/>
    <x v="0"/>
    <s v="JOSEFA KELY NUNES DE SOUSA"/>
    <n v="42862"/>
    <n v="2001"/>
    <n v="2015"/>
    <n v="2016"/>
    <n v="1997"/>
    <n v="2017"/>
    <n v="2028"/>
    <n v="2000"/>
    <n v="2015"/>
    <n v="2028"/>
    <n v="2038"/>
    <n v="2015.5"/>
    <s v=""/>
    <s v=""/>
    <n v="187"/>
    <n v="2000"/>
    <n v="7.7499999999999999E-3"/>
    <n v="15.5"/>
    <x v="5"/>
    <x v="1"/>
  </r>
  <r>
    <x v="41"/>
    <x v="2"/>
    <s v="6abb47842d48c2171f4340d4"/>
    <s v="28/09/2026 22:28:00"/>
    <s v="29/09/2026 02:07:16"/>
    <s v="Ranieli"/>
    <s v="28/09/2026"/>
    <x v="0"/>
    <s v="JOSEFA KELY NUNES DE SOUSA"/>
    <n v="50580"/>
    <n v="2069"/>
    <n v="2072"/>
    <n v="2075"/>
    <n v="2028"/>
    <n v="1969"/>
    <n v="2029"/>
    <n v="2029"/>
    <n v="2022"/>
    <n v="2009"/>
    <n v="2075"/>
    <n v="2037.7"/>
    <s v=""/>
    <s v="assinatura"/>
    <n v="286"/>
    <n v="2000"/>
    <n v="1.8850000000000023E-2"/>
    <n v="37.700000000000045"/>
    <x v="36"/>
    <x v="1"/>
  </r>
  <r>
    <x v="41"/>
    <x v="2"/>
    <s v="6abb47842d48c2171f4340c8"/>
    <s v="28/09/2026 19:34:24"/>
    <s v="29/09/2026 02:07:16"/>
    <s v="Ranieli"/>
    <s v="28/09/2026"/>
    <x v="0"/>
    <s v="JOSEFA KELY NUNES DE SOUSA"/>
    <n v="197726"/>
    <n v="998"/>
    <n v="1001"/>
    <n v="995"/>
    <n v="1005"/>
    <n v="1005"/>
    <n v="1015"/>
    <n v="999"/>
    <n v="995"/>
    <n v="1009"/>
    <n v="1007"/>
    <n v="1002.9"/>
    <s v=""/>
    <s v="assinatura"/>
    <n v="235"/>
    <n v="1000"/>
    <n v="2.8999999999999772E-3"/>
    <n v="2.8999999999999773"/>
    <x v="38"/>
    <x v="1"/>
  </r>
  <r>
    <x v="41"/>
    <x v="2"/>
    <s v="6abb47842d48c2171f4340c2"/>
    <s v="28/09/2026 19:12:00"/>
    <s v="29/09/2026 02:07:16"/>
    <s v="Ranieli"/>
    <s v="28/09/2026"/>
    <x v="0"/>
    <s v="JOSEFA KELY NUNES DE SOUSA"/>
    <n v="15849"/>
    <n v="1014"/>
    <n v="1016"/>
    <n v="997"/>
    <n v="1003"/>
    <n v="1002"/>
    <n v="997"/>
    <n v="1008"/>
    <n v="1004"/>
    <n v="1014"/>
    <n v="1013"/>
    <n v="1006.8"/>
    <s v=""/>
    <s v="assinatura"/>
    <n v="1343"/>
    <n v="1000"/>
    <n v="6.7999999999999545E-3"/>
    <n v="6.7999999999999545"/>
    <x v="29"/>
    <x v="2"/>
  </r>
  <r>
    <x v="41"/>
    <x v="2"/>
    <s v="6abb47842d48c2171f4340bc"/>
    <s v="28/09/2026 19:05:50"/>
    <s v="29/09/2026 02:07:16"/>
    <s v="Ranieli"/>
    <s v="28/09/2026"/>
    <x v="0"/>
    <s v="JOSEFA KELY NUNES DE SOUSA"/>
    <n v="40762"/>
    <n v="10060"/>
    <n v="10010"/>
    <n v="9960"/>
    <n v="9975"/>
    <n v="10010"/>
    <n v="10020"/>
    <n v="10010"/>
    <n v="9965"/>
    <n v="10015"/>
    <n v="9975"/>
    <n v="10000"/>
    <s v=""/>
    <s v="assinatura"/>
    <n v="1962"/>
    <n v="10000"/>
    <n v="0"/>
    <n v="0"/>
    <x v="3"/>
    <x v="1"/>
  </r>
  <r>
    <x v="41"/>
    <x v="2"/>
    <s v="6abb47832d48c2171f4340b0"/>
    <s v="28/09/2026 18:09:08"/>
    <s v="29/09/2026 02:07:15"/>
    <s v="Ranieli"/>
    <s v="28/09/2026"/>
    <x v="0"/>
    <s v="JOSEFA KELY NUNES DE SOUSA"/>
    <n v="15229"/>
    <n v="997"/>
    <n v="1016"/>
    <n v="1002"/>
    <n v="1001"/>
    <n v="1013"/>
    <n v="1002"/>
    <n v="1000"/>
    <n v="1010"/>
    <n v="1005"/>
    <n v="994"/>
    <n v="1004"/>
    <s v=""/>
    <s v=""/>
    <n v="133"/>
    <n v="1000"/>
    <n v="4.0000000000000001E-3"/>
    <n v="4"/>
    <x v="9"/>
    <x v="1"/>
  </r>
  <r>
    <x v="41"/>
    <x v="2"/>
    <s v="6abb47832d48c2171f4340a8"/>
    <s v="28/09/2026 18:06:11"/>
    <s v="29/09/2026 02:07:15"/>
    <s v="Ranieli"/>
    <s v="28/09/2026"/>
    <x v="0"/>
    <s v="JOSEFA KELY NUNES DE SOUSA"/>
    <n v="13188"/>
    <n v="1004"/>
    <n v="1007"/>
    <n v="1002"/>
    <n v="1008"/>
    <n v="1001"/>
    <n v="1001"/>
    <n v="1008"/>
    <n v="1006"/>
    <n v="1011"/>
    <n v="1011"/>
    <n v="1005.9"/>
    <s v=""/>
    <s v="assinatura"/>
    <n v="176"/>
    <n v="1000"/>
    <n v="5.8999999999999773E-3"/>
    <n v="5.8999999999999773"/>
    <x v="8"/>
    <x v="1"/>
  </r>
  <r>
    <x v="41"/>
    <x v="2"/>
    <s v="6abb47832d48c2171f4340a2"/>
    <s v="28/09/2026 17:28:59"/>
    <s v="29/09/2026 02:07:15"/>
    <s v="Ranieli"/>
    <s v="28/09/2026"/>
    <x v="0"/>
    <s v="JOSEFA KELY NUNES DE SOUSA"/>
    <n v="992093"/>
    <n v="5009"/>
    <n v="5013"/>
    <n v="5002"/>
    <n v="5015"/>
    <n v="5003"/>
    <n v="5006"/>
    <n v="5012"/>
    <n v="5002"/>
    <n v="5009"/>
    <n v="5001"/>
    <n v="5007.2"/>
    <s v=""/>
    <s v="assinatura"/>
    <n v="2156"/>
    <n v="5000"/>
    <n v="1.4399999999999637E-3"/>
    <n v="7.1999999999998181"/>
    <x v="13"/>
    <x v="3"/>
  </r>
  <r>
    <x v="41"/>
    <x v="2"/>
    <s v="6abb47832d48c2171f43409c"/>
    <s v="28/09/2026 17:24:03"/>
    <s v="29/09/2026 02:07:15"/>
    <s v="Ranieli"/>
    <s v="28/09/2026"/>
    <x v="0"/>
    <s v="JOSEFA KELY NUNES DE SOUSA"/>
    <n v="995638"/>
    <n v="15030"/>
    <n v="15020"/>
    <n v="15040"/>
    <n v="15020"/>
    <n v="15035"/>
    <n v="15035"/>
    <n v="15030"/>
    <n v="15040"/>
    <n v="15065"/>
    <n v="15020"/>
    <n v="15033.5"/>
    <s v=""/>
    <s v="assinatura"/>
    <n v="295"/>
    <n v="15000"/>
    <n v="2.2333333333333333E-3"/>
    <n v="33.5"/>
    <x v="21"/>
    <x v="3"/>
  </r>
  <r>
    <x v="41"/>
    <x v="2"/>
    <s v="6abb47832d48c2171f434096"/>
    <s v="28/09/2026 17:21:21"/>
    <s v="29/09/2026 02:07:15"/>
    <s v="Ranieli"/>
    <s v="28/09/2026"/>
    <x v="0"/>
    <s v="JOSEFA KELY NUNES DE SOUSA"/>
    <n v="15105"/>
    <n v="1027"/>
    <n v="1021"/>
    <n v="1048"/>
    <n v="1038"/>
    <n v="1028"/>
    <n v="1013"/>
    <n v="1027"/>
    <n v="1010"/>
    <n v="1039"/>
    <n v="1007"/>
    <n v="1025.8"/>
    <s v=""/>
    <s v="assinatura"/>
    <n v="158"/>
    <n v="1000"/>
    <n v="2.5799999999999955E-2"/>
    <n v="25.799999999999955"/>
    <x v="0"/>
    <x v="0"/>
  </r>
  <r>
    <x v="41"/>
    <x v="2"/>
    <s v="6abb1a1411cbfa0f2c7adc29"/>
    <s v="28/09/2026 22:47:24"/>
    <s v="28/09/2026 22:53:24"/>
    <s v="Ranieli"/>
    <s v="28/09/2026"/>
    <x v="0"/>
    <s v="JULIANE GOMES NOVAIS"/>
    <n v="792306"/>
    <n v="1097"/>
    <n v="1008"/>
    <n v="1018"/>
    <n v="1034"/>
    <n v="1008"/>
    <n v="1030"/>
    <n v="1042"/>
    <n v="1017"/>
    <n v="1004"/>
    <n v="1020"/>
    <n v="1027.8"/>
    <s v=""/>
    <s v="assinatura"/>
    <n v="336"/>
    <n v="1000"/>
    <n v="2.7799999999999953E-2"/>
    <n v="27.799999999999955"/>
    <x v="24"/>
    <x v="0"/>
  </r>
  <r>
    <x v="41"/>
    <x v="2"/>
    <s v="6abb18cb11cbfa0f2c7adb90"/>
    <s v="28/09/2026 22:12:30"/>
    <s v="28/09/2026 22:47:55"/>
    <s v="Ranieli"/>
    <s v="28/09/2026"/>
    <x v="0"/>
    <s v="JULIANE GOMES NOVAIS"/>
    <n v="15105"/>
    <n v="1010"/>
    <n v="1003"/>
    <n v="1046"/>
    <n v="987"/>
    <n v="1026"/>
    <n v="1018"/>
    <n v="1011"/>
    <n v="1014"/>
    <n v="1000"/>
    <n v="1020"/>
    <n v="1013.5"/>
    <s v=""/>
    <s v="assinatura"/>
    <n v="179"/>
    <n v="1000"/>
    <n v="1.35E-2"/>
    <n v="13.5"/>
    <x v="0"/>
    <x v="0"/>
  </r>
  <r>
    <x v="41"/>
    <x v="2"/>
    <s v="6abac9651990ff984e8060f9"/>
    <s v="28/09/2026 17:06:56"/>
    <s v="28/09/2026 17:09:09"/>
    <s v="Ranieli"/>
    <s v="28/09/2026"/>
    <x v="1"/>
    <s v="ALANA DA SILVA MARTINS"/>
    <n v="209009"/>
    <n v="999"/>
    <n v="1056"/>
    <n v="997"/>
    <n v="1033"/>
    <n v="1012"/>
    <n v="1002"/>
    <n v="1016"/>
    <n v="1004"/>
    <n v="1062"/>
    <n v="1032"/>
    <n v="1021.3"/>
    <s v=""/>
    <s v="assinatura"/>
    <n v="127"/>
    <n v="1000"/>
    <n v="2.1299999999999954E-2"/>
    <n v="21.299999999999955"/>
    <x v="1"/>
    <x v="1"/>
  </r>
  <r>
    <x v="41"/>
    <x v="2"/>
    <s v="6abac8de2d48c2171f42d9ae"/>
    <s v="28/09/2026 16:45:29"/>
    <s v="28/09/2026 17:06:54"/>
    <s v="Ranieli"/>
    <s v="28/09/2026"/>
    <x v="0"/>
    <s v="ALANA DA SILVA MARTINS"/>
    <n v="15105"/>
    <n v="997"/>
    <n v="1004"/>
    <n v="991"/>
    <n v="1026"/>
    <n v="1029"/>
    <n v="999"/>
    <n v="1026"/>
    <n v="988"/>
    <n v="1035"/>
    <n v="1008"/>
    <n v="1010.3"/>
    <s v=""/>
    <s v="assinatura"/>
    <n v="186"/>
    <n v="1000"/>
    <n v="1.0299999999999955E-2"/>
    <n v="10.299999999999955"/>
    <x v="0"/>
    <x v="0"/>
  </r>
  <r>
    <x v="41"/>
    <x v="2"/>
    <s v="6aba7e60310c830f7ae31dd7"/>
    <s v="28/09/2026 11:44:34"/>
    <s v="28/09/2026 11:49:04"/>
    <s v="Ranieli"/>
    <s v="28/09/2026"/>
    <x v="1"/>
    <s v="ALANA DA SILVA MARTINS"/>
    <n v="197734"/>
    <n v="1017"/>
    <n v="1003"/>
    <n v="999"/>
    <n v="1002"/>
    <n v="1008"/>
    <n v="1001"/>
    <n v="1003"/>
    <n v="1025"/>
    <n v="1007"/>
    <n v="997"/>
    <n v="1006.2"/>
    <s v=""/>
    <s v="assinatura"/>
    <n v="152"/>
    <n v="1000"/>
    <n v="6.2000000000000458E-3"/>
    <n v="6.2000000000000455"/>
    <x v="2"/>
    <x v="2"/>
  </r>
  <r>
    <x v="41"/>
    <x v="2"/>
    <s v="6aba7d5697a0ca5bd754647d"/>
    <s v="28/09/2026 08:40:49"/>
    <s v="28/09/2026 11:44:38"/>
    <s v="Ranieli"/>
    <s v="28/09/2026"/>
    <x v="1"/>
    <s v="ALANA DA SILVA MARTINS"/>
    <n v="54632"/>
    <n v="1004"/>
    <n v="999"/>
    <n v="1000"/>
    <n v="999"/>
    <n v="999"/>
    <n v="1000"/>
    <n v="997"/>
    <n v="1000"/>
    <n v="1005"/>
    <n v="999"/>
    <n v="1000.2"/>
    <s v=""/>
    <s v="assinatura"/>
    <n v="192"/>
    <n v="1000"/>
    <n v="2.0000000000004546E-4"/>
    <n v="0.20000000000004547"/>
    <x v="11"/>
    <x v="1"/>
  </r>
  <r>
    <x v="41"/>
    <x v="2"/>
    <s v="6aba7d5697a0ca5bd7546477"/>
    <s v="28/09/2026 08:32:37"/>
    <s v="28/09/2026 11:44:38"/>
    <s v="Ranieli"/>
    <s v="28/09/2026"/>
    <x v="1"/>
    <s v="ALANA DA SILVA MARTINS"/>
    <n v="15105"/>
    <n v="1008"/>
    <n v="1026"/>
    <n v="994"/>
    <n v="990"/>
    <n v="992"/>
    <n v="927"/>
    <n v="1004"/>
    <n v="998"/>
    <n v="1020"/>
    <n v="1031"/>
    <n v="999"/>
    <s v=""/>
    <s v="assinatura"/>
    <n v="303"/>
    <n v="1000"/>
    <n v="-1E-3"/>
    <n v="-1"/>
    <x v="0"/>
    <x v="0"/>
  </r>
  <r>
    <x v="42"/>
    <x v="2"/>
    <s v="6abd08af43ce2b65efec1a4e"/>
    <s v="30/09/2026 10:00:22"/>
    <s v="30/09/2026 10:03:43"/>
    <s v="Ranieli"/>
    <s v="30/09/2026"/>
    <x v="1"/>
    <s v="ALANA DA SILVA MARTINS"/>
    <n v="792306"/>
    <n v="1015"/>
    <n v="1017"/>
    <n v="1022"/>
    <n v="1005"/>
    <n v="1016"/>
    <n v="1077"/>
    <n v="1011"/>
    <n v="1026"/>
    <n v="1017"/>
    <n v="1002"/>
    <n v="1020.8"/>
    <s v=""/>
    <s v="assinatura"/>
    <n v="127"/>
    <n v="1000"/>
    <n v="2.0799999999999954E-2"/>
    <n v="20.799999999999955"/>
    <x v="24"/>
    <x v="0"/>
  </r>
  <r>
    <x v="42"/>
    <x v="2"/>
    <s v="6abd08af43ce2b65efec1a48"/>
    <s v="30/09/2026 09:41:36"/>
    <s v="30/09/2026 10:03:43"/>
    <s v="Ranieli"/>
    <s v="30/09/2026"/>
    <x v="1"/>
    <s v="ALANA DA SILVA MARTINS"/>
    <n v="15105"/>
    <n v="998"/>
    <n v="1053"/>
    <n v="1012"/>
    <n v="1043"/>
    <n v="988"/>
    <n v="1006"/>
    <n v="1020"/>
    <n v="1000"/>
    <n v="1011"/>
    <n v="995"/>
    <n v="1012.6"/>
    <s v=""/>
    <s v="assinatura"/>
    <n v="311"/>
    <n v="1000"/>
    <n v="1.2600000000000023E-2"/>
    <n v="12.600000000000023"/>
    <x v="0"/>
    <x v="0"/>
  </r>
  <r>
    <x v="42"/>
    <x v="2"/>
    <s v="6abd08af43ce2b65efec1a42"/>
    <s v="30/09/2026 08:28:19"/>
    <s v="30/09/2026 10:03:43"/>
    <s v="Ranieli"/>
    <s v="30/09/2026"/>
    <x v="1"/>
    <s v="ALANA DA SILVA MARTINS"/>
    <n v="963925"/>
    <n v="17960"/>
    <n v="18282"/>
    <n v="18050"/>
    <n v="18055"/>
    <n v="18050"/>
    <n v="18125"/>
    <n v="18280"/>
    <n v="18300"/>
    <n v="18380"/>
    <n v="18005"/>
    <n v="18148.7"/>
    <s v=""/>
    <s v="assinatura"/>
    <n v="4747"/>
    <n v="18000"/>
    <n v="8.2611111111111513E-3"/>
    <n v="148.70000000000073"/>
    <x v="15"/>
    <x v="3"/>
  </r>
  <r>
    <x v="42"/>
    <x v="2"/>
    <s v="6abd08af43ce2b65efec1a3c"/>
    <s v="30/09/2026 08:23:18"/>
    <s v="30/09/2026 10:03:43"/>
    <s v="Ranieli"/>
    <s v="30/09/2026"/>
    <x v="1"/>
    <s v="ALANA DA SILVA MARTINS"/>
    <n v="40762"/>
    <n v="10005"/>
    <n v="10055"/>
    <n v="10120"/>
    <n v="10145"/>
    <n v="10100"/>
    <n v="10150"/>
    <n v="10075"/>
    <n v="10058"/>
    <n v="10145"/>
    <n v="10035"/>
    <n v="10088.799999999999"/>
    <s v=""/>
    <s v="assinatura"/>
    <n v="2247"/>
    <n v="10000"/>
    <n v="8.8799999999999279E-3"/>
    <n v="88.799999999999272"/>
    <x v="3"/>
    <x v="1"/>
  </r>
  <r>
    <x v="42"/>
    <x v="2"/>
    <s v="6abd08af43ce2b65efec1a36"/>
    <s v="30/09/2026 08:18:39"/>
    <s v="30/09/2026 10:03:43"/>
    <s v="Ranieli"/>
    <s v="30/09/2026"/>
    <x v="1"/>
    <s v="ALANA DA SILVA MARTINS"/>
    <n v="42838"/>
    <n v="2066"/>
    <n v="1991"/>
    <n v="2061"/>
    <n v="2054"/>
    <n v="2048"/>
    <n v="2061"/>
    <n v="2046"/>
    <n v="2057"/>
    <n v="2055"/>
    <n v="2063"/>
    <n v="2050.1999999999998"/>
    <s v=""/>
    <s v="assinatura"/>
    <n v="2559"/>
    <n v="2000"/>
    <n v="2.5099999999999911E-2"/>
    <n v="50.199999999999818"/>
    <x v="7"/>
    <x v="1"/>
  </r>
  <r>
    <x v="42"/>
    <x v="2"/>
    <s v="6abd08af43ce2b65efec1a30"/>
    <s v="30/09/2026 08:14:07"/>
    <s v="30/09/2026 10:03:43"/>
    <s v="Ranieli"/>
    <s v="30/09/2026"/>
    <x v="1"/>
    <s v="ALANA DA SILVA MARTINS"/>
    <n v="42846"/>
    <n v="1996"/>
    <n v="2012"/>
    <n v="2007"/>
    <n v="2006"/>
    <n v="2011"/>
    <n v="2001"/>
    <n v="2005"/>
    <n v="2004"/>
    <n v="2003"/>
    <n v="2012"/>
    <n v="2005.7"/>
    <s v=""/>
    <s v="assinatura"/>
    <n v="2854"/>
    <n v="2000"/>
    <n v="2.8500000000000227E-3"/>
    <n v="5.7000000000000455"/>
    <x v="6"/>
    <x v="1"/>
  </r>
  <r>
    <x v="42"/>
    <x v="2"/>
    <s v="6abd08af43ce2b65efec1a2a"/>
    <s v="30/09/2026 08:08:38"/>
    <s v="30/09/2026 10:03:43"/>
    <s v="Ranieli"/>
    <s v="30/09/2026"/>
    <x v="1"/>
    <s v="ALANA DA SILVA MARTINS"/>
    <n v="42854"/>
    <n v="2156"/>
    <n v="2160"/>
    <n v="2174"/>
    <n v="2122"/>
    <n v="2165"/>
    <n v="2147"/>
    <n v="2155"/>
    <n v="2148"/>
    <n v="2174"/>
    <n v="2151"/>
    <n v="2155.1999999999998"/>
    <s v=""/>
    <s v="assinatura"/>
    <n v="3209"/>
    <n v="2080"/>
    <n v="3.6153846153846064E-2"/>
    <n v="75.199999999999818"/>
    <x v="4"/>
    <x v="1"/>
  </r>
  <r>
    <x v="42"/>
    <x v="2"/>
    <s v="6abd08af43ce2b65efec1a24"/>
    <s v="30/09/2026 08:04:01"/>
    <s v="30/09/2026 10:03:43"/>
    <s v="Ranieli"/>
    <s v="30/09/2026"/>
    <x v="1"/>
    <s v="ALANA DA SILVA MARTINS"/>
    <n v="54632"/>
    <n v="1003"/>
    <n v="1010"/>
    <n v="990"/>
    <n v="1009"/>
    <n v="1037"/>
    <n v="1042"/>
    <n v="996"/>
    <n v="1005"/>
    <n v="1037"/>
    <n v="1058"/>
    <n v="1018.7"/>
    <s v=""/>
    <s v="assinatura"/>
    <n v="3501"/>
    <n v="1000"/>
    <n v="1.8700000000000046E-2"/>
    <n v="18.700000000000045"/>
    <x v="11"/>
    <x v="1"/>
  </r>
  <r>
    <x v="43"/>
    <x v="2"/>
    <s v="6abc9cb898694d34bda8ddf3"/>
    <s v="30/09/2026 01:08:15"/>
    <s v="30/09/2026 02:23:04"/>
    <s v="Ranieli"/>
    <s v="29/09/2026"/>
    <x v="0"/>
    <s v="JOSEFA KELY NUNES DE SOUSA"/>
    <n v="197734"/>
    <n v="991"/>
    <n v="992"/>
    <n v="988"/>
    <n v="990"/>
    <n v="1000"/>
    <n v="1016"/>
    <n v="976"/>
    <n v="994"/>
    <n v="1011"/>
    <n v="1023"/>
    <n v="998.1"/>
    <s v=""/>
    <s v="assinatura"/>
    <n v="1181"/>
    <n v="1000"/>
    <n v="-1.8999999999999772E-3"/>
    <n v="-1.8999999999999773"/>
    <x v="2"/>
    <x v="2"/>
  </r>
  <r>
    <x v="43"/>
    <x v="2"/>
    <s v="6abc9cb898694d34bda8dded"/>
    <s v="29/09/2026 23:48:38"/>
    <s v="30/09/2026 02:23:04"/>
    <s v="Ranieli"/>
    <s v="29/09/2026"/>
    <x v="0"/>
    <s v="JOSEFA KELY NUNES DE SOUSA"/>
    <n v="40762"/>
    <n v="10020"/>
    <n v="10065"/>
    <n v="10050"/>
    <n v="10050"/>
    <n v="10040"/>
    <n v="10015"/>
    <n v="10075"/>
    <n v="9990"/>
    <n v="9980"/>
    <n v="10015"/>
    <n v="10030"/>
    <s v=""/>
    <s v="assinatura"/>
    <n v="5945"/>
    <n v="10000"/>
    <n v="3.0000000000000001E-3"/>
    <n v="30"/>
    <x v="3"/>
    <x v="1"/>
  </r>
  <r>
    <x v="43"/>
    <x v="2"/>
    <s v="6abc9cb798694d34bda8dde1"/>
    <s v="29/09/2026 22:35:25"/>
    <s v="30/09/2026 02:23:03"/>
    <s v="Ranieli"/>
    <s v="29/09/2026"/>
    <x v="0"/>
    <s v="JOSEFA KELY NUNES DE SOUSA"/>
    <n v="13188"/>
    <n v="1007"/>
    <n v="1007"/>
    <n v="1008"/>
    <n v="1011"/>
    <n v="1003"/>
    <n v="998"/>
    <n v="1016"/>
    <n v="1008"/>
    <n v="997"/>
    <n v="996"/>
    <n v="1005.1"/>
    <s v=""/>
    <s v=""/>
    <n v="10222"/>
    <n v="1000"/>
    <n v="5.1000000000000229E-3"/>
    <n v="5.1000000000000227"/>
    <x v="8"/>
    <x v="1"/>
  </r>
  <r>
    <x v="43"/>
    <x v="2"/>
    <s v="6abc9cb798694d34bda8dddb"/>
    <s v="29/09/2026 22:32:36"/>
    <s v="30/09/2026 02:23:03"/>
    <s v="Ranieli"/>
    <s v="29/09/2026"/>
    <x v="0"/>
    <s v="JOSEFA KELY NUNES DE SOUSA"/>
    <n v="15229"/>
    <n v="996"/>
    <n v="1036"/>
    <n v="998"/>
    <n v="1007"/>
    <n v="1001"/>
    <n v="1013"/>
    <n v="1007"/>
    <n v="1017"/>
    <n v="1011"/>
    <n v="1014"/>
    <n v="1010"/>
    <s v=""/>
    <s v="assinatura"/>
    <n v="10376"/>
    <n v="1000"/>
    <n v="0.01"/>
    <n v="10"/>
    <x v="9"/>
    <x v="1"/>
  </r>
  <r>
    <x v="43"/>
    <x v="2"/>
    <s v="6abc9cb798694d34bda8ddd3"/>
    <s v="29/09/2026 22:29:15"/>
    <s v="30/09/2026 02:23:03"/>
    <s v="Ranieli"/>
    <s v="29/09/2026"/>
    <x v="0"/>
    <s v="JOSEFA KELY NUNES DE SOUSA"/>
    <n v="992014"/>
    <n v="719"/>
    <n v="710"/>
    <n v="712"/>
    <n v="712"/>
    <n v="716"/>
    <n v="725"/>
    <n v="715"/>
    <n v="707"/>
    <n v="713"/>
    <n v="715"/>
    <n v="714.4"/>
    <s v=""/>
    <s v="assinatura"/>
    <n v="10547"/>
    <n v="700"/>
    <n v="2.0571428571428539E-2"/>
    <n v="14.399999999999977"/>
    <x v="14"/>
    <x v="1"/>
  </r>
  <r>
    <x v="43"/>
    <x v="2"/>
    <s v="6abc9cb798694d34bda8ddcd"/>
    <s v="29/09/2026 22:19:49"/>
    <s v="30/09/2026 02:23:03"/>
    <s v="Ranieli"/>
    <s v="29/09/2026"/>
    <x v="0"/>
    <s v="JOSEFA KELY NUNES DE SOUSA"/>
    <n v="15105"/>
    <n v="1019"/>
    <n v="1046"/>
    <n v="995"/>
    <n v="1019"/>
    <n v="1031"/>
    <n v="1012"/>
    <n v="1015"/>
    <n v="1003"/>
    <n v="1000"/>
    <n v="1012"/>
    <n v="1015.2"/>
    <s v=""/>
    <s v="assinatura"/>
    <n v="10945"/>
    <n v="1000"/>
    <n v="1.5200000000000045E-2"/>
    <n v="15.200000000000045"/>
    <x v="0"/>
    <x v="0"/>
  </r>
  <r>
    <x v="43"/>
    <x v="2"/>
    <s v="6abc9cb798694d34bda8ddc1"/>
    <s v="29/09/2026 19:24:55"/>
    <s v="30/09/2026 02:23:03"/>
    <s v="Ranieli"/>
    <s v="29/09/2026"/>
    <x v="0"/>
    <s v="JOSEFA KELY NUNES DE SOUSA"/>
    <n v="197734"/>
    <n v="1016"/>
    <n v="1007"/>
    <n v="1003"/>
    <n v="998"/>
    <n v="1012"/>
    <n v="1011"/>
    <n v="999"/>
    <n v="1010"/>
    <n v="1005"/>
    <n v="1000"/>
    <n v="1006.1"/>
    <s v=""/>
    <s v="assinatura"/>
    <n v="21421"/>
    <n v="1000"/>
    <n v="6.1000000000000229E-3"/>
    <n v="6.1000000000000227"/>
    <x v="2"/>
    <x v="2"/>
  </r>
  <r>
    <x v="43"/>
    <x v="2"/>
    <s v="6abc9cb798694d34bda8ddbb"/>
    <s v="29/09/2026 19:16:37"/>
    <s v="30/09/2026 02:23:03"/>
    <s v="Ranieli"/>
    <s v="29/09/2026"/>
    <x v="0"/>
    <s v="JOSEFA KELY NUNES DE SOUSA"/>
    <n v="995638"/>
    <n v="15005"/>
    <n v="15030"/>
    <n v="15005"/>
    <n v="15025"/>
    <n v="15040"/>
    <n v="15070"/>
    <n v="15040"/>
    <n v="15005"/>
    <n v="15005"/>
    <n v="15038"/>
    <n v="15026.3"/>
    <s v=""/>
    <s v="assinatura"/>
    <n v="21886"/>
    <n v="15000"/>
    <n v="1.7533333333332847E-3"/>
    <n v="26.299999999999272"/>
    <x v="21"/>
    <x v="3"/>
  </r>
  <r>
    <x v="43"/>
    <x v="2"/>
    <s v="6abc9cb798694d34bda8ddb5"/>
    <s v="29/09/2026 19:15:05"/>
    <s v="30/09/2026 02:23:03"/>
    <s v="Ranieli"/>
    <s v="29/09/2026"/>
    <x v="0"/>
    <s v="JOSEFA KELY NUNES DE SOUSA"/>
    <n v="13188"/>
    <n v="1016"/>
    <n v="1009"/>
    <n v="1002"/>
    <n v="1015"/>
    <n v="1006"/>
    <n v="1005"/>
    <n v="999"/>
    <n v="1010"/>
    <n v="1003"/>
    <n v="1004"/>
    <n v="1006.9"/>
    <s v=""/>
    <s v="assinatura"/>
    <n v="21955"/>
    <n v="1000"/>
    <n v="6.8999999999999773E-3"/>
    <n v="6.8999999999999773"/>
    <x v="8"/>
    <x v="1"/>
  </r>
  <r>
    <x v="43"/>
    <x v="2"/>
    <s v="6abc9cb798694d34bda8ddaf"/>
    <s v="29/09/2026 19:12:09"/>
    <s v="30/09/2026 02:23:03"/>
    <s v="Ranieli"/>
    <s v="29/09/2026"/>
    <x v="0"/>
    <s v="JOSEFA KELY NUNES DE SOUSA"/>
    <n v="15229"/>
    <n v="1010"/>
    <n v="1013"/>
    <n v="1008"/>
    <n v="1001"/>
    <n v="1000"/>
    <n v="1013"/>
    <n v="1015"/>
    <n v="1003"/>
    <n v="1001"/>
    <n v="1004"/>
    <n v="1006.8"/>
    <s v=""/>
    <s v="assinatura"/>
    <n v="22110"/>
    <n v="1000"/>
    <n v="6.7999999999999545E-3"/>
    <n v="6.7999999999999545"/>
    <x v="9"/>
    <x v="1"/>
  </r>
  <r>
    <x v="43"/>
    <x v="2"/>
    <s v="6abc9cb798694d34bda8dda9"/>
    <s v="29/09/2026 19:06:07"/>
    <s v="30/09/2026 02:23:03"/>
    <s v="Ranieli"/>
    <s v="29/09/2026"/>
    <x v="0"/>
    <s v="JOSEFA KELY NUNES DE SOUSA"/>
    <n v="40762"/>
    <n v="10120"/>
    <n v="10000"/>
    <n v="9960"/>
    <n v="10020"/>
    <n v="9970"/>
    <n v="10005"/>
    <n v="10020"/>
    <n v="10105"/>
    <n v="10065"/>
    <n v="9985"/>
    <n v="10025"/>
    <s v=""/>
    <s v="assinatura"/>
    <n v="22451"/>
    <n v="10000"/>
    <n v="2.5000000000000001E-3"/>
    <n v="25"/>
    <x v="3"/>
    <x v="1"/>
  </r>
  <r>
    <x v="43"/>
    <x v="2"/>
    <s v="6abc9cb698694d34bda8dd9d"/>
    <s v="29/09/2026 18:21:38"/>
    <s v="30/09/2026 02:23:02"/>
    <s v="Ranieli"/>
    <s v="29/09/2026"/>
    <x v="0"/>
    <s v="JOSEFA KELY NUNES DE SOUSA"/>
    <n v="42820"/>
    <n v="2067"/>
    <n v="2005"/>
    <n v="2034"/>
    <n v="2066"/>
    <n v="2038"/>
    <n v="2009"/>
    <n v="1997"/>
    <n v="2058"/>
    <n v="2033"/>
    <n v="2016"/>
    <n v="2032.3"/>
    <s v=""/>
    <s v="assinatura"/>
    <n v="25011"/>
    <n v="2000"/>
    <n v="1.6149999999999977E-2"/>
    <n v="32.299999999999955"/>
    <x v="10"/>
    <x v="1"/>
  </r>
  <r>
    <x v="43"/>
    <x v="2"/>
    <s v="6abc9cb698694d34bda8dd97"/>
    <s v="29/09/2026 18:15:22"/>
    <s v="30/09/2026 02:23:02"/>
    <s v="Ranieli"/>
    <s v="29/09/2026"/>
    <x v="0"/>
    <s v="JOSEFA KELY NUNES DE SOUSA"/>
    <n v="42838"/>
    <n v="2020"/>
    <n v="2038"/>
    <n v="2270"/>
    <n v="2034"/>
    <n v="2011"/>
    <n v="2017"/>
    <n v="2019"/>
    <n v="2017"/>
    <n v="2041"/>
    <n v="2033"/>
    <n v="2050"/>
    <s v=""/>
    <s v=""/>
    <n v="25357"/>
    <n v="2000"/>
    <n v="2.5000000000000001E-2"/>
    <n v="50"/>
    <x v="7"/>
    <x v="1"/>
  </r>
  <r>
    <x v="43"/>
    <x v="2"/>
    <s v="6abc9cb698694d34bda8dd91"/>
    <s v="29/09/2026 18:06:13"/>
    <s v="30/09/2026 02:23:02"/>
    <s v="Ranieli"/>
    <s v="29/09/2026"/>
    <x v="0"/>
    <s v="JOSEFA KELY NUNES DE SOUSA"/>
    <n v="50580"/>
    <n v="2043"/>
    <n v="2006"/>
    <n v="2012"/>
    <n v="2012"/>
    <n v="2035"/>
    <n v="2023"/>
    <n v="2011"/>
    <n v="2034"/>
    <n v="2017"/>
    <n v="2063"/>
    <n v="2025.6"/>
    <s v=""/>
    <s v="assinatura"/>
    <n v="25888"/>
    <n v="2000"/>
    <n v="1.2799999999999954E-2"/>
    <n v="25.599999999999909"/>
    <x v="36"/>
    <x v="1"/>
  </r>
  <r>
    <x v="43"/>
    <x v="2"/>
    <s v="6abc9cb698694d34bda8dd8b"/>
    <s v="29/09/2026 18:01:35"/>
    <s v="30/09/2026 02:23:02"/>
    <s v="Ranieli"/>
    <s v="29/09/2026"/>
    <x v="0"/>
    <s v="JOSEFA KELY NUNES DE SOUSA"/>
    <n v="42846"/>
    <n v="2036"/>
    <n v="2024"/>
    <n v="1998"/>
    <n v="2015"/>
    <n v="2015"/>
    <n v="2018"/>
    <n v="2000"/>
    <n v="2016"/>
    <n v="2010"/>
    <n v="1999"/>
    <n v="2013.1"/>
    <s v=""/>
    <s v="assinatura"/>
    <n v="217"/>
    <n v="2000"/>
    <n v="6.5499999999999543E-3"/>
    <n v="13.099999999999909"/>
    <x v="6"/>
    <x v="1"/>
  </r>
  <r>
    <x v="43"/>
    <x v="2"/>
    <s v="6abc9cb698694d34bda8dd85"/>
    <s v="29/09/2026 17:57:31"/>
    <s v="30/09/2026 02:23:02"/>
    <s v="Ranieli"/>
    <s v="29/09/2026"/>
    <x v="0"/>
    <s v="JOSEFA KELY NUNES DE SOUSA"/>
    <n v="42854"/>
    <n v="2103"/>
    <n v="2099"/>
    <n v="2103"/>
    <n v="2105"/>
    <n v="2091"/>
    <n v="2098"/>
    <n v="2015"/>
    <n v="2099"/>
    <n v="2083"/>
    <n v="2095"/>
    <n v="2089.1"/>
    <s v=""/>
    <s v=""/>
    <n v="26377"/>
    <n v="2080"/>
    <n v="4.3749999999999562E-3"/>
    <n v="9.0999999999999091"/>
    <x v="4"/>
    <x v="1"/>
  </r>
  <r>
    <x v="43"/>
    <x v="2"/>
    <s v="6abc9cb698694d34bda8dd7f"/>
    <s v="29/09/2026 17:32:56"/>
    <s v="30/09/2026 02:23:02"/>
    <s v="Ranieli"/>
    <s v="29/09/2026"/>
    <x v="0"/>
    <s v="JOSEFA KELY NUNES DE SOUSA"/>
    <n v="42862"/>
    <n v="2003"/>
    <n v="2003"/>
    <n v="2026"/>
    <n v="2013"/>
    <n v="2006"/>
    <n v="2030"/>
    <n v="2005"/>
    <n v="2006"/>
    <n v="2023"/>
    <n v="2021"/>
    <n v="2013.6"/>
    <s v=""/>
    <s v="assinatura"/>
    <n v="27781"/>
    <n v="2000"/>
    <n v="6.7999999999999545E-3"/>
    <n v="13.599999999999909"/>
    <x v="5"/>
    <x v="1"/>
  </r>
  <r>
    <x v="43"/>
    <x v="2"/>
    <s v="6abc9cb698694d34bda8dd79"/>
    <s v="29/09/2026 17:28:53"/>
    <s v="30/09/2026 02:23:02"/>
    <s v="Ranieli"/>
    <s v="29/09/2026"/>
    <x v="0"/>
    <s v="JOSEFA KELY NUNES DE SOUSA"/>
    <n v="15105"/>
    <n v="1043"/>
    <n v="1027"/>
    <n v="1018"/>
    <n v="1033"/>
    <n v="1006"/>
    <n v="988"/>
    <n v="1003"/>
    <n v="1034"/>
    <n v="1029"/>
    <n v="1002"/>
    <n v="1018.3"/>
    <s v=""/>
    <s v="assinatura"/>
    <n v="28006"/>
    <n v="1000"/>
    <n v="1.8299999999999955E-2"/>
    <n v="18.299999999999955"/>
    <x v="0"/>
    <x v="0"/>
  </r>
  <r>
    <x v="43"/>
    <x v="2"/>
    <s v="6abc6975200cee3d5facd542"/>
    <s v="29/09/2026 22:22:29"/>
    <s v="29/09/2026 22:44:21"/>
    <s v="Ranieli"/>
    <s v="29/09/2026"/>
    <x v="0"/>
    <s v="JULIANE GOMES NOVAIS"/>
    <n v="50580"/>
    <n v="2025"/>
    <n v="2012"/>
    <n v="2048"/>
    <n v="2021"/>
    <n v="2030"/>
    <n v="2011"/>
    <n v="2012"/>
    <n v="2013"/>
    <n v="2006"/>
    <n v="1998"/>
    <n v="2017.6"/>
    <s v=""/>
    <s v=""/>
    <n v="134"/>
    <n v="2000"/>
    <n v="8.7999999999999537E-3"/>
    <n v="17.599999999999909"/>
    <x v="36"/>
    <x v="1"/>
  </r>
  <r>
    <x v="43"/>
    <x v="2"/>
    <s v="6abc6975200cee3d5facd53c"/>
    <s v="29/09/2026 22:17:03"/>
    <s v="29/09/2026 22:44:21"/>
    <s v="Ranieli"/>
    <s v="29/09/2026"/>
    <x v="0"/>
    <s v="JULIANE GOMES NOVAIS"/>
    <n v="42854"/>
    <n v="2111"/>
    <n v="2019"/>
    <n v="2090"/>
    <n v="2086"/>
    <n v="2088"/>
    <n v="2093"/>
    <n v="2115"/>
    <n v="2082"/>
    <n v="2017"/>
    <n v="2107"/>
    <n v="2080.8000000000002"/>
    <s v=""/>
    <s v=""/>
    <n v="101"/>
    <n v="2080"/>
    <n v="3.8461538461547206E-4"/>
    <n v="0.8000000000001819"/>
    <x v="4"/>
    <x v="1"/>
  </r>
  <r>
    <x v="43"/>
    <x v="2"/>
    <s v="6abc6975200cee3d5facd536"/>
    <s v="29/09/2026 22:14:57"/>
    <s v="29/09/2026 22:44:21"/>
    <s v="Ranieli"/>
    <s v="29/09/2026"/>
    <x v="0"/>
    <s v="JULIANE GOMES NOVAIS"/>
    <n v="42862"/>
    <n v="2003"/>
    <n v="2019"/>
    <n v="2018"/>
    <n v="2026"/>
    <n v="2000"/>
    <n v="1993"/>
    <n v="2007"/>
    <n v="2029"/>
    <n v="2008"/>
    <n v="2028"/>
    <n v="2013.1"/>
    <s v=""/>
    <s v=""/>
    <n v="246"/>
    <n v="2000"/>
    <n v="6.5499999999999543E-3"/>
    <n v="13.099999999999909"/>
    <x v="5"/>
    <x v="1"/>
  </r>
  <r>
    <x v="43"/>
    <x v="2"/>
    <s v="6abc61827f3e0285f259bf65"/>
    <s v="29/09/2026 22:03:16"/>
    <s v="29/09/2026 22:10:26"/>
    <s v="Ranieli"/>
    <s v="29/09/2026"/>
    <x v="0"/>
    <s v="JULIANE GOMES NOVAIS"/>
    <n v="42846"/>
    <n v="2026"/>
    <n v="1997"/>
    <n v="2007"/>
    <n v="2008"/>
    <n v="1788"/>
    <n v="2008"/>
    <n v="2010"/>
    <n v="2010"/>
    <n v="2000"/>
    <n v="1995"/>
    <n v="1984.9"/>
    <s v=""/>
    <s v="assinatura"/>
    <n v="288"/>
    <n v="2000"/>
    <n v="-7.5499999999999543E-3"/>
    <n v="-15.099999999999909"/>
    <x v="6"/>
    <x v="1"/>
  </r>
  <r>
    <x v="43"/>
    <x v="2"/>
    <s v="6abc61827f3e0285f259bf5f"/>
    <s v="29/09/2026 21:59:55"/>
    <s v="29/09/2026 22:10:26"/>
    <s v="Ranieli"/>
    <s v="29/09/2026"/>
    <x v="0"/>
    <s v="JULIANE GOMES NOVAIS"/>
    <n v="42838"/>
    <n v="2020"/>
    <n v="2022"/>
    <n v="2027"/>
    <n v="2025"/>
    <n v="2038"/>
    <n v="2044"/>
    <n v="2020"/>
    <n v="2000"/>
    <n v="2069"/>
    <n v="2013"/>
    <n v="2027.8"/>
    <s v=""/>
    <s v="assinatura"/>
    <n v="515"/>
    <n v="2000"/>
    <n v="1.3899999999999977E-2"/>
    <n v="27.799999999999955"/>
    <x v="7"/>
    <x v="1"/>
  </r>
  <r>
    <x v="43"/>
    <x v="2"/>
    <s v="6abc61827f3e0285f259bf59"/>
    <s v="29/09/2026 21:54:51"/>
    <s v="29/09/2026 22:10:26"/>
    <s v="Ranieli"/>
    <s v="29/09/2026"/>
    <x v="0"/>
    <s v="JULIANE GOMES NOVAIS"/>
    <n v="42820"/>
    <n v="2044"/>
    <n v="2034"/>
    <n v="2080"/>
    <n v="2081"/>
    <n v="2019"/>
    <n v="2042"/>
    <n v="2041"/>
    <n v="2015"/>
    <n v="2033"/>
    <n v="2010"/>
    <n v="2039.9"/>
    <s v=""/>
    <s v="assinatura"/>
    <n v="830"/>
    <n v="2000"/>
    <n v="1.9950000000000044E-2"/>
    <n v="39.900000000000091"/>
    <x v="10"/>
    <x v="1"/>
  </r>
  <r>
    <x v="43"/>
    <x v="2"/>
    <s v="6abc61827f3e0285f259bf53"/>
    <s v="29/09/2026 21:51:45"/>
    <s v="29/09/2026 22:10:26"/>
    <s v="Ranieli"/>
    <s v="29/09/2026"/>
    <x v="0"/>
    <s v="JULIANE GOMES NOVAIS"/>
    <n v="42811"/>
    <n v="2037"/>
    <n v="2055"/>
    <n v="2029"/>
    <n v="2038"/>
    <n v="2036"/>
    <n v="2017"/>
    <n v="2038"/>
    <n v="2035"/>
    <n v="2041"/>
    <n v="2010"/>
    <n v="2033.6"/>
    <s v=""/>
    <s v="assinatura"/>
    <n v="1029"/>
    <n v="2000"/>
    <n v="1.6799999999999954E-2"/>
    <n v="33.599999999999909"/>
    <x v="32"/>
    <x v="1"/>
  </r>
  <r>
    <x v="43"/>
    <x v="2"/>
    <s v="6abc61827f3e0285f259bf4d"/>
    <s v="29/09/2026 21:47:24"/>
    <s v="29/09/2026 22:10:26"/>
    <s v="Ranieli"/>
    <s v="29/09/2026"/>
    <x v="0"/>
    <s v="JULIANE GOMES NOVAIS"/>
    <n v="15229"/>
    <n v="1017"/>
    <n v="1004"/>
    <n v="1012"/>
    <n v="1016"/>
    <n v="1010"/>
    <n v="1017"/>
    <n v="1015"/>
    <n v="1008"/>
    <n v="1016"/>
    <n v="1018"/>
    <n v="1013.3"/>
    <s v=""/>
    <s v="assinatura"/>
    <n v="1304"/>
    <n v="1000"/>
    <n v="1.3299999999999954E-2"/>
    <n v="13.299999999999955"/>
    <x v="9"/>
    <x v="1"/>
  </r>
  <r>
    <x v="43"/>
    <x v="2"/>
    <s v="6abc61827f3e0285f259bf47"/>
    <s v="29/09/2026 21:42:02"/>
    <s v="29/09/2026 22:10:26"/>
    <s v="Ranieli"/>
    <s v="29/09/2026"/>
    <x v="0"/>
    <s v="JULIANE GOMES NOVAIS"/>
    <n v="15105"/>
    <n v="1011"/>
    <n v="1074"/>
    <n v="1002"/>
    <n v="1022"/>
    <n v="1060"/>
    <n v="1031"/>
    <n v="1045"/>
    <n v="985"/>
    <n v="1018"/>
    <n v="1028"/>
    <n v="1027.5999999999999"/>
    <s v=""/>
    <s v="assinatura"/>
    <n v="255"/>
    <n v="1000"/>
    <n v="2.7599999999999909E-2"/>
    <n v="27.599999999999909"/>
    <x v="0"/>
    <x v="0"/>
  </r>
  <r>
    <x v="43"/>
    <x v="2"/>
    <s v="6abc61827f3e0285f259bf41"/>
    <s v="29/09/2026 21:36:32"/>
    <s v="29/09/2026 22:10:26"/>
    <s v="Ranieli"/>
    <s v="29/09/2026"/>
    <x v="0"/>
    <s v="JULIANE GOMES NOVAIS"/>
    <n v="15105"/>
    <n v="1029"/>
    <n v="1017"/>
    <n v="1092"/>
    <n v="1096"/>
    <n v="1030"/>
    <n v="1008"/>
    <n v="1095"/>
    <n v="1025"/>
    <n v="1017"/>
    <n v="1031"/>
    <n v="1044"/>
    <s v=""/>
    <s v="assinatura"/>
    <n v="316"/>
    <n v="1000"/>
    <n v="4.3999999999999997E-2"/>
    <n v="44"/>
    <x v="0"/>
    <x v="0"/>
  </r>
  <r>
    <x v="43"/>
    <x v="2"/>
    <s v="6abc61827f3e0285f259bf39"/>
    <s v="29/09/2026 21:33:05"/>
    <s v="29/09/2026 22:10:26"/>
    <s v="Ranieli"/>
    <s v="29/09/2026"/>
    <x v="0"/>
    <s v="JULIANE GOMES NOVAIS"/>
    <n v="15105"/>
    <n v="1004"/>
    <n v="1001"/>
    <n v="1028"/>
    <n v="1108"/>
    <n v="1040"/>
    <n v="1026"/>
    <n v="1052"/>
    <n v="1021"/>
    <n v="1005"/>
    <n v="1037"/>
    <n v="1032.2"/>
    <s v=""/>
    <s v="assinatura"/>
    <n v="206"/>
    <n v="1000"/>
    <n v="3.2200000000000048E-2"/>
    <n v="32.200000000000045"/>
    <x v="0"/>
    <x v="0"/>
  </r>
  <r>
    <x v="43"/>
    <x v="2"/>
    <s v="6abc34c94535e34def6bcad5"/>
    <s v="29/09/2026 18:20:41"/>
    <s v="29/09/2026 18:59:37"/>
    <s v="Ranieli"/>
    <s v="29/09/2026"/>
    <x v="0"/>
    <s v="JULIANE GOMES NOVAIS"/>
    <n v="15229"/>
    <n v="1004"/>
    <n v="1003"/>
    <n v="1012"/>
    <n v="1004"/>
    <n v="1002"/>
    <n v="1000"/>
    <n v="1020"/>
    <n v="1011"/>
    <n v="1018"/>
    <n v="1007"/>
    <n v="1008.1"/>
    <s v=""/>
    <s v="assinatura"/>
    <n v="156"/>
    <n v="1000"/>
    <n v="8.1000000000000221E-3"/>
    <n v="8.1000000000000227"/>
    <x v="9"/>
    <x v="1"/>
  </r>
  <r>
    <x v="43"/>
    <x v="2"/>
    <s v="6abc2427fde5ec03d7606fe7"/>
    <s v="29/09/2026 17:40:00"/>
    <s v="29/09/2026 17:48:39"/>
    <s v="Ranieli"/>
    <s v="29/09/2026"/>
    <x v="0"/>
    <s v="JULIANE GOMES NOVAIS"/>
    <n v="40762"/>
    <n v="10065"/>
    <n v="9995"/>
    <n v="9990"/>
    <n v="10045"/>
    <n v="10000"/>
    <n v="9955"/>
    <n v="10085"/>
    <n v="10050"/>
    <n v="10010"/>
    <n v="10000"/>
    <n v="10019.5"/>
    <s v=""/>
    <s v="assinatura"/>
    <n v="403"/>
    <n v="10000"/>
    <n v="1.9499999999999999E-3"/>
    <n v="19.5"/>
    <x v="3"/>
    <x v="1"/>
  </r>
  <r>
    <x v="43"/>
    <x v="2"/>
    <s v="6abc2427fde5ec03d7606fe1"/>
    <s v="29/09/2026 17:38:56"/>
    <s v="29/09/2026 17:48:39"/>
    <s v="Ranieli"/>
    <s v="29/09/2026"/>
    <x v="0"/>
    <s v="JULIANE GOMES NOVAIS"/>
    <n v="963925"/>
    <n v="18045"/>
    <n v="18055"/>
    <n v="18200"/>
    <n v="18350"/>
    <n v="18400"/>
    <n v="18005"/>
    <n v="18240"/>
    <n v="18080"/>
    <n v="18055"/>
    <n v="18075"/>
    <n v="18150.5"/>
    <s v=""/>
    <s v="assinatura"/>
    <n v="532"/>
    <n v="18000"/>
    <n v="8.3611111111111108E-3"/>
    <n v="150.5"/>
    <x v="15"/>
    <x v="3"/>
  </r>
  <r>
    <x v="43"/>
    <x v="2"/>
    <s v="6abc2427fde5ec03d7606fdb"/>
    <s v="29/09/2026 16:52:31"/>
    <s v="29/09/2026 17:48:39"/>
    <s v="Ranieli"/>
    <s v="29/09/2026"/>
    <x v="0"/>
    <s v="JULIANE GOMES NOVAIS"/>
    <n v="15105"/>
    <n v="1029"/>
    <n v="1014"/>
    <n v="1044"/>
    <n v="998"/>
    <n v="1000"/>
    <n v="1042"/>
    <n v="1017"/>
    <n v="1031"/>
    <n v="1004"/>
    <n v="994"/>
    <n v="1017.3"/>
    <s v=""/>
    <s v="assinatura"/>
    <n v="163"/>
    <n v="1000"/>
    <n v="1.7299999999999954E-2"/>
    <n v="17.299999999999955"/>
    <x v="0"/>
    <x v="0"/>
  </r>
  <r>
    <x v="43"/>
    <x v="2"/>
    <s v="6abc162be92aaaa972d589fd"/>
    <s v="29/09/2026 16:45:34"/>
    <s v="29/09/2026 16:48:59"/>
    <s v="Ranieli"/>
    <s v="29/09/2026"/>
    <x v="1"/>
    <s v="ALANA DA SILVA MARTINS"/>
    <n v="197742"/>
    <n v="999"/>
    <n v="995"/>
    <n v="1015"/>
    <n v="988"/>
    <n v="1003"/>
    <n v="994"/>
    <n v="992"/>
    <n v="996"/>
    <n v="1026"/>
    <n v="1012"/>
    <n v="1002"/>
    <s v=""/>
    <s v="assinatura"/>
    <n v="183"/>
    <n v="1000"/>
    <n v="2E-3"/>
    <n v="2"/>
    <x v="23"/>
    <x v="3"/>
  </r>
  <r>
    <x v="43"/>
    <x v="2"/>
    <s v="6abc05ee5255bb2a51052595"/>
    <s v="29/09/2026 09:20:00"/>
    <s v="29/09/2026 15:39:42"/>
    <s v="Ranieli"/>
    <s v="29/09/2026"/>
    <x v="1"/>
    <s v="ALANA DA SILVA MARTINS"/>
    <n v="42854"/>
    <n v="2147"/>
    <n v="2181"/>
    <n v="2155"/>
    <n v="2115"/>
    <n v="2151"/>
    <n v="2108"/>
    <n v="2150"/>
    <n v="2143"/>
    <n v="2164"/>
    <n v="2209"/>
    <n v="2152.3000000000002"/>
    <s v=""/>
    <s v="assinatura"/>
    <n v="256"/>
    <n v="2080"/>
    <n v="3.4759615384615472E-2"/>
    <n v="72.300000000000182"/>
    <x v="4"/>
    <x v="1"/>
  </r>
  <r>
    <x v="43"/>
    <x v="2"/>
    <s v="6abc05ee5255bb2a5105258f"/>
    <s v="29/09/2026 09:02:47"/>
    <s v="29/09/2026 15:39:42"/>
    <s v="Ranieli"/>
    <s v="29/09/2026"/>
    <x v="1"/>
    <s v="ALANA DA SILVA MARTINS"/>
    <n v="42862"/>
    <n v="2018"/>
    <n v="2062"/>
    <n v="2008"/>
    <n v="1982"/>
    <n v="2042"/>
    <n v="2081"/>
    <n v="2052"/>
    <n v="1997"/>
    <n v="2058"/>
    <n v="2054"/>
    <n v="2035.4"/>
    <s v=""/>
    <s v="assinatura"/>
    <n v="297"/>
    <n v="2000"/>
    <n v="1.7700000000000046E-2"/>
    <n v="35.400000000000091"/>
    <x v="5"/>
    <x v="1"/>
  </r>
  <r>
    <x v="43"/>
    <x v="2"/>
    <s v="6abc05ee5255bb2a51052589"/>
    <s v="29/09/2026 08:53:01"/>
    <s v="29/09/2026 15:39:42"/>
    <s v="Ranieli"/>
    <s v="29/09/2026"/>
    <x v="1"/>
    <s v="ALANA DA SILVA MARTINS"/>
    <n v="15105"/>
    <n v="1032"/>
    <n v="1032"/>
    <n v="1029"/>
    <n v="1029"/>
    <n v="1005"/>
    <n v="1026"/>
    <n v="1018"/>
    <n v="1013"/>
    <n v="1041"/>
    <n v="1104"/>
    <n v="1032.9000000000001"/>
    <s v=""/>
    <s v="assinatura"/>
    <n v="365"/>
    <n v="1000"/>
    <n v="3.2900000000000089E-2"/>
    <n v="32.900000000000091"/>
    <x v="0"/>
    <x v="0"/>
  </r>
  <r>
    <x v="41"/>
    <x v="2"/>
    <s v="6abc05ee5255bb2a51052583"/>
    <s v="28/09/2026 11:34:36"/>
    <s v="29/09/2026 15:39:42"/>
    <s v="Ranieli"/>
    <s v="28/09/2026"/>
    <x v="1"/>
    <s v="ALANA DA SILVA MARTINS"/>
    <n v="50580"/>
    <n v="1989"/>
    <n v="2047"/>
    <n v="2186"/>
    <n v="2027"/>
    <n v="1994"/>
    <n v="1974"/>
    <n v="2034"/>
    <n v="2027"/>
    <n v="2083"/>
    <n v="2217"/>
    <n v="2057.8000000000002"/>
    <s v=""/>
    <s v="assinatura"/>
    <n v="77644"/>
    <n v="2000"/>
    <n v="2.8900000000000092E-2"/>
    <n v="57.800000000000182"/>
    <x v="36"/>
    <x v="1"/>
  </r>
  <r>
    <x v="39"/>
    <x v="2"/>
    <s v="6abc05ee5255bb2a5105257d"/>
    <s v="25/09/2026 15:04:23"/>
    <s v="29/09/2026 15:39:42"/>
    <s v="Ranieli"/>
    <s v="25/09/2026"/>
    <x v="1"/>
    <s v="ALANA DA SILVA MARTINS"/>
    <n v="992014"/>
    <n v="700"/>
    <n v="668"/>
    <n v="678"/>
    <n v="694"/>
    <n v="698"/>
    <n v="700"/>
    <n v="699"/>
    <n v="696"/>
    <n v="698"/>
    <n v="700"/>
    <n v="693.1"/>
    <s v=""/>
    <s v="assinatura"/>
    <n v="324318"/>
    <n v="700"/>
    <n v="-9.8571428571428248E-3"/>
    <n v="-6.8999999999999773"/>
    <x v="14"/>
    <x v="1"/>
  </r>
  <r>
    <x v="39"/>
    <x v="2"/>
    <s v="6abc05ee5255bb2a51052577"/>
    <s v="25/09/2026 14:10:06"/>
    <s v="29/09/2026 15:39:42"/>
    <s v="Ranieli"/>
    <s v="25/09/2026"/>
    <x v="1"/>
    <s v="ALANA DA SILVA MARTINS"/>
    <n v="15849"/>
    <n v="1009"/>
    <n v="1004"/>
    <n v="1014"/>
    <n v="1001"/>
    <n v="1015"/>
    <n v="999"/>
    <n v="997"/>
    <n v="1025"/>
    <n v="993"/>
    <n v="1026"/>
    <n v="1008.3"/>
    <s v=""/>
    <s v="assinatura"/>
    <n v="327536"/>
    <n v="1000"/>
    <n v="8.299999999999955E-3"/>
    <n v="8.2999999999999545"/>
    <x v="29"/>
    <x v="2"/>
  </r>
  <r>
    <x v="42"/>
    <x v="2"/>
    <s v="6abdeedbfa7807c931a7e3d4"/>
    <s v="30/09/2026 22:46:05"/>
    <s v="01/10/2026 02:25:47"/>
    <s v="Ranieli"/>
    <s v="30/09/2026"/>
    <x v="0"/>
    <s v="JOSEFA KELY NUNES DE SOUSA"/>
    <n v="15229"/>
    <n v="1019"/>
    <n v="1021"/>
    <n v="1013"/>
    <n v="1020"/>
    <n v="1019"/>
    <n v="1012"/>
    <n v="1009"/>
    <n v="1004"/>
    <n v="1017"/>
    <n v="1007"/>
    <n v="1014.1"/>
    <s v=""/>
    <s v="assinatura"/>
    <n v="9055"/>
    <n v="1000"/>
    <n v="1.4100000000000022E-2"/>
    <n v="14.100000000000023"/>
    <x v="9"/>
    <x v="1"/>
  </r>
  <r>
    <x v="42"/>
    <x v="2"/>
    <s v="6abdeedbfa7807c931a7e3ce"/>
    <s v="30/09/2026 22:36:11"/>
    <s v="01/10/2026 02:25:47"/>
    <s v="Ranieli"/>
    <s v="30/09/2026"/>
    <x v="0"/>
    <s v="JOSEFA KELY NUNES DE SOUSA"/>
    <n v="40762"/>
    <n v="9980"/>
    <n v="10055"/>
    <n v="9990"/>
    <n v="10035"/>
    <n v="10065"/>
    <n v="10000"/>
    <n v="10065"/>
    <n v="10000"/>
    <n v="9950"/>
    <n v="10085"/>
    <n v="10022.5"/>
    <s v=""/>
    <s v="assinatura"/>
    <n v="9628"/>
    <n v="10000"/>
    <n v="2.2499999999999998E-3"/>
    <n v="22.5"/>
    <x v="3"/>
    <x v="1"/>
  </r>
  <r>
    <x v="42"/>
    <x v="2"/>
    <s v="6abdeedbfa7807c931a7e3c8"/>
    <s v="30/09/2026 22:29:52"/>
    <s v="01/10/2026 02:25:47"/>
    <s v="Ranieli"/>
    <s v="30/09/2026"/>
    <x v="0"/>
    <s v="JOSEFA KELY NUNES DE SOUSA"/>
    <n v="13188"/>
    <n v="1014"/>
    <n v="1011"/>
    <n v="1006"/>
    <n v="1008"/>
    <n v="1003"/>
    <n v="1016"/>
    <n v="1011"/>
    <n v="1012"/>
    <n v="1023"/>
    <n v="1018"/>
    <n v="1012.2"/>
    <s v=""/>
    <s v="assinatura"/>
    <n v="10018"/>
    <n v="1000"/>
    <n v="1.2200000000000046E-2"/>
    <n v="12.200000000000045"/>
    <x v="8"/>
    <x v="1"/>
  </r>
  <r>
    <x v="42"/>
    <x v="2"/>
    <s v="6abdeedbfa7807c931a7e3c2"/>
    <s v="30/09/2026 22:27:22"/>
    <s v="01/10/2026 02:25:47"/>
    <s v="Ranieli"/>
    <s v="30/09/2026"/>
    <x v="0"/>
    <s v="JOSEFA KELY NUNES DE SOUSA"/>
    <n v="15849"/>
    <n v="1008"/>
    <n v="1007"/>
    <n v="1014"/>
    <n v="1006"/>
    <n v="998"/>
    <n v="1013"/>
    <n v="1018"/>
    <n v="1014"/>
    <n v="1008"/>
    <n v="1012"/>
    <n v="1009.8"/>
    <s v=""/>
    <s v=""/>
    <n v="10103"/>
    <n v="1000"/>
    <n v="9.7999999999999546E-3"/>
    <n v="9.7999999999999545"/>
    <x v="29"/>
    <x v="2"/>
  </r>
  <r>
    <x v="42"/>
    <x v="2"/>
    <s v="6abdeedbfa7807c931a7e3bc"/>
    <s v="30/09/2026 22:23:25"/>
    <s v="01/10/2026 02:25:47"/>
    <s v="Ranieli"/>
    <s v="30/09/2026"/>
    <x v="0"/>
    <s v="JOSEFA KELY NUNES DE SOUSA"/>
    <n v="15105"/>
    <n v="1047"/>
    <n v="1010"/>
    <n v="1023"/>
    <n v="1039"/>
    <n v="1001"/>
    <n v="998"/>
    <n v="1030"/>
    <n v="1062"/>
    <n v="1061"/>
    <n v="1031"/>
    <n v="1030.2"/>
    <s v=""/>
    <s v="assinatura"/>
    <n v="10330"/>
    <n v="1000"/>
    <n v="3.0200000000000046E-2"/>
    <n v="30.200000000000045"/>
    <x v="0"/>
    <x v="0"/>
  </r>
  <r>
    <x v="42"/>
    <x v="2"/>
    <s v="6abdeedbfa7807c931a7e3b0"/>
    <s v="30/09/2026 21:27:36"/>
    <s v="01/10/2026 02:25:47"/>
    <s v="Ranieli"/>
    <s v="30/09/2026"/>
    <x v="0"/>
    <s v="JOSEFA KELY NUNES DE SOUSA"/>
    <n v="209319"/>
    <n v="1009"/>
    <n v="1042"/>
    <n v="1058"/>
    <n v="1077"/>
    <n v="1050"/>
    <n v="1007"/>
    <n v="1010"/>
    <n v="1009"/>
    <n v="1077"/>
    <n v="1043"/>
    <n v="1038.2"/>
    <s v=""/>
    <s v="assinatura"/>
    <n v="13610"/>
    <n v="1000"/>
    <n v="3.8200000000000046E-2"/>
    <n v="38.200000000000045"/>
    <x v="34"/>
    <x v="1"/>
  </r>
  <r>
    <x v="42"/>
    <x v="2"/>
    <s v="6abdeedbfa7807c931a7e3aa"/>
    <s v="30/09/2026 19:21:28"/>
    <s v="01/10/2026 02:25:47"/>
    <s v="Ranieli"/>
    <s v="30/09/2026"/>
    <x v="0"/>
    <s v="JOSEFA KELY NUNES DE SOUSA"/>
    <n v="42854"/>
    <n v="2088"/>
    <n v="2095"/>
    <n v="2092"/>
    <n v="2116"/>
    <n v="2086"/>
    <n v="2100"/>
    <n v="2070"/>
    <n v="2091"/>
    <n v="2037"/>
    <n v="2115"/>
    <n v="2089"/>
    <s v=""/>
    <s v="assinatura"/>
    <n v="12258"/>
    <n v="2080"/>
    <n v="4.3269230769230772E-3"/>
    <n v="9"/>
    <x v="4"/>
    <x v="1"/>
  </r>
  <r>
    <x v="42"/>
    <x v="2"/>
    <s v="6abdeedafa7807c931a7e3a4"/>
    <s v="30/09/2026 19:17:43"/>
    <s v="01/10/2026 02:25:46"/>
    <s v="Ranieli"/>
    <s v="30/09/2026"/>
    <x v="0"/>
    <s v="JOSEFA KELY NUNES DE SOUSA"/>
    <n v="42862"/>
    <n v="1989"/>
    <n v="1999"/>
    <n v="2020"/>
    <n v="1997"/>
    <n v="2020"/>
    <n v="2007"/>
    <n v="2018"/>
    <n v="2015"/>
    <n v="2012"/>
    <n v="2002"/>
    <n v="2007.9"/>
    <s v=""/>
    <s v="assinatura"/>
    <n v="21377"/>
    <n v="2000"/>
    <n v="3.9500000000000455E-3"/>
    <n v="7.9000000000000909"/>
    <x v="5"/>
    <x v="1"/>
  </r>
  <r>
    <x v="42"/>
    <x v="2"/>
    <s v="6abdeedafa7807c931a7e39c"/>
    <s v="30/09/2026 19:16:22"/>
    <s v="01/10/2026 02:25:46"/>
    <s v="Ranieli"/>
    <s v="30/09/2026"/>
    <x v="0"/>
    <s v="JOSEFA KELY NUNES DE SOUSA"/>
    <n v="42820"/>
    <n v="2066"/>
    <n v="2031"/>
    <n v="2030"/>
    <n v="2042"/>
    <n v="2020"/>
    <n v="2078"/>
    <n v="2021"/>
    <n v="2050"/>
    <n v="2045"/>
    <n v="2066"/>
    <n v="2044.9"/>
    <s v=""/>
    <s v="assinatura"/>
    <n v="12495"/>
    <n v="2000"/>
    <n v="2.2450000000000046E-2"/>
    <n v="44.900000000000091"/>
    <x v="10"/>
    <x v="1"/>
  </r>
  <r>
    <x v="42"/>
    <x v="2"/>
    <s v="6abdeedafa7807c931a7e396"/>
    <s v="30/09/2026 19:12:45"/>
    <s v="01/10/2026 02:25:46"/>
    <s v="Ranieli"/>
    <s v="30/09/2026"/>
    <x v="0"/>
    <s v="JOSEFA KELY NUNES DE SOUSA"/>
    <n v="42838"/>
    <n v="2020"/>
    <n v="1956"/>
    <n v="2013"/>
    <n v="2027"/>
    <n v="2016"/>
    <n v="2041"/>
    <n v="1992"/>
    <n v="2009"/>
    <n v="2029"/>
    <n v="2032"/>
    <n v="2013.5"/>
    <s v=""/>
    <s v="assinatura"/>
    <n v="21662"/>
    <n v="2000"/>
    <n v="6.7499999999999999E-3"/>
    <n v="13.5"/>
    <x v="7"/>
    <x v="1"/>
  </r>
  <r>
    <x v="42"/>
    <x v="2"/>
    <s v="6abdeedafa7807c931a7e390"/>
    <s v="30/09/2026 19:11:05"/>
    <s v="01/10/2026 02:25:46"/>
    <s v="Ranieli"/>
    <s v="30/09/2026"/>
    <x v="0"/>
    <s v="JOSEFA KELY NUNES DE SOUSA"/>
    <n v="50580"/>
    <n v="2014"/>
    <n v="2009"/>
    <n v="2000"/>
    <n v="2047"/>
    <n v="2021"/>
    <n v="2019"/>
    <n v="2039"/>
    <n v="2044"/>
    <n v="2126"/>
    <n v="2025"/>
    <n v="2034.4"/>
    <s v=""/>
    <s v="assinatura"/>
    <n v="21737"/>
    <n v="2000"/>
    <n v="1.7200000000000045E-2"/>
    <n v="34.400000000000091"/>
    <x v="36"/>
    <x v="1"/>
  </r>
  <r>
    <x v="42"/>
    <x v="2"/>
    <s v="6abdeedafa7807c931a7e38a"/>
    <s v="30/09/2026 19:02:33"/>
    <s v="01/10/2026 02:25:46"/>
    <s v="Ranieli"/>
    <s v="30/09/2026"/>
    <x v="0"/>
    <s v="JOSEFA KELY NUNES DE SOUSA"/>
    <n v="42846"/>
    <n v="2005"/>
    <n v="2009"/>
    <n v="2029"/>
    <n v="2002"/>
    <n v="2023"/>
    <n v="2008"/>
    <n v="2006"/>
    <n v="2016"/>
    <n v="2009"/>
    <n v="2011"/>
    <n v="2011.8"/>
    <s v=""/>
    <s v="assinatura"/>
    <n v="22233"/>
    <n v="2000"/>
    <n v="5.8999999999999773E-3"/>
    <n v="11.799999999999955"/>
    <x v="6"/>
    <x v="1"/>
  </r>
  <r>
    <x v="42"/>
    <x v="2"/>
    <s v="6abdeedafa7807c931a7e37e"/>
    <s v="30/09/2026 17:39:33"/>
    <s v="01/10/2026 02:25:46"/>
    <s v="Ranieli"/>
    <s v="30/09/2026"/>
    <x v="0"/>
    <s v="JOSEFA KELY NUNES DE SOUSA"/>
    <n v="15229"/>
    <n v="995"/>
    <n v="995"/>
    <n v="1017"/>
    <n v="1015"/>
    <n v="1017"/>
    <n v="917"/>
    <n v="1014"/>
    <n v="1006"/>
    <n v="1009"/>
    <n v="1005"/>
    <n v="999"/>
    <s v=""/>
    <s v="assinatura"/>
    <n v="27121"/>
    <n v="1000"/>
    <n v="-1E-3"/>
    <n v="-1"/>
    <x v="9"/>
    <x v="1"/>
  </r>
  <r>
    <x v="42"/>
    <x v="2"/>
    <s v="6abdeedafa7807c931a7e378"/>
    <s v="30/09/2026 17:28:38"/>
    <s v="01/10/2026 02:25:46"/>
    <s v="Ranieli"/>
    <s v="30/09/2026"/>
    <x v="0"/>
    <s v="JOSEFA KELY NUNES DE SOUSA"/>
    <n v="40762"/>
    <n v="10010"/>
    <n v="8975"/>
    <n v="8890"/>
    <n v="9050"/>
    <n v="8945"/>
    <n v="10090"/>
    <n v="10060"/>
    <n v="9950"/>
    <n v="8895"/>
    <n v="8930"/>
    <n v="9379.5"/>
    <s v=""/>
    <s v="assinatura"/>
    <n v="1103"/>
    <n v="10000"/>
    <n v="-6.2050000000000001E-2"/>
    <n v="-620.5"/>
    <x v="3"/>
    <x v="1"/>
  </r>
  <r>
    <x v="42"/>
    <x v="2"/>
    <s v="6abdeedafa7807c931a7e372"/>
    <s v="30/09/2026 17:25:03"/>
    <s v="01/10/2026 02:25:46"/>
    <s v="Ranieli"/>
    <s v="30/09/2026"/>
    <x v="0"/>
    <s v="JOSEFA KELY NUNES DE SOUSA"/>
    <n v="15849"/>
    <n v="1010"/>
    <n v="1016"/>
    <n v="1014"/>
    <n v="1008"/>
    <n v="1005"/>
    <n v="1005"/>
    <n v="1014"/>
    <n v="1008"/>
    <n v="1007"/>
    <n v="1001"/>
    <n v="1008.8"/>
    <s v=""/>
    <s v=""/>
    <n v="27973"/>
    <n v="1000"/>
    <n v="8.7999999999999537E-3"/>
    <n v="8.7999999999999545"/>
    <x v="29"/>
    <x v="2"/>
  </r>
  <r>
    <x v="42"/>
    <x v="2"/>
    <s v="6abdeedafa7807c931a7e36c"/>
    <s v="30/09/2026 17:21:07"/>
    <s v="01/10/2026 02:25:46"/>
    <s v="Ranieli"/>
    <s v="30/09/2026"/>
    <x v="0"/>
    <s v="JOSEFA KELY NUNES DE SOUSA"/>
    <n v="15105"/>
    <n v="1029"/>
    <n v="991"/>
    <n v="995"/>
    <n v="992"/>
    <n v="1002"/>
    <n v="1032"/>
    <n v="1001"/>
    <n v="995"/>
    <n v="999"/>
    <n v="1011"/>
    <n v="1004.7"/>
    <s v=""/>
    <s v="assinatura"/>
    <n v="28194"/>
    <n v="1000"/>
    <n v="4.7000000000000453E-3"/>
    <n v="4.7000000000000455"/>
    <x v="0"/>
    <x v="0"/>
  </r>
  <r>
    <x v="42"/>
    <x v="2"/>
    <s v="6abdeedafa7807c931a7e366"/>
    <s v="30/09/2026 17:11:45"/>
    <s v="01/10/2026 02:25:46"/>
    <s v="Ranieli"/>
    <s v="30/09/2026"/>
    <x v="0"/>
    <s v="JOSEFA KELY NUNES DE SOUSA"/>
    <n v="995638"/>
    <n v="15005"/>
    <n v="15035"/>
    <n v="15025"/>
    <n v="15040"/>
    <n v="15005"/>
    <n v="15050"/>
    <n v="15070"/>
    <n v="15045"/>
    <n v="15005"/>
    <n v="15050"/>
    <n v="15033"/>
    <s v=""/>
    <s v="assinatura"/>
    <n v="28649"/>
    <n v="15000"/>
    <n v="2.2000000000000001E-3"/>
    <n v="33"/>
    <x v="21"/>
    <x v="3"/>
  </r>
  <r>
    <x v="42"/>
    <x v="2"/>
    <s v="6abdc4b67b027318e0208b27"/>
    <s v="30/09/2026 22:26:17"/>
    <s v="30/09/2026 23:25:58"/>
    <s v="Ranieli"/>
    <s v="30/09/2026"/>
    <x v="0"/>
    <s v="JULIANE GOMES NOVAIS"/>
    <n v="13188"/>
    <n v="1037"/>
    <n v="1017"/>
    <n v="1035"/>
    <n v="1015"/>
    <n v="1035"/>
    <n v="1034"/>
    <n v="1042"/>
    <n v="1027"/>
    <n v="1009"/>
    <n v="1033"/>
    <n v="1028.4000000000001"/>
    <s v=""/>
    <s v="assinatura"/>
    <n v="410"/>
    <n v="1000"/>
    <n v="2.8400000000000092E-2"/>
    <n v="28.400000000000091"/>
    <x v="8"/>
    <x v="1"/>
  </r>
  <r>
    <x v="42"/>
    <x v="2"/>
    <s v="6abdc4b67b027318e0208b21"/>
    <s v="30/09/2026 22:13:36"/>
    <s v="30/09/2026 23:25:58"/>
    <s v="Ranieli"/>
    <s v="30/09/2026"/>
    <x v="0"/>
    <s v="JULIANE GOMES NOVAIS"/>
    <n v="42846"/>
    <n v="2014"/>
    <n v="2002"/>
    <n v="2009"/>
    <n v="2092"/>
    <n v="2014"/>
    <n v="2008"/>
    <n v="2004"/>
    <n v="2008"/>
    <n v="2011"/>
    <n v="2000"/>
    <n v="2016.2"/>
    <s v=""/>
    <s v="assinatura"/>
    <n v="701"/>
    <n v="2000"/>
    <n v="8.1000000000000221E-3"/>
    <n v="16.200000000000045"/>
    <x v="6"/>
    <x v="1"/>
  </r>
  <r>
    <x v="42"/>
    <x v="2"/>
    <s v="6abdc4b67b027318e0208b19"/>
    <s v="30/09/2026 22:06:29"/>
    <s v="30/09/2026 23:25:58"/>
    <s v="Ranieli"/>
    <s v="30/09/2026"/>
    <x v="0"/>
    <s v="JULIANE GOMES NOVAIS"/>
    <n v="42838"/>
    <n v="2020"/>
    <n v="2010"/>
    <n v="2029"/>
    <n v="2000"/>
    <n v="2010"/>
    <n v="2030"/>
    <n v="2030"/>
    <n v="2040"/>
    <n v="2018"/>
    <n v="2034"/>
    <n v="2022.1"/>
    <s v=""/>
    <s v="assinatura"/>
    <n v="1108"/>
    <n v="2000"/>
    <n v="1.1049999999999954E-2"/>
    <n v="22.099999999999909"/>
    <x v="7"/>
    <x v="1"/>
  </r>
  <r>
    <x v="42"/>
    <x v="2"/>
    <s v="6abdbe8e7b027318e02088e3"/>
    <s v="30/09/2026 22:18:52"/>
    <s v="30/09/2026 22:59:42"/>
    <s v="Ranieli"/>
    <s v="30/09/2026"/>
    <x v="0"/>
    <s v="JULIANE GOMES NOVAIS"/>
    <n v="42862"/>
    <n v="2026"/>
    <n v="2026"/>
    <n v="2015"/>
    <n v="2035"/>
    <n v="2008"/>
    <n v="2064"/>
    <n v="2012"/>
    <n v="2066"/>
    <n v="2030"/>
    <n v="2015"/>
    <n v="2029.7"/>
    <s v=""/>
    <s v="assinatura"/>
    <n v="426"/>
    <n v="2000"/>
    <n v="1.4850000000000023E-2"/>
    <n v="29.700000000000045"/>
    <x v="5"/>
    <x v="1"/>
  </r>
  <r>
    <x v="42"/>
    <x v="2"/>
    <s v="6abdbe8e7b027318e02088dd"/>
    <s v="30/09/2026 22:16:02"/>
    <s v="30/09/2026 22:59:42"/>
    <s v="Ranieli"/>
    <s v="30/09/2026"/>
    <x v="0"/>
    <s v="JULIANE GOMES NOVAIS"/>
    <n v="42854"/>
    <n v="2105"/>
    <n v="2085"/>
    <n v="2065"/>
    <n v="2050"/>
    <n v="2048"/>
    <n v="2066"/>
    <n v="2113"/>
    <n v="2052"/>
    <n v="2121"/>
    <n v="2089"/>
    <n v="2079.4"/>
    <s v=""/>
    <s v="assinatura"/>
    <n v="570"/>
    <n v="2080"/>
    <n v="-2.8846153846149474E-4"/>
    <n v="-0.59999999999990905"/>
    <x v="4"/>
    <x v="1"/>
  </r>
  <r>
    <x v="42"/>
    <x v="2"/>
    <s v="6abdbe8e7b027318e02088d7"/>
    <s v="30/09/2026 22:04:42"/>
    <s v="30/09/2026 22:59:42"/>
    <s v="Ranieli"/>
    <s v="30/09/2026"/>
    <x v="0"/>
    <s v="JULIANE GOMES NOVAIS"/>
    <n v="42820"/>
    <n v="2010"/>
    <n v="2059"/>
    <n v="2057"/>
    <n v="2024"/>
    <n v="2020"/>
    <n v="2043"/>
    <n v="2011"/>
    <n v="2016"/>
    <n v="2020"/>
    <n v="2013"/>
    <n v="2027.3"/>
    <s v=""/>
    <s v="assinatura"/>
    <n v="1197"/>
    <n v="2000"/>
    <n v="1.3649999999999978E-2"/>
    <n v="27.299999999999955"/>
    <x v="10"/>
    <x v="1"/>
  </r>
  <r>
    <x v="42"/>
    <x v="2"/>
    <s v="6abd7ef01dccde3e7e103406"/>
    <s v="30/09/2026 18:10:27"/>
    <s v="30/09/2026 18:28:16"/>
    <s v="Ranieli"/>
    <s v="30/09/2026"/>
    <x v="0"/>
    <s v="JULIANE GOMES NOVAIS"/>
    <n v="42862"/>
    <n v="2030"/>
    <n v="2020"/>
    <n v="2036"/>
    <n v="2010"/>
    <n v="2021"/>
    <n v="2010"/>
    <n v="2012"/>
    <n v="2032"/>
    <n v="2003"/>
    <n v="2032"/>
    <n v="2020.6"/>
    <s v=""/>
    <s v="assinatura"/>
    <n v="1028"/>
    <n v="2000"/>
    <n v="1.0299999999999955E-2"/>
    <n v="20.599999999999909"/>
    <x v="5"/>
    <x v="1"/>
  </r>
  <r>
    <x v="42"/>
    <x v="2"/>
    <s v="6abd7ef01dccde3e7e103400"/>
    <s v="30/09/2026 18:08:00"/>
    <s v="30/09/2026 18:28:16"/>
    <s v="Ranieli"/>
    <s v="30/09/2026"/>
    <x v="0"/>
    <s v="JULIANE GOMES NOVAIS"/>
    <n v="42854"/>
    <n v="2057"/>
    <n v="2098"/>
    <n v="2072"/>
    <n v="2114"/>
    <n v="2082"/>
    <n v="2128"/>
    <n v="2007"/>
    <n v="2040"/>
    <n v="2100"/>
    <n v="2082"/>
    <n v="2078"/>
    <s v=""/>
    <s v="assinatura"/>
    <n v="1153"/>
    <n v="2080"/>
    <n v="-9.6153846153846159E-4"/>
    <n v="-2"/>
    <x v="4"/>
    <x v="1"/>
  </r>
  <r>
    <x v="42"/>
    <x v="2"/>
    <s v="6abd7ef01dccde3e7e1033fa"/>
    <s v="30/09/2026 18:03:19"/>
    <s v="30/09/2026 18:28:16"/>
    <s v="Ranieli"/>
    <s v="30/09/2026"/>
    <x v="0"/>
    <s v="JULIANE GOMES NOVAIS"/>
    <n v="42846"/>
    <n v="2003"/>
    <n v="2002"/>
    <n v="2069"/>
    <n v="2010"/>
    <n v="1998"/>
    <n v="2011"/>
    <n v="2013"/>
    <n v="2003"/>
    <n v="2015"/>
    <n v="2005"/>
    <n v="2012.9"/>
    <s v=""/>
    <s v="assinatura"/>
    <n v="1412"/>
    <n v="2000"/>
    <n v="6.4500000000000451E-3"/>
    <n v="12.900000000000091"/>
    <x v="6"/>
    <x v="1"/>
  </r>
  <r>
    <x v="42"/>
    <x v="2"/>
    <s v="6abd7ef01dccde3e7e1033f4"/>
    <s v="30/09/2026 18:01:29"/>
    <s v="30/09/2026 18:28:16"/>
    <s v="Ranieli"/>
    <s v="30/09/2026"/>
    <x v="0"/>
    <s v="JULIANE GOMES NOVAIS"/>
    <n v="42838"/>
    <n v="2021"/>
    <n v="2027"/>
    <n v="2008"/>
    <n v="2028"/>
    <n v="2004"/>
    <n v="2003"/>
    <n v="2006"/>
    <n v="2014"/>
    <n v="2047"/>
    <n v="2013"/>
    <n v="2017.1"/>
    <s v=""/>
    <s v="assinatura"/>
    <n v="1507"/>
    <n v="2000"/>
    <n v="8.5499999999999552E-3"/>
    <n v="17.099999999999909"/>
    <x v="7"/>
    <x v="1"/>
  </r>
  <r>
    <x v="42"/>
    <x v="2"/>
    <s v="6abd7ef01dccde3e7e1033ee"/>
    <s v="30/09/2026 17:58:53"/>
    <s v="30/09/2026 18:28:16"/>
    <s v="Ranieli"/>
    <s v="30/09/2026"/>
    <x v="0"/>
    <s v="JULIANE GOMES NOVAIS"/>
    <n v="42820"/>
    <n v="2059"/>
    <n v="2035"/>
    <n v="2024"/>
    <n v="2027"/>
    <n v="2011"/>
    <n v="2027"/>
    <n v="2000"/>
    <n v="2010"/>
    <n v="2035"/>
    <n v="2038"/>
    <n v="2026.6"/>
    <s v=""/>
    <s v="assinatura"/>
    <n v="1649"/>
    <n v="2000"/>
    <n v="1.3299999999999954E-2"/>
    <n v="26.599999999999909"/>
    <x v="10"/>
    <x v="1"/>
  </r>
  <r>
    <x v="42"/>
    <x v="2"/>
    <s v="6abd7ef01dccde3e7e1033e8"/>
    <s v="30/09/2026 17:09:59"/>
    <s v="30/09/2026 18:28:16"/>
    <s v="Ranieli"/>
    <s v="30/09/2026"/>
    <x v="0"/>
    <s v="JULIANE GOMES NOVAIS"/>
    <n v="15105"/>
    <n v="1003"/>
    <n v="1004"/>
    <n v="996"/>
    <n v="1007"/>
    <n v="995"/>
    <n v="1030"/>
    <n v="1000"/>
    <n v="1038"/>
    <n v="994"/>
    <n v="1000"/>
    <n v="1006.7"/>
    <s v=""/>
    <s v="assinatura"/>
    <n v="169"/>
    <n v="1000"/>
    <n v="6.7000000000000453E-3"/>
    <n v="6.7000000000000455"/>
    <x v="0"/>
    <x v="0"/>
  </r>
  <r>
    <x v="42"/>
    <x v="2"/>
    <s v="6abd7eef1dccde3e7e1033e2"/>
    <s v="30/09/2026 16:58:25"/>
    <s v="30/09/2026 18:28:15"/>
    <s v="Ranieli"/>
    <s v="30/09/2026"/>
    <x v="0"/>
    <s v="JULIANE GOMES NOVAIS"/>
    <n v="40762"/>
    <n v="10085"/>
    <n v="10005"/>
    <n v="10000"/>
    <n v="10000"/>
    <n v="9970"/>
    <n v="10050"/>
    <n v="10040"/>
    <n v="10000"/>
    <n v="10055"/>
    <n v="10055"/>
    <n v="10026"/>
    <s v=""/>
    <s v="assinatura"/>
    <n v="633"/>
    <n v="10000"/>
    <n v="2.5999999999999999E-3"/>
    <n v="26"/>
    <x v="3"/>
    <x v="1"/>
  </r>
  <r>
    <x v="42"/>
    <x v="2"/>
    <s v="6abd4fcdff6ac25cf5259064"/>
    <s v="30/09/2026 13:46:39"/>
    <s v="30/09/2026 15:07:09"/>
    <s v="Ranieli"/>
    <s v="30/09/2026"/>
    <x v="1"/>
    <s v="ALANA DA SILVA MARTINS"/>
    <n v="50580"/>
    <n v="1997"/>
    <n v="1985"/>
    <n v="2008"/>
    <n v="1998"/>
    <n v="2024"/>
    <n v="2018"/>
    <n v="2040"/>
    <n v="2000"/>
    <n v="2123"/>
    <n v="2022"/>
    <n v="2021.5"/>
    <s v=""/>
    <s v="assinatura"/>
    <n v="297"/>
    <n v="2000"/>
    <n v="1.0749999999999999E-2"/>
    <n v="21.5"/>
    <x v="36"/>
    <x v="1"/>
  </r>
  <r>
    <x v="42"/>
    <x v="2"/>
    <s v="6abd4253f9405e4814028384"/>
    <s v="30/09/2026 13:59:38"/>
    <s v="30/09/2026 14:09:39"/>
    <s v="Ranieli"/>
    <s v="30/09/2026"/>
    <x v="1"/>
    <s v="RANIELI MARIA MASQUIETI DOURADO"/>
    <n v="18228"/>
    <n v="1003"/>
    <n v="961"/>
    <n v="1004"/>
    <n v="1002"/>
    <n v="1008"/>
    <n v="998"/>
    <n v="1017"/>
    <n v="1010"/>
    <n v="1015"/>
    <n v="996"/>
    <n v="1001.4"/>
    <s v=""/>
    <s v="assinatura"/>
    <n v="268"/>
    <n v="1000"/>
    <n v="1.3999999999999772E-3"/>
    <n v="1.3999999999999773"/>
    <x v="16"/>
    <x v="4"/>
  </r>
  <r>
    <x v="42"/>
    <x v="2"/>
    <s v="6abd4253f9405e481402837e"/>
    <s v="30/09/2026 13:52:46"/>
    <s v="30/09/2026 14:09:39"/>
    <s v="Ranieli"/>
    <s v="30/09/2026"/>
    <x v="1"/>
    <s v="RANIELI MARIA MASQUIETI DOURADO"/>
    <n v="31454"/>
    <n v="2540"/>
    <n v="2511"/>
    <n v="2493"/>
    <n v="2558"/>
    <n v="2511"/>
    <n v="2559"/>
    <n v="2556"/>
    <n v="2548"/>
    <n v="2563"/>
    <n v="2564"/>
    <n v="2540.3000000000002"/>
    <s v=""/>
    <s v="assinatura"/>
    <n v="156"/>
    <n v="2500"/>
    <n v="1.6120000000000072E-2"/>
    <n v="40.300000000000182"/>
    <x v="20"/>
    <x v="3"/>
  </r>
  <r>
    <x v="42"/>
    <x v="2"/>
    <s v="6abd4253f9405e4814028378"/>
    <s v="30/09/2026 13:48:55"/>
    <s v="30/09/2026 14:09:39"/>
    <s v="Ranieli"/>
    <s v="30/09/2026"/>
    <x v="1"/>
    <s v="RANIELI MARIA MASQUIETI DOURADO"/>
    <n v="54632"/>
    <n v="993"/>
    <n v="1002"/>
    <n v="1008"/>
    <n v="993"/>
    <n v="993"/>
    <n v="1008"/>
    <n v="1005"/>
    <n v="1000"/>
    <n v="1016"/>
    <n v="1025"/>
    <n v="1004.3"/>
    <s v=""/>
    <s v="assinatura"/>
    <n v="156"/>
    <n v="1000"/>
    <n v="4.2999999999999549E-3"/>
    <n v="4.2999999999999545"/>
    <x v="11"/>
    <x v="1"/>
  </r>
  <r>
    <x v="42"/>
    <x v="2"/>
    <s v="6abd4253f9405e4814028372"/>
    <s v="30/09/2026 13:42:54"/>
    <s v="30/09/2026 14:09:39"/>
    <s v="Ranieli"/>
    <s v="30/09/2026"/>
    <x v="1"/>
    <s v="RANIELI MARIA MASQUIETI DOURADO"/>
    <n v="15105"/>
    <n v="996"/>
    <n v="995"/>
    <n v="994"/>
    <n v="1006"/>
    <n v="998"/>
    <n v="1007"/>
    <n v="1003"/>
    <n v="987"/>
    <n v="1001"/>
    <n v="1036"/>
    <n v="1002.3"/>
    <s v=""/>
    <s v="assinatura"/>
    <n v="197"/>
    <n v="1000"/>
    <n v="2.2999999999999544E-3"/>
    <n v="2.2999999999999545"/>
    <x v="0"/>
    <x v="0"/>
  </r>
  <r>
    <x v="42"/>
    <x v="2"/>
    <s v="6abd4253f9405e481402836c"/>
    <s v="30/09/2026 13:37:20"/>
    <s v="30/09/2026 14:09:39"/>
    <s v="Ranieli"/>
    <s v="30/09/2026"/>
    <x v="1"/>
    <s v="RANIELI MARIA MASQUIETI DOURADO"/>
    <n v="50580"/>
    <n v="2021"/>
    <n v="2028"/>
    <n v="2105"/>
    <n v="1994"/>
    <n v="2021"/>
    <n v="2055"/>
    <n v="1997"/>
    <n v="2017"/>
    <n v="2033"/>
    <n v="1980"/>
    <n v="2025.1"/>
    <s v=""/>
    <s v="assinatura"/>
    <n v="176"/>
    <n v="2000"/>
    <n v="1.2549999999999955E-2"/>
    <n v="25.099999999999909"/>
    <x v="36"/>
    <x v="1"/>
  </r>
  <r>
    <x v="42"/>
    <x v="2"/>
    <s v="6abd255e7b027318e01fc90a"/>
    <s v="30/09/2026 12:01:23"/>
    <s v="30/09/2026 12:06:06"/>
    <s v="Ranieli"/>
    <s v="30/09/2026"/>
    <x v="1"/>
    <s v="ALANA DA SILVA MARTINS"/>
    <n v="197734"/>
    <n v="1009"/>
    <n v="1007"/>
    <n v="1007"/>
    <n v="1005"/>
    <n v="1008"/>
    <n v="1007"/>
    <n v="1025"/>
    <n v="1005"/>
    <n v="1011"/>
    <n v="1010"/>
    <n v="1009.4"/>
    <s v=""/>
    <s v="assinatura"/>
    <n v="151"/>
    <n v="1000"/>
    <n v="9.3999999999999778E-3"/>
    <n v="9.3999999999999773"/>
    <x v="2"/>
    <x v="2"/>
  </r>
  <r>
    <x v="42"/>
    <x v="2"/>
    <s v="6abd255e7b027318e01fc904"/>
    <s v="30/09/2026 11:53:02"/>
    <s v="30/09/2026 12:06:06"/>
    <s v="Ranieli"/>
    <s v="30/09/2026"/>
    <x v="1"/>
    <s v="ALANA DA SILVA MARTINS"/>
    <n v="18163"/>
    <n v="1007"/>
    <n v="999"/>
    <n v="1000"/>
    <n v="1003"/>
    <n v="1008"/>
    <n v="994"/>
    <n v="1005"/>
    <n v="998"/>
    <n v="1000"/>
    <n v="1002"/>
    <n v="1001.6"/>
    <s v=""/>
    <s v="assinatura"/>
    <n v="219"/>
    <n v="1000"/>
    <n v="1.6000000000000228E-3"/>
    <n v="1.6000000000000227"/>
    <x v="27"/>
    <x v="6"/>
  </r>
  <r>
    <x v="42"/>
    <x v="2"/>
    <s v="6abd255e7b027318e01fc8fe"/>
    <s v="30/09/2026 11:47:41"/>
    <s v="30/09/2026 12:06:06"/>
    <s v="Ranieli"/>
    <s v="30/09/2026"/>
    <x v="1"/>
    <s v="ALANA DA SILVA MARTINS"/>
    <n v="40762"/>
    <n v="10155"/>
    <n v="10015"/>
    <n v="9965"/>
    <n v="9610"/>
    <n v="10120"/>
    <n v="10075"/>
    <n v="9970"/>
    <n v="10090"/>
    <n v="9950"/>
    <n v="10050"/>
    <n v="10000"/>
    <s v=""/>
    <s v="assinatura"/>
    <n v="699"/>
    <n v="10000"/>
    <n v="0"/>
    <n v="0"/>
    <x v="3"/>
    <x v="1"/>
  </r>
  <r>
    <x v="42"/>
    <x v="2"/>
    <s v="6abd255e7b027318e01fc8f8"/>
    <s v="30/09/2026 11:42:50"/>
    <s v="30/09/2026 12:06:06"/>
    <s v="Ranieli"/>
    <s v="30/09/2026"/>
    <x v="1"/>
    <s v="ALANA DA SILVA MARTINS"/>
    <n v="54632"/>
    <n v="1001"/>
    <n v="995"/>
    <n v="993"/>
    <n v="998"/>
    <n v="1006"/>
    <n v="1001"/>
    <n v="1002"/>
    <n v="1006"/>
    <n v="1007"/>
    <n v="1004"/>
    <n v="1001.3"/>
    <s v=""/>
    <s v="assinatura"/>
    <n v="968"/>
    <n v="1000"/>
    <n v="1.2999999999999546E-3"/>
    <n v="1.2999999999999545"/>
    <x v="11"/>
    <x v="1"/>
  </r>
  <r>
    <x v="42"/>
    <x v="2"/>
    <s v="6abd255e7b027318e01fc8f2"/>
    <s v="30/09/2026 11:40:12"/>
    <s v="30/09/2026 12:06:06"/>
    <s v="Ranieli"/>
    <s v="30/09/2026"/>
    <x v="1"/>
    <s v="ALANA DA SILVA MARTINS"/>
    <n v="18228"/>
    <n v="999"/>
    <n v="1008"/>
    <n v="1006"/>
    <n v="994"/>
    <n v="998"/>
    <n v="1003"/>
    <n v="1007"/>
    <n v="1000"/>
    <n v="1006"/>
    <n v="999"/>
    <n v="1002"/>
    <s v=""/>
    <s v="assinatura"/>
    <n v="1014"/>
    <n v="1000"/>
    <n v="2E-3"/>
    <n v="2"/>
    <x v="16"/>
    <x v="4"/>
  </r>
  <r>
    <x v="44"/>
    <x v="3"/>
    <s v="6abf3b742a994604e4a010c2"/>
    <s v="01/10/2026 22:41:45"/>
    <s v="02/10/2026 02:04:52"/>
    <s v="Ranieli"/>
    <s v="01/10/2026"/>
    <x v="0"/>
    <s v="JOSEFA KELY NUNES DE SOUSA"/>
    <n v="992093"/>
    <n v="5001"/>
    <n v="5003"/>
    <n v="5007"/>
    <n v="5007"/>
    <n v="5004"/>
    <n v="5010"/>
    <n v="5001"/>
    <n v="5012"/>
    <n v="5003"/>
    <n v="5008"/>
    <n v="5005.6000000000004"/>
    <s v=""/>
    <s v="assinatura"/>
    <n v="12185"/>
    <n v="5000"/>
    <n v="1.1200000000000728E-3"/>
    <n v="5.6000000000003638"/>
    <x v="13"/>
    <x v="3"/>
  </r>
  <r>
    <x v="44"/>
    <x v="3"/>
    <s v="6abf3ad13cf16866fa66609d"/>
    <s v="01/10/2026 17:37:11"/>
    <s v="02/10/2026 02:02:09"/>
    <s v="Ranieli"/>
    <s v="01/10/2026"/>
    <x v="0"/>
    <s v="JOSEFA KELY NUNES DE SOUSA"/>
    <n v="13188"/>
    <n v="998"/>
    <n v="997"/>
    <n v="1004"/>
    <n v="997"/>
    <n v="1001"/>
    <n v="1012"/>
    <n v="999"/>
    <n v="1012"/>
    <n v="1005"/>
    <n v="1006"/>
    <n v="1003.1"/>
    <s v=""/>
    <s v="assinatura"/>
    <n v="30263"/>
    <n v="1000"/>
    <n v="3.1000000000000229E-3"/>
    <n v="3.1000000000000227"/>
    <x v="8"/>
    <x v="1"/>
  </r>
  <r>
    <x v="44"/>
    <x v="3"/>
    <s v="6abf3abcfeff8ad157fab5a3"/>
    <s v="01/10/2026 22:36:06"/>
    <s v="02/10/2026 02:01:48"/>
    <s v="Ranieli"/>
    <s v="01/10/2026"/>
    <x v="0"/>
    <s v="JOSEFA KELY NUNES DE SOUSA"/>
    <n v="15105"/>
    <n v="1002"/>
    <n v="1006"/>
    <n v="1012"/>
    <n v="980"/>
    <n v="1014"/>
    <n v="1015"/>
    <n v="1005"/>
    <n v="1005"/>
    <n v="1007"/>
    <n v="990"/>
    <n v="1003.6"/>
    <s v=""/>
    <s v="assinatura"/>
    <n v="239"/>
    <n v="1000"/>
    <n v="3.6000000000000229E-3"/>
    <n v="3.6000000000000227"/>
    <x v="0"/>
    <x v="0"/>
  </r>
  <r>
    <x v="44"/>
    <x v="3"/>
    <s v="6abf3abcfeff8ad157fab59d"/>
    <s v="01/10/2026 22:22:08"/>
    <s v="02/10/2026 02:01:48"/>
    <s v="Ranieli"/>
    <s v="01/10/2026"/>
    <x v="0"/>
    <s v="JOSEFA KELY NUNES DE SOUSA"/>
    <n v="42862"/>
    <n v="2025"/>
    <n v="2017"/>
    <n v="2029"/>
    <n v="1994"/>
    <n v="2026"/>
    <n v="2016"/>
    <n v="2013"/>
    <n v="1999"/>
    <n v="1996"/>
    <n v="2008"/>
    <n v="2012.3"/>
    <s v=""/>
    <s v="assinatura"/>
    <n v="132"/>
    <n v="2000"/>
    <n v="6.1499999999999775E-3"/>
    <n v="12.299999999999955"/>
    <x v="5"/>
    <x v="1"/>
  </r>
  <r>
    <x v="44"/>
    <x v="3"/>
    <s v="6abf3abcfeff8ad157fab597"/>
    <s v="01/10/2026 22:19:50"/>
    <s v="02/10/2026 02:01:48"/>
    <s v="Ranieli"/>
    <s v="01/10/2026"/>
    <x v="0"/>
    <s v="JOSEFA KELY NUNES DE SOUSA"/>
    <n v="42854"/>
    <n v="2093"/>
    <n v="2013"/>
    <n v="2084"/>
    <n v="2115"/>
    <n v="2109"/>
    <n v="2104"/>
    <n v="2082"/>
    <n v="2099"/>
    <n v="2020"/>
    <n v="2078"/>
    <n v="2079.6999999999998"/>
    <s v=""/>
    <s v=""/>
    <n v="123"/>
    <n v="2080"/>
    <n v="-1.4423076923085669E-4"/>
    <n v="-0.3000000000001819"/>
    <x v="4"/>
    <x v="1"/>
  </r>
  <r>
    <x v="44"/>
    <x v="3"/>
    <s v="6abf3abcfeff8ad157fab591"/>
    <s v="01/10/2026 22:17:38"/>
    <s v="02/10/2026 02:01:48"/>
    <s v="Ranieli"/>
    <s v="01/10/2026"/>
    <x v="0"/>
    <s v="JOSEFA KELY NUNES DE SOUSA"/>
    <n v="42820"/>
    <n v="2029"/>
    <n v="2006"/>
    <n v="2050"/>
    <n v="2042"/>
    <n v="2066"/>
    <n v="2051"/>
    <n v="2080"/>
    <n v="2020"/>
    <n v="2061"/>
    <n v="2058"/>
    <n v="2046.3"/>
    <s v=""/>
    <s v="assinatura"/>
    <n v="130"/>
    <n v="2000"/>
    <n v="2.3149999999999976E-2"/>
    <n v="46.299999999999955"/>
    <x v="10"/>
    <x v="1"/>
  </r>
  <r>
    <x v="44"/>
    <x v="3"/>
    <s v="6abf3abcfeff8ad157fab58b"/>
    <s v="01/10/2026 22:15:29"/>
    <s v="02/10/2026 02:01:48"/>
    <s v="Ranieli"/>
    <s v="01/10/2026"/>
    <x v="0"/>
    <s v="JOSEFA KELY NUNES DE SOUSA"/>
    <n v="42838"/>
    <n v="2019"/>
    <n v="1975"/>
    <n v="2013"/>
    <n v="1999"/>
    <n v="2023"/>
    <n v="2034"/>
    <n v="2022"/>
    <n v="2037"/>
    <n v="2024"/>
    <n v="2036"/>
    <n v="2018.2"/>
    <s v=""/>
    <s v=""/>
    <n v="128"/>
    <n v="2000"/>
    <n v="9.100000000000023E-3"/>
    <n v="18.200000000000045"/>
    <x v="7"/>
    <x v="1"/>
  </r>
  <r>
    <x v="44"/>
    <x v="3"/>
    <s v="6abf3abcfeff8ad157fab585"/>
    <s v="01/10/2026 22:06:30"/>
    <s v="02/10/2026 02:01:48"/>
    <s v="Ranieli"/>
    <s v="01/10/2026"/>
    <x v="0"/>
    <s v="JOSEFA KELY NUNES DE SOUSA"/>
    <n v="42846"/>
    <n v="2013"/>
    <n v="1995"/>
    <n v="2007"/>
    <n v="2023"/>
    <n v="2008"/>
    <n v="2006"/>
    <n v="2012"/>
    <n v="2015"/>
    <n v="1940"/>
    <n v="2016"/>
    <n v="2003.5"/>
    <s v=""/>
    <s v="assinatura"/>
    <n v="537"/>
    <n v="2000"/>
    <n v="1.75E-3"/>
    <n v="3.5"/>
    <x v="6"/>
    <x v="1"/>
  </r>
  <r>
    <x v="44"/>
    <x v="3"/>
    <s v="6abf3abbfeff8ad157fab579"/>
    <s v="01/10/2026 19:13:46"/>
    <s v="02/10/2026 02:01:47"/>
    <s v="Ranieli"/>
    <s v="01/10/2026"/>
    <x v="0"/>
    <s v="JOSEFA KELY NUNES DE SOUSA"/>
    <n v="209069"/>
    <n v="998"/>
    <n v="1028"/>
    <n v="1006"/>
    <n v="1009"/>
    <n v="1029"/>
    <n v="1013"/>
    <n v="1002"/>
    <n v="1019"/>
    <n v="1008"/>
    <n v="1009"/>
    <n v="1012.1"/>
    <s v=""/>
    <s v="assinatura"/>
    <n v="7327"/>
    <n v="1000"/>
    <n v="1.2100000000000022E-2"/>
    <n v="12.100000000000023"/>
    <x v="28"/>
    <x v="0"/>
  </r>
  <r>
    <x v="44"/>
    <x v="3"/>
    <s v="6abf3abbfeff8ad157fab573"/>
    <s v="01/10/2026 19:06:44"/>
    <s v="02/10/2026 02:01:47"/>
    <s v="Ranieli"/>
    <s v="01/10/2026"/>
    <x v="0"/>
    <s v="JOSEFA KELY NUNES DE SOUSA"/>
    <n v="995638"/>
    <n v="15020"/>
    <n v="15020"/>
    <n v="15035"/>
    <n v="15015"/>
    <n v="15035"/>
    <n v="15015"/>
    <n v="15045"/>
    <n v="15045"/>
    <n v="15035"/>
    <n v="15015"/>
    <n v="15028"/>
    <s v=""/>
    <s v="assinatura"/>
    <n v="353"/>
    <n v="15000"/>
    <n v="1.8666666666666666E-3"/>
    <n v="28"/>
    <x v="21"/>
    <x v="3"/>
  </r>
  <r>
    <x v="44"/>
    <x v="3"/>
    <s v="6abf3abbfeff8ad157fab56d"/>
    <s v="01/10/2026 19:00:32"/>
    <s v="02/10/2026 02:01:47"/>
    <s v="Ranieli"/>
    <s v="01/10/2026"/>
    <x v="0"/>
    <s v="JOSEFA KELY NUNES DE SOUSA"/>
    <n v="40762"/>
    <n v="10060"/>
    <n v="10055"/>
    <n v="10010"/>
    <n v="9915"/>
    <n v="9995"/>
    <n v="9970"/>
    <n v="9975"/>
    <n v="9955"/>
    <n v="10000"/>
    <n v="9985"/>
    <n v="9992"/>
    <s v=""/>
    <s v="assinatura"/>
    <n v="345"/>
    <n v="10000"/>
    <n v="-8.0000000000000004E-4"/>
    <n v="-8"/>
    <x v="3"/>
    <x v="1"/>
  </r>
  <r>
    <x v="44"/>
    <x v="3"/>
    <s v="6abf3abbfeff8ad157fab565"/>
    <s v="01/10/2026 18:57:49"/>
    <s v="02/10/2026 02:01:47"/>
    <s v="Ranieli"/>
    <s v="01/10/2026"/>
    <x v="0"/>
    <s v="JOSEFA KELY NUNES DE SOUSA"/>
    <n v="15849"/>
    <n v="1017"/>
    <n v="1016"/>
    <n v="1009"/>
    <n v="1007"/>
    <n v="998"/>
    <n v="1024"/>
    <n v="999"/>
    <n v="1013"/>
    <n v="996"/>
    <n v="997"/>
    <n v="1007.6"/>
    <s v=""/>
    <s v="assinatura"/>
    <n v="157"/>
    <n v="1000"/>
    <n v="7.6000000000000225E-3"/>
    <n v="7.6000000000000227"/>
    <x v="29"/>
    <x v="2"/>
  </r>
  <r>
    <x v="44"/>
    <x v="3"/>
    <s v="6abf3abbfeff8ad157fab55f"/>
    <s v="01/10/2026 17:41:14"/>
    <s v="02/10/2026 02:01:47"/>
    <s v="Ranieli"/>
    <s v="01/10/2026"/>
    <x v="0"/>
    <s v="JOSEFA KELY NUNES DE SOUSA"/>
    <n v="40762"/>
    <n v="9985"/>
    <n v="10050"/>
    <n v="10025"/>
    <n v="10075"/>
    <n v="9965"/>
    <n v="9930"/>
    <n v="10010"/>
    <n v="10035"/>
    <n v="10050"/>
    <n v="10050"/>
    <n v="10017.5"/>
    <s v=""/>
    <s v="assinatura"/>
    <n v="30001"/>
    <n v="10000"/>
    <n v="1.75E-3"/>
    <n v="17.5"/>
    <x v="3"/>
    <x v="1"/>
  </r>
  <r>
    <x v="44"/>
    <x v="3"/>
    <s v="6abf3abbfeff8ad157fab559"/>
    <s v="01/10/2026 17:35:05"/>
    <s v="02/10/2026 02:01:47"/>
    <s v="Ranieli"/>
    <s v="01/10/2026"/>
    <x v="0"/>
    <s v="JOSEFA KELY NUNES DE SOUSA"/>
    <n v="15229"/>
    <n v="1001"/>
    <n v="1010"/>
    <n v="1009"/>
    <n v="1004"/>
    <n v="1000"/>
    <n v="1004"/>
    <n v="1008"/>
    <n v="996"/>
    <n v="1003"/>
    <n v="1004"/>
    <n v="1003.9"/>
    <s v=""/>
    <s v="assinatura"/>
    <n v="125"/>
    <n v="1000"/>
    <n v="3.8999999999999773E-3"/>
    <n v="3.8999999999999773"/>
    <x v="9"/>
    <x v="1"/>
  </r>
  <r>
    <x v="44"/>
    <x v="3"/>
    <s v="6abf3abbfeff8ad157fab553"/>
    <s v="01/10/2026 17:29:50"/>
    <s v="02/10/2026 02:01:47"/>
    <s v="Ranieli"/>
    <s v="01/10/2026"/>
    <x v="0"/>
    <s v="JOSEFA KELY NUNES DE SOUSA"/>
    <n v="42641"/>
    <n v="15070"/>
    <n v="15120"/>
    <n v="15115"/>
    <n v="15105"/>
    <n v="15080"/>
    <n v="15095"/>
    <n v="15085"/>
    <n v="15060"/>
    <n v="15050"/>
    <n v="15090"/>
    <n v="15087"/>
    <s v=""/>
    <s v="assinatura"/>
    <n v="30646"/>
    <n v="15000"/>
    <n v="5.7999999999999996E-3"/>
    <n v="87"/>
    <x v="12"/>
    <x v="3"/>
  </r>
  <r>
    <x v="44"/>
    <x v="3"/>
    <s v="6abf3abbfeff8ad157fab54d"/>
    <s v="01/10/2026 17:26:01"/>
    <s v="02/10/2026 02:01:47"/>
    <s v="Ranieli"/>
    <s v="01/10/2026"/>
    <x v="0"/>
    <s v="JOSEFA KELY NUNES DE SOUSA"/>
    <n v="15849"/>
    <n v="1009"/>
    <n v="1010"/>
    <n v="1008"/>
    <n v="1016"/>
    <n v="992"/>
    <n v="1008"/>
    <n v="1013"/>
    <n v="1003"/>
    <n v="1003"/>
    <n v="1003"/>
    <n v="1006.5"/>
    <s v=""/>
    <s v="assinatura"/>
    <n v="30821"/>
    <n v="1000"/>
    <n v="6.4999999999999997E-3"/>
    <n v="6.5"/>
    <x v="29"/>
    <x v="2"/>
  </r>
  <r>
    <x v="44"/>
    <x v="3"/>
    <s v="6abf3abbfeff8ad157fab547"/>
    <s v="01/10/2026 17:22:16"/>
    <s v="02/10/2026 02:01:47"/>
    <s v="Ranieli"/>
    <s v="01/10/2026"/>
    <x v="0"/>
    <s v="JOSEFA KELY NUNES DE SOUSA"/>
    <n v="15105"/>
    <n v="1011"/>
    <n v="1047"/>
    <n v="1025"/>
    <n v="1057"/>
    <n v="1021"/>
    <n v="1048"/>
    <n v="1012"/>
    <n v="1063"/>
    <n v="998"/>
    <n v="1008"/>
    <n v="1029"/>
    <s v=""/>
    <s v="assinatura"/>
    <n v="31036"/>
    <n v="1000"/>
    <n v="2.9000000000000001E-2"/>
    <n v="29"/>
    <x v="0"/>
    <x v="0"/>
  </r>
  <r>
    <x v="44"/>
    <x v="3"/>
    <s v="6abf1c7676e463e032f56571"/>
    <s v="01/10/2026 23:38:12"/>
    <s v="01/10/2026 23:52:38"/>
    <s v="Ranieli"/>
    <s v="01/10/2026"/>
    <x v="0"/>
    <s v="JULIANE GOMES NOVAIS"/>
    <n v="42854"/>
    <n v="2092"/>
    <n v="2086"/>
    <n v="2072"/>
    <n v="2108"/>
    <n v="2012"/>
    <n v="2091"/>
    <n v="2102"/>
    <n v="2010"/>
    <n v="2022"/>
    <n v="2090"/>
    <n v="2068.5"/>
    <s v=""/>
    <s v="assinatura"/>
    <n v="225"/>
    <n v="2080"/>
    <n v="-5.5288461538461542E-3"/>
    <n v="-11.5"/>
    <x v="4"/>
    <x v="1"/>
  </r>
  <r>
    <x v="44"/>
    <x v="3"/>
    <s v="6abf1c7676e463e032f5656b"/>
    <s v="01/10/2026 23:30:30"/>
    <s v="01/10/2026 23:52:38"/>
    <s v="Ranieli"/>
    <s v="01/10/2026"/>
    <x v="0"/>
    <s v="JULIANE GOMES NOVAIS"/>
    <n v="42862"/>
    <n v="2006"/>
    <n v="2004"/>
    <n v="2027"/>
    <n v="2016"/>
    <n v="2020"/>
    <n v="2057"/>
    <n v="2048"/>
    <n v="2042"/>
    <n v="1995"/>
    <n v="2021"/>
    <n v="2023.6"/>
    <s v=""/>
    <s v="assinatura"/>
    <n v="414"/>
    <n v="2000"/>
    <n v="1.1799999999999955E-2"/>
    <n v="23.599999999999909"/>
    <x v="5"/>
    <x v="1"/>
  </r>
  <r>
    <x v="44"/>
    <x v="3"/>
    <s v="6abf1c7676e463e032f56565"/>
    <s v="01/10/2026 23:23:23"/>
    <s v="01/10/2026 23:52:38"/>
    <s v="Ranieli"/>
    <s v="01/10/2026"/>
    <x v="0"/>
    <s v="JULIANE GOMES NOVAIS"/>
    <n v="42846"/>
    <n v="2007"/>
    <n v="2025"/>
    <n v="2010"/>
    <n v="2009"/>
    <n v="2011"/>
    <n v="2021"/>
    <n v="2007"/>
    <n v="2000"/>
    <n v="2015"/>
    <n v="2011"/>
    <n v="2011.6"/>
    <s v=""/>
    <s v="assinatura"/>
    <n v="808"/>
    <n v="2000"/>
    <n v="5.7999999999999545E-3"/>
    <n v="11.599999999999909"/>
    <x v="6"/>
    <x v="1"/>
  </r>
  <r>
    <x v="44"/>
    <x v="3"/>
    <s v="6abf1c7676e463e032f5655f"/>
    <s v="01/10/2026 23:19:41"/>
    <s v="01/10/2026 23:52:38"/>
    <s v="Ranieli"/>
    <s v="01/10/2026"/>
    <x v="0"/>
    <s v="JULIANE GOMES NOVAIS"/>
    <n v="42838"/>
    <n v="2070"/>
    <n v="2020"/>
    <n v="2015"/>
    <n v="2055"/>
    <n v="2021"/>
    <n v="2033"/>
    <n v="2031"/>
    <n v="2019"/>
    <n v="2037"/>
    <n v="2059"/>
    <n v="2036"/>
    <s v=""/>
    <s v="assinatura"/>
    <n v="995"/>
    <n v="2000"/>
    <n v="1.7999999999999999E-2"/>
    <n v="36"/>
    <x v="7"/>
    <x v="1"/>
  </r>
  <r>
    <x v="44"/>
    <x v="3"/>
    <s v="6abf1c7676e463e032f56559"/>
    <s v="01/10/2026 23:16:29"/>
    <s v="01/10/2026 23:52:38"/>
    <s v="Ranieli"/>
    <s v="01/10/2026"/>
    <x v="0"/>
    <s v="JULIANE GOMES NOVAIS"/>
    <n v="42820"/>
    <n v="2062"/>
    <n v="2024"/>
    <n v="2050"/>
    <n v="2066"/>
    <n v="2048"/>
    <n v="2035"/>
    <n v="2040"/>
    <n v="2008"/>
    <n v="2050"/>
    <n v="2010"/>
    <n v="2039.3"/>
    <s v=""/>
    <s v="assinatura"/>
    <n v="1171"/>
    <n v="2000"/>
    <n v="1.9649999999999977E-2"/>
    <n v="39.299999999999955"/>
    <x v="10"/>
    <x v="1"/>
  </r>
  <r>
    <x v="44"/>
    <x v="3"/>
    <s v="6abf0b369b405ad761b0c713"/>
    <s v="01/10/2026 22:06:37"/>
    <s v="01/10/2026 22:39:02"/>
    <s v="Ranieli"/>
    <s v="01/10/2026"/>
    <x v="0"/>
    <s v="JULIANE GOMES NOVAIS"/>
    <n v="15105"/>
    <n v="1046"/>
    <n v="1045"/>
    <n v="1038"/>
    <n v="1014"/>
    <n v="1015"/>
    <n v="998"/>
    <n v="1006"/>
    <n v="1010"/>
    <n v="1000"/>
    <n v="1042"/>
    <n v="1021.4"/>
    <s v=""/>
    <s v="assinatura"/>
    <n v="226"/>
    <n v="1000"/>
    <n v="2.1399999999999978E-2"/>
    <n v="21.399999999999977"/>
    <x v="0"/>
    <x v="0"/>
  </r>
  <r>
    <x v="44"/>
    <x v="3"/>
    <s v="6abeef192a994604e49ff4e5"/>
    <s v="01/10/2026 18:20:27"/>
    <s v="01/10/2026 20:39:05"/>
    <s v="Ranieli"/>
    <s v="01/10/2026"/>
    <x v="0"/>
    <s v="JULIANE GOMES NOVAIS"/>
    <n v="13188"/>
    <n v="994"/>
    <n v="1003"/>
    <n v="1011"/>
    <n v="995"/>
    <n v="1004"/>
    <n v="993"/>
    <n v="1010"/>
    <n v="995"/>
    <n v="997"/>
    <n v="999"/>
    <n v="1000.1"/>
    <s v=""/>
    <s v="assinatura"/>
    <n v="8318"/>
    <n v="1000"/>
    <n v="1.0000000000002273E-4"/>
    <n v="0.10000000000002274"/>
    <x v="8"/>
    <x v="1"/>
  </r>
  <r>
    <x v="44"/>
    <x v="3"/>
    <s v="6abeeef8bd86e569124905b8"/>
    <s v="01/10/2026 19:05:48"/>
    <s v="01/10/2026 20:38:32"/>
    <s v="Ranieli"/>
    <s v="01/10/2026"/>
    <x v="0"/>
    <s v="JULIANE GOMES NOVAIS"/>
    <n v="15105"/>
    <n v="1028"/>
    <n v="1026"/>
    <n v="1010"/>
    <n v="1025"/>
    <n v="988"/>
    <n v="1037"/>
    <n v="1002"/>
    <n v="1013"/>
    <n v="1009"/>
    <n v="1014"/>
    <n v="1015.2"/>
    <s v=""/>
    <s v="assinatura"/>
    <n v="145"/>
    <n v="1000"/>
    <n v="1.5200000000000045E-2"/>
    <n v="15.200000000000045"/>
    <x v="0"/>
    <x v="0"/>
  </r>
  <r>
    <x v="22"/>
    <x v="2"/>
    <s v="6abeeef8bd86e569124905b0"/>
    <s v="30/09/2026 22:46:57"/>
    <s v="01/10/2026 20:38:32"/>
    <s v="Ranieli"/>
    <s v="01/09/2026"/>
    <x v="0"/>
    <s v="JULIANE GOMES NOVAIS"/>
    <n v="18163"/>
    <n v="973"/>
    <n v="934"/>
    <n v="995"/>
    <n v="985"/>
    <n v="948"/>
    <n v="971"/>
    <n v="974"/>
    <n v="970"/>
    <n v="968"/>
    <n v="1000"/>
    <n v="971.8"/>
    <s v=""/>
    <s v="assinatura"/>
    <n v="72864"/>
    <n v="1000"/>
    <n v="-2.8200000000000044E-2"/>
    <n v="-28.200000000000045"/>
    <x v="27"/>
    <x v="6"/>
  </r>
  <r>
    <x v="44"/>
    <x v="3"/>
    <s v="6abe86154535e34def6f29fc"/>
    <s v="01/10/2026 08:56:55"/>
    <s v="01/10/2026 13:11:01"/>
    <s v="Ranieli"/>
    <s v="01/10/2026"/>
    <x v="1"/>
    <s v="ALANA DA SILVA MARTINS"/>
    <n v="15229"/>
    <n v="1098"/>
    <n v="1105"/>
    <n v="1074"/>
    <n v="1026"/>
    <n v="1030"/>
    <n v="1085"/>
    <n v="1078"/>
    <n v="1061"/>
    <n v="1024"/>
    <n v="1073"/>
    <n v="1065.4000000000001"/>
    <s v=""/>
    <s v="assinatura"/>
    <n v="343"/>
    <n v="1000"/>
    <n v="6.5400000000000097E-2"/>
    <n v="65.400000000000091"/>
    <x v="9"/>
    <x v="1"/>
  </r>
  <r>
    <x v="44"/>
    <x v="3"/>
    <s v="6abe86154535e34def6f29f6"/>
    <s v="01/10/2026 08:53:43"/>
    <s v="01/10/2026 13:11:01"/>
    <s v="Ranieli"/>
    <s v="01/10/2026"/>
    <x v="1"/>
    <s v="ALANA DA SILVA MARTINS"/>
    <n v="54632"/>
    <n v="1036"/>
    <n v="999"/>
    <n v="987"/>
    <n v="1024"/>
    <n v="1010"/>
    <n v="1020"/>
    <n v="1027"/>
    <n v="998"/>
    <n v="1004"/>
    <n v="990"/>
    <n v="1009.5"/>
    <s v=""/>
    <s v="assinatura"/>
    <n v="555"/>
    <n v="1000"/>
    <n v="9.4999999999999998E-3"/>
    <n v="9.5"/>
    <x v="11"/>
    <x v="1"/>
  </r>
  <r>
    <x v="44"/>
    <x v="3"/>
    <s v="6abe86154535e34def6f29f0"/>
    <s v="01/10/2026 08:48:56"/>
    <s v="01/10/2026 13:11:01"/>
    <s v="Ranieli"/>
    <s v="01/10/2026"/>
    <x v="1"/>
    <s v="ALANA DA SILVA MARTINS"/>
    <n v="13188"/>
    <n v="1026"/>
    <n v="1050"/>
    <n v="1059"/>
    <n v="1094"/>
    <n v="1044"/>
    <n v="1096"/>
    <n v="1045"/>
    <n v="1083"/>
    <n v="1084"/>
    <n v="1101"/>
    <n v="1068.2"/>
    <s v=""/>
    <s v="assinatura"/>
    <n v="877"/>
    <n v="1000"/>
    <n v="6.8200000000000052E-2"/>
    <n v="68.200000000000045"/>
    <x v="8"/>
    <x v="1"/>
  </r>
  <r>
    <x v="45"/>
    <x v="3"/>
    <s v="6ac486f64854db7e48d93b4a"/>
    <s v="05/10/2026 22:57:12"/>
    <s v="06/10/2026 02:28:22"/>
    <s v="Ranieli"/>
    <s v="05/10/2026"/>
    <x v="0"/>
    <s v="JOSEFA KELY NUNES DE SOUSA"/>
    <n v="40762"/>
    <n v="10020"/>
    <n v="10035"/>
    <n v="10040"/>
    <n v="10020"/>
    <n v="9985"/>
    <n v="9960"/>
    <n v="10030"/>
    <n v="9990"/>
    <n v="10005"/>
    <n v="9970"/>
    <n v="10005.5"/>
    <s v=""/>
    <s v="assinatura"/>
    <n v="8797"/>
    <n v="10000"/>
    <n v="5.5000000000000003E-4"/>
    <n v="5.5"/>
    <x v="3"/>
    <x v="1"/>
  </r>
  <r>
    <x v="45"/>
    <x v="3"/>
    <s v="6ac486f64854db7e48d93b44"/>
    <s v="05/10/2026 22:51:45"/>
    <s v="06/10/2026 02:28:22"/>
    <s v="Ranieli"/>
    <s v="05/10/2026"/>
    <x v="0"/>
    <s v="JOSEFA KELY NUNES DE SOUSA"/>
    <n v="963925"/>
    <n v="18140"/>
    <n v="18250"/>
    <n v="18235"/>
    <n v="18080"/>
    <n v="18170"/>
    <n v="18055"/>
    <n v="18450"/>
    <n v="18360"/>
    <n v="18120"/>
    <n v="18180"/>
    <n v="18204"/>
    <s v=""/>
    <s v="assinatura"/>
    <n v="9113"/>
    <n v="18000"/>
    <n v="1.1333333333333334E-2"/>
    <n v="204"/>
    <x v="15"/>
    <x v="3"/>
  </r>
  <r>
    <x v="45"/>
    <x v="3"/>
    <s v="6ac486f64854db7e48d93b3e"/>
    <s v="05/10/2026 22:39:21"/>
    <s v="06/10/2026 02:28:22"/>
    <s v="Ranieli"/>
    <s v="05/10/2026"/>
    <x v="0"/>
    <s v="JOSEFA KELY NUNES DE SOUSA"/>
    <n v="42641"/>
    <n v="15075"/>
    <n v="15065"/>
    <n v="15030"/>
    <n v="14900"/>
    <n v="15025"/>
    <n v="15055"/>
    <n v="14935"/>
    <n v="14900"/>
    <n v="15005"/>
    <n v="14950"/>
    <n v="14994"/>
    <s v=""/>
    <s v="assinatura"/>
    <n v="9846"/>
    <n v="15000"/>
    <n v="-4.0000000000000002E-4"/>
    <n v="-6"/>
    <x v="12"/>
    <x v="3"/>
  </r>
  <r>
    <x v="45"/>
    <x v="3"/>
    <s v="6ac486f64854db7e48d93b38"/>
    <s v="05/10/2026 22:34:37"/>
    <s v="06/10/2026 02:28:22"/>
    <s v="Ranieli"/>
    <s v="05/10/2026"/>
    <x v="0"/>
    <s v="JOSEFA KELY NUNES DE SOUSA"/>
    <n v="15105"/>
    <n v="1034"/>
    <n v="1033"/>
    <n v="1028"/>
    <n v="1038"/>
    <n v="993"/>
    <n v="850"/>
    <n v="1012"/>
    <n v="1016"/>
    <n v="1052"/>
    <n v="1028"/>
    <n v="1008.4"/>
    <s v=""/>
    <s v=""/>
    <n v="10118"/>
    <n v="1000"/>
    <n v="8.3999999999999769E-3"/>
    <n v="8.3999999999999773"/>
    <x v="0"/>
    <x v="0"/>
  </r>
  <r>
    <x v="45"/>
    <x v="3"/>
    <s v="6ac486f64854db7e48d93b32"/>
    <s v="05/10/2026 22:32:25"/>
    <s v="06/10/2026 02:28:22"/>
    <s v="Ranieli"/>
    <s v="05/10/2026"/>
    <x v="0"/>
    <s v="JOSEFA KELY NUNES DE SOUSA"/>
    <n v="15849"/>
    <n v="1003"/>
    <n v="1012"/>
    <n v="1019"/>
    <n v="1014"/>
    <n v="1005"/>
    <n v="1002"/>
    <n v="1016"/>
    <n v="1033"/>
    <n v="1015"/>
    <n v="1021"/>
    <n v="1014"/>
    <s v=""/>
    <s v="assinatura"/>
    <n v="10242"/>
    <n v="1000"/>
    <n v="1.4E-2"/>
    <n v="14"/>
    <x v="29"/>
    <x v="2"/>
  </r>
  <r>
    <x v="45"/>
    <x v="3"/>
    <s v="6ac486f54854db7e48d93b20"/>
    <s v="05/10/2026 19:35:40"/>
    <s v="06/10/2026 02:28:21"/>
    <s v="Ranieli"/>
    <s v="05/10/2026"/>
    <x v="0"/>
    <s v="JOSEFA KELY NUNES DE SOUSA"/>
    <n v="209129"/>
    <n v="1014"/>
    <n v="1000"/>
    <n v="939"/>
    <n v="1001"/>
    <n v="1010"/>
    <n v="1003"/>
    <n v="1008"/>
    <n v="996"/>
    <n v="1014"/>
    <n v="1011"/>
    <n v="999.6"/>
    <s v=""/>
    <s v="assinatura"/>
    <n v="20738"/>
    <n v="1000"/>
    <n v="-3.9999999999997725E-4"/>
    <n v="-0.39999999999997726"/>
    <x v="39"/>
    <x v="2"/>
  </r>
  <r>
    <x v="45"/>
    <x v="3"/>
    <s v="6ac486f54854db7e48d93b1a"/>
    <s v="05/10/2026 18:58:19"/>
    <s v="06/10/2026 02:28:21"/>
    <s v="Ranieli"/>
    <s v="05/10/2026"/>
    <x v="0"/>
    <s v="JOSEFA KELY NUNES DE SOUSA"/>
    <n v="15849"/>
    <n v="1015"/>
    <n v="1014"/>
    <n v="1010"/>
    <n v="1008"/>
    <n v="994"/>
    <n v="1011"/>
    <n v="1001"/>
    <n v="1002"/>
    <n v="1013"/>
    <n v="1012"/>
    <n v="1008"/>
    <s v=""/>
    <s v="assinatura"/>
    <n v="22963"/>
    <n v="1000"/>
    <n v="8.0000000000000002E-3"/>
    <n v="8"/>
    <x v="29"/>
    <x v="2"/>
  </r>
  <r>
    <x v="45"/>
    <x v="3"/>
    <s v="6ac486f54854db7e48d93b14"/>
    <s v="05/10/2026 18:54:58"/>
    <s v="06/10/2026 02:28:21"/>
    <s v="Ranieli"/>
    <s v="05/10/2026"/>
    <x v="0"/>
    <s v="JOSEFA KELY NUNES DE SOUSA"/>
    <n v="992093"/>
    <n v="5011"/>
    <n v="5013"/>
    <n v="5006"/>
    <n v="5004"/>
    <n v="5020"/>
    <n v="5010"/>
    <n v="5001"/>
    <n v="5011"/>
    <n v="5013"/>
    <n v="5009"/>
    <n v="5009.8"/>
    <s v=""/>
    <s v="assinatura"/>
    <n v="179"/>
    <n v="5000"/>
    <n v="1.9600000000000364E-3"/>
    <n v="9.8000000000001819"/>
    <x v="13"/>
    <x v="3"/>
  </r>
  <r>
    <x v="45"/>
    <x v="3"/>
    <s v="6ac486f54854db7e48d93b0e"/>
    <s v="05/10/2026 18:50:26"/>
    <s v="06/10/2026 02:28:21"/>
    <s v="Ranieli"/>
    <s v="05/10/2026"/>
    <x v="0"/>
    <s v="JOSEFA KELY NUNES DE SOUSA"/>
    <n v="40762"/>
    <n v="10035"/>
    <n v="9975"/>
    <n v="9925"/>
    <n v="9995"/>
    <n v="9955"/>
    <n v="10065"/>
    <n v="10070"/>
    <n v="10030"/>
    <n v="9975"/>
    <n v="9985"/>
    <n v="10001"/>
    <s v=""/>
    <s v="assinatura"/>
    <n v="23412"/>
    <n v="10000"/>
    <n v="1E-4"/>
    <n v="1"/>
    <x v="3"/>
    <x v="1"/>
  </r>
  <r>
    <x v="45"/>
    <x v="3"/>
    <s v="6ac486f54854db7e48d93b08"/>
    <s v="05/10/2026 18:43:05"/>
    <s v="06/10/2026 02:28:21"/>
    <s v="Ranieli"/>
    <s v="05/10/2026"/>
    <x v="0"/>
    <s v="JOSEFA KELY NUNES DE SOUSA"/>
    <n v="864048"/>
    <n v="2013"/>
    <n v="2021"/>
    <n v="2003"/>
    <n v="2058"/>
    <n v="2012"/>
    <n v="2015"/>
    <n v="2024"/>
    <n v="2010"/>
    <n v="2002"/>
    <n v="2003"/>
    <n v="2016.1"/>
    <s v=""/>
    <s v="assinatura"/>
    <n v="23832"/>
    <n v="2000"/>
    <n v="8.0499999999999548E-3"/>
    <n v="16.099999999999909"/>
    <x v="26"/>
    <x v="1"/>
  </r>
  <r>
    <x v="45"/>
    <x v="3"/>
    <s v="6ac486f54854db7e48d93b02"/>
    <s v="05/10/2026 18:41:18"/>
    <s v="06/10/2026 02:28:21"/>
    <s v="Ranieli"/>
    <s v="05/10/2026"/>
    <x v="0"/>
    <s v="JOSEFA KELY NUNES DE SOUSA"/>
    <n v="42854"/>
    <n v="2015"/>
    <n v="2110"/>
    <n v="2095"/>
    <n v="2099"/>
    <n v="2085"/>
    <n v="2082"/>
    <n v="2005"/>
    <n v="2105"/>
    <n v="2055"/>
    <n v="2078"/>
    <n v="2072.9"/>
    <s v=""/>
    <s v="assinatura"/>
    <n v="23924"/>
    <n v="2080"/>
    <n v="-3.4134615384614946E-3"/>
    <n v="-7.0999999999999091"/>
    <x v="4"/>
    <x v="1"/>
  </r>
  <r>
    <x v="45"/>
    <x v="3"/>
    <s v="6ac486f54854db7e48d93afc"/>
    <s v="05/10/2026 18:36:21"/>
    <s v="06/10/2026 02:28:21"/>
    <s v="Ranieli"/>
    <s v="05/10/2026"/>
    <x v="0"/>
    <s v="JOSEFA KELY NUNES DE SOUSA"/>
    <n v="42862"/>
    <n v="2030"/>
    <n v="1950"/>
    <n v="2015"/>
    <n v="2020"/>
    <n v="2018"/>
    <n v="2006"/>
    <n v="2013"/>
    <n v="2009"/>
    <n v="2008"/>
    <n v="2021"/>
    <n v="2009"/>
    <s v=""/>
    <s v="assinatura"/>
    <n v="24190"/>
    <n v="2000"/>
    <n v="4.4999999999999997E-3"/>
    <n v="9"/>
    <x v="5"/>
    <x v="1"/>
  </r>
  <r>
    <x v="45"/>
    <x v="3"/>
    <s v="6ac486f54854db7e48d93af6"/>
    <s v="05/10/2026 18:34:15"/>
    <s v="06/10/2026 02:28:21"/>
    <s v="Ranieli"/>
    <s v="05/10/2026"/>
    <x v="0"/>
    <s v="JOSEFA KELY NUNES DE SOUSA"/>
    <n v="42846"/>
    <n v="2023"/>
    <n v="2013"/>
    <n v="2019"/>
    <n v="1995"/>
    <n v="1997"/>
    <n v="2008"/>
    <n v="2034"/>
    <n v="2011"/>
    <n v="2000"/>
    <n v="2016"/>
    <n v="2011.6"/>
    <s v=""/>
    <s v=""/>
    <n v="24285"/>
    <n v="2000"/>
    <n v="5.7999999999999545E-3"/>
    <n v="11.599999999999909"/>
    <x v="6"/>
    <x v="1"/>
  </r>
  <r>
    <x v="45"/>
    <x v="3"/>
    <s v="6ac486f54854db7e48d93af0"/>
    <s v="05/10/2026 18:27:02"/>
    <s v="06/10/2026 02:28:21"/>
    <s v="Ranieli"/>
    <s v="05/10/2026"/>
    <x v="0"/>
    <s v="JOSEFA KELY NUNES DE SOUSA"/>
    <n v="42838"/>
    <n v="2061"/>
    <n v="2046"/>
    <n v="2003"/>
    <n v="2026"/>
    <n v="2010"/>
    <n v="2019"/>
    <n v="2024"/>
    <n v="2021"/>
    <n v="2014"/>
    <n v="2010"/>
    <n v="2023.4"/>
    <s v=""/>
    <s v="assinatura"/>
    <n v="411"/>
    <n v="2000"/>
    <n v="1.1700000000000045E-2"/>
    <n v="23.400000000000091"/>
    <x v="7"/>
    <x v="1"/>
  </r>
  <r>
    <x v="45"/>
    <x v="3"/>
    <s v="6ac486f54854db7e48d93aea"/>
    <s v="05/10/2026 17:57:27"/>
    <s v="06/10/2026 02:28:21"/>
    <s v="Ranieli"/>
    <s v="05/10/2026"/>
    <x v="0"/>
    <s v="JOSEFA KELY NUNES DE SOUSA"/>
    <n v="995638"/>
    <n v="15050"/>
    <n v="15070"/>
    <n v="15065"/>
    <n v="15055"/>
    <n v="15090"/>
    <n v="15065"/>
    <n v="15085"/>
    <n v="15090"/>
    <n v="15070"/>
    <n v="15065"/>
    <n v="15070.5"/>
    <s v=""/>
    <s v="assinatura"/>
    <n v="26482"/>
    <n v="15000"/>
    <n v="4.7000000000000002E-3"/>
    <n v="70.5"/>
    <x v="21"/>
    <x v="3"/>
  </r>
  <r>
    <x v="45"/>
    <x v="3"/>
    <s v="6ac486f54854db7e48d93ae2"/>
    <s v="05/10/2026 17:55:18"/>
    <s v="06/10/2026 02:28:21"/>
    <s v="Ranieli"/>
    <s v="05/10/2026"/>
    <x v="0"/>
    <s v="JOSEFA KELY NUNES DE SOUSA"/>
    <n v="42641"/>
    <n v="15040"/>
    <n v="15095"/>
    <n v="15055"/>
    <n v="15045"/>
    <n v="15055"/>
    <n v="15055"/>
    <n v="15055"/>
    <n v="15010"/>
    <n v="15045"/>
    <n v="15055"/>
    <n v="15051"/>
    <s v=""/>
    <s v="assinatura"/>
    <n v="26599"/>
    <n v="15000"/>
    <n v="3.3999999999999998E-3"/>
    <n v="51"/>
    <x v="12"/>
    <x v="3"/>
  </r>
  <r>
    <x v="45"/>
    <x v="3"/>
    <s v="6ac486f54854db7e48d93adc"/>
    <s v="05/10/2026 17:51:49"/>
    <s v="06/10/2026 02:28:21"/>
    <s v="Ranieli"/>
    <s v="05/10/2026"/>
    <x v="0"/>
    <s v="JOSEFA KELY NUNES DE SOUSA"/>
    <n v="15105"/>
    <n v="1030"/>
    <n v="1018"/>
    <n v="1012"/>
    <n v="995"/>
    <n v="990"/>
    <n v="996"/>
    <n v="1002"/>
    <n v="1015"/>
    <n v="1010"/>
    <n v="1038"/>
    <n v="1010.6"/>
    <s v=""/>
    <s v="assinatura"/>
    <n v="26796"/>
    <n v="1000"/>
    <n v="1.0600000000000023E-2"/>
    <n v="10.600000000000023"/>
    <x v="0"/>
    <x v="0"/>
  </r>
  <r>
    <x v="45"/>
    <x v="3"/>
    <s v="6ac459469b7db2ba7646aa77"/>
    <s v="05/10/2026 22:37:12"/>
    <s v="05/10/2026 23:13:26"/>
    <s v="Ranieli"/>
    <s v="05/10/2026"/>
    <x v="0"/>
    <s v="JULIANE GOMES NOVAIS"/>
    <n v="40762"/>
    <n v="10055"/>
    <n v="10005"/>
    <n v="10045"/>
    <n v="9965"/>
    <n v="9980"/>
    <n v="10090"/>
    <n v="10015"/>
    <n v="10050"/>
    <n v="10055"/>
    <n v="10045"/>
    <n v="10030.5"/>
    <s v=""/>
    <s v="assinatura"/>
    <n v="2159"/>
    <n v="10000"/>
    <n v="3.0500000000000002E-3"/>
    <n v="30.5"/>
    <x v="3"/>
    <x v="1"/>
  </r>
  <r>
    <x v="45"/>
    <x v="3"/>
    <s v="6ac44fa7826700b8f0e72f45"/>
    <s v="05/10/2026 22:21:15"/>
    <s v="05/10/2026 22:32:23"/>
    <s v="Ranieli"/>
    <s v="05/10/2026"/>
    <x v="0"/>
    <s v="JULIANE GOMES NOVAIS"/>
    <n v="42838"/>
    <n v="2054"/>
    <n v="2020"/>
    <n v="2032"/>
    <n v="2022"/>
    <n v="2030"/>
    <n v="2020"/>
    <n v="2016"/>
    <n v="2008"/>
    <n v="2023"/>
    <n v="2007"/>
    <n v="2023.2"/>
    <s v=""/>
    <s v="assinatura"/>
    <n v="229"/>
    <n v="2000"/>
    <n v="1.1600000000000023E-2"/>
    <n v="23.200000000000045"/>
    <x v="7"/>
    <x v="1"/>
  </r>
  <r>
    <x v="45"/>
    <x v="3"/>
    <s v="6ac44fa7826700b8f0e72f3f"/>
    <s v="05/10/2026 22:16:22"/>
    <s v="05/10/2026 22:32:23"/>
    <s v="Ranieli"/>
    <s v="05/10/2026"/>
    <x v="0"/>
    <s v="JULIANE GOMES NOVAIS"/>
    <n v="42854"/>
    <n v="2110"/>
    <n v="2131"/>
    <n v="2098"/>
    <n v="2117"/>
    <n v="2097"/>
    <n v="2027"/>
    <n v="2085"/>
    <n v="2075"/>
    <n v="2068"/>
    <n v="2046"/>
    <n v="2085.4"/>
    <s v=""/>
    <s v="assinatura"/>
    <n v="507"/>
    <n v="2080"/>
    <n v="2.5961538461538899E-3"/>
    <n v="5.4000000000000909"/>
    <x v="4"/>
    <x v="1"/>
  </r>
  <r>
    <x v="45"/>
    <x v="3"/>
    <s v="6ac44fa7826700b8f0e72f39"/>
    <s v="05/10/2026 22:07:04"/>
    <s v="05/10/2026 22:32:23"/>
    <s v="Ranieli"/>
    <s v="05/10/2026"/>
    <x v="0"/>
    <s v="JULIANE GOMES NOVAIS"/>
    <n v="42846"/>
    <n v="2015"/>
    <n v="2013"/>
    <n v="2010"/>
    <n v="1999"/>
    <n v="2015"/>
    <n v="2014"/>
    <n v="2009"/>
    <n v="2012"/>
    <n v="2002"/>
    <n v="2005"/>
    <n v="2009.4"/>
    <s v=""/>
    <s v="assinatura"/>
    <n v="550"/>
    <n v="2000"/>
    <n v="4.7000000000000453E-3"/>
    <n v="9.4000000000000909"/>
    <x v="6"/>
    <x v="1"/>
  </r>
  <r>
    <x v="45"/>
    <x v="3"/>
    <s v="6ac44fa7826700b8f0e72f33"/>
    <s v="05/10/2026 22:03:40"/>
    <s v="05/10/2026 22:32:23"/>
    <s v="Ranieli"/>
    <s v="05/10/2026"/>
    <x v="0"/>
    <s v="JULIANE GOMES NOVAIS"/>
    <n v="42862"/>
    <n v="2023"/>
    <n v="2022"/>
    <n v="2013"/>
    <n v="2019"/>
    <n v="2015"/>
    <n v="2007"/>
    <n v="2008"/>
    <n v="2006"/>
    <n v="2011"/>
    <n v="2026"/>
    <n v="2015"/>
    <s v=""/>
    <s v="assinatura"/>
    <n v="273"/>
    <n v="2000"/>
    <n v="7.4999999999999997E-3"/>
    <n v="15"/>
    <x v="5"/>
    <x v="1"/>
  </r>
  <r>
    <x v="45"/>
    <x v="3"/>
    <s v="6ac44fa7826700b8f0e72f2d"/>
    <s v="05/10/2026 21:58:02"/>
    <s v="05/10/2026 22:32:23"/>
    <s v="Ranieli"/>
    <s v="05/10/2026"/>
    <x v="0"/>
    <s v="JULIANE GOMES NOVAIS"/>
    <n v="42811"/>
    <n v="2062"/>
    <n v="2060"/>
    <n v="2059"/>
    <n v="2054"/>
    <n v="2037"/>
    <n v="2024"/>
    <n v="2071"/>
    <n v="2078"/>
    <n v="2073"/>
    <n v="2013"/>
    <n v="2053.1"/>
    <s v=""/>
    <s v="assinatura"/>
    <n v="315"/>
    <n v="2000"/>
    <n v="2.6549999999999956E-2"/>
    <n v="53.099999999999909"/>
    <x v="32"/>
    <x v="1"/>
  </r>
  <r>
    <x v="45"/>
    <x v="3"/>
    <s v="6ac44fa7826700b8f0e72f27"/>
    <s v="05/10/2026 21:54:17"/>
    <s v="05/10/2026 22:32:23"/>
    <s v="Ranieli"/>
    <s v="05/10/2026"/>
    <x v="0"/>
    <s v="JULIANE GOMES NOVAIS"/>
    <n v="864048"/>
    <n v="2010"/>
    <n v="2024"/>
    <n v="2035"/>
    <n v="2018"/>
    <n v="2007"/>
    <n v="2018"/>
    <n v="2016"/>
    <n v="2013"/>
    <n v="2011"/>
    <n v="2029"/>
    <n v="2018.1"/>
    <s v=""/>
    <s v="assinatura"/>
    <n v="223"/>
    <n v="2000"/>
    <n v="9.0499999999999539E-3"/>
    <n v="18.099999999999909"/>
    <x v="26"/>
    <x v="1"/>
  </r>
  <r>
    <x v="45"/>
    <x v="3"/>
    <s v="6ac443e3826700b8f0e72ad0"/>
    <s v="05/10/2026 21:33:37"/>
    <s v="05/10/2026 21:42:11"/>
    <s v="Ranieli"/>
    <s v="05/10/2026"/>
    <x v="0"/>
    <s v="JULIANE GOMES NOVAIS"/>
    <n v="15105"/>
    <n v="1013"/>
    <n v="1008"/>
    <n v="1016"/>
    <n v="1048"/>
    <n v="1054"/>
    <n v="1030"/>
    <n v="1014"/>
    <n v="1028"/>
    <n v="1010"/>
    <n v="1020"/>
    <n v="1024.0999999999999"/>
    <s v=""/>
    <s v="assinatura"/>
    <n v="186"/>
    <n v="1000"/>
    <n v="2.409999999999991E-2"/>
    <n v="24.099999999999909"/>
    <x v="0"/>
    <x v="0"/>
  </r>
  <r>
    <x v="46"/>
    <x v="3"/>
    <s v="6ac093abdb68f2f72a0ff095"/>
    <s v="02/10/2026 23:33:02"/>
    <s v="03/10/2026 02:33:31"/>
    <s v="Ranieli"/>
    <s v="02/10/2026"/>
    <x v="0"/>
    <s v="JOSEFA KELY NUNES DE SOUSA"/>
    <n v="40762"/>
    <n v="9950"/>
    <n v="9890"/>
    <n v="10000"/>
    <n v="9950"/>
    <n v="9860"/>
    <n v="10125"/>
    <n v="9980"/>
    <n v="10010"/>
    <n v="10020"/>
    <n v="9990"/>
    <n v="9977.5"/>
    <s v=""/>
    <s v="assinatura"/>
    <n v="9348"/>
    <n v="10000"/>
    <n v="-2.2499999999999998E-3"/>
    <n v="-22.5"/>
    <x v="3"/>
    <x v="1"/>
  </r>
  <r>
    <x v="46"/>
    <x v="3"/>
    <s v="6ac093abdb68f2f72a0ff08f"/>
    <s v="02/10/2026 23:16:04"/>
    <s v="03/10/2026 02:33:31"/>
    <s v="Ranieli"/>
    <s v="02/10/2026"/>
    <x v="0"/>
    <s v="JOSEFA KELY NUNES DE SOUSA"/>
    <n v="963925"/>
    <n v="18000"/>
    <n v="17940"/>
    <n v="17990"/>
    <n v="18375"/>
    <n v="18190"/>
    <n v="18040"/>
    <n v="18260"/>
    <n v="18145"/>
    <n v="18470"/>
    <n v="17985"/>
    <n v="18139.5"/>
    <s v=""/>
    <s v="assinatura"/>
    <n v="10383"/>
    <n v="18000"/>
    <n v="7.7499999999999999E-3"/>
    <n v="139.5"/>
    <x v="15"/>
    <x v="3"/>
  </r>
  <r>
    <x v="46"/>
    <x v="3"/>
    <s v="6ac093aadb68f2f72a0ff089"/>
    <s v="02/10/2026 23:11:23"/>
    <s v="03/10/2026 02:33:30"/>
    <s v="Ranieli"/>
    <s v="02/10/2026"/>
    <x v="0"/>
    <s v="JOSEFA KELY NUNES DE SOUSA"/>
    <n v="992014"/>
    <n v="701"/>
    <n v="713"/>
    <n v="699"/>
    <n v="701"/>
    <n v="710"/>
    <n v="710"/>
    <n v="699"/>
    <n v="705"/>
    <n v="714"/>
    <n v="699"/>
    <n v="705.1"/>
    <s v=""/>
    <s v="assinatura"/>
    <n v="10679"/>
    <n v="700"/>
    <n v="7.2857142857143181E-3"/>
    <n v="5.1000000000000227"/>
    <x v="14"/>
    <x v="1"/>
  </r>
  <r>
    <x v="46"/>
    <x v="3"/>
    <s v="6ac093aadb68f2f72a0ff07d"/>
    <s v="02/10/2026 21:47:32"/>
    <s v="03/10/2026 02:33:30"/>
    <s v="Ranieli"/>
    <s v="02/10/2026"/>
    <x v="0"/>
    <s v="JOSEFA KELY NUNES DE SOUSA"/>
    <n v="42820"/>
    <n v="2097"/>
    <n v="2050"/>
    <n v="2007"/>
    <n v="2016"/>
    <n v="2064"/>
    <n v="2043"/>
    <n v="2053"/>
    <n v="2060"/>
    <n v="2017"/>
    <n v="2019"/>
    <n v="2042.6"/>
    <s v=""/>
    <s v="assinatura"/>
    <n v="15744"/>
    <n v="2000"/>
    <n v="2.1299999999999954E-2"/>
    <n v="42.599999999999909"/>
    <x v="10"/>
    <x v="1"/>
  </r>
  <r>
    <x v="46"/>
    <x v="3"/>
    <s v="6ac093aadb68f2f72a0ff077"/>
    <s v="02/10/2026 21:44:58"/>
    <s v="03/10/2026 02:33:30"/>
    <s v="Ranieli"/>
    <s v="02/10/2026"/>
    <x v="0"/>
    <s v="JOSEFA KELY NUNES DE SOUSA"/>
    <n v="42846"/>
    <n v="2014"/>
    <n v="1996"/>
    <n v="2016"/>
    <n v="2162"/>
    <n v="2033"/>
    <n v="2007"/>
    <n v="2020"/>
    <n v="2006"/>
    <n v="2045"/>
    <n v="2008"/>
    <n v="2030.7"/>
    <s v=""/>
    <s v="assinatura"/>
    <n v="15937"/>
    <n v="2000"/>
    <n v="1.5350000000000023E-2"/>
    <n v="30.700000000000045"/>
    <x v="6"/>
    <x v="1"/>
  </r>
  <r>
    <x v="46"/>
    <x v="3"/>
    <s v="6ac093aadb68f2f72a0ff071"/>
    <s v="02/10/2026 21:43:54"/>
    <s v="03/10/2026 02:33:30"/>
    <s v="Ranieli"/>
    <s v="02/10/2026"/>
    <x v="0"/>
    <s v="JOSEFA KELY NUNES DE SOUSA"/>
    <n v="42838"/>
    <n v="2004"/>
    <n v="2029"/>
    <n v="2017"/>
    <n v="2041"/>
    <n v="2083"/>
    <n v="2086"/>
    <n v="2032"/>
    <n v="2025"/>
    <n v="2004"/>
    <n v="2032"/>
    <n v="2035.3"/>
    <s v=""/>
    <s v="assinatura"/>
    <n v="13028"/>
    <n v="2000"/>
    <n v="1.7649999999999978E-2"/>
    <n v="35.299999999999955"/>
    <x v="7"/>
    <x v="1"/>
  </r>
  <r>
    <x v="46"/>
    <x v="3"/>
    <s v="6ac093aadb68f2f72a0ff06b"/>
    <s v="02/10/2026 21:42:40"/>
    <s v="03/10/2026 02:33:30"/>
    <s v="Ranieli"/>
    <s v="02/10/2026"/>
    <x v="0"/>
    <s v="JOSEFA KELY NUNES DE SOUSA"/>
    <n v="42862"/>
    <n v="2006"/>
    <n v="2007"/>
    <n v="2014"/>
    <n v="2009"/>
    <n v="2016"/>
    <n v="1999"/>
    <n v="2035"/>
    <n v="2019"/>
    <n v="2011"/>
    <n v="2017"/>
    <n v="2013.3"/>
    <s v=""/>
    <s v="assinatura"/>
    <n v="13129"/>
    <n v="2000"/>
    <n v="6.6499999999999771E-3"/>
    <n v="13.299999999999955"/>
    <x v="5"/>
    <x v="1"/>
  </r>
  <r>
    <x v="46"/>
    <x v="3"/>
    <s v="6ac093aadb68f2f72a0ff065"/>
    <s v="02/10/2026 21:34:46"/>
    <s v="03/10/2026 02:33:30"/>
    <s v="Ranieli"/>
    <s v="02/10/2026"/>
    <x v="0"/>
    <s v="JOSEFA KELY NUNES DE SOUSA"/>
    <n v="42854"/>
    <n v="2036"/>
    <n v="2102"/>
    <n v="2114"/>
    <n v="2009"/>
    <n v="2074"/>
    <n v="2098"/>
    <n v="2088"/>
    <n v="2086"/>
    <n v="2097"/>
    <n v="2008"/>
    <n v="2071.1999999999998"/>
    <s v=""/>
    <s v="assinatura"/>
    <n v="13632"/>
    <n v="2080"/>
    <n v="-4.2307692307693183E-3"/>
    <n v="-8.8000000000001819"/>
    <x v="4"/>
    <x v="1"/>
  </r>
  <r>
    <x v="46"/>
    <x v="3"/>
    <s v="6ac093aadb68f2f72a0ff05f"/>
    <s v="02/10/2026 21:31:49"/>
    <s v="03/10/2026 02:33:30"/>
    <s v="Ranieli"/>
    <s v="02/10/2026"/>
    <x v="0"/>
    <s v="JOSEFA KELY NUNES DE SOUSA"/>
    <n v="42641"/>
    <n v="15040"/>
    <n v="15060"/>
    <n v="15055"/>
    <n v="15000"/>
    <n v="15065"/>
    <n v="14930"/>
    <n v="15140"/>
    <n v="15055"/>
    <n v="15090"/>
    <n v="15085"/>
    <n v="15052"/>
    <s v=""/>
    <s v=""/>
    <n v="174"/>
    <n v="15000"/>
    <n v="3.4666666666666665E-3"/>
    <n v="52"/>
    <x v="12"/>
    <x v="3"/>
  </r>
  <r>
    <x v="46"/>
    <x v="3"/>
    <s v="6ac093aadb68f2f72a0ff059"/>
    <s v="02/10/2026 21:28:42"/>
    <s v="03/10/2026 02:33:30"/>
    <s v="Ranieli"/>
    <s v="02/10/2026"/>
    <x v="0"/>
    <s v="JOSEFA KELY NUNES DE SOUSA"/>
    <n v="15105"/>
    <n v="1028"/>
    <n v="1034"/>
    <n v="1022"/>
    <n v="1002"/>
    <n v="1025"/>
    <n v="1022"/>
    <n v="1005"/>
    <n v="1032"/>
    <n v="1038"/>
    <n v="1022"/>
    <n v="1023"/>
    <s v=""/>
    <s v="assinatura"/>
    <n v="16925"/>
    <n v="1000"/>
    <n v="2.3E-2"/>
    <n v="23"/>
    <x v="0"/>
    <x v="0"/>
  </r>
  <r>
    <x v="46"/>
    <x v="3"/>
    <s v="6ac093aadb68f2f72a0ff04d"/>
    <s v="02/10/2026 20:44:27"/>
    <s v="03/10/2026 02:33:30"/>
    <s v="Ranieli"/>
    <s v="02/10/2026"/>
    <x v="0"/>
    <s v="JOSEFA KELY NUNES DE SOUSA"/>
    <n v="209099"/>
    <n v="1008"/>
    <n v="980"/>
    <n v="1008"/>
    <n v="999"/>
    <n v="1048"/>
    <n v="1008"/>
    <n v="1023"/>
    <n v="1000"/>
    <n v="1011"/>
    <n v="1028"/>
    <n v="1011.3"/>
    <s v=""/>
    <s v="assinatura"/>
    <n v="19614"/>
    <n v="1000"/>
    <n v="1.1299999999999954E-2"/>
    <n v="11.299999999999955"/>
    <x v="31"/>
    <x v="1"/>
  </r>
  <r>
    <x v="46"/>
    <x v="3"/>
    <s v="6ac093a9db68f2f72a0ff041"/>
    <s v="02/10/2026 17:43:03"/>
    <s v="03/10/2026 02:33:29"/>
    <s v="Ranieli"/>
    <s v="02/10/2026"/>
    <x v="0"/>
    <s v="JOSEFA KELY NUNES DE SOUSA"/>
    <n v="40762"/>
    <n v="10030"/>
    <n v="10075"/>
    <n v="10055"/>
    <n v="10045"/>
    <n v="10060"/>
    <n v="10020"/>
    <n v="10040"/>
    <n v="9945"/>
    <n v="10070"/>
    <n v="10055"/>
    <n v="10039.5"/>
    <s v=""/>
    <s v="assinatura"/>
    <n v="31823"/>
    <n v="10000"/>
    <n v="3.9500000000000004E-3"/>
    <n v="39.5"/>
    <x v="3"/>
    <x v="1"/>
  </r>
  <r>
    <x v="46"/>
    <x v="3"/>
    <s v="6ac093a9db68f2f72a0ff03b"/>
    <s v="02/10/2026 17:37:32"/>
    <s v="03/10/2026 02:33:29"/>
    <s v="Ranieli"/>
    <s v="02/10/2026"/>
    <x v="0"/>
    <s v="JOSEFA KELY NUNES DE SOUSA"/>
    <n v="13188"/>
    <n v="1012"/>
    <n v="1008"/>
    <n v="1012"/>
    <n v="1001"/>
    <n v="1008"/>
    <n v="1012"/>
    <n v="1004"/>
    <n v="1001"/>
    <n v="1013"/>
    <n v="1000"/>
    <n v="1007.1"/>
    <s v=""/>
    <s v=""/>
    <n v="32143"/>
    <n v="1000"/>
    <n v="7.100000000000023E-3"/>
    <n v="7.1000000000000227"/>
    <x v="8"/>
    <x v="1"/>
  </r>
  <r>
    <x v="46"/>
    <x v="3"/>
    <s v="6ac093a9db68f2f72a0ff035"/>
    <s v="02/10/2026 17:34:21"/>
    <s v="03/10/2026 02:33:29"/>
    <s v="Ranieli"/>
    <s v="02/10/2026"/>
    <x v="0"/>
    <s v="JOSEFA KELY NUNES DE SOUSA"/>
    <n v="15229"/>
    <n v="1005"/>
    <n v="1009"/>
    <n v="1016"/>
    <n v="1006"/>
    <n v="1005"/>
    <n v="1009"/>
    <n v="1015"/>
    <n v="1010"/>
    <n v="1000"/>
    <n v="1007"/>
    <n v="1008.2"/>
    <s v=""/>
    <s v="assinatura"/>
    <n v="32326"/>
    <n v="1000"/>
    <n v="8.2000000000000458E-3"/>
    <n v="8.2000000000000455"/>
    <x v="9"/>
    <x v="1"/>
  </r>
  <r>
    <x v="46"/>
    <x v="3"/>
    <s v="6ac093a9db68f2f72a0ff02f"/>
    <s v="02/10/2026 17:19:17"/>
    <s v="03/10/2026 02:33:29"/>
    <s v="Ranieli"/>
    <s v="02/10/2026"/>
    <x v="0"/>
    <s v="JOSEFA KELY NUNES DE SOUSA"/>
    <n v="995638"/>
    <n v="15035"/>
    <n v="15130"/>
    <n v="15065"/>
    <n v="15005"/>
    <n v="15035"/>
    <n v="15015"/>
    <n v="15025"/>
    <n v="15040"/>
    <n v="15005"/>
    <n v="15050"/>
    <n v="15040.5"/>
    <s v=""/>
    <s v="assinatura"/>
    <n v="33221"/>
    <n v="15000"/>
    <n v="2.7000000000000001E-3"/>
    <n v="40.5"/>
    <x v="21"/>
    <x v="3"/>
  </r>
  <r>
    <x v="46"/>
    <x v="3"/>
    <s v="6ac093a9db68f2f72a0ff029"/>
    <s v="02/10/2026 17:15:03"/>
    <s v="03/10/2026 02:33:29"/>
    <s v="Ranieli"/>
    <s v="02/10/2026"/>
    <x v="0"/>
    <s v="JOSEFA KELY NUNES DE SOUSA"/>
    <n v="15105"/>
    <n v="1019"/>
    <n v="1013"/>
    <n v="1006"/>
    <n v="1015"/>
    <n v="1002"/>
    <n v="1004"/>
    <n v="997"/>
    <n v="996"/>
    <n v="994"/>
    <n v="1032"/>
    <n v="1007.8"/>
    <s v=""/>
    <s v="assinatura"/>
    <n v="33463"/>
    <n v="1000"/>
    <n v="7.7999999999999545E-3"/>
    <n v="7.7999999999999545"/>
    <x v="0"/>
    <x v="0"/>
  </r>
  <r>
    <x v="46"/>
    <x v="3"/>
    <s v="6ac062bedb68f2f72a0fe1ca"/>
    <s v="02/10/2026 22:44:23"/>
    <s v="02/10/2026 23:04:46"/>
    <s v="Ranieli"/>
    <s v="02/10/2026"/>
    <x v="0"/>
    <s v="JULIANE GOMES NOVAIS"/>
    <n v="864048"/>
    <n v="2059"/>
    <n v="2029"/>
    <n v="2075"/>
    <n v="2073"/>
    <n v="2028"/>
    <n v="2010"/>
    <n v="2028"/>
    <n v="2006"/>
    <n v="2006"/>
    <n v="2058"/>
    <n v="2037.2"/>
    <s v=""/>
    <s v="assinatura"/>
    <n v="403"/>
    <n v="2000"/>
    <n v="1.8600000000000023E-2"/>
    <n v="37.200000000000045"/>
    <x v="26"/>
    <x v="1"/>
  </r>
  <r>
    <x v="46"/>
    <x v="3"/>
    <s v="6ac062bedb68f2f72a0fe1c4"/>
    <s v="02/10/2026 22:42:34"/>
    <s v="02/10/2026 23:04:46"/>
    <s v="Ranieli"/>
    <s v="02/10/2026"/>
    <x v="0"/>
    <s v="JULIANE GOMES NOVAIS"/>
    <n v="42820"/>
    <n v="2053"/>
    <n v="2013"/>
    <n v="2068"/>
    <n v="2006"/>
    <n v="2047"/>
    <n v="2043"/>
    <n v="2049"/>
    <n v="2067"/>
    <n v="2012"/>
    <n v="2032"/>
    <n v="2039"/>
    <s v=""/>
    <s v="assinatura"/>
    <n v="485"/>
    <n v="2000"/>
    <n v="1.95E-2"/>
    <n v="39"/>
    <x v="10"/>
    <x v="1"/>
  </r>
  <r>
    <x v="46"/>
    <x v="3"/>
    <s v="6ac062bddb68f2f72a0fe1be"/>
    <s v="02/10/2026 22:37:58"/>
    <s v="02/10/2026 23:04:45"/>
    <s v="Ranieli"/>
    <s v="02/10/2026"/>
    <x v="0"/>
    <s v="JULIANE GOMES NOVAIS"/>
    <n v="40762"/>
    <n v="9945"/>
    <n v="9950"/>
    <n v="9995"/>
    <n v="10000"/>
    <n v="10020"/>
    <n v="10010"/>
    <n v="10035"/>
    <n v="10030"/>
    <n v="10020"/>
    <n v="10080"/>
    <n v="10008.5"/>
    <s v=""/>
    <s v="assinatura"/>
    <n v="742"/>
    <n v="10000"/>
    <n v="8.4999999999999995E-4"/>
    <n v="8.5"/>
    <x v="3"/>
    <x v="1"/>
  </r>
  <r>
    <x v="46"/>
    <x v="3"/>
    <s v="6ac04e47486c261c1ca08e9a"/>
    <s v="02/10/2026 20:58:50"/>
    <s v="02/10/2026 21:37:27"/>
    <s v="Ranieli"/>
    <s v="02/10/2026"/>
    <x v="0"/>
    <s v="JULIANE GOMES NOVAIS"/>
    <n v="42862"/>
    <n v="2073"/>
    <n v="2016"/>
    <n v="2023"/>
    <n v="1998"/>
    <n v="1985"/>
    <n v="2016"/>
    <n v="2020"/>
    <n v="2008"/>
    <n v="2023"/>
    <n v="2009"/>
    <n v="2017.1"/>
    <s v=""/>
    <s v="assinatura"/>
    <n v="2315"/>
    <n v="2000"/>
    <n v="8.5499999999999552E-3"/>
    <n v="17.099999999999909"/>
    <x v="5"/>
    <x v="1"/>
  </r>
  <r>
    <x v="46"/>
    <x v="3"/>
    <s v="6ac04e37feff8ad157fd67e5"/>
    <s v="02/10/2026 21:16:28"/>
    <s v="02/10/2026 21:37:11"/>
    <s v="Ranieli"/>
    <s v="02/10/2026"/>
    <x v="0"/>
    <s v="JULIANE GOMES NOVAIS"/>
    <n v="15229"/>
    <n v="1008"/>
    <n v="1012"/>
    <n v="1001"/>
    <n v="1004"/>
    <n v="1007"/>
    <n v="1006"/>
    <n v="1000"/>
    <n v="1012"/>
    <n v="1014"/>
    <n v="1010"/>
    <n v="1007.4"/>
    <s v=""/>
    <s v=""/>
    <n v="162"/>
    <n v="1000"/>
    <n v="7.3999999999999769E-3"/>
    <n v="7.3999999999999773"/>
    <x v="9"/>
    <x v="1"/>
  </r>
  <r>
    <x v="46"/>
    <x v="3"/>
    <s v="6ac04e37feff8ad157fd67df"/>
    <s v="02/10/2026 21:13:27"/>
    <s v="02/10/2026 21:37:11"/>
    <s v="Ranieli"/>
    <s v="02/10/2026"/>
    <x v="0"/>
    <s v="JULIANE GOMES NOVAIS"/>
    <n v="13188"/>
    <n v="990"/>
    <n v="984"/>
    <n v="996"/>
    <n v="1005"/>
    <n v="995"/>
    <n v="994"/>
    <n v="988"/>
    <n v="999"/>
    <n v="995"/>
    <n v="995"/>
    <n v="994.1"/>
    <s v=""/>
    <s v=""/>
    <n v="137"/>
    <n v="1000"/>
    <n v="-5.8999999999999773E-3"/>
    <n v="-5.8999999999999773"/>
    <x v="8"/>
    <x v="1"/>
  </r>
  <r>
    <x v="46"/>
    <x v="3"/>
    <s v="6ac04e37feff8ad157fd67d9"/>
    <s v="02/10/2026 21:09:28"/>
    <s v="02/10/2026 21:37:11"/>
    <s v="Ranieli"/>
    <s v="02/10/2026"/>
    <x v="0"/>
    <s v="JULIANE GOMES NOVAIS"/>
    <n v="42838"/>
    <n v="2021"/>
    <n v="2045"/>
    <n v="2021"/>
    <n v="2016"/>
    <n v="2019"/>
    <n v="2007"/>
    <n v="2039"/>
    <n v="2017"/>
    <n v="2028"/>
    <n v="2011"/>
    <n v="2022.4"/>
    <s v=""/>
    <s v=""/>
    <n v="149"/>
    <n v="2000"/>
    <n v="1.1200000000000045E-2"/>
    <n v="22.400000000000091"/>
    <x v="7"/>
    <x v="1"/>
  </r>
  <r>
    <x v="46"/>
    <x v="3"/>
    <s v="6ac04e37feff8ad157fd67d3"/>
    <s v="02/10/2026 21:06:07"/>
    <s v="02/10/2026 21:37:11"/>
    <s v="Ranieli"/>
    <s v="02/10/2026"/>
    <x v="0"/>
    <s v="JULIANE GOMES NOVAIS"/>
    <n v="42846"/>
    <n v="1998"/>
    <n v="2002"/>
    <n v="2006"/>
    <n v="2018"/>
    <n v="2020"/>
    <n v="2009"/>
    <n v="1999"/>
    <n v="2007"/>
    <n v="2001"/>
    <n v="1998"/>
    <n v="2005.8"/>
    <s v=""/>
    <s v=""/>
    <n v="163"/>
    <n v="2000"/>
    <n v="2.8999999999999772E-3"/>
    <n v="5.7999999999999545"/>
    <x v="6"/>
    <x v="1"/>
  </r>
  <r>
    <x v="46"/>
    <x v="3"/>
    <s v="6ac04e37feff8ad157fd67cd"/>
    <s v="02/10/2026 21:03:53"/>
    <s v="02/10/2026 21:37:11"/>
    <s v="Ranieli"/>
    <s v="02/10/2026"/>
    <x v="0"/>
    <s v="JULIANE GOMES NOVAIS"/>
    <n v="42854"/>
    <n v="2115"/>
    <n v="2074"/>
    <n v="2093"/>
    <n v="2106"/>
    <n v="2099"/>
    <n v="2080"/>
    <n v="2083"/>
    <n v="2086"/>
    <n v="2098"/>
    <n v="2123"/>
    <n v="2095.6999999999998"/>
    <s v=""/>
    <s v=""/>
    <n v="101"/>
    <n v="2080"/>
    <n v="7.5480769230768354E-3"/>
    <n v="15.699999999999818"/>
    <x v="4"/>
    <x v="1"/>
  </r>
  <r>
    <x v="46"/>
    <x v="3"/>
    <s v="6ac04e37feff8ad157fd67c7"/>
    <s v="02/10/2026 20:53:22"/>
    <s v="02/10/2026 21:37:11"/>
    <s v="Ranieli"/>
    <s v="02/10/2026"/>
    <x v="0"/>
    <s v="JULIANE GOMES NOVAIS"/>
    <n v="15105"/>
    <n v="1009"/>
    <n v="1002"/>
    <n v="980"/>
    <n v="995"/>
    <n v="1027"/>
    <n v="1027"/>
    <n v="1013"/>
    <n v="976"/>
    <n v="1032"/>
    <n v="987"/>
    <n v="1004.8"/>
    <s v=""/>
    <s v="assinatura"/>
    <n v="205"/>
    <n v="1000"/>
    <n v="4.7999999999999545E-3"/>
    <n v="4.7999999999999545"/>
    <x v="0"/>
    <x v="0"/>
  </r>
  <r>
    <x v="46"/>
    <x v="3"/>
    <s v="6ac043b81363200b808a2986"/>
    <s v="02/10/2026 18:49:18"/>
    <s v="02/10/2026 20:52:24"/>
    <s v="Ranieli"/>
    <s v="02/10/2026"/>
    <x v="0"/>
    <s v="JULIANE GOMES NOVAIS"/>
    <n v="13188"/>
    <n v="999"/>
    <n v="1013"/>
    <n v="1019"/>
    <n v="1015"/>
    <n v="1001"/>
    <n v="1010"/>
    <n v="997"/>
    <n v="994"/>
    <n v="1003"/>
    <n v="1011"/>
    <n v="1006.2"/>
    <s v=""/>
    <s v="assinatura"/>
    <n v="646"/>
    <n v="1000"/>
    <n v="6.2000000000000458E-3"/>
    <n v="6.2000000000000455"/>
    <x v="8"/>
    <x v="1"/>
  </r>
  <r>
    <x v="46"/>
    <x v="3"/>
    <s v="6ac043b81363200b808a2980"/>
    <s v="02/10/2026 18:38:29"/>
    <s v="02/10/2026 20:52:24"/>
    <s v="Ranieli"/>
    <s v="02/10/2026"/>
    <x v="0"/>
    <s v="JULIANE GOMES NOVAIS"/>
    <n v="40762"/>
    <n v="9995"/>
    <n v="10055"/>
    <n v="10010"/>
    <n v="10010"/>
    <n v="9995"/>
    <n v="10055"/>
    <n v="10010"/>
    <n v="10125"/>
    <n v="10005"/>
    <n v="10090"/>
    <n v="10035"/>
    <s v=""/>
    <s v="assinatura"/>
    <n v="1316"/>
    <n v="10000"/>
    <n v="3.5000000000000001E-3"/>
    <n v="35"/>
    <x v="3"/>
    <x v="1"/>
  </r>
  <r>
    <x v="46"/>
    <x v="3"/>
    <s v="6ac043b81363200b808a297a"/>
    <s v="02/10/2026 17:34:02"/>
    <s v="02/10/2026 20:52:24"/>
    <s v="Ranieli"/>
    <s v="02/10/2026"/>
    <x v="0"/>
    <s v="JULIANE GOMES NOVAIS"/>
    <n v="963925"/>
    <n v="17980"/>
    <n v="18085"/>
    <n v="17995"/>
    <n v="17885"/>
    <n v="18110"/>
    <n v="18015"/>
    <n v="18365"/>
    <n v="18325"/>
    <n v="17835"/>
    <n v="17995"/>
    <n v="18059"/>
    <s v=""/>
    <s v="assinatura"/>
    <n v="11847"/>
    <n v="18000"/>
    <n v="3.2777777777777779E-3"/>
    <n v="59"/>
    <x v="15"/>
    <x v="3"/>
  </r>
  <r>
    <x v="46"/>
    <x v="3"/>
    <s v="6ac02b992a994604e4a14824"/>
    <s v="02/10/2026 14:56:41"/>
    <s v="02/10/2026 19:09:29"/>
    <s v="Ranieli"/>
    <s v="02/10/2026"/>
    <x v="1"/>
    <s v="ALANA DA SILVA MARTINS"/>
    <n v="15105"/>
    <n v="990"/>
    <n v="1003"/>
    <n v="1020"/>
    <n v="1009"/>
    <n v="984"/>
    <n v="1048"/>
    <n v="1013"/>
    <n v="1023"/>
    <n v="1000"/>
    <n v="999"/>
    <n v="1008.9"/>
    <s v=""/>
    <s v=""/>
    <n v="15168"/>
    <n v="1000"/>
    <n v="8.8999999999999774E-3"/>
    <n v="8.8999999999999773"/>
    <x v="0"/>
    <x v="0"/>
  </r>
  <r>
    <x v="46"/>
    <x v="3"/>
    <s v="6abff25b4854db7e48d4c58b"/>
    <s v="02/10/2026 15:02:41"/>
    <s v="02/10/2026 15:05:15"/>
    <s v="Ranieli"/>
    <s v="02/10/2026"/>
    <x v="1"/>
    <s v="ALANA DA SILVA MARTINS"/>
    <n v="209039"/>
    <n v="1008"/>
    <n v="1004"/>
    <n v="1004"/>
    <n v="1005"/>
    <n v="1033"/>
    <n v="1172"/>
    <n v="1001"/>
    <n v="1030"/>
    <n v="989"/>
    <n v="1003"/>
    <n v="1024.9000000000001"/>
    <s v=""/>
    <s v="assinatura"/>
    <n v="130"/>
    <n v="1000"/>
    <n v="2.4900000000000092E-2"/>
    <n v="24.900000000000091"/>
    <x v="19"/>
    <x v="3"/>
  </r>
  <r>
    <x v="46"/>
    <x v="3"/>
    <s v="6abff1be78034b104e18e60e"/>
    <s v="02/10/2026 10:27:07"/>
    <s v="02/10/2026 15:02:38"/>
    <s v="Ranieli"/>
    <s v="02/10/2026"/>
    <x v="1"/>
    <s v="ALANA DA SILVA MARTINS"/>
    <n v="50580"/>
    <n v="1987"/>
    <n v="2005"/>
    <n v="2028"/>
    <n v="2027"/>
    <n v="2065"/>
    <n v="2091"/>
    <n v="2104"/>
    <n v="1995"/>
    <n v="2088"/>
    <n v="2084"/>
    <n v="2047.4"/>
    <s v=""/>
    <s v="assinatura"/>
    <n v="16022"/>
    <n v="2000"/>
    <n v="2.3700000000000044E-2"/>
    <n v="47.400000000000091"/>
    <x v="36"/>
    <x v="1"/>
  </r>
  <r>
    <x v="46"/>
    <x v="3"/>
    <s v="6abff1be78034b104e18e608"/>
    <s v="02/10/2026 10:21:44"/>
    <s v="02/10/2026 15:02:38"/>
    <s v="Ranieli"/>
    <s v="02/10/2026"/>
    <x v="1"/>
    <s v="ALANA DA SILVA MARTINS"/>
    <n v="42862"/>
    <n v="2046"/>
    <n v="2054"/>
    <n v="2016"/>
    <n v="2016"/>
    <n v="2024"/>
    <n v="2029"/>
    <n v="2038"/>
    <n v="2066"/>
    <n v="2025"/>
    <n v="2068"/>
    <n v="2038.2"/>
    <s v=""/>
    <s v="assinatura"/>
    <n v="16364"/>
    <n v="2000"/>
    <n v="1.9100000000000023E-2"/>
    <n v="38.200000000000045"/>
    <x v="5"/>
    <x v="1"/>
  </r>
  <r>
    <x v="44"/>
    <x v="3"/>
    <s v="6abff1be78034b104e18e602"/>
    <s v="01/10/2026 12:14:22"/>
    <s v="02/10/2026 15:02:38"/>
    <s v="Ranieli"/>
    <s v="01/10/2026"/>
    <x v="1"/>
    <s v="ALANA DA SILVA MARTINS"/>
    <n v="864048"/>
    <n v="2003"/>
    <n v="2023"/>
    <n v="2055"/>
    <n v="2016"/>
    <n v="2013"/>
    <n v="2072"/>
    <n v="2069"/>
    <n v="2002"/>
    <n v="2113"/>
    <n v="2025"/>
    <n v="2039.1"/>
    <s v=""/>
    <s v="assinatura"/>
    <n v="96030"/>
    <n v="2000"/>
    <n v="1.9549999999999953E-2"/>
    <n v="39.099999999999909"/>
    <x v="26"/>
    <x v="1"/>
  </r>
  <r>
    <x v="44"/>
    <x v="3"/>
    <s v="6abff1be78034b104e18e5fc"/>
    <s v="01/10/2026 12:10:33"/>
    <s v="02/10/2026 15:02:38"/>
    <s v="Ranieli"/>
    <s v="01/10/2026"/>
    <x v="1"/>
    <s v="ALANA DA SILVA MARTINS"/>
    <n v="42862"/>
    <n v="2086"/>
    <n v="2031"/>
    <n v="2043"/>
    <n v="2027"/>
    <n v="2040"/>
    <n v="2025"/>
    <n v="2059"/>
    <n v="2034"/>
    <n v="2048"/>
    <n v="2078"/>
    <n v="2047.1"/>
    <s v=""/>
    <s v="assinatura"/>
    <n v="96289"/>
    <n v="2000"/>
    <n v="2.3549999999999953E-2"/>
    <n v="47.099999999999909"/>
    <x v="5"/>
    <x v="1"/>
  </r>
  <r>
    <x v="46"/>
    <x v="3"/>
    <s v="6abfdcdd36d49b922976381c"/>
    <s v="02/10/2026 09:00:20"/>
    <s v="02/10/2026 13:33:33"/>
    <s v="Ranieli"/>
    <s v="02/10/2026"/>
    <x v="1"/>
    <s v="ALANA DA SILVA MARTINS"/>
    <n v="42846"/>
    <n v="2039"/>
    <n v="2011"/>
    <n v="2016"/>
    <n v="2070"/>
    <n v="2037"/>
    <n v="2060"/>
    <n v="2005"/>
    <n v="2001"/>
    <n v="1987"/>
    <n v="1990"/>
    <n v="2021.6"/>
    <s v=""/>
    <s v="assinatura"/>
    <n v="499"/>
    <n v="2000"/>
    <n v="1.0799999999999954E-2"/>
    <n v="21.599999999999909"/>
    <x v="6"/>
    <x v="1"/>
  </r>
  <r>
    <x v="46"/>
    <x v="3"/>
    <s v="6abfdcdd36d49b9229763816"/>
    <s v="02/10/2026 08:55:32"/>
    <s v="02/10/2026 13:33:33"/>
    <s v="Ranieli"/>
    <s v="02/10/2026"/>
    <x v="1"/>
    <s v="ALANA DA SILVA MARTINS"/>
    <n v="42854"/>
    <n v="2159"/>
    <n v="2124"/>
    <n v="2003"/>
    <n v="2150"/>
    <n v="2130"/>
    <n v="1864"/>
    <n v="2170"/>
    <n v="2223"/>
    <n v="2154"/>
    <n v="2189"/>
    <n v="2116.6"/>
    <s v=""/>
    <s v="assinatura"/>
    <n v="822"/>
    <n v="2080"/>
    <n v="1.7596153846153803E-2"/>
    <n v="36.599999999999909"/>
    <x v="4"/>
    <x v="1"/>
  </r>
  <r>
    <x v="46"/>
    <x v="3"/>
    <s v="6abfdcdd36d49b9229763810"/>
    <s v="02/10/2026 08:50:40"/>
    <s v="02/10/2026 13:33:33"/>
    <s v="Ranieli"/>
    <s v="02/10/2026"/>
    <x v="1"/>
    <s v="ALANA DA SILVA MARTINS"/>
    <n v="54632"/>
    <n v="999"/>
    <n v="1008"/>
    <n v="993"/>
    <n v="992"/>
    <n v="1014"/>
    <n v="1013"/>
    <n v="991"/>
    <n v="1021"/>
    <n v="1012"/>
    <n v="1017"/>
    <n v="1006"/>
    <s v=""/>
    <s v="assinatura"/>
    <n v="1153"/>
    <n v="1000"/>
    <n v="6.0000000000000001E-3"/>
    <n v="6"/>
    <x v="11"/>
    <x v="1"/>
  </r>
  <r>
    <x v="46"/>
    <x v="3"/>
    <s v="6abfdcdd36d49b922976380a"/>
    <s v="02/10/2026 08:48:05"/>
    <s v="02/10/2026 13:33:33"/>
    <s v="Ranieli"/>
    <s v="02/10/2026"/>
    <x v="1"/>
    <s v="ALANA DA SILVA MARTINS"/>
    <n v="54632"/>
    <n v="992"/>
    <n v="1010"/>
    <n v="1009"/>
    <n v="1011"/>
    <n v="996"/>
    <n v="997"/>
    <n v="1003"/>
    <n v="1025"/>
    <n v="1009"/>
    <n v="1007"/>
    <n v="1005.9"/>
    <s v=""/>
    <s v="assinatura"/>
    <n v="1334"/>
    <n v="1000"/>
    <n v="5.8999999999999773E-3"/>
    <n v="5.8999999999999773"/>
    <x v="11"/>
    <x v="1"/>
  </r>
  <r>
    <x v="44"/>
    <x v="3"/>
    <s v="6abfdcdd36d49b9229763804"/>
    <s v="01/10/2026 16:58:10"/>
    <s v="02/10/2026 13:33:33"/>
    <s v="Ranieli"/>
    <s v="01/10/2026"/>
    <x v="1"/>
    <s v="ALANA DA SILVA MARTINS"/>
    <n v="209039"/>
    <n v="1001"/>
    <n v="1002"/>
    <n v="1000"/>
    <n v="1023"/>
    <n v="1004"/>
    <n v="1002"/>
    <n v="1001"/>
    <n v="997"/>
    <n v="1002"/>
    <n v="1002"/>
    <n v="1003.4"/>
    <s v=""/>
    <s v="assinatura"/>
    <n v="262"/>
    <n v="1000"/>
    <n v="3.3999999999999773E-3"/>
    <n v="3.3999999999999773"/>
    <x v="19"/>
    <x v="3"/>
  </r>
  <r>
    <x v="47"/>
    <x v="3"/>
    <s v="6ac7dc6978034b104e266dd2"/>
    <s v="08/10/2026 14:59:11"/>
    <s v="08/10/2026 15:09:45"/>
    <s v="Ranieli"/>
    <s v="08/10/2026"/>
    <x v="1"/>
    <s v="ALANA DA SILVA MARTINS"/>
    <n v="13188"/>
    <n v="1007"/>
    <n v="993"/>
    <n v="1007"/>
    <n v="1006"/>
    <n v="1017"/>
    <n v="1018"/>
    <n v="1007"/>
    <n v="989"/>
    <n v="1020"/>
    <n v="1006"/>
    <n v="1007"/>
    <s v=""/>
    <s v="assinatura"/>
    <n v="201"/>
    <n v="1000"/>
    <n v="7.0000000000000001E-3"/>
    <n v="7"/>
    <x v="8"/>
    <x v="1"/>
  </r>
  <r>
    <x v="47"/>
    <x v="3"/>
    <s v="6ac7dc6978034b104e266dcc"/>
    <s v="08/10/2026 14:55:39"/>
    <s v="08/10/2026 15:09:45"/>
    <s v="Ranieli"/>
    <s v="08/10/2026"/>
    <x v="1"/>
    <s v="ALANA DA SILVA MARTINS"/>
    <n v="793124"/>
    <n v="2010"/>
    <n v="2001"/>
    <n v="2003"/>
    <n v="2007"/>
    <n v="2007"/>
    <n v="2006"/>
    <n v="2000"/>
    <n v="1999"/>
    <n v="2002"/>
    <n v="1998"/>
    <n v="2003.3"/>
    <s v=""/>
    <s v="assinatura"/>
    <n v="436"/>
    <n v="2000"/>
    <n v="1.6499999999999772E-3"/>
    <n v="3.2999999999999545"/>
    <x v="37"/>
    <x v="8"/>
  </r>
  <r>
    <x v="47"/>
    <x v="3"/>
    <s v="6ac7dc6978034b104e266dc6"/>
    <s v="08/10/2026 14:50:50"/>
    <s v="08/10/2026 15:09:45"/>
    <s v="Ranieli"/>
    <s v="08/10/2026"/>
    <x v="1"/>
    <s v="ALANA DA SILVA MARTINS"/>
    <n v="42846"/>
    <n v="2006"/>
    <n v="2003"/>
    <n v="2003"/>
    <n v="1994"/>
    <n v="2012"/>
    <n v="2004"/>
    <n v="1993"/>
    <n v="2068"/>
    <n v="2022"/>
    <n v="2016"/>
    <n v="2012.1"/>
    <s v=""/>
    <s v="assinatura"/>
    <n v="758"/>
    <n v="2000"/>
    <n v="6.0499999999999547E-3"/>
    <n v="12.099999999999909"/>
    <x v="6"/>
    <x v="1"/>
  </r>
  <r>
    <x v="47"/>
    <x v="3"/>
    <s v="6ac7dc6978034b104e266dc0"/>
    <s v="08/10/2026 14:45:55"/>
    <s v="08/10/2026 15:09:45"/>
    <s v="Ranieli"/>
    <s v="08/10/2026"/>
    <x v="1"/>
    <s v="ALANA DA SILVA MARTINS"/>
    <n v="42838"/>
    <n v="2100"/>
    <n v="2075"/>
    <n v="2074"/>
    <n v="2064"/>
    <n v="2091"/>
    <n v="2078"/>
    <n v="2078"/>
    <n v="2082"/>
    <n v="2097"/>
    <n v="2053"/>
    <n v="2079.1999999999998"/>
    <s v=""/>
    <s v="assinatura"/>
    <n v="1076"/>
    <n v="2000"/>
    <n v="3.9599999999999906E-2"/>
    <n v="79.199999999999818"/>
    <x v="7"/>
    <x v="1"/>
  </r>
  <r>
    <x v="47"/>
    <x v="3"/>
    <s v="6ac7dc6978034b104e266dba"/>
    <s v="08/10/2026 14:39:24"/>
    <s v="08/10/2026 15:09:45"/>
    <s v="Ranieli"/>
    <s v="08/10/2026"/>
    <x v="1"/>
    <s v="ALANA DA SILVA MARTINS"/>
    <n v="42854"/>
    <n v="2165"/>
    <n v="2185"/>
    <n v="2177"/>
    <n v="2137"/>
    <n v="2056"/>
    <n v="2003"/>
    <n v="2125"/>
    <n v="2108"/>
    <n v="2133"/>
    <n v="2148"/>
    <n v="2123.6999999999998"/>
    <s v=""/>
    <s v="assinatura"/>
    <n v="1487"/>
    <n v="2080"/>
    <n v="2.1009615384615297E-2"/>
    <n v="43.699999999999818"/>
    <x v="4"/>
    <x v="1"/>
  </r>
  <r>
    <x v="47"/>
    <x v="3"/>
    <s v="6ac7dc6978034b104e266db4"/>
    <s v="08/10/2026 14:36:45"/>
    <s v="08/10/2026 15:09:45"/>
    <s v="Ranieli"/>
    <s v="08/10/2026"/>
    <x v="1"/>
    <s v="ALANA DA SILVA MARTINS"/>
    <n v="42862"/>
    <n v="2033"/>
    <n v="2061"/>
    <n v="2039"/>
    <n v="2033"/>
    <n v="2073"/>
    <n v="2004"/>
    <n v="2091"/>
    <n v="2053"/>
    <n v="2047"/>
    <n v="2053"/>
    <n v="2048.6999999999998"/>
    <s v=""/>
    <s v="assinatura"/>
    <n v="1671"/>
    <n v="2000"/>
    <n v="2.434999999999991E-2"/>
    <n v="48.699999999999818"/>
    <x v="5"/>
    <x v="1"/>
  </r>
  <r>
    <x v="47"/>
    <x v="3"/>
    <s v="6ac7dc6878034b104e266da2"/>
    <s v="08/10/2026 11:55:49"/>
    <s v="08/10/2026 15:09:44"/>
    <s v="Ranieli"/>
    <s v="08/10/2026"/>
    <x v="1"/>
    <s v="ALANA DA SILVA MARTINS"/>
    <n v="43784"/>
    <n v="999"/>
    <n v="998"/>
    <n v="1000"/>
    <n v="999"/>
    <n v="995"/>
    <n v="998"/>
    <n v="999"/>
    <n v="1000"/>
    <n v="1002"/>
    <n v="1000"/>
    <n v="999"/>
    <s v=""/>
    <s v="assinatura"/>
    <n v="11411"/>
    <n v="1000"/>
    <n v="-1E-3"/>
    <n v="-1"/>
    <x v="35"/>
    <x v="7"/>
  </r>
  <r>
    <x v="47"/>
    <x v="3"/>
    <s v="6ac7dc6878034b104e266d9c"/>
    <s v="08/10/2026 11:53:51"/>
    <s v="08/10/2026 15:09:44"/>
    <s v="Ranieli"/>
    <s v="08/10/2026"/>
    <x v="1"/>
    <s v="ALANA DA SILVA MARTINS"/>
    <n v="992014"/>
    <n v="669"/>
    <n v="668"/>
    <n v="700"/>
    <n v="665"/>
    <n v="669"/>
    <n v="668"/>
    <n v="700"/>
    <n v="663"/>
    <n v="668"/>
    <n v="669"/>
    <n v="673.9"/>
    <s v=""/>
    <s v="assinatura"/>
    <n v="11552"/>
    <n v="700"/>
    <n v="-3.7285714285714318E-2"/>
    <n v="-26.100000000000023"/>
    <x v="14"/>
    <x v="1"/>
  </r>
  <r>
    <x v="47"/>
    <x v="3"/>
    <s v="6ac7ac879b7db2ba764ec897"/>
    <s v="08/10/2026 11:42:01"/>
    <s v="08/10/2026 11:45:27"/>
    <s v="Ranieli"/>
    <s v="08/10/2026"/>
    <x v="1"/>
    <s v="ALANA DA SILVA MARTINS"/>
    <n v="197734"/>
    <n v="1020"/>
    <n v="1028"/>
    <n v="1019"/>
    <n v="1018"/>
    <n v="1019"/>
    <n v="1023"/>
    <n v="1020"/>
    <n v="1057"/>
    <n v="1022"/>
    <n v="1022"/>
    <n v="1024.8"/>
    <s v=""/>
    <s v="assinatura"/>
    <n v="130"/>
    <n v="1000"/>
    <n v="2.4799999999999954E-2"/>
    <n v="24.799999999999955"/>
    <x v="2"/>
    <x v="2"/>
  </r>
  <r>
    <x v="48"/>
    <x v="3"/>
    <s v="6ac781b69b405ad761bd268b"/>
    <s v="07/10/2026 11:40:51"/>
    <s v="08/10/2026 08:42:46"/>
    <s v="Ranieli"/>
    <s v="07/10/2026"/>
    <x v="1"/>
    <s v="ALANA DA SILVA MARTINS"/>
    <n v="992014"/>
    <n v="700"/>
    <n v="699"/>
    <n v="698"/>
    <n v="699"/>
    <n v="696"/>
    <n v="698"/>
    <n v="700"/>
    <n v="698"/>
    <n v="699"/>
    <n v="700"/>
    <n v="698.7"/>
    <s v=""/>
    <s v="assinatura"/>
    <n v="75715"/>
    <n v="700"/>
    <n v="-1.8571428571427923E-3"/>
    <n v="-1.2999999999999545"/>
    <x v="14"/>
    <x v="1"/>
  </r>
  <r>
    <x v="48"/>
    <x v="3"/>
    <s v="6ac7819f5981b750ab218432"/>
    <s v="07/10/2026 11:43:48"/>
    <s v="08/10/2026 08:42:23"/>
    <s v="Ranieli"/>
    <s v="07/10/2026"/>
    <x v="1"/>
    <s v="ALANA DA SILVA MARTINS"/>
    <n v="43784"/>
    <n v="1000"/>
    <n v="999"/>
    <n v="997"/>
    <n v="999"/>
    <n v="1000"/>
    <n v="998"/>
    <n v="996"/>
    <n v="999"/>
    <n v="996"/>
    <n v="999"/>
    <n v="998.3"/>
    <s v=""/>
    <s v="assinatura"/>
    <n v="75514"/>
    <n v="1000"/>
    <n v="-1.7000000000000454E-3"/>
    <n v="-1.7000000000000455"/>
    <x v="35"/>
    <x v="7"/>
  </r>
  <r>
    <x v="47"/>
    <x v="3"/>
    <s v="6ac78171898c48a2f44843d8"/>
    <s v="08/10/2026 08:35:52"/>
    <s v="08/10/2026 08:41:37"/>
    <s v="Ranieli"/>
    <s v="08/10/2026"/>
    <x v="1"/>
    <s v="ALANA DA SILVA MARTINS"/>
    <n v="15105"/>
    <n v="1022"/>
    <n v="1036"/>
    <n v="1000"/>
    <n v="1002"/>
    <n v="1026"/>
    <n v="1011"/>
    <n v="991"/>
    <n v="1014"/>
    <n v="1021"/>
    <n v="1017"/>
    <n v="1014"/>
    <s v=""/>
    <s v="assinatura"/>
    <n v="215"/>
    <n v="1000"/>
    <n v="1.4E-2"/>
    <n v="14"/>
    <x v="0"/>
    <x v="0"/>
  </r>
  <r>
    <x v="48"/>
    <x v="3"/>
    <s v="6ac78171898c48a2f44843d2"/>
    <s v="07/10/2026 17:19:07"/>
    <s v="08/10/2026 08:41:37"/>
    <s v="Ranieli"/>
    <s v="07/10/2026"/>
    <x v="1"/>
    <s v="ALANA DA SILVA MARTINS"/>
    <n v="15105"/>
    <n v="995"/>
    <n v="1014"/>
    <n v="1044"/>
    <n v="1040"/>
    <n v="994"/>
    <n v="1019"/>
    <n v="1016"/>
    <n v="1041"/>
    <n v="1000"/>
    <n v="998"/>
    <n v="1016.1"/>
    <s v=""/>
    <s v="assinatura"/>
    <n v="205"/>
    <n v="1000"/>
    <n v="1.6100000000000024E-2"/>
    <n v="16.100000000000023"/>
    <x v="0"/>
    <x v="0"/>
  </r>
  <r>
    <x v="48"/>
    <x v="3"/>
    <s v="6ac77862486c261c1cacc92e"/>
    <s v="08/10/2026 00:53:41"/>
    <s v="08/10/2026 08:02:58"/>
    <s v="Ranieli"/>
    <s v="07/10/2026"/>
    <x v="0"/>
    <s v="JOSEFA KELY NUNES DE SOUSA"/>
    <n v="992014"/>
    <n v="702"/>
    <n v="700"/>
    <n v="700"/>
    <n v="702"/>
    <n v="700"/>
    <n v="701"/>
    <n v="703"/>
    <n v="700"/>
    <n v="705"/>
    <n v="706"/>
    <n v="701.9"/>
    <s v=""/>
    <s v="assinatura"/>
    <n v="4538"/>
    <n v="700"/>
    <n v="2.7142857142856817E-3"/>
    <n v="1.8999999999999773"/>
    <x v="14"/>
    <x v="1"/>
  </r>
  <r>
    <x v="48"/>
    <x v="3"/>
    <s v="6ac77861486c261c1cacc922"/>
    <s v="07/10/2026 17:28:14"/>
    <s v="08/10/2026 08:02:57"/>
    <s v="Ranieli"/>
    <s v="07/10/2026"/>
    <x v="0"/>
    <s v="JOSEFA KELY NUNES DE SOUSA"/>
    <n v="995638"/>
    <n v="15015"/>
    <n v="15045"/>
    <n v="15040"/>
    <n v="15018"/>
    <n v="15020"/>
    <n v="15015"/>
    <n v="15005"/>
    <n v="15030"/>
    <n v="14995"/>
    <n v="15010"/>
    <n v="15019.3"/>
    <s v=""/>
    <s v="assinatura"/>
    <n v="31082"/>
    <n v="15000"/>
    <n v="1.2866666666666181E-3"/>
    <n v="19.299999999999272"/>
    <x v="21"/>
    <x v="3"/>
  </r>
  <r>
    <x v="48"/>
    <x v="3"/>
    <s v="6ac777aa1255169047e834d4"/>
    <s v="08/10/2026 00:59:19"/>
    <s v="08/10/2026 07:59:54"/>
    <s v="Ranieli"/>
    <s v="07/10/2026"/>
    <x v="0"/>
    <s v="JOSEFA KELY NUNES DE SOUSA"/>
    <n v="963925"/>
    <n v="18250"/>
    <n v="18205"/>
    <n v="18195"/>
    <n v="18010"/>
    <n v="18045"/>
    <n v="18105"/>
    <n v="18155"/>
    <n v="18140"/>
    <n v="18170"/>
    <n v="18000"/>
    <n v="18127.5"/>
    <s v=""/>
    <s v="assinatura"/>
    <n v="4210"/>
    <n v="18000"/>
    <n v="7.083333333333333E-3"/>
    <n v="127.5"/>
    <x v="15"/>
    <x v="3"/>
  </r>
  <r>
    <x v="48"/>
    <x v="3"/>
    <s v="6ac777aa1255169047e834ce"/>
    <s v="08/10/2026 00:45:28"/>
    <s v="08/10/2026 07:59:54"/>
    <s v="Ranieli"/>
    <s v="07/10/2026"/>
    <x v="0"/>
    <s v="JOSEFA KELY NUNES DE SOUSA"/>
    <n v="209069"/>
    <n v="1095"/>
    <n v="1099"/>
    <n v="1092"/>
    <n v="1000"/>
    <n v="1006"/>
    <n v="1000"/>
    <n v="1000"/>
    <n v="1073"/>
    <n v="1078"/>
    <n v="1074"/>
    <n v="1051.7"/>
    <s v=""/>
    <s v="assinatura"/>
    <n v="5022"/>
    <n v="1000"/>
    <n v="5.1700000000000045E-2"/>
    <n v="51.700000000000045"/>
    <x v="28"/>
    <x v="0"/>
  </r>
  <r>
    <x v="48"/>
    <x v="3"/>
    <s v="6ac777aa1255169047e834c8"/>
    <s v="07/10/2026 21:56:23"/>
    <s v="08/10/2026 07:59:54"/>
    <s v="Ranieli"/>
    <s v="07/10/2026"/>
    <x v="0"/>
    <s v="JOSEFA KELY NUNES DE SOUSA"/>
    <n v="209319"/>
    <n v="1051"/>
    <n v="1002"/>
    <n v="1001"/>
    <n v="1062"/>
    <n v="1014"/>
    <n v="1020"/>
    <n v="1023"/>
    <n v="1027"/>
    <n v="1002"/>
    <n v="1037"/>
    <n v="1023.9"/>
    <s v=""/>
    <s v="assinatura"/>
    <n v="15158"/>
    <n v="1000"/>
    <n v="2.3899999999999977E-2"/>
    <n v="23.899999999999977"/>
    <x v="34"/>
    <x v="1"/>
  </r>
  <r>
    <x v="48"/>
    <x v="3"/>
    <s v="6ac777aa1255169047e834c2"/>
    <s v="07/10/2026 21:40:29"/>
    <s v="08/10/2026 07:59:54"/>
    <s v="Ranieli"/>
    <s v="07/10/2026"/>
    <x v="0"/>
    <s v="JOSEFA KELY NUNES DE SOUSA"/>
    <n v="963925"/>
    <n v="18025"/>
    <n v="18330"/>
    <n v="18440"/>
    <n v="18425"/>
    <n v="18305"/>
    <n v="18020"/>
    <n v="18055"/>
    <n v="18085"/>
    <n v="18110"/>
    <n v="18095"/>
    <n v="18189"/>
    <s v=""/>
    <s v="assinatura"/>
    <n v="16103"/>
    <n v="18000"/>
    <n v="1.0500000000000001E-2"/>
    <n v="189"/>
    <x v="15"/>
    <x v="3"/>
  </r>
  <r>
    <x v="48"/>
    <x v="3"/>
    <s v="6ac777aa1255169047e834bc"/>
    <s v="07/10/2026 21:36:21"/>
    <s v="08/10/2026 07:59:54"/>
    <s v="Ranieli"/>
    <s v="07/10/2026"/>
    <x v="0"/>
    <s v="JOSEFA KELY NUNES DE SOUSA"/>
    <n v="40762"/>
    <n v="10040"/>
    <n v="9985"/>
    <n v="10035"/>
    <n v="10000"/>
    <n v="10025"/>
    <n v="10115"/>
    <n v="10005"/>
    <n v="10100"/>
    <n v="10055"/>
    <n v="9965"/>
    <n v="10032.5"/>
    <s v=""/>
    <s v="assinatura"/>
    <n v="176"/>
    <n v="10000"/>
    <n v="3.2499999999999999E-3"/>
    <n v="32.5"/>
    <x v="3"/>
    <x v="1"/>
  </r>
  <r>
    <x v="48"/>
    <x v="3"/>
    <s v="6ac777aa1255169047e834b6"/>
    <s v="07/10/2026 21:32:11"/>
    <s v="08/10/2026 07:59:54"/>
    <s v="Ranieli"/>
    <s v="07/10/2026"/>
    <x v="0"/>
    <s v="JOSEFA KELY NUNES DE SOUSA"/>
    <n v="40762"/>
    <n v="9985"/>
    <n v="10055"/>
    <n v="10005"/>
    <n v="9965"/>
    <n v="10050"/>
    <n v="9970"/>
    <n v="10000"/>
    <n v="9975"/>
    <n v="10055"/>
    <n v="10025"/>
    <n v="10008.5"/>
    <s v=""/>
    <s v="assinatura"/>
    <n v="16589"/>
    <n v="10000"/>
    <n v="8.4999999999999995E-4"/>
    <n v="8.5"/>
    <x v="3"/>
    <x v="1"/>
  </r>
  <r>
    <x v="48"/>
    <x v="3"/>
    <s v="6ac777aa1255169047e834b0"/>
    <s v="07/10/2026 21:28:19"/>
    <s v="08/10/2026 07:59:54"/>
    <s v="Ranieli"/>
    <s v="07/10/2026"/>
    <x v="0"/>
    <s v="JOSEFA KELY NUNES DE SOUSA"/>
    <n v="15105"/>
    <n v="1010"/>
    <n v="1049"/>
    <n v="1038"/>
    <n v="1017"/>
    <n v="1053"/>
    <n v="1004"/>
    <n v="1014"/>
    <n v="1006"/>
    <n v="1003"/>
    <n v="1047"/>
    <n v="1024.0999999999999"/>
    <s v=""/>
    <s v=""/>
    <n v="16809"/>
    <n v="1000"/>
    <n v="2.409999999999991E-2"/>
    <n v="24.099999999999909"/>
    <x v="0"/>
    <x v="0"/>
  </r>
  <r>
    <x v="48"/>
    <x v="3"/>
    <s v="6ac777aa1255169047e834a8"/>
    <s v="07/10/2026 21:23:14"/>
    <s v="08/10/2026 07:59:54"/>
    <s v="Ranieli"/>
    <s v="07/10/2026"/>
    <x v="0"/>
    <s v="JOSEFA KELY NUNES DE SOUSA"/>
    <n v="42641"/>
    <n v="15000"/>
    <n v="15005"/>
    <n v="15045"/>
    <n v="15025"/>
    <n v="15025"/>
    <n v="15065"/>
    <n v="15060"/>
    <n v="15040"/>
    <n v="15015"/>
    <n v="15055"/>
    <n v="15033.5"/>
    <s v=""/>
    <s v="assinatura"/>
    <n v="17096"/>
    <n v="15000"/>
    <n v="2.2333333333333333E-3"/>
    <n v="33.5"/>
    <x v="12"/>
    <x v="3"/>
  </r>
  <r>
    <x v="48"/>
    <x v="3"/>
    <s v="6ac777aa1255169047e834a2"/>
    <s v="07/10/2026 20:35:47"/>
    <s v="08/10/2026 07:59:54"/>
    <s v="Ranieli"/>
    <s v="07/10/2026"/>
    <x v="0"/>
    <s v="JOSEFA KELY NUNES DE SOUSA"/>
    <n v="42820"/>
    <n v="2018"/>
    <n v="2048"/>
    <n v="2025"/>
    <n v="2028"/>
    <n v="2022"/>
    <n v="2018"/>
    <n v="2024"/>
    <n v="2042"/>
    <n v="2040"/>
    <n v="2045"/>
    <n v="2031"/>
    <s v=""/>
    <s v=""/>
    <n v="19934"/>
    <n v="2000"/>
    <n v="1.55E-2"/>
    <n v="31"/>
    <x v="10"/>
    <x v="1"/>
  </r>
  <r>
    <x v="48"/>
    <x v="3"/>
    <s v="6ac777aa1255169047e8349c"/>
    <s v="07/10/2026 20:33:22"/>
    <s v="08/10/2026 07:59:54"/>
    <s v="Ranieli"/>
    <s v="07/10/2026"/>
    <x v="0"/>
    <s v="JOSEFA KELY NUNES DE SOUSA"/>
    <n v="42862"/>
    <n v="2038"/>
    <n v="2006"/>
    <n v="2008"/>
    <n v="2023"/>
    <n v="2013"/>
    <n v="2004"/>
    <n v="2020"/>
    <n v="2012"/>
    <n v="2017"/>
    <n v="2023"/>
    <n v="2016.4"/>
    <s v=""/>
    <s v="assinatura"/>
    <n v="20049"/>
    <n v="2000"/>
    <n v="8.2000000000000458E-3"/>
    <n v="16.400000000000091"/>
    <x v="5"/>
    <x v="1"/>
  </r>
  <r>
    <x v="48"/>
    <x v="3"/>
    <s v="6ac777a91255169047e83496"/>
    <s v="07/10/2026 20:30:56"/>
    <s v="08/10/2026 07:59:53"/>
    <s v="Ranieli"/>
    <s v="07/10/2026"/>
    <x v="0"/>
    <s v="JOSEFA KELY NUNES DE SOUSA"/>
    <n v="42854"/>
    <n v="2040"/>
    <n v="2087"/>
    <n v="2011"/>
    <n v="2095"/>
    <n v="2002"/>
    <n v="2091"/>
    <n v="2095"/>
    <n v="2106"/>
    <n v="2100"/>
    <n v="2064"/>
    <n v="2069.1"/>
    <s v=""/>
    <s v="assinatura"/>
    <n v="20185"/>
    <n v="2080"/>
    <n v="-5.2403846153846589E-3"/>
    <n v="-10.900000000000091"/>
    <x v="4"/>
    <x v="1"/>
  </r>
  <r>
    <x v="48"/>
    <x v="3"/>
    <s v="6ac777a91255169047e83490"/>
    <s v="07/10/2026 20:28:49"/>
    <s v="08/10/2026 07:59:53"/>
    <s v="Ranieli"/>
    <s v="07/10/2026"/>
    <x v="0"/>
    <s v="JOSEFA KELY NUNES DE SOUSA"/>
    <n v="42846"/>
    <n v="2017"/>
    <n v="2046"/>
    <n v="2000"/>
    <n v="2033"/>
    <n v="2006"/>
    <n v="2001"/>
    <n v="2012"/>
    <n v="2010"/>
    <n v="2019"/>
    <n v="2013"/>
    <n v="2015.7"/>
    <s v=""/>
    <s v=""/>
    <n v="20301"/>
    <n v="2000"/>
    <n v="7.8500000000000219E-3"/>
    <n v="15.700000000000045"/>
    <x v="6"/>
    <x v="1"/>
  </r>
  <r>
    <x v="48"/>
    <x v="3"/>
    <s v="6ac777a91255169047e8348a"/>
    <s v="07/10/2026 20:26:50"/>
    <s v="08/10/2026 07:59:53"/>
    <s v="Ranieli"/>
    <s v="07/10/2026"/>
    <x v="0"/>
    <s v="JOSEFA KELY NUNES DE SOUSA"/>
    <n v="42838"/>
    <n v="2020"/>
    <n v="2017"/>
    <n v="2020"/>
    <n v="2018"/>
    <n v="2075"/>
    <n v="2005"/>
    <n v="2028"/>
    <n v="2012"/>
    <n v="2045"/>
    <n v="2041"/>
    <n v="2028.1"/>
    <s v=""/>
    <s v="assinatura"/>
    <n v="20380"/>
    <n v="2000"/>
    <n v="1.4049999999999955E-2"/>
    <n v="28.099999999999909"/>
    <x v="7"/>
    <x v="1"/>
  </r>
  <r>
    <x v="48"/>
    <x v="3"/>
    <s v="6ac777a91255169047e83484"/>
    <s v="07/10/2026 17:25:17"/>
    <s v="08/10/2026 07:59:53"/>
    <s v="Ranieli"/>
    <s v="07/10/2026"/>
    <x v="0"/>
    <s v="JOSEFA KELY NUNES DE SOUSA"/>
    <n v="15105"/>
    <n v="1014"/>
    <n v="1008"/>
    <n v="999"/>
    <n v="990"/>
    <n v="1038"/>
    <n v="1006"/>
    <n v="1070"/>
    <n v="1006"/>
    <n v="1021"/>
    <n v="1021"/>
    <n v="1017.3"/>
    <s v=""/>
    <s v="assinatura"/>
    <n v="31245"/>
    <n v="1000"/>
    <n v="1.7299999999999954E-2"/>
    <n v="17.299999999999955"/>
    <x v="0"/>
    <x v="0"/>
  </r>
  <r>
    <x v="48"/>
    <x v="3"/>
    <s v="6ac6a64b9b405ad761bc76bd"/>
    <s v="07/10/2026 17:02:46"/>
    <s v="07/10/2026 17:06:35"/>
    <s v="Ranieli"/>
    <s v="07/10/2026"/>
    <x v="1"/>
    <s v="ALANA DA SILVA MARTINS"/>
    <n v="209039"/>
    <n v="1015"/>
    <n v="1025"/>
    <n v="993"/>
    <n v="990"/>
    <n v="1016"/>
    <n v="1030"/>
    <n v="995"/>
    <n v="1010"/>
    <n v="1011"/>
    <n v="1004"/>
    <n v="1008.9"/>
    <s v=""/>
    <s v="assinatura"/>
    <n v="219"/>
    <n v="1000"/>
    <n v="8.8999999999999774E-3"/>
    <n v="8.8999999999999773"/>
    <x v="19"/>
    <x v="3"/>
  </r>
  <r>
    <x v="48"/>
    <x v="3"/>
    <s v="6ac65e0d36d49b92297ff332"/>
    <s v="07/10/2026 11:36:49"/>
    <s v="07/10/2026 11:58:21"/>
    <s v="Ranieli"/>
    <s v="07/10/2026"/>
    <x v="1"/>
    <s v="ALANA DA SILVA MARTINS"/>
    <n v="18228"/>
    <n v="1001"/>
    <n v="1006"/>
    <n v="999"/>
    <n v="1005"/>
    <n v="1003"/>
    <n v="1000"/>
    <n v="995"/>
    <n v="1000"/>
    <n v="1004"/>
    <n v="1006"/>
    <n v="1001.9"/>
    <s v=""/>
    <s v="assinatura"/>
    <n v="1284"/>
    <n v="1000"/>
    <n v="1.8999999999999772E-3"/>
    <n v="1.8999999999999773"/>
    <x v="16"/>
    <x v="4"/>
  </r>
  <r>
    <x v="48"/>
    <x v="3"/>
    <s v="6ac658f776e463e032ff4e35"/>
    <s v="07/10/2026 08:53:16"/>
    <s v="07/10/2026 11:36:39"/>
    <s v="Ranieli"/>
    <s v="07/10/2026"/>
    <x v="1"/>
    <s v="ALANA DA SILVA MARTINS"/>
    <n v="15105"/>
    <n v="1034"/>
    <n v="998"/>
    <n v="993"/>
    <n v="1014"/>
    <n v="1009"/>
    <n v="999"/>
    <n v="999"/>
    <n v="1057"/>
    <n v="1029"/>
    <n v="999"/>
    <n v="1013.1"/>
    <s v=""/>
    <s v="assinatura"/>
    <n v="255"/>
    <n v="1000"/>
    <n v="1.3100000000000023E-2"/>
    <n v="13.100000000000023"/>
    <x v="0"/>
    <x v="0"/>
  </r>
  <r>
    <x v="48"/>
    <x v="3"/>
    <s v="6ac631a23cf16866fa6da237"/>
    <s v="07/10/2026 08:37:15"/>
    <s v="07/10/2026 08:48:50"/>
    <s v="Ranieli"/>
    <s v="07/10/2026"/>
    <x v="1"/>
    <s v="ALANA DA SILVA MARTINS"/>
    <n v="54632"/>
    <n v="1017"/>
    <n v="997"/>
    <n v="1006"/>
    <n v="1025"/>
    <n v="1036"/>
    <n v="1010"/>
    <n v="1025"/>
    <n v="1031"/>
    <n v="1015"/>
    <n v="1001"/>
    <n v="1016.3"/>
    <s v=""/>
    <s v="assinatura"/>
    <n v="695"/>
    <n v="1000"/>
    <n v="1.6299999999999953E-2"/>
    <n v="16.299999999999955"/>
    <x v="11"/>
    <x v="1"/>
  </r>
  <r>
    <x v="48"/>
    <x v="3"/>
    <s v="6ac6318c1255169047e2370f"/>
    <s v="07/10/2026 08:41:39"/>
    <s v="07/10/2026 08:48:28"/>
    <s v="Ranieli"/>
    <s v="07/10/2026"/>
    <x v="1"/>
    <s v="ALANA DA SILVA MARTINS"/>
    <n v="42854"/>
    <n v="2141"/>
    <n v="2154"/>
    <n v="2168"/>
    <n v="2150"/>
    <n v="2153"/>
    <n v="2154"/>
    <n v="2142"/>
    <n v="2137"/>
    <n v="2153"/>
    <n v="2096"/>
    <n v="2144.8000000000002"/>
    <s v=""/>
    <s v="assinatura"/>
    <n v="408"/>
    <n v="2080"/>
    <n v="3.115384615384624E-2"/>
    <n v="64.800000000000182"/>
    <x v="4"/>
    <x v="1"/>
  </r>
  <r>
    <x v="49"/>
    <x v="3"/>
    <s v="6ac5da4a636e383ab3c2e99e"/>
    <s v="06/10/2026 23:34:39"/>
    <s v="07/10/2026 02:36:10"/>
    <s v="Ranieli"/>
    <s v="06/10/2026"/>
    <x v="0"/>
    <s v="JOSEFA KELY NUNES DE SOUSA"/>
    <n v="209039"/>
    <n v="1023"/>
    <n v="1024"/>
    <n v="1051"/>
    <n v="997"/>
    <n v="1004"/>
    <n v="1002"/>
    <n v="930"/>
    <n v="1026"/>
    <n v="1077"/>
    <n v="1006"/>
    <n v="1014"/>
    <s v=""/>
    <s v="assinatura"/>
    <n v="8158"/>
    <n v="1000"/>
    <n v="1.4E-2"/>
    <n v="14"/>
    <x v="19"/>
    <x v="3"/>
  </r>
  <r>
    <x v="49"/>
    <x v="3"/>
    <s v="6ac5da4a636e383ab3c2e998"/>
    <s v="06/10/2026 22:34:46"/>
    <s v="07/10/2026 02:36:10"/>
    <s v="Ranieli"/>
    <s v="06/10/2026"/>
    <x v="0"/>
    <s v="JOSEFA KELY NUNES DE SOUSA"/>
    <n v="40762"/>
    <n v="10020"/>
    <n v="10050"/>
    <n v="9985"/>
    <n v="10080"/>
    <n v="10035"/>
    <n v="10010"/>
    <n v="9960"/>
    <n v="10050"/>
    <n v="10005"/>
    <n v="9990"/>
    <n v="10018.5"/>
    <s v=""/>
    <s v="assinatura"/>
    <n v="11739"/>
    <n v="10000"/>
    <n v="1.8500000000000001E-3"/>
    <n v="18.5"/>
    <x v="3"/>
    <x v="1"/>
  </r>
  <r>
    <x v="49"/>
    <x v="3"/>
    <s v="6ac5da4a636e383ab3c2e992"/>
    <s v="06/10/2026 22:23:22"/>
    <s v="07/10/2026 02:36:10"/>
    <s v="Ranieli"/>
    <s v="06/10/2026"/>
    <x v="0"/>
    <s v="JOSEFA KELY NUNES DE SOUSA"/>
    <n v="963925"/>
    <n v="18090"/>
    <n v="18045"/>
    <n v="18315"/>
    <n v="18570"/>
    <n v="18130"/>
    <n v="18115"/>
    <n v="18230"/>
    <n v="18260"/>
    <n v="18405"/>
    <n v="18445"/>
    <n v="18260.5"/>
    <s v=""/>
    <s v="assinatura"/>
    <n v="12411"/>
    <n v="18000"/>
    <n v="1.4472222222222221E-2"/>
    <n v="260.5"/>
    <x v="15"/>
    <x v="3"/>
  </r>
  <r>
    <x v="49"/>
    <x v="3"/>
    <s v="6ac5da4a636e383ab3c2e98c"/>
    <s v="06/10/2026 22:19:49"/>
    <s v="07/10/2026 02:36:10"/>
    <s v="Ranieli"/>
    <s v="06/10/2026"/>
    <x v="0"/>
    <s v="JOSEFA KELY NUNES DE SOUSA"/>
    <n v="992014"/>
    <n v="710"/>
    <n v="710"/>
    <n v="709"/>
    <n v="702"/>
    <n v="702"/>
    <n v="713"/>
    <n v="716"/>
    <n v="696"/>
    <n v="705"/>
    <n v="699"/>
    <n v="706.2"/>
    <s v=""/>
    <s v="assinatura"/>
    <n v="12613"/>
    <n v="700"/>
    <n v="8.8571428571429228E-3"/>
    <n v="6.2000000000000455"/>
    <x v="14"/>
    <x v="1"/>
  </r>
  <r>
    <x v="49"/>
    <x v="3"/>
    <s v="6ac5da4a636e383ab3c2e984"/>
    <s v="06/10/2026 22:17:31"/>
    <s v="07/10/2026 02:36:10"/>
    <s v="Ranieli"/>
    <s v="06/10/2026"/>
    <x v="0"/>
    <s v="JOSEFA KELY NUNES DE SOUSA"/>
    <n v="15105"/>
    <n v="1000"/>
    <n v="1005"/>
    <n v="996"/>
    <n v="1004"/>
    <n v="1028"/>
    <n v="1019"/>
    <n v="1008"/>
    <n v="1014"/>
    <n v="1000"/>
    <n v="1022"/>
    <n v="1009.6"/>
    <s v=""/>
    <s v="assinatura"/>
    <n v="12730"/>
    <n v="1000"/>
    <n v="9.6000000000000234E-3"/>
    <n v="9.6000000000000227"/>
    <x v="0"/>
    <x v="0"/>
  </r>
  <r>
    <x v="49"/>
    <x v="3"/>
    <s v="6ac5da49636e383ab3c2e972"/>
    <s v="06/10/2026 19:21:23"/>
    <s v="07/10/2026 02:36:09"/>
    <s v="Ranieli"/>
    <s v="06/10/2026"/>
    <x v="0"/>
    <s v="JOSEFA KELY NUNES DE SOUSA"/>
    <n v="197734"/>
    <n v="1015"/>
    <n v="1014"/>
    <n v="1016"/>
    <n v="1035"/>
    <n v="1007"/>
    <n v="1003"/>
    <n v="1009"/>
    <n v="1002"/>
    <n v="1051"/>
    <n v="1011"/>
    <n v="1016.3"/>
    <s v=""/>
    <s v="assinatura"/>
    <n v="23227"/>
    <n v="1000"/>
    <n v="1.6299999999999953E-2"/>
    <n v="16.299999999999955"/>
    <x v="2"/>
    <x v="2"/>
  </r>
  <r>
    <x v="49"/>
    <x v="3"/>
    <s v="6ac5da49636e383ab3c2e96c"/>
    <s v="06/10/2026 19:10:51"/>
    <s v="07/10/2026 02:36:09"/>
    <s v="Ranieli"/>
    <s v="06/10/2026"/>
    <x v="0"/>
    <s v="JOSEFA KELY NUNES DE SOUSA"/>
    <n v="42820"/>
    <n v="2047"/>
    <n v="2072"/>
    <n v="2032"/>
    <n v="2033"/>
    <n v="2152"/>
    <n v="2079"/>
    <n v="2008"/>
    <n v="2080"/>
    <n v="2038"/>
    <n v="2007"/>
    <n v="2054.8000000000002"/>
    <s v=""/>
    <s v="assinatura"/>
    <n v="23818"/>
    <n v="2000"/>
    <n v="2.7400000000000091E-2"/>
    <n v="54.800000000000182"/>
    <x v="10"/>
    <x v="1"/>
  </r>
  <r>
    <x v="49"/>
    <x v="3"/>
    <s v="6ac5da49636e383ab3c2e966"/>
    <s v="06/10/2026 19:06:55"/>
    <s v="07/10/2026 02:36:09"/>
    <s v="Ranieli"/>
    <s v="06/10/2026"/>
    <x v="0"/>
    <s v="JOSEFA KELY NUNES DE SOUSA"/>
    <n v="42811"/>
    <n v="2027"/>
    <n v="2007"/>
    <n v="2072"/>
    <n v="2059"/>
    <n v="2044"/>
    <n v="2005"/>
    <n v="2075"/>
    <n v="2008"/>
    <n v="2017"/>
    <n v="2012"/>
    <n v="2032.6"/>
    <s v=""/>
    <s v="assinatura"/>
    <n v="24063"/>
    <n v="2000"/>
    <n v="1.6299999999999953E-2"/>
    <n v="32.599999999999909"/>
    <x v="32"/>
    <x v="1"/>
  </r>
  <r>
    <x v="49"/>
    <x v="3"/>
    <s v="6ac5da49636e383ab3c2e960"/>
    <s v="06/10/2026 19:04:55"/>
    <s v="07/10/2026 02:36:09"/>
    <s v="Ranieli"/>
    <s v="06/10/2026"/>
    <x v="0"/>
    <s v="JOSEFA KELY NUNES DE SOUSA"/>
    <n v="42838"/>
    <n v="2038"/>
    <n v="2023"/>
    <n v="2028"/>
    <n v="2021"/>
    <n v="2014"/>
    <n v="2020"/>
    <n v="2028"/>
    <n v="2018"/>
    <n v="2021"/>
    <n v="2018"/>
    <n v="2022.9"/>
    <s v=""/>
    <s v="assinatura"/>
    <n v="24204"/>
    <n v="2000"/>
    <n v="1.1450000000000045E-2"/>
    <n v="22.900000000000091"/>
    <x v="7"/>
    <x v="1"/>
  </r>
  <r>
    <x v="49"/>
    <x v="3"/>
    <s v="6ac5da49636e383ab3c2e95a"/>
    <s v="06/10/2026 19:02:40"/>
    <s v="07/10/2026 02:36:09"/>
    <s v="Ranieli"/>
    <s v="06/10/2026"/>
    <x v="0"/>
    <s v="JOSEFA KELY NUNES DE SOUSA"/>
    <n v="42846"/>
    <n v="2013"/>
    <n v="2005"/>
    <n v="2007"/>
    <n v="2019"/>
    <n v="1999"/>
    <n v="1999"/>
    <n v="2021"/>
    <n v="2114"/>
    <n v="1992"/>
    <n v="2012"/>
    <n v="2018.1"/>
    <s v=""/>
    <s v="assinatura"/>
    <n v="24260"/>
    <n v="2000"/>
    <n v="9.0499999999999539E-3"/>
    <n v="18.099999999999909"/>
    <x v="6"/>
    <x v="1"/>
  </r>
  <r>
    <x v="49"/>
    <x v="3"/>
    <s v="6ac5da49636e383ab3c2e954"/>
    <s v="06/10/2026 19:00:59"/>
    <s v="07/10/2026 02:36:09"/>
    <s v="Ranieli"/>
    <s v="06/10/2026"/>
    <x v="0"/>
    <s v="JOSEFA KELY NUNES DE SOUSA"/>
    <n v="42862"/>
    <n v="2006"/>
    <n v="2005"/>
    <n v="2012"/>
    <n v="2020"/>
    <n v="2011"/>
    <n v="2027"/>
    <n v="2000"/>
    <n v="2001"/>
    <n v="2017"/>
    <n v="2011"/>
    <n v="2011"/>
    <s v=""/>
    <s v="assinatura"/>
    <n v="24342"/>
    <n v="2000"/>
    <n v="5.4999999999999997E-3"/>
    <n v="11"/>
    <x v="5"/>
    <x v="1"/>
  </r>
  <r>
    <x v="49"/>
    <x v="3"/>
    <s v="6ac5da49636e383ab3c2e94e"/>
    <s v="06/10/2026 18:58:49"/>
    <s v="07/10/2026 02:36:09"/>
    <s v="Ranieli"/>
    <s v="06/10/2026"/>
    <x v="0"/>
    <s v="JOSEFA KELY NUNES DE SOUSA"/>
    <n v="42854"/>
    <n v="2110"/>
    <n v="2093"/>
    <n v="2031"/>
    <n v="2098"/>
    <n v="2107"/>
    <n v="2105"/>
    <n v="2107"/>
    <n v="2112"/>
    <n v="2111"/>
    <n v="2106"/>
    <n v="2098"/>
    <s v=""/>
    <s v="assinatura"/>
    <n v="24446"/>
    <n v="2080"/>
    <n v="8.6538461538461543E-3"/>
    <n v="18"/>
    <x v="4"/>
    <x v="1"/>
  </r>
  <r>
    <x v="49"/>
    <x v="3"/>
    <s v="6ac5da48636e383ab3c2e942"/>
    <s v="06/10/2026 17:26:14"/>
    <s v="07/10/2026 02:36:08"/>
    <s v="Ranieli"/>
    <s v="06/10/2026"/>
    <x v="0"/>
    <s v="JOSEFA KELY NUNES DE SOUSA"/>
    <n v="40762"/>
    <n v="9965"/>
    <n v="10025"/>
    <n v="9995"/>
    <n v="9935"/>
    <n v="9915"/>
    <n v="10030"/>
    <n v="9995"/>
    <n v="10010"/>
    <n v="9815"/>
    <n v="10015"/>
    <n v="9970"/>
    <s v=""/>
    <s v="assinatura"/>
    <n v="29956"/>
    <n v="10000"/>
    <n v="-3.0000000000000001E-3"/>
    <n v="-30"/>
    <x v="3"/>
    <x v="1"/>
  </r>
  <r>
    <x v="49"/>
    <x v="3"/>
    <s v="6ac5da48636e383ab3c2e93c"/>
    <s v="06/10/2026 17:18:01"/>
    <s v="07/10/2026 02:36:08"/>
    <s v="Ranieli"/>
    <s v="06/10/2026"/>
    <x v="0"/>
    <s v="JOSEFA KELY NUNES DE SOUSA"/>
    <n v="995638"/>
    <n v="15030"/>
    <n v="15035"/>
    <n v="15050"/>
    <n v="15025"/>
    <n v="15035"/>
    <n v="15030"/>
    <n v="15040"/>
    <n v="15045"/>
    <n v="15040"/>
    <n v="15005"/>
    <n v="15033.5"/>
    <s v=""/>
    <s v="assinatura"/>
    <n v="30432"/>
    <n v="15000"/>
    <n v="2.2333333333333333E-3"/>
    <n v="33.5"/>
    <x v="21"/>
    <x v="3"/>
  </r>
  <r>
    <x v="49"/>
    <x v="3"/>
    <s v="6ac5da48636e383ab3c2e936"/>
    <s v="06/10/2026 17:13:27"/>
    <s v="07/10/2026 02:36:08"/>
    <s v="Ranieli"/>
    <s v="06/10/2026"/>
    <x v="0"/>
    <s v="JOSEFA KELY NUNES DE SOUSA"/>
    <n v="15105"/>
    <n v="1002"/>
    <n v="1038"/>
    <n v="1014"/>
    <n v="1041"/>
    <n v="1003"/>
    <n v="1038"/>
    <n v="996"/>
    <n v="1033"/>
    <n v="995"/>
    <n v="1013"/>
    <n v="1017.3"/>
    <s v=""/>
    <s v="assinatura"/>
    <n v="30694"/>
    <n v="1000"/>
    <n v="1.7299999999999954E-2"/>
    <n v="17.299999999999955"/>
    <x v="0"/>
    <x v="0"/>
  </r>
  <r>
    <x v="48"/>
    <x v="3"/>
    <s v="6ac5bc7a6bcca7f96f5042df"/>
    <s v="07/10/2026 00:20:10"/>
    <s v="07/10/2026 00:28:58"/>
    <s v="Ranieli"/>
    <s v="07/10/2026"/>
    <x v="0"/>
    <s v="JULIANE GOMES NOVAIS"/>
    <n v="42838"/>
    <n v="2012"/>
    <n v="2029"/>
    <n v="2023"/>
    <n v="2020"/>
    <n v="2026"/>
    <n v="2029"/>
    <n v="2030"/>
    <n v="2019"/>
    <n v="2017"/>
    <n v="2024"/>
    <n v="2022.9"/>
    <s v=""/>
    <s v="assinatura"/>
    <n v="293"/>
    <n v="2000"/>
    <n v="1.1450000000000045E-2"/>
    <n v="22.900000000000091"/>
    <x v="7"/>
    <x v="1"/>
  </r>
  <r>
    <x v="48"/>
    <x v="3"/>
    <s v="6ac5bc7a6bcca7f96f5042d9"/>
    <s v="07/10/2026 00:18:30"/>
    <s v="07/10/2026 00:28:58"/>
    <s v="Ranieli"/>
    <s v="07/10/2026"/>
    <x v="0"/>
    <s v="JULIANE GOMES NOVAIS"/>
    <n v="42846"/>
    <n v="2008"/>
    <n v="2005"/>
    <n v="2015"/>
    <n v="2016"/>
    <n v="2001"/>
    <n v="2012"/>
    <n v="1992"/>
    <n v="2004"/>
    <n v="2007"/>
    <n v="2000"/>
    <n v="2006"/>
    <s v=""/>
    <s v="assinatura"/>
    <n v="410"/>
    <n v="2000"/>
    <n v="3.0000000000000001E-3"/>
    <n v="6"/>
    <x v="6"/>
    <x v="1"/>
  </r>
  <r>
    <x v="48"/>
    <x v="3"/>
    <s v="6ac5bc7a6bcca7f96f5042d3"/>
    <s v="07/10/2026 00:15:35"/>
    <s v="07/10/2026 00:28:58"/>
    <s v="Ranieli"/>
    <s v="07/10/2026"/>
    <x v="0"/>
    <s v="JULIANE GOMES NOVAIS"/>
    <n v="42854"/>
    <n v="2115"/>
    <n v="2089"/>
    <n v="2096"/>
    <n v="2088"/>
    <n v="2095"/>
    <n v="2075"/>
    <n v="2117"/>
    <n v="2108"/>
    <n v="2113"/>
    <n v="2112"/>
    <n v="2100.8000000000002"/>
    <s v=""/>
    <s v="assinatura"/>
    <n v="601"/>
    <n v="2080"/>
    <n v="1.0000000000000087E-2"/>
    <n v="20.800000000000182"/>
    <x v="4"/>
    <x v="1"/>
  </r>
  <r>
    <x v="48"/>
    <x v="3"/>
    <s v="6ac5bc7a6bcca7f96f5042cd"/>
    <s v="07/10/2026 00:12:25"/>
    <s v="07/10/2026 00:28:58"/>
    <s v="Ranieli"/>
    <s v="07/10/2026"/>
    <x v="0"/>
    <s v="JULIANE GOMES NOVAIS"/>
    <n v="42862"/>
    <n v="2005"/>
    <n v="2013"/>
    <n v="2016"/>
    <n v="2022"/>
    <n v="1993"/>
    <n v="2008"/>
    <n v="1989"/>
    <n v="2007"/>
    <n v="1998"/>
    <n v="2013"/>
    <n v="2006.4"/>
    <s v=""/>
    <s v="assinatura"/>
    <n v="742"/>
    <n v="2000"/>
    <n v="3.2000000000000457E-3"/>
    <n v="6.4000000000000909"/>
    <x v="5"/>
    <x v="1"/>
  </r>
  <r>
    <x v="48"/>
    <x v="3"/>
    <s v="6ac5bc796bcca7f96f5042c7"/>
    <s v="07/10/2026 00:06:44"/>
    <s v="07/10/2026 00:28:57"/>
    <s v="Ranieli"/>
    <s v="07/10/2026"/>
    <x v="0"/>
    <s v="JULIANE GOMES NOVAIS"/>
    <n v="40762"/>
    <n v="9990"/>
    <n v="10060"/>
    <n v="10115"/>
    <n v="10050"/>
    <n v="10035"/>
    <n v="10000"/>
    <n v="10040"/>
    <n v="9975"/>
    <n v="9995"/>
    <n v="10075"/>
    <n v="10033.5"/>
    <s v=""/>
    <s v="assinatura"/>
    <n v="1154"/>
    <n v="10000"/>
    <n v="3.3500000000000001E-3"/>
    <n v="33.5"/>
    <x v="3"/>
    <x v="1"/>
  </r>
  <r>
    <x v="49"/>
    <x v="3"/>
    <s v="6ac5bc796bcca7f96f5042af"/>
    <s v="06/10/2026 23:52:30"/>
    <s v="07/10/2026 00:28:57"/>
    <s v="Ranieli"/>
    <s v="06/10/2026"/>
    <x v="0"/>
    <s v="JULIANE GOMES NOVAIS"/>
    <n v="15105"/>
    <n v="1026"/>
    <n v="937"/>
    <n v="1198"/>
    <n v="1011"/>
    <n v="1045"/>
    <n v="1006"/>
    <n v="1050"/>
    <n v="1015"/>
    <n v="1007"/>
    <n v="1007"/>
    <n v="1030.2"/>
    <s v=""/>
    <s v="assinatura"/>
    <n v="784"/>
    <n v="1000"/>
    <n v="3.0200000000000046E-2"/>
    <n v="30.200000000000045"/>
    <x v="0"/>
    <x v="0"/>
  </r>
  <r>
    <x v="49"/>
    <x v="3"/>
    <s v="6ac53b984854db7e48dab89e"/>
    <s v="06/10/2026 11:48:10"/>
    <s v="06/10/2026 15:19:04"/>
    <s v="Ranieli"/>
    <s v="06/10/2026"/>
    <x v="1"/>
    <s v="ALANA DA SILVA MARTINS"/>
    <n v="992014"/>
    <n v="689"/>
    <n v="699"/>
    <n v="700"/>
    <n v="700"/>
    <n v="693"/>
    <n v="699"/>
    <n v="686"/>
    <n v="700"/>
    <n v="699"/>
    <n v="697"/>
    <n v="696.2"/>
    <s v=""/>
    <s v="assinatura"/>
    <n v="12303"/>
    <n v="700"/>
    <n v="-5.4285714285713634E-3"/>
    <n v="-3.7999999999999545"/>
    <x v="14"/>
    <x v="1"/>
  </r>
  <r>
    <x v="49"/>
    <x v="3"/>
    <s v="6ac53b984854db7e48dab898"/>
    <s v="06/10/2026 11:41:36"/>
    <s v="06/10/2026 15:19:04"/>
    <s v="Ranieli"/>
    <s v="06/10/2026"/>
    <x v="1"/>
    <s v="ALANA DA SILVA MARTINS"/>
    <n v="15105"/>
    <n v="1028"/>
    <n v="836"/>
    <n v="1015"/>
    <n v="823"/>
    <n v="942"/>
    <n v="998"/>
    <n v="1002"/>
    <n v="985"/>
    <n v="994"/>
    <n v="1001"/>
    <n v="962.4"/>
    <s v=""/>
    <s v="assinatura"/>
    <n v="12725"/>
    <n v="1000"/>
    <n v="-3.7600000000000022E-2"/>
    <n v="-37.600000000000023"/>
    <x v="0"/>
    <x v="0"/>
  </r>
  <r>
    <x v="49"/>
    <x v="3"/>
    <s v="6ac53b984854db7e48dab892"/>
    <s v="06/10/2026 11:30:24"/>
    <s v="06/10/2026 15:19:04"/>
    <s v="Ranieli"/>
    <s v="06/10/2026"/>
    <x v="1"/>
    <s v="ALANA DA SILVA MARTINS"/>
    <n v="42862"/>
    <n v="2061"/>
    <n v="2045"/>
    <n v="1972"/>
    <n v="1991"/>
    <n v="2012"/>
    <n v="2038"/>
    <n v="2078"/>
    <n v="2008"/>
    <n v="2040"/>
    <n v="2058"/>
    <n v="2030.3"/>
    <s v=""/>
    <s v="assinatura"/>
    <n v="13424"/>
    <n v="2000"/>
    <n v="1.5149999999999978E-2"/>
    <n v="30.299999999999955"/>
    <x v="5"/>
    <x v="1"/>
  </r>
  <r>
    <x v="49"/>
    <x v="3"/>
    <s v="6ac53b984854db7e48dab88c"/>
    <s v="06/10/2026 08:46:46"/>
    <s v="06/10/2026 15:19:04"/>
    <s v="Ranieli"/>
    <s v="06/10/2026"/>
    <x v="1"/>
    <s v="ALANA DA SILVA MARTINS"/>
    <n v="15105"/>
    <n v="1048"/>
    <n v="999"/>
    <n v="1005"/>
    <n v="1023"/>
    <n v="1042"/>
    <n v="999"/>
    <n v="1029"/>
    <n v="1013"/>
    <n v="1038"/>
    <n v="1006"/>
    <n v="1020.2"/>
    <s v=""/>
    <s v="assinatura"/>
    <n v="23292"/>
    <n v="1000"/>
    <n v="2.0200000000000044E-2"/>
    <n v="20.200000000000045"/>
    <x v="0"/>
    <x v="0"/>
  </r>
  <r>
    <x v="49"/>
    <x v="3"/>
    <s v="6ac50accfeff8ad15700bb18"/>
    <s v="06/10/2026 08:25:14"/>
    <s v="06/10/2026 11:50:52"/>
    <s v="Ranieli"/>
    <s v="06/10/2026"/>
    <x v="1"/>
    <s v="ALANA DA SILVA MARTINS"/>
    <n v="42846"/>
    <n v="2006"/>
    <n v="1982"/>
    <n v="1984"/>
    <n v="1980"/>
    <n v="2008"/>
    <n v="1915"/>
    <n v="1961"/>
    <n v="2056"/>
    <n v="2006"/>
    <n v="2135"/>
    <n v="2003.3"/>
    <s v=""/>
    <s v="assinatura"/>
    <n v="470"/>
    <n v="2000"/>
    <n v="1.6499999999999772E-3"/>
    <n v="3.2999999999999545"/>
    <x v="6"/>
    <x v="1"/>
  </r>
  <r>
    <x v="49"/>
    <x v="3"/>
    <s v="6ac50accfeff8ad15700bb12"/>
    <s v="06/10/2026 08:20:42"/>
    <s v="06/10/2026 11:50:52"/>
    <s v="Ranieli"/>
    <s v="06/10/2026"/>
    <x v="1"/>
    <s v="ALANA DA SILVA MARTINS"/>
    <n v="42854"/>
    <n v="2151"/>
    <n v="2133"/>
    <n v="2145"/>
    <n v="1876"/>
    <n v="2078"/>
    <n v="1913"/>
    <n v="2152"/>
    <n v="2156"/>
    <n v="2146"/>
    <n v="2151"/>
    <n v="2090.1"/>
    <s v=""/>
    <s v="assinatura"/>
    <n v="711"/>
    <n v="2080"/>
    <n v="4.855769230769187E-3"/>
    <n v="10.099999999999909"/>
    <x v="4"/>
    <x v="1"/>
  </r>
  <r>
    <x v="49"/>
    <x v="3"/>
    <s v="6ac50accfeff8ad15700bb0c"/>
    <s v="06/10/2026 08:16:28"/>
    <s v="06/10/2026 11:50:52"/>
    <s v="Ranieli"/>
    <s v="06/10/2026"/>
    <x v="1"/>
    <s v="ALANA DA SILVA MARTINS"/>
    <n v="54632"/>
    <n v="996"/>
    <n v="1017"/>
    <n v="998"/>
    <n v="1003"/>
    <n v="1005"/>
    <n v="1007"/>
    <n v="996"/>
    <n v="1003"/>
    <n v="992"/>
    <n v="989"/>
    <n v="1000.6"/>
    <s v=""/>
    <s v="assinatura"/>
    <n v="950"/>
    <n v="1000"/>
    <n v="6.0000000000002272E-4"/>
    <n v="0.60000000000002274"/>
    <x v="11"/>
    <x v="1"/>
  </r>
  <r>
    <x v="45"/>
    <x v="3"/>
    <s v="6ac50accfeff8ad15700bb06"/>
    <s v="05/10/2026 08:43:51"/>
    <s v="06/10/2026 11:50:52"/>
    <s v="Ranieli"/>
    <s v="05/10/2026"/>
    <x v="1"/>
    <s v="ALANA DA SILVA MARTINS"/>
    <n v="54632"/>
    <n v="1002"/>
    <n v="990"/>
    <n v="995"/>
    <n v="1004"/>
    <n v="1008"/>
    <n v="992"/>
    <n v="986"/>
    <s v=""/>
    <n v="1000"/>
    <n v="997"/>
    <n v="997"/>
    <s v=""/>
    <s v="assinatura"/>
    <n v="85687"/>
    <n v="1000"/>
    <n v="-3.0000000000000001E-3"/>
    <n v="-3"/>
    <x v="11"/>
    <x v="1"/>
  </r>
  <r>
    <x v="50"/>
    <x v="3"/>
    <s v="6ace48a85a635f293af8320d"/>
    <s v="13/10/2026 12:01:12"/>
    <s v="13/10/2026 12:05:12"/>
    <s v="Ranieli"/>
    <s v="13/10/2026"/>
    <x v="1"/>
    <s v="ALANA DA SILVA MARTINS"/>
    <n v="197734"/>
    <n v="989"/>
    <n v="1016"/>
    <n v="991"/>
    <n v="989"/>
    <n v="1003"/>
    <n v="999"/>
    <n v="1008"/>
    <n v="1009"/>
    <n v="1003"/>
    <n v="1011"/>
    <n v="1001.8"/>
    <s v=""/>
    <s v="assinatura"/>
    <n v="227"/>
    <n v="1000"/>
    <n v="1.7999999999999546E-3"/>
    <n v="1.7999999999999545"/>
    <x v="2"/>
    <x v="2"/>
  </r>
  <r>
    <x v="51"/>
    <x v="3"/>
    <s v="6ac9cdb20fd30db1b9055a15"/>
    <s v="09/10/2026 22:33:26"/>
    <s v="10/10/2026 02:31:30"/>
    <s v="Ranieli"/>
    <s v="09/10/2026"/>
    <x v="0"/>
    <s v="JOSEFA KELY NUNES DE SOUSA"/>
    <n v="209099"/>
    <n v="998"/>
    <n v="999"/>
    <n v="998"/>
    <n v="1031"/>
    <n v="1032"/>
    <n v="1071"/>
    <n v="1016"/>
    <n v="1025"/>
    <n v="1041"/>
    <n v="1011"/>
    <n v="1022.2"/>
    <s v=""/>
    <s v="assinatura"/>
    <n v="14035"/>
    <n v="1000"/>
    <n v="2.2200000000000046E-2"/>
    <n v="22.200000000000045"/>
    <x v="31"/>
    <x v="1"/>
  </r>
  <r>
    <x v="51"/>
    <x v="3"/>
    <s v="6ac9cdb20fd30db1b9055a09"/>
    <s v="09/10/2026 21:54:07"/>
    <s v="10/10/2026 02:31:30"/>
    <s v="Ranieli"/>
    <s v="09/10/2026"/>
    <x v="0"/>
    <s v="JOSEFA KELY NUNES DE SOUSA"/>
    <n v="40762"/>
    <n v="10010"/>
    <n v="10020"/>
    <n v="10040"/>
    <n v="10065"/>
    <n v="10025"/>
    <n v="10070"/>
    <n v="9995"/>
    <n v="10010"/>
    <n v="9970"/>
    <n v="9965"/>
    <n v="10017"/>
    <s v=""/>
    <s v="assinatura"/>
    <n v="16363"/>
    <n v="10000"/>
    <n v="1.6999999999999999E-3"/>
    <n v="17"/>
    <x v="3"/>
    <x v="1"/>
  </r>
  <r>
    <x v="51"/>
    <x v="3"/>
    <s v="6ac9cdb20fd30db1b9055a03"/>
    <s v="09/10/2026 21:51:24"/>
    <s v="10/10/2026 02:31:30"/>
    <s v="Ranieli"/>
    <s v="09/10/2026"/>
    <x v="0"/>
    <s v="JOSEFA KELY NUNES DE SOUSA"/>
    <n v="40762"/>
    <n v="10000"/>
    <n v="9985"/>
    <n v="10035"/>
    <n v="10060"/>
    <n v="10075"/>
    <n v="10095"/>
    <n v="10040"/>
    <n v="10020"/>
    <n v="10050"/>
    <n v="10065"/>
    <n v="10042.5"/>
    <s v=""/>
    <s v="assinatura"/>
    <n v="16518"/>
    <n v="10000"/>
    <n v="4.2500000000000003E-3"/>
    <n v="42.5"/>
    <x v="3"/>
    <x v="1"/>
  </r>
  <r>
    <x v="51"/>
    <x v="3"/>
    <s v="6ac9cdb20fd30db1b90559fd"/>
    <s v="09/10/2026 21:43:29"/>
    <s v="10/10/2026 02:31:30"/>
    <s v="Ranieli"/>
    <s v="09/10/2026"/>
    <x v="0"/>
    <s v="JOSEFA KELY NUNES DE SOUSA"/>
    <n v="42838"/>
    <n v="2041"/>
    <n v="1945"/>
    <n v="2021"/>
    <n v="2028"/>
    <n v="2034"/>
    <n v="2024"/>
    <n v="2003"/>
    <n v="2010"/>
    <n v="2100"/>
    <n v="2036"/>
    <n v="2024.2"/>
    <s v=""/>
    <s v="assinatura"/>
    <n v="16977"/>
    <n v="2000"/>
    <n v="1.2100000000000022E-2"/>
    <n v="24.200000000000045"/>
    <x v="7"/>
    <x v="1"/>
  </r>
  <r>
    <x v="51"/>
    <x v="3"/>
    <s v="6ac9cdb20fd30db1b90559f7"/>
    <s v="09/10/2026 21:39:46"/>
    <s v="10/10/2026 02:31:30"/>
    <s v="Ranieli"/>
    <s v="09/10/2026"/>
    <x v="0"/>
    <s v="JOSEFA KELY NUNES DE SOUSA"/>
    <n v="864048"/>
    <n v="2024"/>
    <n v="2016"/>
    <n v="2018"/>
    <n v="2009"/>
    <n v="2006"/>
    <n v="1973"/>
    <n v="2022"/>
    <n v="2059"/>
    <n v="2053"/>
    <n v="2015"/>
    <n v="2019.5"/>
    <s v=""/>
    <s v="assinatura"/>
    <n v="17189"/>
    <n v="2000"/>
    <n v="9.75E-3"/>
    <n v="19.5"/>
    <x v="26"/>
    <x v="1"/>
  </r>
  <r>
    <x v="51"/>
    <x v="3"/>
    <s v="6ac9cdb20fd30db1b90559f1"/>
    <s v="09/10/2026 21:37:32"/>
    <s v="10/10/2026 02:31:30"/>
    <s v="Ranieli"/>
    <s v="09/10/2026"/>
    <x v="0"/>
    <s v="JOSEFA KELY NUNES DE SOUSA"/>
    <n v="42846"/>
    <n v="2008"/>
    <n v="2050"/>
    <n v="2020"/>
    <n v="2019"/>
    <n v="2006"/>
    <n v="2017"/>
    <n v="2001"/>
    <n v="2010"/>
    <n v="2006"/>
    <n v="2026"/>
    <n v="2016.3"/>
    <s v=""/>
    <s v="assinatura"/>
    <n v="17283"/>
    <n v="2000"/>
    <n v="8.1499999999999767E-3"/>
    <n v="16.299999999999955"/>
    <x v="6"/>
    <x v="1"/>
  </r>
  <r>
    <x v="51"/>
    <x v="3"/>
    <s v="6ac9cdb20fd30db1b90559eb"/>
    <s v="09/10/2026 21:35:46"/>
    <s v="10/10/2026 02:31:30"/>
    <s v="Ranieli"/>
    <s v="09/10/2026"/>
    <x v="0"/>
    <s v="JOSEFA KELY NUNES DE SOUSA"/>
    <n v="42862"/>
    <n v="2006"/>
    <n v="2000"/>
    <n v="1995"/>
    <n v="2014"/>
    <n v="2019"/>
    <n v="2007"/>
    <n v="2013"/>
    <n v="1989"/>
    <n v="2014"/>
    <n v="2814"/>
    <n v="2087.1"/>
    <s v=""/>
    <s v="assinatura"/>
    <n v="17378"/>
    <n v="2000"/>
    <n v="4.3549999999999957E-2"/>
    <n v="87.099999999999909"/>
    <x v="5"/>
    <x v="1"/>
  </r>
  <r>
    <x v="51"/>
    <x v="3"/>
    <s v="6ac9cdb20fd30db1b90559e5"/>
    <s v="09/10/2026 21:33:44"/>
    <s v="10/10/2026 02:31:30"/>
    <s v="Ranieli"/>
    <s v="09/10/2026"/>
    <x v="0"/>
    <s v="JOSEFA KELY NUNES DE SOUSA"/>
    <n v="42854"/>
    <n v="2107"/>
    <n v="2087"/>
    <n v="2095"/>
    <n v="2092"/>
    <n v="2097"/>
    <n v="2085"/>
    <n v="2097"/>
    <n v="2093"/>
    <n v="2084"/>
    <n v="2089"/>
    <n v="2092.6"/>
    <s v=""/>
    <s v="assinatura"/>
    <n v="17463"/>
    <n v="2080"/>
    <n v="6.057692307692264E-3"/>
    <n v="12.599999999999909"/>
    <x v="4"/>
    <x v="1"/>
  </r>
  <r>
    <x v="51"/>
    <x v="3"/>
    <s v="6ac9cdb20fd30db1b90559df"/>
    <s v="09/10/2026 20:51:42"/>
    <s v="10/10/2026 02:31:30"/>
    <s v="Ranieli"/>
    <s v="09/10/2026"/>
    <x v="0"/>
    <s v="JOSEFA KELY NUNES DE SOUSA"/>
    <n v="42641"/>
    <n v="15030"/>
    <n v="15045"/>
    <n v="15030"/>
    <n v="15020"/>
    <n v="15030"/>
    <n v="15000"/>
    <n v="15010"/>
    <n v="15040"/>
    <n v="15050"/>
    <n v="15015"/>
    <n v="15027"/>
    <s v=""/>
    <s v="assinatura"/>
    <n v="211"/>
    <n v="15000"/>
    <n v="1.8E-3"/>
    <n v="27"/>
    <x v="12"/>
    <x v="3"/>
  </r>
  <r>
    <x v="51"/>
    <x v="3"/>
    <s v="6ac9cdb20fd30db1b90559d9"/>
    <s v="09/10/2026 20:47:21"/>
    <s v="10/10/2026 02:31:30"/>
    <s v="Ranieli"/>
    <s v="09/10/2026"/>
    <x v="0"/>
    <s v="JOSEFA KELY NUNES DE SOUSA"/>
    <n v="995638"/>
    <n v="15030"/>
    <n v="15015"/>
    <n v="15030"/>
    <n v="15005"/>
    <n v="15050"/>
    <n v="15035"/>
    <n v="15045"/>
    <n v="15025"/>
    <n v="15035"/>
    <n v="15040"/>
    <n v="15031"/>
    <s v=""/>
    <s v=""/>
    <n v="20234"/>
    <n v="15000"/>
    <n v="2.0666666666666667E-3"/>
    <n v="31"/>
    <x v="21"/>
    <x v="3"/>
  </r>
  <r>
    <x v="51"/>
    <x v="3"/>
    <s v="6ac9cdb20fd30db1b90559d3"/>
    <s v="09/10/2026 20:45:01"/>
    <s v="10/10/2026 02:31:30"/>
    <s v="Ranieli"/>
    <s v="09/10/2026"/>
    <x v="0"/>
    <s v="JOSEFA KELY NUNES DE SOUSA"/>
    <n v="15105"/>
    <n v="997"/>
    <n v="1012"/>
    <n v="1055"/>
    <n v="1030"/>
    <n v="979"/>
    <n v="1018"/>
    <n v="1021"/>
    <n v="1020"/>
    <n v="1041"/>
    <n v="992"/>
    <n v="1016.5"/>
    <s v=""/>
    <s v="assinatura"/>
    <n v="20366"/>
    <n v="1000"/>
    <n v="1.6500000000000001E-2"/>
    <n v="16.5"/>
    <x v="0"/>
    <x v="0"/>
  </r>
  <r>
    <x v="51"/>
    <x v="3"/>
    <s v="6ac9cdb20fd30db1b90559cd"/>
    <s v="09/10/2026 20:38:14"/>
    <s v="10/10/2026 02:31:30"/>
    <s v="Ranieli"/>
    <s v="09/10/2026"/>
    <x v="0"/>
    <s v="JOSEFA KELY NUNES DE SOUSA"/>
    <n v="15849"/>
    <n v="1007"/>
    <n v="1009"/>
    <n v="1001"/>
    <n v="1001"/>
    <n v="1003"/>
    <n v="991"/>
    <n v="999"/>
    <n v="1014"/>
    <n v="1003"/>
    <n v="992"/>
    <n v="1002"/>
    <s v=""/>
    <s v="assinatura"/>
    <n v="20766"/>
    <n v="1000"/>
    <n v="2E-3"/>
    <n v="2"/>
    <x v="29"/>
    <x v="2"/>
  </r>
  <r>
    <x v="51"/>
    <x v="3"/>
    <s v="6ac9cdb10fd30db1b90559bb"/>
    <s v="09/10/2026 17:11:51"/>
    <s v="10/10/2026 02:31:29"/>
    <s v="Ranieli"/>
    <s v="09/10/2026"/>
    <x v="0"/>
    <s v="JOSEFA KELY NUNES DE SOUSA"/>
    <n v="15105"/>
    <n v="1009"/>
    <n v="1022"/>
    <n v="1000"/>
    <n v="1037"/>
    <n v="1022"/>
    <n v="1021"/>
    <n v="1027"/>
    <n v="1014"/>
    <n v="1027"/>
    <n v="1026"/>
    <n v="1020.5"/>
    <s v=""/>
    <s v="assinatura"/>
    <n v="33101"/>
    <n v="1000"/>
    <n v="2.0500000000000001E-2"/>
    <n v="20.5"/>
    <x v="0"/>
    <x v="0"/>
  </r>
  <r>
    <x v="51"/>
    <x v="3"/>
    <s v="6ac999347db71d3e24d6f178"/>
    <s v="09/10/2026 22:33:47"/>
    <s v="09/10/2026 22:47:32"/>
    <s v="Ranieli"/>
    <s v="09/10/2026"/>
    <x v="0"/>
    <s v="JULIANE GOMES NOVAIS"/>
    <n v="15105"/>
    <n v="1056"/>
    <n v="1018"/>
    <n v="1003"/>
    <n v="1033"/>
    <n v="1016"/>
    <n v="1028"/>
    <n v="929"/>
    <n v="1000"/>
    <n v="1037"/>
    <n v="999"/>
    <n v="1011.9"/>
    <s v=""/>
    <s v="assinatura"/>
    <n v="215"/>
    <n v="1000"/>
    <n v="1.1899999999999977E-2"/>
    <n v="11.899999999999977"/>
    <x v="0"/>
    <x v="0"/>
  </r>
  <r>
    <x v="51"/>
    <x v="3"/>
    <s v="6ac999347db71d3e24d6f172"/>
    <s v="09/10/2026 22:28:46"/>
    <s v="09/10/2026 22:47:32"/>
    <s v="Ranieli"/>
    <s v="09/10/2026"/>
    <x v="0"/>
    <s v="JULIANE GOMES NOVAIS"/>
    <n v="40762"/>
    <n v="10045"/>
    <n v="10065"/>
    <n v="9980"/>
    <n v="10045"/>
    <n v="9970"/>
    <n v="10000"/>
    <n v="9995"/>
    <n v="10055"/>
    <n v="10010"/>
    <n v="9970"/>
    <n v="10013.5"/>
    <s v=""/>
    <s v="assinatura"/>
    <n v="607"/>
    <n v="10000"/>
    <n v="1.3500000000000001E-3"/>
    <n v="13.5"/>
    <x v="3"/>
    <x v="1"/>
  </r>
  <r>
    <x v="51"/>
    <x v="3"/>
    <s v="6ac999347db71d3e24d6f16c"/>
    <s v="09/10/2026 22:26:12"/>
    <s v="09/10/2026 22:47:32"/>
    <s v="Ranieli"/>
    <s v="09/10/2026"/>
    <x v="0"/>
    <s v="JULIANE GOMES NOVAIS"/>
    <n v="40762"/>
    <n v="9995"/>
    <n v="10020"/>
    <n v="10055"/>
    <n v="10105"/>
    <n v="10000"/>
    <n v="9990"/>
    <n v="10020"/>
    <n v="10000"/>
    <n v="9970"/>
    <n v="9950"/>
    <n v="10010.5"/>
    <s v=""/>
    <s v="assinatura"/>
    <n v="776"/>
    <n v="10000"/>
    <n v="1.0499999999999999E-3"/>
    <n v="10.5"/>
    <x v="3"/>
    <x v="1"/>
  </r>
  <r>
    <x v="51"/>
    <x v="3"/>
    <s v="6ac999347db71d3e24d6f166"/>
    <s v="09/10/2026 22:23:28"/>
    <s v="09/10/2026 22:47:32"/>
    <s v="Ranieli"/>
    <s v="09/10/2026"/>
    <x v="0"/>
    <s v="JULIANE GOMES NOVAIS"/>
    <n v="40762"/>
    <n v="10050"/>
    <n v="9965"/>
    <n v="10060"/>
    <n v="10010"/>
    <n v="9980"/>
    <n v="10090"/>
    <n v="9975"/>
    <n v="10050"/>
    <n v="10045"/>
    <n v="10005"/>
    <n v="10023"/>
    <s v=""/>
    <s v="assinatura"/>
    <n v="909"/>
    <n v="10000"/>
    <n v="2.3E-3"/>
    <n v="23"/>
    <x v="3"/>
    <x v="1"/>
  </r>
  <r>
    <x v="51"/>
    <x v="3"/>
    <s v="6ac999347db71d3e24d6f160"/>
    <s v="09/10/2026 22:18:15"/>
    <s v="09/10/2026 22:47:32"/>
    <s v="Ranieli"/>
    <s v="09/10/2026"/>
    <x v="0"/>
    <s v="JULIANE GOMES NOVAIS"/>
    <n v="15105"/>
    <n v="1008"/>
    <n v="996"/>
    <n v="970"/>
    <n v="1049"/>
    <n v="1008"/>
    <n v="1018"/>
    <n v="1030"/>
    <n v="1002"/>
    <n v="1015"/>
    <n v="1004"/>
    <n v="1010"/>
    <s v=""/>
    <s v="assinatura"/>
    <n v="173"/>
    <n v="1000"/>
    <n v="0.01"/>
    <n v="10"/>
    <x v="0"/>
    <x v="0"/>
  </r>
  <r>
    <x v="51"/>
    <x v="3"/>
    <s v="6ac991f6493a357f396cdd99"/>
    <s v="09/10/2026 22:08:34"/>
    <s v="09/10/2026 22:16:38"/>
    <s v="Ranieli"/>
    <s v="09/10/2026"/>
    <x v="0"/>
    <s v="JULIANE GOMES NOVAIS"/>
    <n v="42846"/>
    <n v="2001"/>
    <n v="2017"/>
    <n v="1999"/>
    <n v="2023"/>
    <n v="2011"/>
    <n v="2026"/>
    <n v="2019"/>
    <n v="1997"/>
    <n v="2296"/>
    <n v="2004"/>
    <n v="2039.3"/>
    <s v=""/>
    <s v="assinatura"/>
    <n v="361"/>
    <n v="2000"/>
    <n v="1.9649999999999977E-2"/>
    <n v="39.299999999999955"/>
    <x v="6"/>
    <x v="1"/>
  </r>
  <r>
    <x v="51"/>
    <x v="3"/>
    <s v="6ac991f6493a357f396cdd93"/>
    <s v="09/10/2026 22:04:39"/>
    <s v="09/10/2026 22:16:38"/>
    <s v="Ranieli"/>
    <s v="09/10/2026"/>
    <x v="0"/>
    <s v="JULIANE GOMES NOVAIS"/>
    <n v="42854"/>
    <n v="2103"/>
    <n v="2089"/>
    <n v="2102"/>
    <n v="2097"/>
    <n v="1900"/>
    <n v="2098"/>
    <n v="2079"/>
    <n v="2070"/>
    <n v="2075"/>
    <n v="2097"/>
    <n v="2071"/>
    <s v=""/>
    <s v="assinatura"/>
    <n v="624"/>
    <n v="2080"/>
    <n v="-4.3269230769230772E-3"/>
    <n v="-9"/>
    <x v="4"/>
    <x v="1"/>
  </r>
  <r>
    <x v="51"/>
    <x v="3"/>
    <s v="6ac991f6493a357f396cdd8d"/>
    <s v="09/10/2026 22:00:46"/>
    <s v="09/10/2026 22:16:38"/>
    <s v="Ranieli"/>
    <s v="09/10/2026"/>
    <x v="0"/>
    <s v="JULIANE GOMES NOVAIS"/>
    <n v="42862"/>
    <n v="2029"/>
    <n v="2003"/>
    <n v="2007"/>
    <n v="2006"/>
    <n v="1998"/>
    <n v="1998"/>
    <n v="2001"/>
    <n v="2013"/>
    <n v="2030"/>
    <n v="2012"/>
    <n v="2009.7"/>
    <s v=""/>
    <s v="assinatura"/>
    <n v="886"/>
    <n v="2000"/>
    <n v="4.8500000000000227E-3"/>
    <n v="9.7000000000000455"/>
    <x v="5"/>
    <x v="1"/>
  </r>
  <r>
    <x v="51"/>
    <x v="3"/>
    <s v="6ac95339456997e73a0c5ac0"/>
    <s v="09/10/2026 17:43:20"/>
    <s v="09/10/2026 17:48:57"/>
    <s v="Ranieli"/>
    <s v="09/10/2026"/>
    <x v="0"/>
    <s v="JULIANE GOMES NOVAIS"/>
    <n v="42838"/>
    <n v="2006"/>
    <n v="2004"/>
    <n v="2028"/>
    <n v="2029"/>
    <n v="2056"/>
    <n v="2026"/>
    <n v="2028"/>
    <n v="2025"/>
    <n v="2025"/>
    <n v="2053"/>
    <n v="2028"/>
    <s v=""/>
    <s v="assinatura"/>
    <n v="202"/>
    <n v="2000"/>
    <n v="1.4E-2"/>
    <n v="28"/>
    <x v="7"/>
    <x v="1"/>
  </r>
  <r>
    <x v="51"/>
    <x v="3"/>
    <s v="6ac95339456997e73a0c5aba"/>
    <s v="09/10/2026 17:40:23"/>
    <s v="09/10/2026 17:48:57"/>
    <s v="Ranieli"/>
    <s v="09/10/2026"/>
    <x v="0"/>
    <s v="JULIANE GOMES NOVAIS"/>
    <n v="42846"/>
    <n v="2008"/>
    <n v="2002"/>
    <n v="2014"/>
    <n v="1996"/>
    <n v="2021"/>
    <n v="2023"/>
    <n v="2017"/>
    <n v="2071"/>
    <n v="2024"/>
    <n v="2003"/>
    <n v="2017.9"/>
    <s v=""/>
    <s v="assinatura"/>
    <n v="415"/>
    <n v="2000"/>
    <n v="8.9500000000000447E-3"/>
    <n v="17.900000000000091"/>
    <x v="6"/>
    <x v="1"/>
  </r>
  <r>
    <x v="51"/>
    <x v="3"/>
    <s v="6ac95339456997e73a0c5ab4"/>
    <s v="09/10/2026 17:38:05"/>
    <s v="09/10/2026 17:48:57"/>
    <s v="Ranieli"/>
    <s v="09/10/2026"/>
    <x v="0"/>
    <s v="JULIANE GOMES NOVAIS"/>
    <n v="42854"/>
    <n v="2101"/>
    <n v="2106"/>
    <n v="2104"/>
    <n v="2046"/>
    <n v="2166"/>
    <n v="2099"/>
    <n v="2108"/>
    <n v="2106"/>
    <n v="2128"/>
    <n v="2088"/>
    <n v="2105.1999999999998"/>
    <s v=""/>
    <s v="assinatura"/>
    <n v="576"/>
    <n v="2080"/>
    <n v="1.2115384615384528E-2"/>
    <n v="25.199999999999818"/>
    <x v="4"/>
    <x v="1"/>
  </r>
  <r>
    <x v="51"/>
    <x v="3"/>
    <s v="6ac95339456997e73a0c5aae"/>
    <s v="09/10/2026 17:33:45"/>
    <s v="09/10/2026 17:48:57"/>
    <s v="Ranieli"/>
    <s v="09/10/2026"/>
    <x v="0"/>
    <s v="JULIANE GOMES NOVAIS"/>
    <n v="42862"/>
    <n v="2030"/>
    <n v="2029"/>
    <n v="2022"/>
    <n v="2009"/>
    <n v="2050"/>
    <n v="2027"/>
    <n v="2030"/>
    <n v="2019"/>
    <n v="2013"/>
    <n v="2023"/>
    <n v="2025.2"/>
    <s v=""/>
    <s v="assinatura"/>
    <n v="859"/>
    <n v="2000"/>
    <n v="1.2600000000000023E-2"/>
    <n v="25.200000000000045"/>
    <x v="5"/>
    <x v="1"/>
  </r>
  <r>
    <x v="51"/>
    <x v="3"/>
    <s v="6ac92b0f3cf16866fa79883a"/>
    <s v="09/10/2026 10:22:35"/>
    <s v="09/10/2026 14:57:35"/>
    <s v="Ranieli"/>
    <s v="09/10/2026"/>
    <x v="1"/>
    <s v="ALANA DA SILVA MARTINS"/>
    <n v="15105"/>
    <n v="1002"/>
    <n v="1000"/>
    <n v="1026"/>
    <n v="1047"/>
    <n v="1044"/>
    <n v="996"/>
    <n v="997"/>
    <n v="1008"/>
    <n v="1034"/>
    <n v="1021"/>
    <n v="1017.5"/>
    <s v=""/>
    <s v="assinatura"/>
    <n v="286"/>
    <n v="1000"/>
    <n v="1.7500000000000002E-2"/>
    <n v="17.5"/>
    <x v="0"/>
    <x v="0"/>
  </r>
  <r>
    <x v="47"/>
    <x v="3"/>
    <s v="6ac877fc898c48a2f44ba6f7"/>
    <s v="09/10/2026 01:24:03"/>
    <s v="09/10/2026 02:13:32"/>
    <s v="Ranieli"/>
    <s v="08/10/2026"/>
    <x v="0"/>
    <s v="JOSEFA KELY NUNES DE SOUSA"/>
    <n v="209069"/>
    <n v="1089"/>
    <n v="1108"/>
    <n v="1008"/>
    <n v="1036"/>
    <n v="1114"/>
    <n v="1050"/>
    <n v="983"/>
    <n v="1011"/>
    <n v="1037"/>
    <n v="1089"/>
    <n v="1052.5"/>
    <s v=""/>
    <s v="assinatura"/>
    <n v="1637"/>
    <n v="1000"/>
    <n v="5.2499999999999998E-2"/>
    <n v="52.5"/>
    <x v="28"/>
    <x v="0"/>
  </r>
  <r>
    <x v="47"/>
    <x v="3"/>
    <s v="6ac877fc898c48a2f44ba6f1"/>
    <s v="08/10/2026 23:08:18"/>
    <s v="09/10/2026 02:13:32"/>
    <s v="Ranieli"/>
    <s v="08/10/2026"/>
    <x v="0"/>
    <s v="JOSEFA KELY NUNES DE SOUSA"/>
    <n v="42641"/>
    <n v="15005"/>
    <n v="15040"/>
    <n v="15020"/>
    <n v="15020"/>
    <n v="15045"/>
    <n v="15030"/>
    <n v="15045"/>
    <n v="15015"/>
    <n v="15075"/>
    <n v="15045"/>
    <n v="15034"/>
    <s v=""/>
    <s v="assinatura"/>
    <n v="9791"/>
    <n v="15000"/>
    <n v="2.2666666666666668E-3"/>
    <n v="34"/>
    <x v="12"/>
    <x v="3"/>
  </r>
  <r>
    <x v="47"/>
    <x v="3"/>
    <s v="6ac877fc898c48a2f44ba6e5"/>
    <s v="08/10/2026 22:50:33"/>
    <s v="09/10/2026 02:13:32"/>
    <s v="Ranieli"/>
    <s v="08/10/2026"/>
    <x v="0"/>
    <s v="JOSEFA KELY NUNES DE SOUSA"/>
    <n v="40762"/>
    <n v="10025"/>
    <n v="10005"/>
    <n v="9995"/>
    <n v="10050"/>
    <n v="10030"/>
    <n v="9940"/>
    <n v="9965"/>
    <n v="9970"/>
    <n v="10065"/>
    <n v="10055"/>
    <n v="10010"/>
    <s v=""/>
    <s v="assinatura"/>
    <n v="598"/>
    <n v="10000"/>
    <n v="1E-3"/>
    <n v="10"/>
    <x v="3"/>
    <x v="1"/>
  </r>
  <r>
    <x v="47"/>
    <x v="3"/>
    <s v="6ac877fb898c48a2f44ba6d3"/>
    <s v="08/10/2026 19:28:41"/>
    <s v="09/10/2026 02:13:31"/>
    <s v="Ranieli"/>
    <s v="08/10/2026"/>
    <x v="0"/>
    <s v="JOSEFA KELY NUNES DE SOUSA"/>
    <n v="197734"/>
    <n v="988"/>
    <n v="1001"/>
    <n v="1005"/>
    <n v="990"/>
    <n v="1052"/>
    <n v="999"/>
    <n v="1000"/>
    <n v="1007"/>
    <n v="1002"/>
    <n v="999"/>
    <n v="1004.3"/>
    <s v=""/>
    <s v="assinatura"/>
    <n v="23038"/>
    <n v="1000"/>
    <n v="4.2999999999999549E-3"/>
    <n v="4.2999999999999545"/>
    <x v="2"/>
    <x v="2"/>
  </r>
  <r>
    <x v="47"/>
    <x v="3"/>
    <s v="6ac877fb898c48a2f44ba6cd"/>
    <s v="08/10/2026 19:24:54"/>
    <s v="09/10/2026 02:13:31"/>
    <s v="Ranieli"/>
    <s v="08/10/2026"/>
    <x v="0"/>
    <s v="JOSEFA KELY NUNES DE SOUSA"/>
    <n v="42838"/>
    <n v="2003"/>
    <n v="2022"/>
    <n v="2027"/>
    <n v="1970"/>
    <n v="2033"/>
    <n v="2014"/>
    <n v="2024"/>
    <n v="2043"/>
    <n v="2030"/>
    <n v="2019"/>
    <n v="2018.5"/>
    <s v=""/>
    <s v="assinatura"/>
    <n v="23286"/>
    <n v="2000"/>
    <n v="9.2499999999999995E-3"/>
    <n v="18.5"/>
    <x v="7"/>
    <x v="1"/>
  </r>
  <r>
    <x v="47"/>
    <x v="3"/>
    <s v="6ac877fb898c48a2f44ba6c7"/>
    <s v="08/10/2026 19:23:11"/>
    <s v="09/10/2026 02:13:31"/>
    <s v="Ranieli"/>
    <s v="08/10/2026"/>
    <x v="0"/>
    <s v="JOSEFA KELY NUNES DE SOUSA"/>
    <n v="42862"/>
    <n v="2012"/>
    <n v="2018"/>
    <n v="2029"/>
    <n v="2021"/>
    <n v="2004"/>
    <n v="2009"/>
    <n v="2017"/>
    <n v="2011"/>
    <n v="2019"/>
    <n v="2017"/>
    <n v="2015.7"/>
    <s v=""/>
    <s v="assinatura"/>
    <n v="23401"/>
    <n v="2000"/>
    <n v="7.8500000000000219E-3"/>
    <n v="15.700000000000045"/>
    <x v="5"/>
    <x v="1"/>
  </r>
  <r>
    <x v="47"/>
    <x v="3"/>
    <s v="6ac877fb898c48a2f44ba6bf"/>
    <s v="08/10/2026 19:20:35"/>
    <s v="09/10/2026 02:13:31"/>
    <s v="Ranieli"/>
    <s v="08/10/2026"/>
    <x v="0"/>
    <s v="JOSEFA KELY NUNES DE SOUSA"/>
    <n v="42854"/>
    <n v="2066"/>
    <n v="2095"/>
    <n v="2053"/>
    <n v="2014"/>
    <n v="2054"/>
    <n v="2110"/>
    <n v="2108"/>
    <n v="2095"/>
    <n v="2112"/>
    <n v="2064"/>
    <n v="2077.1"/>
    <s v=""/>
    <s v="assinatura"/>
    <n v="23596"/>
    <n v="2080"/>
    <n v="-1.3942307692308129E-3"/>
    <n v="-2.9000000000000909"/>
    <x v="4"/>
    <x v="1"/>
  </r>
  <r>
    <x v="47"/>
    <x v="3"/>
    <s v="6ac877fb898c48a2f44ba6b9"/>
    <s v="08/10/2026 19:11:03"/>
    <s v="09/10/2026 02:13:31"/>
    <s v="Ranieli"/>
    <s v="08/10/2026"/>
    <x v="0"/>
    <s v="JOSEFA KELY NUNES DE SOUSA"/>
    <n v="42846"/>
    <n v="2030"/>
    <n v="2029"/>
    <n v="2013"/>
    <n v="2025"/>
    <n v="2008"/>
    <n v="2035"/>
    <n v="2024"/>
    <n v="2010"/>
    <n v="2043"/>
    <n v="2012"/>
    <n v="2022.9"/>
    <s v=""/>
    <s v="assinatura"/>
    <n v="24178"/>
    <n v="2000"/>
    <n v="1.1450000000000045E-2"/>
    <n v="22.900000000000091"/>
    <x v="6"/>
    <x v="1"/>
  </r>
  <r>
    <x v="47"/>
    <x v="3"/>
    <s v="6ac877fb898c48a2f44ba6ad"/>
    <s v="08/10/2026 17:37:18"/>
    <s v="09/10/2026 02:13:31"/>
    <s v="Ranieli"/>
    <s v="08/10/2026"/>
    <x v="0"/>
    <s v="JOSEFA KELY NUNES DE SOUSA"/>
    <n v="995638"/>
    <n v="15040"/>
    <n v="15015"/>
    <n v="15000"/>
    <n v="15040"/>
    <n v="15045"/>
    <n v="15010"/>
    <n v="15030"/>
    <n v="15010"/>
    <n v="15010"/>
    <n v="15005"/>
    <n v="15020.5"/>
    <s v=""/>
    <s v="assinatura"/>
    <n v="29844"/>
    <n v="15000"/>
    <n v="1.3666666666666666E-3"/>
    <n v="20.5"/>
    <x v="21"/>
    <x v="3"/>
  </r>
  <r>
    <x v="47"/>
    <x v="3"/>
    <s v="6ac877fb898c48a2f44ba6a7"/>
    <s v="08/10/2026 17:33:39"/>
    <s v="09/10/2026 02:13:31"/>
    <s v="Ranieli"/>
    <s v="08/10/2026"/>
    <x v="0"/>
    <s v="JOSEFA KELY NUNES DE SOUSA"/>
    <n v="40762"/>
    <n v="10045"/>
    <n v="10050"/>
    <n v="9995"/>
    <n v="9990"/>
    <n v="9980"/>
    <n v="10015"/>
    <n v="10035"/>
    <n v="10070"/>
    <n v="9980"/>
    <n v="9945"/>
    <n v="10010.5"/>
    <s v=""/>
    <s v="assinatura"/>
    <n v="30087"/>
    <n v="10000"/>
    <n v="1.0499999999999999E-3"/>
    <n v="10.5"/>
    <x v="3"/>
    <x v="1"/>
  </r>
  <r>
    <x v="47"/>
    <x v="3"/>
    <s v="6ac877fb898c48a2f44ba6a1"/>
    <s v="08/10/2026 17:19:58"/>
    <s v="09/10/2026 02:13:31"/>
    <s v="Ranieli"/>
    <s v="08/10/2026"/>
    <x v="0"/>
    <s v="JOSEFA KELY NUNES DE SOUSA"/>
    <n v="15105"/>
    <n v="1047"/>
    <n v="1001"/>
    <n v="1037"/>
    <n v="1007"/>
    <n v="993"/>
    <n v="1007"/>
    <n v="1025"/>
    <n v="997"/>
    <n v="1041"/>
    <n v="994"/>
    <n v="1014.9"/>
    <s v=""/>
    <s v="assinatura"/>
    <n v="30925"/>
    <n v="1000"/>
    <n v="1.4899999999999977E-2"/>
    <n v="14.899999999999977"/>
    <x v="0"/>
    <x v="0"/>
  </r>
  <r>
    <x v="47"/>
    <x v="3"/>
    <s v="6ac84f589b36bf80de8a9ecd"/>
    <s v="08/10/2026 23:00:57"/>
    <s v="08/10/2026 23:20:08"/>
    <s v="Ranieli"/>
    <s v="08/10/2026"/>
    <x v="0"/>
    <s v="JULIANE GOMES NOVAIS"/>
    <n v="15105"/>
    <n v="1023"/>
    <n v="1035"/>
    <n v="953"/>
    <n v="1041"/>
    <n v="1026"/>
    <n v="991"/>
    <n v="1043"/>
    <n v="1003"/>
    <n v="1022"/>
    <n v="1008"/>
    <n v="1014.5"/>
    <s v=""/>
    <s v="assinatura"/>
    <n v="767"/>
    <n v="1000"/>
    <n v="1.4500000000000001E-2"/>
    <n v="14.5"/>
    <x v="0"/>
    <x v="0"/>
  </r>
  <r>
    <x v="47"/>
    <x v="3"/>
    <s v="6ac84f589b36bf80de8a9ec7"/>
    <s v="08/10/2026 22:58:47"/>
    <s v="08/10/2026 23:20:08"/>
    <s v="Ranieli"/>
    <s v="08/10/2026"/>
    <x v="0"/>
    <s v="JULIANE GOMES NOVAIS"/>
    <n v="15105"/>
    <n v="998"/>
    <n v="1012"/>
    <n v="1000"/>
    <n v="1034"/>
    <n v="999"/>
    <n v="1002"/>
    <n v="997"/>
    <n v="991"/>
    <n v="1007"/>
    <n v="1187"/>
    <n v="1022.7"/>
    <s v=""/>
    <s v="assinatura"/>
    <n v="911"/>
    <n v="1000"/>
    <n v="2.2700000000000047E-2"/>
    <n v="22.700000000000045"/>
    <x v="0"/>
    <x v="0"/>
  </r>
  <r>
    <x v="47"/>
    <x v="3"/>
    <s v="6ac84f589b36bf80de8a9ec1"/>
    <s v="08/10/2026 22:57:33"/>
    <s v="08/10/2026 23:20:08"/>
    <s v="Ranieli"/>
    <s v="08/10/2026"/>
    <x v="0"/>
    <s v="JULIANE GOMES NOVAIS"/>
    <n v="15105"/>
    <n v="999"/>
    <n v="995"/>
    <n v="1020"/>
    <n v="1007"/>
    <n v="1037"/>
    <n v="1026"/>
    <n v="1004"/>
    <n v="1011"/>
    <n v="1007"/>
    <n v="1008"/>
    <n v="1011.4"/>
    <s v=""/>
    <s v="assinatura"/>
    <n v="959"/>
    <n v="1000"/>
    <n v="1.1399999999999978E-2"/>
    <n v="11.399999999999977"/>
    <x v="0"/>
    <x v="0"/>
  </r>
  <r>
    <x v="47"/>
    <x v="3"/>
    <s v="6ac8483536d49b922988da1b"/>
    <s v="08/10/2026 22:44:36"/>
    <s v="08/10/2026 22:49:41"/>
    <s v="Ranieli"/>
    <s v="08/10/2026"/>
    <x v="0"/>
    <s v="JULIANE GOMES NOVAIS"/>
    <n v="42862"/>
    <n v="1999"/>
    <n v="2005"/>
    <n v="2006"/>
    <n v="2017"/>
    <n v="2016"/>
    <n v="2013"/>
    <n v="2029"/>
    <n v="2085"/>
    <n v="2014"/>
    <n v="2026"/>
    <n v="2021"/>
    <s v=""/>
    <s v="assinatura"/>
    <n v="299"/>
    <n v="2000"/>
    <n v="1.0500000000000001E-2"/>
    <n v="21"/>
    <x v="5"/>
    <x v="1"/>
  </r>
  <r>
    <x v="47"/>
    <x v="3"/>
    <s v="6ac8483536d49b922988da15"/>
    <s v="08/10/2026 22:42:13"/>
    <s v="08/10/2026 22:49:41"/>
    <s v="Ranieli"/>
    <s v="08/10/2026"/>
    <x v="0"/>
    <s v="JULIANE GOMES NOVAIS"/>
    <n v="42854"/>
    <n v="2064"/>
    <n v="2144"/>
    <n v="1999"/>
    <n v="2092"/>
    <n v="2008"/>
    <n v="2080"/>
    <n v="2093"/>
    <n v="2072"/>
    <n v="2059"/>
    <n v="2037"/>
    <n v="2064.8000000000002"/>
    <s v=""/>
    <s v="assinatura"/>
    <n v="135"/>
    <n v="2080"/>
    <n v="-7.30769230769222E-3"/>
    <n v="-15.199999999999818"/>
    <x v="4"/>
    <x v="1"/>
  </r>
  <r>
    <x v="47"/>
    <x v="3"/>
    <s v="6ac8483536d49b922988da0f"/>
    <s v="08/10/2026 22:40:41"/>
    <s v="08/10/2026 22:49:41"/>
    <s v="Ranieli"/>
    <s v="08/10/2026"/>
    <x v="0"/>
    <s v="JULIANE GOMES NOVAIS"/>
    <n v="42846"/>
    <n v="2018"/>
    <n v="2002"/>
    <n v="2016"/>
    <n v="1999"/>
    <n v="2007"/>
    <n v="2009"/>
    <n v="2020"/>
    <n v="1998"/>
    <n v="2021"/>
    <n v="2014"/>
    <n v="2010.4"/>
    <s v=""/>
    <s v="assinatura"/>
    <n v="90"/>
    <n v="2000"/>
    <n v="5.2000000000000457E-3"/>
    <n v="10.400000000000091"/>
    <x v="6"/>
    <x v="1"/>
  </r>
  <r>
    <x v="47"/>
    <x v="3"/>
    <s v="6ac8483536d49b922988da09"/>
    <s v="08/10/2026 22:35:47"/>
    <s v="08/10/2026 22:49:41"/>
    <s v="Ranieli"/>
    <s v="08/10/2026"/>
    <x v="0"/>
    <s v="JULIANE GOMES NOVAIS"/>
    <n v="42838"/>
    <n v="2018"/>
    <n v="1997"/>
    <n v="2013"/>
    <n v="1998"/>
    <n v="2025"/>
    <n v="2039"/>
    <n v="2004"/>
    <n v="1999"/>
    <n v="2027"/>
    <n v="2004"/>
    <n v="2012.4"/>
    <s v=""/>
    <s v="assinatura"/>
    <n v="132"/>
    <n v="2000"/>
    <n v="6.2000000000000458E-3"/>
    <n v="12.400000000000091"/>
    <x v="7"/>
    <x v="1"/>
  </r>
  <r>
    <x v="47"/>
    <x v="3"/>
    <s v="6ac8483536d49b922988da03"/>
    <s v="08/10/2026 22:33:37"/>
    <s v="08/10/2026 22:49:41"/>
    <s v="Ranieli"/>
    <s v="08/10/2026"/>
    <x v="0"/>
    <s v="JULIANE GOMES NOVAIS"/>
    <n v="42820"/>
    <n v="2021"/>
    <n v="2019"/>
    <n v="2007"/>
    <n v="2016"/>
    <n v="1998"/>
    <n v="2042"/>
    <n v="2072"/>
    <n v="1994"/>
    <n v="2013"/>
    <n v="2027"/>
    <n v="2020.9"/>
    <s v=""/>
    <s v="assinatura"/>
    <n v="275"/>
    <n v="2000"/>
    <n v="1.0450000000000046E-2"/>
    <n v="20.900000000000091"/>
    <x v="10"/>
    <x v="1"/>
  </r>
  <r>
    <x v="47"/>
    <x v="3"/>
    <s v="6ac7dc6978034b104e266dd2"/>
    <s v="08/10/2026 14:59:11"/>
    <s v="08/10/2026 15:09:45"/>
    <s v="Ranieli"/>
    <s v="08/10/2026"/>
    <x v="1"/>
    <s v="ALANA DA SILVA MARTINS"/>
    <n v="13188"/>
    <n v="1007"/>
    <n v="993"/>
    <n v="1007"/>
    <n v="1006"/>
    <n v="1017"/>
    <n v="1018"/>
    <n v="1007"/>
    <n v="989"/>
    <n v="1020"/>
    <n v="1006"/>
    <n v="1007"/>
    <s v=""/>
    <s v="assinatura"/>
    <n v="201"/>
    <n v="1000"/>
    <n v="7.0000000000000001E-3"/>
    <n v="7"/>
    <x v="8"/>
    <x v="1"/>
  </r>
  <r>
    <x v="47"/>
    <x v="3"/>
    <s v="6ac7dc6978034b104e266dcc"/>
    <s v="08/10/2026 14:55:39"/>
    <s v="08/10/2026 15:09:45"/>
    <s v="Ranieli"/>
    <s v="08/10/2026"/>
    <x v="1"/>
    <s v="ALANA DA SILVA MARTINS"/>
    <n v="793124"/>
    <n v="2010"/>
    <n v="2001"/>
    <n v="2003"/>
    <n v="2007"/>
    <n v="2007"/>
    <n v="2006"/>
    <n v="2000"/>
    <n v="1999"/>
    <n v="2002"/>
    <n v="1998"/>
    <n v="2003.3"/>
    <s v=""/>
    <s v="assinatura"/>
    <n v="436"/>
    <n v="2000"/>
    <n v="1.6499999999999772E-3"/>
    <n v="3.2999999999999545"/>
    <x v="37"/>
    <x v="8"/>
  </r>
  <r>
    <x v="47"/>
    <x v="3"/>
    <s v="6ac7dc6978034b104e266dc6"/>
    <s v="08/10/2026 14:50:50"/>
    <s v="08/10/2026 15:09:45"/>
    <s v="Ranieli"/>
    <s v="08/10/2026"/>
    <x v="1"/>
    <s v="ALANA DA SILVA MARTINS"/>
    <n v="42846"/>
    <n v="2006"/>
    <n v="2003"/>
    <n v="2003"/>
    <n v="1994"/>
    <n v="2012"/>
    <n v="2004"/>
    <n v="1993"/>
    <n v="2068"/>
    <n v="2022"/>
    <n v="2016"/>
    <n v="2012.1"/>
    <s v=""/>
    <s v="assinatura"/>
    <n v="758"/>
    <n v="2000"/>
    <n v="6.0499999999999547E-3"/>
    <n v="12.099999999999909"/>
    <x v="6"/>
    <x v="1"/>
  </r>
  <r>
    <x v="47"/>
    <x v="3"/>
    <s v="6ac7dc6978034b104e266dc0"/>
    <s v="08/10/2026 14:45:55"/>
    <s v="08/10/2026 15:09:45"/>
    <s v="Ranieli"/>
    <s v="08/10/2026"/>
    <x v="1"/>
    <s v="ALANA DA SILVA MARTINS"/>
    <n v="42838"/>
    <n v="2100"/>
    <n v="2075"/>
    <n v="2074"/>
    <n v="2064"/>
    <n v="2091"/>
    <n v="2078"/>
    <n v="2078"/>
    <n v="2082"/>
    <n v="2097"/>
    <n v="2053"/>
    <n v="2079.1999999999998"/>
    <s v=""/>
    <s v="assinatura"/>
    <n v="1076"/>
    <n v="2000"/>
    <n v="3.9599999999999906E-2"/>
    <n v="79.199999999999818"/>
    <x v="7"/>
    <x v="1"/>
  </r>
  <r>
    <x v="47"/>
    <x v="3"/>
    <s v="6ac7dc6978034b104e266dba"/>
    <s v="08/10/2026 14:39:24"/>
    <s v="08/10/2026 15:09:45"/>
    <s v="Ranieli"/>
    <s v="08/10/2026"/>
    <x v="1"/>
    <s v="ALANA DA SILVA MARTINS"/>
    <n v="42854"/>
    <n v="2165"/>
    <n v="2185"/>
    <n v="2177"/>
    <n v="2137"/>
    <n v="2056"/>
    <n v="2003"/>
    <n v="2125"/>
    <n v="2108"/>
    <n v="2133"/>
    <n v="2148"/>
    <n v="2123.6999999999998"/>
    <s v=""/>
    <s v="assinatura"/>
    <n v="1487"/>
    <n v="2080"/>
    <n v="2.1009615384615297E-2"/>
    <n v="43.699999999999818"/>
    <x v="4"/>
    <x v="1"/>
  </r>
  <r>
    <x v="47"/>
    <x v="3"/>
    <s v="6ac7dc6978034b104e266db4"/>
    <s v="08/10/2026 14:36:45"/>
    <s v="08/10/2026 15:09:45"/>
    <s v="Ranieli"/>
    <s v="08/10/2026"/>
    <x v="1"/>
    <s v="ALANA DA SILVA MARTINS"/>
    <n v="42862"/>
    <n v="2033"/>
    <n v="2061"/>
    <n v="2039"/>
    <n v="2033"/>
    <n v="2073"/>
    <n v="2004"/>
    <n v="2091"/>
    <n v="2053"/>
    <n v="2047"/>
    <n v="2053"/>
    <n v="2048.6999999999998"/>
    <s v=""/>
    <s v="assinatura"/>
    <n v="1671"/>
    <n v="2000"/>
    <n v="2.434999999999991E-2"/>
    <n v="48.699999999999818"/>
    <x v="5"/>
    <x v="1"/>
  </r>
  <r>
    <x v="47"/>
    <x v="3"/>
    <s v="6ac7dc6878034b104e266da2"/>
    <s v="08/10/2026 11:55:49"/>
    <s v="08/10/2026 15:09:44"/>
    <s v="Ranieli"/>
    <s v="08/10/2026"/>
    <x v="1"/>
    <s v="ALANA DA SILVA MARTINS"/>
    <n v="43784"/>
    <n v="999"/>
    <n v="998"/>
    <n v="1000"/>
    <n v="999"/>
    <n v="995"/>
    <n v="998"/>
    <n v="999"/>
    <n v="1000"/>
    <n v="1002"/>
    <n v="1000"/>
    <n v="999"/>
    <s v=""/>
    <s v="assinatura"/>
    <n v="11411"/>
    <n v="1000"/>
    <n v="-1E-3"/>
    <n v="-1"/>
    <x v="35"/>
    <x v="7"/>
  </r>
  <r>
    <x v="47"/>
    <x v="3"/>
    <s v="6ac7dc6878034b104e266d9c"/>
    <s v="08/10/2026 11:53:51"/>
    <s v="08/10/2026 15:09:44"/>
    <s v="Ranieli"/>
    <s v="08/10/2026"/>
    <x v="1"/>
    <s v="ALANA DA SILVA MARTINS"/>
    <n v="992014"/>
    <n v="669"/>
    <n v="668"/>
    <n v="700"/>
    <n v="665"/>
    <n v="669"/>
    <n v="668"/>
    <n v="700"/>
    <n v="663"/>
    <n v="668"/>
    <n v="669"/>
    <n v="673.9"/>
    <s v=""/>
    <s v="assinatura"/>
    <n v="11552"/>
    <n v="700"/>
    <n v="-3.7285714285714318E-2"/>
    <n v="-26.100000000000023"/>
    <x v="14"/>
    <x v="1"/>
  </r>
  <r>
    <x v="47"/>
    <x v="3"/>
    <s v="6ac7ac879b7db2ba764ec897"/>
    <s v="08/10/2026 11:42:01"/>
    <s v="08/10/2026 11:45:27"/>
    <s v="Ranieli"/>
    <s v="08/10/2026"/>
    <x v="1"/>
    <s v="ALANA DA SILVA MARTINS"/>
    <n v="197734"/>
    <n v="1020"/>
    <n v="1028"/>
    <n v="1019"/>
    <n v="1018"/>
    <n v="1019"/>
    <n v="1023"/>
    <n v="1020"/>
    <n v="1057"/>
    <n v="1022"/>
    <n v="1022"/>
    <n v="1024.8"/>
    <s v=""/>
    <s v="assinatura"/>
    <n v="130"/>
    <n v="1000"/>
    <n v="2.4799999999999954E-2"/>
    <n v="24.799999999999955"/>
    <x v="2"/>
    <x v="2"/>
  </r>
  <r>
    <x v="48"/>
    <x v="3"/>
    <s v="6ac781b69b405ad761bd268b"/>
    <s v="07/10/2026 11:40:51"/>
    <s v="08/10/2026 08:42:46"/>
    <s v="Ranieli"/>
    <s v="07/10/2026"/>
    <x v="1"/>
    <s v="ALANA DA SILVA MARTINS"/>
    <n v="992014"/>
    <n v="700"/>
    <n v="699"/>
    <n v="698"/>
    <n v="699"/>
    <n v="696"/>
    <n v="698"/>
    <n v="700"/>
    <n v="698"/>
    <n v="699"/>
    <n v="700"/>
    <n v="698.7"/>
    <s v=""/>
    <s v="assinatura"/>
    <n v="75715"/>
    <n v="700"/>
    <n v="-1.8571428571427923E-3"/>
    <n v="-1.2999999999999545"/>
    <x v="14"/>
    <x v="1"/>
  </r>
  <r>
    <x v="48"/>
    <x v="3"/>
    <s v="6ac7819f5981b750ab218432"/>
    <s v="07/10/2026 11:43:48"/>
    <s v="08/10/2026 08:42:23"/>
    <s v="Ranieli"/>
    <s v="07/10/2026"/>
    <x v="1"/>
    <s v="ALANA DA SILVA MARTINS"/>
    <n v="43784"/>
    <n v="1000"/>
    <n v="999"/>
    <n v="997"/>
    <n v="999"/>
    <n v="100"/>
    <n v="998"/>
    <n v="996"/>
    <n v="999"/>
    <n v="996"/>
    <n v="999"/>
    <n v="908.3"/>
    <s v=""/>
    <s v="assinatura"/>
    <n v="75514"/>
    <n v="1000"/>
    <n v="-9.1700000000000045E-2"/>
    <n v="-91.700000000000045"/>
    <x v="35"/>
    <x v="7"/>
  </r>
  <r>
    <x v="47"/>
    <x v="3"/>
    <s v="6ac78171898c48a2f44843d8"/>
    <s v="08/10/2026 08:35:52"/>
    <s v="08/10/2026 08:41:37"/>
    <s v="Ranieli"/>
    <s v="08/10/2026"/>
    <x v="1"/>
    <s v="ALANA DA SILVA MARTINS"/>
    <n v="15105"/>
    <n v="1022"/>
    <n v="1036"/>
    <n v="1000"/>
    <n v="1002"/>
    <n v="1026"/>
    <n v="1011"/>
    <n v="991"/>
    <n v="1014"/>
    <n v="1021"/>
    <n v="1017"/>
    <n v="1014"/>
    <s v=""/>
    <s v="assinatura"/>
    <n v="215"/>
    <n v="1000"/>
    <n v="1.4E-2"/>
    <n v="14"/>
    <x v="0"/>
    <x v="0"/>
  </r>
  <r>
    <x v="48"/>
    <x v="3"/>
    <s v="6ac78171898c48a2f44843d2"/>
    <s v="07/10/2026 17:19:07"/>
    <s v="08/10/2026 08:41:37"/>
    <s v="Ranieli"/>
    <s v="07/10/2026"/>
    <x v="1"/>
    <s v="ALANA DA SILVA MARTINS"/>
    <n v="15105"/>
    <n v="995"/>
    <n v="1014"/>
    <n v="1044"/>
    <n v="1040"/>
    <n v="994"/>
    <n v="1019"/>
    <n v="1016"/>
    <n v="1041"/>
    <n v="1000"/>
    <n v="998"/>
    <n v="1016.1"/>
    <s v=""/>
    <s v="assinatura"/>
    <n v="205"/>
    <n v="1000"/>
    <n v="1.6100000000000024E-2"/>
    <n v="16.100000000000023"/>
    <x v="0"/>
    <x v="0"/>
  </r>
  <r>
    <x v="48"/>
    <x v="3"/>
    <s v="6ac77862486c261c1cacc92e"/>
    <s v="08/10/2026 00:53:41"/>
    <s v="08/10/2026 08:02:58"/>
    <s v="Ranieli"/>
    <s v="07/10/2026"/>
    <x v="0"/>
    <s v="JOSEFA KELY NUNES DE SOUSA"/>
    <n v="992014"/>
    <n v="702"/>
    <n v="700"/>
    <n v="700"/>
    <n v="702"/>
    <n v="700"/>
    <n v="701"/>
    <n v="703"/>
    <n v="700"/>
    <n v="705"/>
    <n v="706"/>
    <n v="701.9"/>
    <s v=""/>
    <s v="assinatura"/>
    <n v="4538"/>
    <n v="700"/>
    <n v="2.7142857142856817E-3"/>
    <n v="1.8999999999999773"/>
    <x v="14"/>
    <x v="1"/>
  </r>
  <r>
    <x v="48"/>
    <x v="3"/>
    <s v="6ac77861486c261c1cacc922"/>
    <s v="07/10/2026 17:28:14"/>
    <s v="08/10/2026 08:02:57"/>
    <s v="Ranieli"/>
    <s v="07/10/2026"/>
    <x v="0"/>
    <s v="JOSEFA KELY NUNES DE SOUSA"/>
    <n v="995638"/>
    <n v="15015"/>
    <n v="15045"/>
    <n v="15040"/>
    <n v="15018"/>
    <n v="15020"/>
    <n v="15015"/>
    <n v="15005"/>
    <n v="15030"/>
    <n v="14995"/>
    <n v="15010"/>
    <n v="15019.3"/>
    <s v=""/>
    <s v="assinatura"/>
    <n v="31082"/>
    <n v="15000"/>
    <n v="1.2866666666666181E-3"/>
    <n v="19.299999999999272"/>
    <x v="21"/>
    <x v="3"/>
  </r>
  <r>
    <x v="48"/>
    <x v="3"/>
    <s v="6ac777aa1255169047e834d4"/>
    <s v="08/10/2026 00:59:19"/>
    <s v="08/10/2026 07:59:54"/>
    <s v="Ranieli"/>
    <s v="07/10/2026"/>
    <x v="0"/>
    <s v="JOSEFA KELY NUNES DE SOUSA"/>
    <n v="963925"/>
    <n v="18250"/>
    <n v="18205"/>
    <n v="18195"/>
    <n v="18010"/>
    <n v="18045"/>
    <n v="18105"/>
    <n v="18155"/>
    <n v="18140"/>
    <n v="18170"/>
    <n v="18000"/>
    <n v="18127.5"/>
    <s v=""/>
    <s v="assinatura"/>
    <n v="4210"/>
    <n v="18000"/>
    <n v="7.083333333333333E-3"/>
    <n v="127.5"/>
    <x v="15"/>
    <x v="3"/>
  </r>
  <r>
    <x v="48"/>
    <x v="3"/>
    <s v="6ac777aa1255169047e834ce"/>
    <s v="08/10/2026 00:45:28"/>
    <s v="08/10/2026 07:59:54"/>
    <s v="Ranieli"/>
    <s v="07/10/2026"/>
    <x v="0"/>
    <s v="JOSEFA KELY NUNES DE SOUSA"/>
    <n v="209069"/>
    <n v="1095"/>
    <n v="1099"/>
    <n v="1092"/>
    <n v="1000"/>
    <n v="1006"/>
    <n v="1000"/>
    <n v="1000"/>
    <n v="1073"/>
    <n v="1078"/>
    <n v="1074"/>
    <n v="1051.7"/>
    <s v=""/>
    <s v="assinatura"/>
    <n v="5022"/>
    <n v="1000"/>
    <n v="5.1700000000000045E-2"/>
    <n v="51.700000000000045"/>
    <x v="28"/>
    <x v="0"/>
  </r>
  <r>
    <x v="48"/>
    <x v="3"/>
    <s v="6ac777aa1255169047e834c8"/>
    <s v="07/10/2026 21:56:23"/>
    <s v="08/10/2026 07:59:54"/>
    <s v="Ranieli"/>
    <s v="07/10/2026"/>
    <x v="0"/>
    <s v="JOSEFA KELY NUNES DE SOUSA"/>
    <n v="209319"/>
    <n v="1051"/>
    <n v="1002"/>
    <n v="1001"/>
    <n v="1062"/>
    <n v="1014"/>
    <n v="1020"/>
    <n v="1023"/>
    <n v="1027"/>
    <n v="1002"/>
    <n v="1037"/>
    <n v="1023.9"/>
    <s v=""/>
    <s v="assinatura"/>
    <n v="15158"/>
    <n v="1000"/>
    <n v="2.3899999999999977E-2"/>
    <n v="23.899999999999977"/>
    <x v="34"/>
    <x v="1"/>
  </r>
  <r>
    <x v="48"/>
    <x v="3"/>
    <s v="6ac777aa1255169047e834c2"/>
    <s v="07/10/2026 21:40:29"/>
    <s v="08/10/2026 07:59:54"/>
    <s v="Ranieli"/>
    <s v="07/10/2026"/>
    <x v="0"/>
    <s v="JOSEFA KELY NUNES DE SOUSA"/>
    <n v="963925"/>
    <n v="18025"/>
    <n v="18330"/>
    <n v="18440"/>
    <n v="18425"/>
    <n v="18305"/>
    <n v="18020"/>
    <n v="18055"/>
    <n v="18085"/>
    <n v="18110"/>
    <n v="18095"/>
    <n v="18189"/>
    <s v=""/>
    <s v="assinatura"/>
    <n v="16103"/>
    <n v="18000"/>
    <n v="1.0500000000000001E-2"/>
    <n v="189"/>
    <x v="15"/>
    <x v="3"/>
  </r>
  <r>
    <x v="48"/>
    <x v="3"/>
    <s v="6ac777aa1255169047e834bc"/>
    <s v="07/10/2026 21:36:21"/>
    <s v="08/10/2026 07:59:54"/>
    <s v="Ranieli"/>
    <s v="07/10/2026"/>
    <x v="0"/>
    <s v="JOSEFA KELY NUNES DE SOUSA"/>
    <n v="40762"/>
    <n v="10040"/>
    <n v="9985"/>
    <n v="10035"/>
    <n v="10000"/>
    <n v="10025"/>
    <n v="10115"/>
    <n v="10005"/>
    <n v="10100"/>
    <n v="10055"/>
    <n v="9965"/>
    <n v="10032.5"/>
    <s v=""/>
    <s v="assinatura"/>
    <n v="176"/>
    <n v="10000"/>
    <n v="3.2499999999999999E-3"/>
    <n v="32.5"/>
    <x v="3"/>
    <x v="1"/>
  </r>
  <r>
    <x v="48"/>
    <x v="3"/>
    <s v="6ac777aa1255169047e834b6"/>
    <s v="07/10/2026 21:32:11"/>
    <s v="08/10/2026 07:59:54"/>
    <s v="Ranieli"/>
    <s v="07/10/2026"/>
    <x v="0"/>
    <s v="JOSEFA KELY NUNES DE SOUSA"/>
    <n v="40762"/>
    <n v="9985"/>
    <n v="10055"/>
    <n v="10005"/>
    <n v="9965"/>
    <n v="10050"/>
    <n v="9970"/>
    <n v="10000"/>
    <n v="9975"/>
    <n v="10055"/>
    <n v="10025"/>
    <n v="10008.5"/>
    <s v=""/>
    <s v="assinatura"/>
    <n v="16589"/>
    <n v="10000"/>
    <n v="8.4999999999999995E-4"/>
    <n v="8.5"/>
    <x v="3"/>
    <x v="1"/>
  </r>
  <r>
    <x v="48"/>
    <x v="3"/>
    <s v="6ac777aa1255169047e834b0"/>
    <s v="07/10/2026 21:28:19"/>
    <s v="08/10/2026 07:59:54"/>
    <s v="Ranieli"/>
    <s v="07/10/2026"/>
    <x v="0"/>
    <s v="JOSEFA KELY NUNES DE SOUSA"/>
    <n v="15105"/>
    <n v="1010"/>
    <n v="1049"/>
    <n v="1038"/>
    <n v="1017"/>
    <n v="1053"/>
    <n v="1004"/>
    <n v="1014"/>
    <n v="1006"/>
    <n v="1003"/>
    <n v="1047"/>
    <n v="1024.0999999999999"/>
    <s v=""/>
    <s v=""/>
    <n v="16809"/>
    <n v="1000"/>
    <n v="2.409999999999991E-2"/>
    <n v="24.099999999999909"/>
    <x v="0"/>
    <x v="0"/>
  </r>
  <r>
    <x v="48"/>
    <x v="3"/>
    <s v="6ac777aa1255169047e834a8"/>
    <s v="07/10/2026 21:23:14"/>
    <s v="08/10/2026 07:59:54"/>
    <s v="Ranieli"/>
    <s v="07/10/2026"/>
    <x v="0"/>
    <s v="JOSEFA KELY NUNES DE SOUSA"/>
    <n v="42641"/>
    <n v="15000"/>
    <n v="15005"/>
    <n v="15045"/>
    <n v="15025"/>
    <n v="15025"/>
    <n v="15065"/>
    <n v="15060"/>
    <n v="15040"/>
    <n v="15015"/>
    <n v="15055"/>
    <n v="15033.5"/>
    <s v=""/>
    <s v="assinatura"/>
    <n v="17096"/>
    <n v="15000"/>
    <n v="2.2333333333333333E-3"/>
    <n v="33.5"/>
    <x v="12"/>
    <x v="3"/>
  </r>
  <r>
    <x v="48"/>
    <x v="3"/>
    <s v="6ac777aa1255169047e834a2"/>
    <s v="07/10/2026 20:35:47"/>
    <s v="08/10/2026 07:59:54"/>
    <s v="Ranieli"/>
    <s v="07/10/2026"/>
    <x v="0"/>
    <s v="JOSEFA KELY NUNES DE SOUSA"/>
    <n v="42820"/>
    <n v="2018"/>
    <n v="2048"/>
    <n v="2025"/>
    <n v="2028"/>
    <n v="2022"/>
    <n v="2018"/>
    <n v="2024"/>
    <n v="2042"/>
    <n v="2040"/>
    <n v="2045"/>
    <n v="2031"/>
    <s v=""/>
    <s v=""/>
    <n v="19934"/>
    <n v="2000"/>
    <n v="1.55E-2"/>
    <n v="31"/>
    <x v="10"/>
    <x v="1"/>
  </r>
  <r>
    <x v="48"/>
    <x v="3"/>
    <s v="6ac777aa1255169047e8349c"/>
    <s v="07/10/2026 20:33:22"/>
    <s v="08/10/2026 07:59:54"/>
    <s v="Ranieli"/>
    <s v="07/10/2026"/>
    <x v="0"/>
    <s v="JOSEFA KELY NUNES DE SOUSA"/>
    <n v="42862"/>
    <n v="2038"/>
    <n v="2006"/>
    <n v="2008"/>
    <n v="2023"/>
    <n v="2013"/>
    <n v="2004"/>
    <n v="2020"/>
    <n v="2012"/>
    <n v="2017"/>
    <n v="2023"/>
    <n v="2016.4"/>
    <s v=""/>
    <s v="assinatura"/>
    <n v="20049"/>
    <n v="2000"/>
    <n v="8.2000000000000458E-3"/>
    <n v="16.400000000000091"/>
    <x v="5"/>
    <x v="1"/>
  </r>
  <r>
    <x v="48"/>
    <x v="3"/>
    <s v="6ac777a91255169047e83496"/>
    <s v="07/10/2026 20:30:56"/>
    <s v="08/10/2026 07:59:53"/>
    <s v="Ranieli"/>
    <s v="07/10/2026"/>
    <x v="0"/>
    <s v="JOSEFA KELY NUNES DE SOUSA"/>
    <n v="42854"/>
    <n v="2040"/>
    <n v="2087"/>
    <n v="2011"/>
    <n v="2095"/>
    <n v="2002"/>
    <n v="2091"/>
    <n v="2095"/>
    <n v="2106"/>
    <n v="2100"/>
    <n v="2064"/>
    <n v="2069.1"/>
    <s v=""/>
    <s v="assinatura"/>
    <n v="20185"/>
    <n v="2080"/>
    <n v="-5.2403846153846589E-3"/>
    <n v="-10.900000000000091"/>
    <x v="4"/>
    <x v="1"/>
  </r>
  <r>
    <x v="48"/>
    <x v="3"/>
    <s v="6ac777a91255169047e83490"/>
    <s v="07/10/2026 20:28:49"/>
    <s v="08/10/2026 07:59:53"/>
    <s v="Ranieli"/>
    <s v="07/10/2026"/>
    <x v="0"/>
    <s v="JOSEFA KELY NUNES DE SOUSA"/>
    <n v="42846"/>
    <n v="2017"/>
    <n v="2046"/>
    <n v="2000"/>
    <n v="2033"/>
    <n v="2006"/>
    <n v="2001"/>
    <n v="2012"/>
    <n v="2010"/>
    <n v="2019"/>
    <n v="2013"/>
    <n v="2015.7"/>
    <s v=""/>
    <s v=""/>
    <n v="20301"/>
    <n v="2000"/>
    <n v="7.8500000000000219E-3"/>
    <n v="15.700000000000045"/>
    <x v="6"/>
    <x v="1"/>
  </r>
  <r>
    <x v="48"/>
    <x v="3"/>
    <s v="6ac777a91255169047e8348a"/>
    <s v="07/10/2026 20:26:50"/>
    <s v="08/10/2026 07:59:53"/>
    <s v="Ranieli"/>
    <s v="07/10/2026"/>
    <x v="0"/>
    <s v="JOSEFA KELY NUNES DE SOUSA"/>
    <n v="42838"/>
    <n v="2020"/>
    <n v="2017"/>
    <n v="2020"/>
    <n v="2018"/>
    <n v="2075"/>
    <n v="2005"/>
    <n v="2028"/>
    <n v="2012"/>
    <n v="2045"/>
    <n v="2041"/>
    <n v="2028.1"/>
    <s v=""/>
    <s v="assinatura"/>
    <n v="20380"/>
    <n v="2000"/>
    <n v="1.4049999999999955E-2"/>
    <n v="28.099999999999909"/>
    <x v="7"/>
    <x v="1"/>
  </r>
  <r>
    <x v="48"/>
    <x v="3"/>
    <s v="6ac777a91255169047e83484"/>
    <s v="07/10/2026 17:25:17"/>
    <s v="08/10/2026 07:59:53"/>
    <s v="Ranieli"/>
    <s v="07/10/2026"/>
    <x v="0"/>
    <s v="JOSEFA KELY NUNES DE SOUSA"/>
    <n v="15105"/>
    <n v="1014"/>
    <n v="1008"/>
    <n v="999"/>
    <n v="990"/>
    <n v="1038"/>
    <n v="1006"/>
    <n v="1070"/>
    <n v="1006"/>
    <n v="1021"/>
    <n v="1021"/>
    <n v="1017.3"/>
    <s v=""/>
    <s v="assinatura"/>
    <n v="31245"/>
    <n v="1000"/>
    <n v="1.7299999999999954E-2"/>
    <n v="17.299999999999955"/>
    <x v="0"/>
    <x v="0"/>
  </r>
  <r>
    <x v="48"/>
    <x v="3"/>
    <s v="6ac6a64b9b405ad761bc76bd"/>
    <s v="07/10/2026 17:02:46"/>
    <s v="07/10/2026 17:06:35"/>
    <s v="Ranieli"/>
    <s v="07/10/2026"/>
    <x v="1"/>
    <s v="ALANA DA SILVA MARTINS"/>
    <n v="209039"/>
    <n v="1015"/>
    <n v="1025"/>
    <n v="993"/>
    <n v="990"/>
    <n v="1016"/>
    <n v="1030"/>
    <n v="995"/>
    <n v="1010"/>
    <n v="1011"/>
    <n v="1004"/>
    <n v="1008.9"/>
    <s v=""/>
    <s v="assinatura"/>
    <n v="219"/>
    <n v="1000"/>
    <n v="8.8999999999999774E-3"/>
    <n v="8.8999999999999773"/>
    <x v="19"/>
    <x v="3"/>
  </r>
  <r>
    <x v="48"/>
    <x v="3"/>
    <s v="6ac65e0d36d49b92297ff332"/>
    <s v="07/10/2026 11:36:49"/>
    <s v="07/10/2026 11:58:21"/>
    <s v="Ranieli"/>
    <s v="07/10/2026"/>
    <x v="1"/>
    <s v="ALANA DA SILVA MARTINS"/>
    <n v="18228"/>
    <n v="1001"/>
    <n v="1006"/>
    <n v="999"/>
    <n v="1005"/>
    <n v="1003"/>
    <n v="1000"/>
    <n v="995"/>
    <n v="1000"/>
    <n v="1004"/>
    <n v="1006"/>
    <n v="1001.9"/>
    <s v=""/>
    <s v="assinatura"/>
    <n v="1284"/>
    <n v="1000"/>
    <n v="1.8999999999999772E-3"/>
    <n v="1.8999999999999773"/>
    <x v="16"/>
    <x v="4"/>
  </r>
  <r>
    <x v="48"/>
    <x v="3"/>
    <s v="6ac658f776e463e032ff4e35"/>
    <s v="07/10/2026 08:53:16"/>
    <s v="07/10/2026 11:36:39"/>
    <s v="Ranieli"/>
    <s v="07/10/2026"/>
    <x v="1"/>
    <s v="ALANA DA SILVA MARTINS"/>
    <n v="15105"/>
    <n v="1034"/>
    <n v="998"/>
    <n v="993"/>
    <n v="1014"/>
    <n v="1009"/>
    <n v="999"/>
    <n v="999"/>
    <n v="1057"/>
    <n v="1029"/>
    <n v="999"/>
    <n v="1013.1"/>
    <s v=""/>
    <s v="assinatura"/>
    <n v="255"/>
    <n v="1000"/>
    <n v="1.3100000000000023E-2"/>
    <n v="13.100000000000023"/>
    <x v="0"/>
    <x v="0"/>
  </r>
  <r>
    <x v="48"/>
    <x v="3"/>
    <s v="6ac631a23cf16866fa6da237"/>
    <s v="07/10/2026 08:37:15"/>
    <s v="07/10/2026 08:48:50"/>
    <s v="Ranieli"/>
    <s v="07/10/2026"/>
    <x v="1"/>
    <s v="ALANA DA SILVA MARTINS"/>
    <n v="54632"/>
    <n v="1017"/>
    <n v="997"/>
    <n v="1006"/>
    <n v="1025"/>
    <n v="1036"/>
    <n v="1010"/>
    <n v="1025"/>
    <n v="1031"/>
    <n v="1015"/>
    <n v="1001"/>
    <n v="1016.3"/>
    <s v=""/>
    <s v="assinatura"/>
    <n v="695"/>
    <n v="1000"/>
    <n v="1.6299999999999953E-2"/>
    <n v="16.299999999999955"/>
    <x v="11"/>
    <x v="1"/>
  </r>
  <r>
    <x v="48"/>
    <x v="3"/>
    <s v="6ac6318c1255169047e2370f"/>
    <s v="07/10/2026 08:41:39"/>
    <s v="07/10/2026 08:48:28"/>
    <s v="Ranieli"/>
    <s v="07/10/2026"/>
    <x v="1"/>
    <s v="ALANA DA SILVA MARTINS"/>
    <n v="42854"/>
    <n v="2141"/>
    <n v="2154"/>
    <n v="2168"/>
    <n v="2150"/>
    <n v="2153"/>
    <n v="2154"/>
    <n v="2142"/>
    <n v="2137"/>
    <n v="2153"/>
    <n v="2096"/>
    <n v="2144.8000000000002"/>
    <s v=""/>
    <s v="assinatura"/>
    <n v="408"/>
    <n v="2080"/>
    <n v="3.115384615384624E-2"/>
    <n v="64.800000000000182"/>
    <x v="4"/>
    <x v="1"/>
  </r>
  <r>
    <x v="49"/>
    <x v="3"/>
    <s v="6ac5da4a636e383ab3c2e99e"/>
    <s v="06/10/2026 23:34:39"/>
    <s v="07/10/2026 02:36:10"/>
    <s v="Ranieli"/>
    <s v="06/10/2026"/>
    <x v="0"/>
    <s v="JOSEFA KELY NUNES DE SOUSA"/>
    <n v="209039"/>
    <n v="1023"/>
    <n v="1024"/>
    <n v="1051"/>
    <n v="997"/>
    <n v="1004"/>
    <n v="1002"/>
    <n v="930"/>
    <n v="1026"/>
    <n v="1077"/>
    <n v="1006"/>
    <n v="1014"/>
    <s v=""/>
    <s v="assinatura"/>
    <n v="8158"/>
    <n v="1000"/>
    <n v="1.4E-2"/>
    <n v="14"/>
    <x v="19"/>
    <x v="3"/>
  </r>
  <r>
    <x v="49"/>
    <x v="3"/>
    <s v="6ac5da4a636e383ab3c2e998"/>
    <s v="06/10/2026 22:34:46"/>
    <s v="07/10/2026 02:36:10"/>
    <s v="Ranieli"/>
    <s v="06/10/2026"/>
    <x v="0"/>
    <s v="JOSEFA KELY NUNES DE SOUSA"/>
    <n v="40762"/>
    <n v="10020"/>
    <n v="10050"/>
    <n v="9985"/>
    <n v="10080"/>
    <n v="10035"/>
    <n v="10010"/>
    <n v="9960"/>
    <n v="10050"/>
    <n v="10005"/>
    <n v="9990"/>
    <n v="10018.5"/>
    <s v=""/>
    <s v="assinatura"/>
    <n v="11739"/>
    <n v="10000"/>
    <n v="1.8500000000000001E-3"/>
    <n v="18.5"/>
    <x v="3"/>
    <x v="1"/>
  </r>
  <r>
    <x v="49"/>
    <x v="3"/>
    <s v="6ac5da4a636e383ab3c2e992"/>
    <s v="06/10/2026 22:23:22"/>
    <s v="07/10/2026 02:36:10"/>
    <s v="Ranieli"/>
    <s v="06/10/2026"/>
    <x v="0"/>
    <s v="JOSEFA KELY NUNES DE SOUSA"/>
    <n v="963925"/>
    <n v="18090"/>
    <n v="18045"/>
    <n v="18315"/>
    <n v="18570"/>
    <n v="18130"/>
    <n v="18115"/>
    <n v="18230"/>
    <n v="18260"/>
    <n v="18405"/>
    <n v="18445"/>
    <n v="18260.5"/>
    <s v=""/>
    <s v="assinatura"/>
    <n v="12411"/>
    <n v="18000"/>
    <n v="1.4472222222222221E-2"/>
    <n v="260.5"/>
    <x v="15"/>
    <x v="3"/>
  </r>
  <r>
    <x v="49"/>
    <x v="3"/>
    <s v="6ac5da4a636e383ab3c2e98c"/>
    <s v="06/10/2026 22:19:49"/>
    <s v="07/10/2026 02:36:10"/>
    <s v="Ranieli"/>
    <s v="06/10/2026"/>
    <x v="0"/>
    <s v="JOSEFA KELY NUNES DE SOUSA"/>
    <n v="992014"/>
    <n v="710"/>
    <n v="710"/>
    <n v="709"/>
    <n v="702"/>
    <n v="702"/>
    <n v="713"/>
    <n v="716"/>
    <n v="696"/>
    <n v="705"/>
    <n v="699"/>
    <n v="706.2"/>
    <s v=""/>
    <s v="assinatura"/>
    <n v="12613"/>
    <n v="700"/>
    <n v="8.8571428571429228E-3"/>
    <n v="6.2000000000000455"/>
    <x v="14"/>
    <x v="1"/>
  </r>
  <r>
    <x v="49"/>
    <x v="3"/>
    <s v="6ac5da4a636e383ab3c2e984"/>
    <s v="06/10/2026 22:17:31"/>
    <s v="07/10/2026 02:36:10"/>
    <s v="Ranieli"/>
    <s v="06/10/2026"/>
    <x v="0"/>
    <s v="JOSEFA KELY NUNES DE SOUSA"/>
    <n v="15105"/>
    <n v="1000"/>
    <n v="1005"/>
    <n v="996"/>
    <n v="1004"/>
    <n v="1028"/>
    <n v="1019"/>
    <n v="1008"/>
    <n v="1014"/>
    <n v="1000"/>
    <n v="1022"/>
    <n v="1009.6"/>
    <s v=""/>
    <s v="assinatura"/>
    <n v="12730"/>
    <n v="1000"/>
    <n v="9.6000000000000234E-3"/>
    <n v="9.6000000000000227"/>
    <x v="0"/>
    <x v="0"/>
  </r>
  <r>
    <x v="49"/>
    <x v="3"/>
    <s v="6ac5da49636e383ab3c2e972"/>
    <s v="06/10/2026 19:21:23"/>
    <s v="07/10/2026 02:36:09"/>
    <s v="Ranieli"/>
    <s v="06/10/2026"/>
    <x v="0"/>
    <s v="JOSEFA KELY NUNES DE SOUSA"/>
    <n v="197734"/>
    <n v="1015"/>
    <n v="1014"/>
    <n v="1016"/>
    <n v="1035"/>
    <n v="1007"/>
    <n v="1003"/>
    <n v="1009"/>
    <n v="1002"/>
    <n v="1051"/>
    <n v="1011"/>
    <n v="1016.3"/>
    <s v=""/>
    <s v="assinatura"/>
    <n v="23227"/>
    <n v="1000"/>
    <n v="1.6299999999999953E-2"/>
    <n v="16.299999999999955"/>
    <x v="2"/>
    <x v="2"/>
  </r>
  <r>
    <x v="49"/>
    <x v="3"/>
    <s v="6ac5da49636e383ab3c2e96c"/>
    <s v="06/10/2026 19:10:51"/>
    <s v="07/10/2026 02:36:09"/>
    <s v="Ranieli"/>
    <s v="06/10/2026"/>
    <x v="0"/>
    <s v="JOSEFA KELY NUNES DE SOUSA"/>
    <n v="42820"/>
    <n v="2047"/>
    <n v="2072"/>
    <n v="2032"/>
    <n v="2033"/>
    <n v="2152"/>
    <n v="2079"/>
    <n v="2008"/>
    <n v="2080"/>
    <n v="2038"/>
    <n v="2007"/>
    <n v="2054.8000000000002"/>
    <s v=""/>
    <s v="assinatura"/>
    <n v="23818"/>
    <n v="2000"/>
    <n v="2.7400000000000091E-2"/>
    <n v="54.800000000000182"/>
    <x v="10"/>
    <x v="1"/>
  </r>
  <r>
    <x v="49"/>
    <x v="3"/>
    <s v="6ac5da49636e383ab3c2e966"/>
    <s v="06/10/2026 19:06:55"/>
    <s v="07/10/2026 02:36:09"/>
    <s v="Ranieli"/>
    <s v="06/10/2026"/>
    <x v="0"/>
    <s v="JOSEFA KELY NUNES DE SOUSA"/>
    <n v="42811"/>
    <n v="2027"/>
    <n v="2007"/>
    <n v="2072"/>
    <n v="2059"/>
    <n v="2044"/>
    <n v="2005"/>
    <n v="2075"/>
    <n v="2008"/>
    <n v="2017"/>
    <n v="2012"/>
    <n v="2032.6"/>
    <s v=""/>
    <s v="assinatura"/>
    <n v="24063"/>
    <n v="2000"/>
    <n v="1.6299999999999953E-2"/>
    <n v="32.599999999999909"/>
    <x v="32"/>
    <x v="1"/>
  </r>
  <r>
    <x v="49"/>
    <x v="3"/>
    <s v="6ac5da49636e383ab3c2e960"/>
    <s v="06/10/2026 19:04:55"/>
    <s v="07/10/2026 02:36:09"/>
    <s v="Ranieli"/>
    <s v="06/10/2026"/>
    <x v="0"/>
    <s v="JOSEFA KELY NUNES DE SOUSA"/>
    <n v="42838"/>
    <n v="2038"/>
    <n v="2023"/>
    <n v="2028"/>
    <n v="2021"/>
    <n v="2014"/>
    <n v="2020"/>
    <n v="2028"/>
    <n v="2018"/>
    <n v="2021"/>
    <n v="2018"/>
    <n v="2022.9"/>
    <s v=""/>
    <s v="assinatura"/>
    <n v="24204"/>
    <n v="2000"/>
    <n v="1.1450000000000045E-2"/>
    <n v="22.900000000000091"/>
    <x v="7"/>
    <x v="1"/>
  </r>
  <r>
    <x v="49"/>
    <x v="3"/>
    <s v="6ac5da49636e383ab3c2e95a"/>
    <s v="06/10/2026 19:02:40"/>
    <s v="07/10/2026 02:36:09"/>
    <s v="Ranieli"/>
    <s v="06/10/2026"/>
    <x v="0"/>
    <s v="JOSEFA KELY NUNES DE SOUSA"/>
    <n v="42846"/>
    <n v="2013"/>
    <n v="2005"/>
    <n v="2007"/>
    <n v="2019"/>
    <n v="1999"/>
    <n v="1999"/>
    <n v="2021"/>
    <n v="2114"/>
    <n v="1992"/>
    <n v="2012"/>
    <n v="2018.1"/>
    <s v=""/>
    <s v="assinatura"/>
    <n v="24260"/>
    <n v="2000"/>
    <n v="9.0499999999999539E-3"/>
    <n v="18.099999999999909"/>
    <x v="6"/>
    <x v="1"/>
  </r>
  <r>
    <x v="49"/>
    <x v="3"/>
    <s v="6ac5da49636e383ab3c2e954"/>
    <s v="06/10/2026 19:00:59"/>
    <s v="07/10/2026 02:36:09"/>
    <s v="Ranieli"/>
    <s v="06/10/2026"/>
    <x v="0"/>
    <s v="JOSEFA KELY NUNES DE SOUSA"/>
    <n v="42862"/>
    <n v="2006"/>
    <n v="2005"/>
    <n v="2012"/>
    <n v="2020"/>
    <n v="2011"/>
    <n v="2027"/>
    <n v="2000"/>
    <n v="2001"/>
    <n v="2017"/>
    <n v="2011"/>
    <n v="2011"/>
    <s v=""/>
    <s v="assinatura"/>
    <n v="24342"/>
    <n v="2000"/>
    <n v="5.4999999999999997E-3"/>
    <n v="11"/>
    <x v="5"/>
    <x v="1"/>
  </r>
  <r>
    <x v="49"/>
    <x v="3"/>
    <s v="6ac5da49636e383ab3c2e94e"/>
    <s v="06/10/2026 18:58:49"/>
    <s v="07/10/2026 02:36:09"/>
    <s v="Ranieli"/>
    <s v="06/10/2026"/>
    <x v="0"/>
    <s v="JOSEFA KELY NUNES DE SOUSA"/>
    <n v="42854"/>
    <n v="2110"/>
    <n v="2093"/>
    <n v="2031"/>
    <n v="2098"/>
    <n v="2107"/>
    <n v="2105"/>
    <n v="2107"/>
    <n v="2112"/>
    <n v="2111"/>
    <n v="2106"/>
    <n v="2098"/>
    <s v=""/>
    <s v="assinatura"/>
    <n v="24446"/>
    <n v="2080"/>
    <n v="8.6538461538461543E-3"/>
    <n v="18"/>
    <x v="4"/>
    <x v="1"/>
  </r>
  <r>
    <x v="49"/>
    <x v="3"/>
    <s v="6ac5da48636e383ab3c2e942"/>
    <s v="06/10/2026 17:26:14"/>
    <s v="07/10/2026 02:36:08"/>
    <s v="Ranieli"/>
    <s v="06/10/2026"/>
    <x v="0"/>
    <s v="JOSEFA KELY NUNES DE SOUSA"/>
    <n v="40762"/>
    <n v="9965"/>
    <n v="10025"/>
    <n v="9995"/>
    <n v="9935"/>
    <n v="9915"/>
    <n v="10030"/>
    <n v="9995"/>
    <n v="10010"/>
    <n v="9815"/>
    <n v="10015"/>
    <n v="9970"/>
    <s v=""/>
    <s v="assinatura"/>
    <n v="29956"/>
    <n v="10000"/>
    <n v="-3.0000000000000001E-3"/>
    <n v="-30"/>
    <x v="3"/>
    <x v="1"/>
  </r>
  <r>
    <x v="49"/>
    <x v="3"/>
    <s v="6ac5da48636e383ab3c2e93c"/>
    <s v="06/10/2026 17:18:01"/>
    <s v="07/10/2026 02:36:08"/>
    <s v="Ranieli"/>
    <s v="06/10/2026"/>
    <x v="0"/>
    <s v="JOSEFA KELY NUNES DE SOUSA"/>
    <n v="995638"/>
    <n v="15030"/>
    <n v="15035"/>
    <n v="15050"/>
    <n v="15025"/>
    <n v="15035"/>
    <n v="15030"/>
    <n v="15040"/>
    <n v="15045"/>
    <n v="15040"/>
    <n v="15005"/>
    <n v="15033.5"/>
    <s v=""/>
    <s v="assinatura"/>
    <n v="30432"/>
    <n v="15000"/>
    <n v="2.2333333333333333E-3"/>
    <n v="33.5"/>
    <x v="21"/>
    <x v="3"/>
  </r>
  <r>
    <x v="49"/>
    <x v="3"/>
    <s v="6ac5da48636e383ab3c2e936"/>
    <s v="06/10/2026 17:13:27"/>
    <s v="07/10/2026 02:36:08"/>
    <s v="Ranieli"/>
    <s v="06/10/2026"/>
    <x v="0"/>
    <s v="JOSEFA KELY NUNES DE SOUSA"/>
    <n v="15105"/>
    <n v="1002"/>
    <n v="1038"/>
    <n v="1014"/>
    <n v="1041"/>
    <n v="1003"/>
    <n v="1038"/>
    <n v="996"/>
    <n v="1033"/>
    <n v="995"/>
    <n v="1013"/>
    <n v="1017.3"/>
    <s v=""/>
    <s v="assinatura"/>
    <n v="30694"/>
    <n v="1000"/>
    <n v="1.7299999999999954E-2"/>
    <n v="17.299999999999955"/>
    <x v="0"/>
    <x v="0"/>
  </r>
  <r>
    <x v="48"/>
    <x v="3"/>
    <s v="6ac5bc7a6bcca7f96f5042df"/>
    <s v="07/10/2026 00:20:10"/>
    <s v="07/10/2026 00:28:58"/>
    <s v="Ranieli"/>
    <s v="07/10/2026"/>
    <x v="0"/>
    <s v="JULIANE GOMES NOVAIS"/>
    <n v="42838"/>
    <n v="2012"/>
    <n v="2029"/>
    <n v="2023"/>
    <n v="2020"/>
    <n v="2026"/>
    <n v="2029"/>
    <n v="2030"/>
    <n v="2019"/>
    <n v="2017"/>
    <n v="2024"/>
    <n v="2022.9"/>
    <s v=""/>
    <s v="assinatura"/>
    <n v="293"/>
    <n v="2000"/>
    <n v="1.1450000000000045E-2"/>
    <n v="22.900000000000091"/>
    <x v="7"/>
    <x v="1"/>
  </r>
  <r>
    <x v="48"/>
    <x v="3"/>
    <s v="6ac5bc7a6bcca7f96f5042d9"/>
    <s v="07/10/2026 00:18:30"/>
    <s v="07/10/2026 00:28:58"/>
    <s v="Ranieli"/>
    <s v="07/10/2026"/>
    <x v="0"/>
    <s v="JULIANE GOMES NOVAIS"/>
    <n v="42846"/>
    <n v="2008"/>
    <n v="2005"/>
    <n v="2015"/>
    <n v="2016"/>
    <n v="2001"/>
    <n v="2012"/>
    <n v="1992"/>
    <n v="2004"/>
    <n v="2007"/>
    <n v="2000"/>
    <n v="2006"/>
    <s v=""/>
    <s v="assinatura"/>
    <n v="410"/>
    <n v="2000"/>
    <n v="3.0000000000000001E-3"/>
    <n v="6"/>
    <x v="6"/>
    <x v="1"/>
  </r>
  <r>
    <x v="48"/>
    <x v="3"/>
    <s v="6ac5bc7a6bcca7f96f5042d3"/>
    <s v="07/10/2026 00:15:35"/>
    <s v="07/10/2026 00:28:58"/>
    <s v="Ranieli"/>
    <s v="07/10/2026"/>
    <x v="0"/>
    <s v="JULIANE GOMES NOVAIS"/>
    <n v="42854"/>
    <n v="2115"/>
    <n v="2089"/>
    <n v="2096"/>
    <n v="2088"/>
    <n v="2095"/>
    <n v="2075"/>
    <n v="2117"/>
    <n v="2108"/>
    <n v="2113"/>
    <n v="2112"/>
    <n v="2100.8000000000002"/>
    <s v=""/>
    <s v="assinatura"/>
    <n v="601"/>
    <n v="2080"/>
    <n v="1.0000000000000087E-2"/>
    <n v="20.800000000000182"/>
    <x v="4"/>
    <x v="1"/>
  </r>
  <r>
    <x v="48"/>
    <x v="3"/>
    <s v="6ac5bc7a6bcca7f96f5042cd"/>
    <s v="07/10/2026 00:12:25"/>
    <s v="07/10/2026 00:28:58"/>
    <s v="Ranieli"/>
    <s v="07/10/2026"/>
    <x v="0"/>
    <s v="JULIANE GOMES NOVAIS"/>
    <n v="42862"/>
    <n v="2005"/>
    <n v="2013"/>
    <n v="2016"/>
    <n v="2022"/>
    <n v="1993"/>
    <n v="2008"/>
    <n v="1989"/>
    <n v="2007"/>
    <n v="1998"/>
    <n v="2013"/>
    <n v="2006.4"/>
    <s v=""/>
    <s v="assinatura"/>
    <n v="742"/>
    <n v="2000"/>
    <n v="3.2000000000000457E-3"/>
    <n v="6.4000000000000909"/>
    <x v="5"/>
    <x v="1"/>
  </r>
  <r>
    <x v="48"/>
    <x v="3"/>
    <s v="6ac5bc796bcca7f96f5042c7"/>
    <s v="07/10/2026 00:06:44"/>
    <s v="07/10/2026 00:28:57"/>
    <s v="Ranieli"/>
    <s v="07/10/2026"/>
    <x v="0"/>
    <s v="JULIANE GOMES NOVAIS"/>
    <n v="40762"/>
    <n v="9990"/>
    <n v="10060"/>
    <n v="10115"/>
    <n v="10050"/>
    <n v="10035"/>
    <n v="10000"/>
    <n v="10040"/>
    <n v="9975"/>
    <n v="9995"/>
    <n v="10075"/>
    <n v="10033.5"/>
    <s v=""/>
    <s v="assinatura"/>
    <n v="1154"/>
    <n v="10000"/>
    <n v="3.3500000000000001E-3"/>
    <n v="33.5"/>
    <x v="3"/>
    <x v="1"/>
  </r>
  <r>
    <x v="49"/>
    <x v="3"/>
    <s v="6ac5bc796bcca7f96f5042af"/>
    <s v="06/10/2026 23:52:30"/>
    <s v="07/10/2026 00:28:57"/>
    <s v="Ranieli"/>
    <s v="06/10/2026"/>
    <x v="0"/>
    <s v="JULIANE GOMES NOVAIS"/>
    <n v="15105"/>
    <n v="1026"/>
    <n v="937"/>
    <n v="1198"/>
    <n v="1011"/>
    <n v="1045"/>
    <n v="1006"/>
    <n v="1050"/>
    <n v="1015"/>
    <n v="1007"/>
    <n v="1007"/>
    <n v="1030.2"/>
    <s v=""/>
    <s v="assinatura"/>
    <n v="784"/>
    <n v="1000"/>
    <n v="3.0200000000000046E-2"/>
    <n v="30.200000000000045"/>
    <x v="0"/>
    <x v="0"/>
  </r>
  <r>
    <x v="49"/>
    <x v="3"/>
    <s v="6ac53b984854db7e48dab89e"/>
    <s v="06/10/2026 11:48:10"/>
    <s v="06/10/2026 15:19:04"/>
    <s v="Ranieli"/>
    <s v="06/10/2026"/>
    <x v="1"/>
    <s v="ALANA DA SILVA MARTINS"/>
    <n v="992014"/>
    <n v="689"/>
    <n v="699"/>
    <n v="700"/>
    <n v="700"/>
    <n v="693"/>
    <n v="699"/>
    <n v="686"/>
    <n v="700"/>
    <n v="699"/>
    <n v="697"/>
    <n v="696.2"/>
    <s v=""/>
    <s v="assinatura"/>
    <n v="12303"/>
    <n v="700"/>
    <n v="-5.4285714285713634E-3"/>
    <n v="-3.7999999999999545"/>
    <x v="14"/>
    <x v="1"/>
  </r>
  <r>
    <x v="49"/>
    <x v="3"/>
    <s v="6ac53b984854db7e48dab898"/>
    <s v="06/10/2026 11:41:36"/>
    <s v="06/10/2026 15:19:04"/>
    <s v="Ranieli"/>
    <s v="06/10/2026"/>
    <x v="1"/>
    <s v="ALANA DA SILVA MARTINS"/>
    <n v="15105"/>
    <n v="1028"/>
    <n v="836"/>
    <n v="1015"/>
    <n v="823"/>
    <n v="942"/>
    <n v="998"/>
    <n v="1002"/>
    <n v="985"/>
    <n v="994"/>
    <n v="1001"/>
    <n v="962.4"/>
    <s v=""/>
    <s v="assinatura"/>
    <n v="12725"/>
    <n v="1000"/>
    <n v="-3.7600000000000022E-2"/>
    <n v="-37.600000000000023"/>
    <x v="0"/>
    <x v="0"/>
  </r>
  <r>
    <x v="49"/>
    <x v="3"/>
    <s v="6ac53b984854db7e48dab892"/>
    <s v="06/10/2026 11:30:24"/>
    <s v="06/10/2026 15:19:04"/>
    <s v="Ranieli"/>
    <s v="06/10/2026"/>
    <x v="1"/>
    <s v="ALANA DA SILVA MARTINS"/>
    <n v="42862"/>
    <n v="2061"/>
    <n v="2045"/>
    <n v="1972"/>
    <n v="1991"/>
    <n v="2012"/>
    <n v="2038"/>
    <n v="2078"/>
    <n v="2008"/>
    <n v="2040"/>
    <n v="2058"/>
    <n v="2030.3"/>
    <s v=""/>
    <s v="assinatura"/>
    <n v="13424"/>
    <n v="2000"/>
    <n v="1.5149999999999978E-2"/>
    <n v="30.299999999999955"/>
    <x v="5"/>
    <x v="1"/>
  </r>
  <r>
    <x v="49"/>
    <x v="3"/>
    <s v="6ac53b984854db7e48dab88c"/>
    <s v="06/10/2026 08:46:46"/>
    <s v="06/10/2026 15:19:04"/>
    <s v="Ranieli"/>
    <s v="06/10/2026"/>
    <x v="1"/>
    <s v="ALANA DA SILVA MARTINS"/>
    <n v="15105"/>
    <n v="1048"/>
    <n v="999"/>
    <n v="1005"/>
    <n v="1023"/>
    <n v="1042"/>
    <n v="999"/>
    <n v="1029"/>
    <n v="1013"/>
    <n v="1038"/>
    <n v="1006"/>
    <n v="1020.2"/>
    <s v=""/>
    <s v="assinatura"/>
    <n v="23292"/>
    <n v="1000"/>
    <n v="2.0200000000000044E-2"/>
    <n v="20.200000000000045"/>
    <x v="0"/>
    <x v="0"/>
  </r>
  <r>
    <x v="49"/>
    <x v="3"/>
    <s v="6ac50accfeff8ad15700bb18"/>
    <s v="06/10/2026 08:25:14"/>
    <s v="06/10/2026 11:50:52"/>
    <s v="Ranieli"/>
    <s v="06/10/2026"/>
    <x v="1"/>
    <s v="ALANA DA SILVA MARTINS"/>
    <n v="42846"/>
    <n v="2006"/>
    <n v="1982"/>
    <n v="1984"/>
    <n v="1980"/>
    <n v="2008"/>
    <n v="1915"/>
    <n v="1961"/>
    <n v="2056"/>
    <n v="2006"/>
    <n v="2135"/>
    <n v="2003.3"/>
    <s v=""/>
    <s v="assinatura"/>
    <n v="470"/>
    <n v="2000"/>
    <n v="1.6499999999999772E-3"/>
    <n v="3.2999999999999545"/>
    <x v="6"/>
    <x v="1"/>
  </r>
  <r>
    <x v="49"/>
    <x v="3"/>
    <s v="6ac50accfeff8ad15700bb12"/>
    <s v="06/10/2026 08:20:42"/>
    <s v="06/10/2026 11:50:52"/>
    <s v="Ranieli"/>
    <s v="06/10/2026"/>
    <x v="1"/>
    <s v="ALANA DA SILVA MARTINS"/>
    <n v="42854"/>
    <n v="2151"/>
    <n v="2133"/>
    <n v="2145"/>
    <n v="1876"/>
    <n v="2078"/>
    <n v="1913"/>
    <n v="2152"/>
    <n v="2156"/>
    <n v="2146"/>
    <n v="2151"/>
    <n v="2090.1"/>
    <s v=""/>
    <s v="assinatura"/>
    <n v="711"/>
    <n v="2080"/>
    <n v="4.855769230769187E-3"/>
    <n v="10.099999999999909"/>
    <x v="4"/>
    <x v="1"/>
  </r>
  <r>
    <x v="49"/>
    <x v="3"/>
    <s v="6ac50accfeff8ad15700bb0c"/>
    <s v="06/10/2026 08:16:28"/>
    <s v="06/10/2026 11:50:52"/>
    <s v="Ranieli"/>
    <s v="06/10/2026"/>
    <x v="1"/>
    <s v="ALANA DA SILVA MARTINS"/>
    <n v="54632"/>
    <n v="996"/>
    <n v="1017"/>
    <n v="998"/>
    <n v="1003"/>
    <n v="1005"/>
    <n v="1007"/>
    <n v="996"/>
    <n v="1003"/>
    <n v="992"/>
    <n v="989"/>
    <n v="1000.6"/>
    <s v=""/>
    <s v="assinatura"/>
    <n v="950"/>
    <n v="1000"/>
    <n v="6.0000000000002272E-4"/>
    <n v="0.60000000000002274"/>
    <x v="11"/>
    <x v="1"/>
  </r>
  <r>
    <x v="45"/>
    <x v="3"/>
    <s v="6ac50accfeff8ad15700bb06"/>
    <s v="05/10/2026 08:43:51"/>
    <s v="06/10/2026 11:50:52"/>
    <s v="Ranieli"/>
    <s v="05/10/2026"/>
    <x v="1"/>
    <s v="ALANA DA SILVA MARTINS"/>
    <n v="54632"/>
    <n v="1002"/>
    <n v="990"/>
    <n v="995"/>
    <n v="1004"/>
    <n v="1008"/>
    <n v="992"/>
    <n v="986"/>
    <s v=""/>
    <n v="1000"/>
    <n v="997"/>
    <n v="997"/>
    <s v=""/>
    <s v="assinatura"/>
    <n v="85687"/>
    <n v="1000"/>
    <n v="-3.0000000000000001E-3"/>
    <n v="-3"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4" applyNumberFormats="0" applyBorderFormats="0" applyFontFormats="0" applyPatternFormats="0" applyAlignmentFormats="0" applyWidthHeightFormats="1" dataCaption="Valores" updatedVersion="5" minRefreshableVersion="5" rowGrandTotals="0" itemPrintTitles="1" createdVersion="5" indent="0" outline="1" outlineData="1" multipleFieldFilters="0" rowHeaderCaption="FAMÍLIA">
  <location ref="A5:J40" firstHeaderRow="1" firstDataRow="2" firstDataCol="1"/>
  <pivotFields count="29">
    <pivotField axis="axisCol" numFmtId="165" showAll="0" sortType="ascending" defaultSubtotal="0">
      <items count="57">
        <item x="0"/>
        <item x="1"/>
        <item x="2"/>
        <item x="3"/>
        <item x="4"/>
        <item x="5"/>
        <item m="1" x="54"/>
        <item x="6"/>
        <item x="8"/>
        <item x="10"/>
        <item x="11"/>
        <item x="12"/>
        <item m="1" x="53"/>
        <item x="14"/>
        <item x="13"/>
        <item x="15"/>
        <item x="7"/>
        <item x="9"/>
        <item x="16"/>
        <item m="1" x="52"/>
        <item x="17"/>
        <item x="18"/>
        <item x="19"/>
        <item x="20"/>
        <item x="21"/>
        <item x="23"/>
        <item x="22"/>
        <item x="25"/>
        <item x="24"/>
        <item x="26"/>
        <item x="28"/>
        <item x="27"/>
        <item x="30"/>
        <item x="29"/>
        <item x="31"/>
        <item x="32"/>
        <item x="33"/>
        <item x="35"/>
        <item x="34"/>
        <item m="1" x="56"/>
        <item x="37"/>
        <item x="36"/>
        <item x="38"/>
        <item x="40"/>
        <item x="39"/>
        <item m="1" x="55"/>
        <item x="41"/>
        <item x="43"/>
        <item x="42"/>
        <item x="44"/>
        <item x="46"/>
        <item x="45"/>
        <item x="49"/>
        <item x="48"/>
        <item x="47"/>
        <item x="51"/>
        <item x="50"/>
      </items>
    </pivotField>
    <pivotField showAll="0">
      <items count="5">
        <item h="1" x="0"/>
        <item h="1" x="1"/>
        <item h="1"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 defaultSubtotal="0"/>
    <pivotField axis="axisRow" showAll="0">
      <items count="42">
        <item sd="0" x="12"/>
        <item sd="0" x="9"/>
        <item sd="0" x="3"/>
        <item sd="0" x="11"/>
        <item sd="0" x="10"/>
        <item sd="0" x="7"/>
        <item sd="0" x="6"/>
        <item sd="0" x="4"/>
        <item sd="0" x="5"/>
        <item sd="0" x="1"/>
        <item sd="0" x="19"/>
        <item sd="0" x="0"/>
        <item sd="0" x="2"/>
        <item sd="0" x="18"/>
        <item sd="0" x="17"/>
        <item sd="0" x="20"/>
        <item sd="0" x="16"/>
        <item sd="0" x="14"/>
        <item sd="0" x="13"/>
        <item sd="0" x="8"/>
        <item sd="0" m="1" x="40"/>
        <item sd="0" x="21"/>
        <item sd="0" x="15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t="default" sd="0"/>
      </items>
    </pivotField>
    <pivotField axis="axisRow" showAll="0">
      <items count="11">
        <item x="3"/>
        <item sd="0" x="4"/>
        <item x="0"/>
        <item x="1"/>
        <item x="2"/>
        <item sd="0" m="1" x="9"/>
        <item x="5"/>
        <item sd="0" x="6"/>
        <item x="7"/>
        <item x="8"/>
        <item t="default" sd="0"/>
      </items>
    </pivotField>
  </pivotFields>
  <rowFields count="3">
    <field x="28"/>
    <field x="27"/>
    <field x="7"/>
  </rowFields>
  <rowItems count="34">
    <i>
      <x/>
    </i>
    <i r="1">
      <x/>
    </i>
    <i r="1">
      <x v="10"/>
    </i>
    <i r="1">
      <x v="18"/>
    </i>
    <i r="1">
      <x v="21"/>
    </i>
    <i r="1">
      <x v="22"/>
    </i>
    <i>
      <x v="1"/>
    </i>
    <i>
      <x v="2"/>
    </i>
    <i r="1">
      <x v="11"/>
    </i>
    <i r="1">
      <x v="29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7"/>
    </i>
    <i r="1">
      <x v="19"/>
    </i>
    <i r="1">
      <x v="27"/>
    </i>
    <i r="1">
      <x v="32"/>
    </i>
    <i r="1">
      <x v="33"/>
    </i>
    <i r="1">
      <x v="35"/>
    </i>
    <i r="1">
      <x v="37"/>
    </i>
    <i>
      <x v="4"/>
    </i>
    <i r="1">
      <x v="12"/>
    </i>
    <i r="1">
      <x v="30"/>
    </i>
    <i r="1">
      <x v="40"/>
    </i>
    <i>
      <x v="8"/>
    </i>
    <i r="1">
      <x v="36"/>
    </i>
    <i>
      <x v="9"/>
    </i>
    <i r="1">
      <x v="38"/>
    </i>
  </rowItems>
  <colFields count="1">
    <field x="0"/>
  </colFields>
  <colItems count="9"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 t="grand">
      <x/>
    </i>
  </colItems>
  <dataFields count="1">
    <dataField name="Média de Desvio" fld="26" subtotal="average" baseField="27" baseItem="3" numFmtId="167"/>
  </dataFields>
  <formats count="14">
    <format dxfId="78">
      <pivotArea outline="0" collapsedLevelsAreSubtotals="1" fieldPosition="0"/>
    </format>
    <format dxfId="77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6">
      <pivotArea dataOnly="0" labelOnly="1" grandCol="1" outline="0" fieldPosition="0"/>
    </format>
    <format dxfId="75">
      <pivotArea dataOnly="0" labelOnly="1" fieldPosition="0">
        <references count="1">
          <reference field="0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4">
      <pivotArea dataOnly="0" labelOnly="1" grandCol="1" outline="0" fieldPosition="0"/>
    </format>
    <format dxfId="73">
      <pivotArea collapsedLevelsAreSubtotals="1" fieldPosition="0">
        <references count="3">
          <reference field="0" count="1" selected="0">
            <x v="8"/>
          </reference>
          <reference field="27" count="1">
            <x v="14"/>
          </reference>
          <reference field="28" count="1" selected="0">
            <x v="0"/>
          </reference>
        </references>
      </pivotArea>
    </format>
    <format dxfId="72">
      <pivotArea field="28" type="button" dataOnly="0" labelOnly="1" outline="0" axis="axisRow" fieldPosition="0"/>
    </format>
    <format dxfId="71">
      <pivotArea dataOnly="0" labelOnly="1" fieldPosition="0">
        <references count="1">
          <reference field="0" count="4">
            <x v="26"/>
            <x v="27"/>
            <x v="28"/>
            <x v="29"/>
          </reference>
        </references>
      </pivotArea>
    </format>
    <format dxfId="70">
      <pivotArea dataOnly="0" labelOnly="1" grandCol="1" outline="0" fieldPosition="0"/>
    </format>
    <format dxfId="69">
      <pivotArea field="28" type="button" dataOnly="0" labelOnly="1" outline="0" axis="axisRow" fieldPosition="0"/>
    </format>
    <format dxfId="68">
      <pivotArea dataOnly="0" labelOnly="1" fieldPosition="0">
        <references count="1">
          <reference field="0" count="9">
            <x v="26"/>
            <x v="27"/>
            <x v="28"/>
            <x v="29"/>
            <x v="30"/>
            <x v="31"/>
            <x v="32"/>
            <x v="33"/>
            <x v="34"/>
          </reference>
        </references>
      </pivotArea>
    </format>
    <format dxfId="67">
      <pivotArea dataOnly="0" labelOnly="1" fieldPosition="0">
        <references count="1">
          <reference field="0" count="1">
            <x v="35"/>
          </reference>
        </references>
      </pivotArea>
    </format>
    <format dxfId="66">
      <pivotArea dataOnly="0" labelOnly="1" grandCol="1" outline="0" fieldPosition="0"/>
    </format>
    <format dxfId="65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Dark1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1" cacheId="14" applyNumberFormats="0" applyBorderFormats="0" applyFontFormats="0" applyPatternFormats="0" applyAlignmentFormats="0" applyWidthHeightFormats="1" dataCaption="Valores" updatedVersion="5" minRefreshableVersion="3" colGrandTotals="0" itemPrintTitles="1" createdVersion="5" indent="0" outline="1" outlineData="1" multipleFieldFilters="0" rowHeaderCaption="FAMÍLIA">
  <location ref="A5:E59" firstHeaderRow="1" firstDataRow="2" firstDataCol="1"/>
  <pivotFields count="29">
    <pivotField numFmtId="165" showAll="0" defaultSubtota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m="1"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 defaultSubtotal="0"/>
    <pivotField axis="axisRow" showAll="0">
      <items count="42">
        <item sd="0" x="12"/>
        <item sd="0" x="9"/>
        <item sd="0" x="3"/>
        <item sd="0" x="11"/>
        <item sd="0" x="10"/>
        <item sd="0" x="7"/>
        <item sd="0" x="6"/>
        <item sd="0" x="4"/>
        <item sd="0" x="5"/>
        <item sd="0" x="1"/>
        <item sd="0" x="19"/>
        <item sd="0" x="0"/>
        <item sd="0" x="2"/>
        <item sd="0" x="18"/>
        <item sd="0" x="17"/>
        <item sd="0" x="20"/>
        <item sd="0" x="16"/>
        <item sd="0" x="14"/>
        <item sd="0" x="13"/>
        <item sd="0" x="8"/>
        <item sd="0" m="1" x="40"/>
        <item sd="0" x="21"/>
        <item sd="0" x="15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x="32"/>
        <item x="33"/>
        <item x="34"/>
        <item x="35"/>
        <item x="36"/>
        <item x="37"/>
        <item x="38"/>
        <item x="39"/>
        <item t="default" sd="0"/>
      </items>
    </pivotField>
    <pivotField axis="axisRow" showAll="0">
      <items count="11">
        <item x="3"/>
        <item sd="0" x="4"/>
        <item sd="0" x="0"/>
        <item x="1"/>
        <item sd="0" x="2"/>
        <item sd="0" m="1" x="9"/>
        <item x="5"/>
        <item x="6"/>
        <item x="7"/>
        <item x="8"/>
        <item t="default" sd="0"/>
      </items>
    </pivotField>
  </pivotFields>
  <rowFields count="3">
    <field x="28"/>
    <field x="27"/>
    <field x="7"/>
  </rowFields>
  <rowItems count="53">
    <i>
      <x/>
    </i>
    <i r="1">
      <x/>
    </i>
    <i r="1">
      <x v="10"/>
    </i>
    <i r="1">
      <x v="13"/>
    </i>
    <i r="1">
      <x v="14"/>
    </i>
    <i r="1">
      <x v="15"/>
    </i>
    <i r="1">
      <x v="18"/>
    </i>
    <i r="1">
      <x v="21"/>
    </i>
    <i r="1">
      <x v="22"/>
    </i>
    <i r="1">
      <x v="24"/>
    </i>
    <i>
      <x v="1"/>
    </i>
    <i>
      <x v="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7"/>
    </i>
    <i r="1">
      <x v="19"/>
    </i>
    <i r="1">
      <x v="26"/>
    </i>
    <i r="1">
      <x v="27"/>
    </i>
    <i r="1">
      <x v="31"/>
    </i>
    <i r="1">
      <x v="32"/>
    </i>
    <i r="1">
      <x v="33"/>
    </i>
    <i r="2">
      <x v="2"/>
    </i>
    <i r="1">
      <x v="34"/>
    </i>
    <i r="2">
      <x v="2"/>
    </i>
    <i r="1">
      <x v="35"/>
    </i>
    <i r="2">
      <x v="1"/>
    </i>
    <i r="2">
      <x v="2"/>
    </i>
    <i r="1">
      <x v="37"/>
    </i>
    <i r="2">
      <x v="1"/>
    </i>
    <i r="2">
      <x v="2"/>
    </i>
    <i r="1">
      <x v="39"/>
    </i>
    <i r="2">
      <x v="2"/>
    </i>
    <i>
      <x v="4"/>
    </i>
    <i>
      <x v="6"/>
    </i>
    <i r="1">
      <x v="23"/>
    </i>
    <i>
      <x v="7"/>
    </i>
    <i r="1">
      <x v="28"/>
    </i>
    <i>
      <x v="8"/>
    </i>
    <i r="1">
      <x v="36"/>
    </i>
    <i r="2">
      <x v="1"/>
    </i>
    <i>
      <x v="9"/>
    </i>
    <i r="1">
      <x v="38"/>
    </i>
    <i r="2">
      <x v="1"/>
    </i>
    <i r="2">
      <x v="2"/>
    </i>
    <i t="grand">
      <x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Média de Desvio" fld="26" subtotal="average" baseField="27" baseItem="1" numFmtId="167"/>
  </dataFields>
  <formats count="4">
    <format dxfId="64">
      <pivotArea outline="0" collapsedLevelsAreSubtotals="1" fieldPosition="0"/>
    </format>
    <format dxfId="63">
      <pivotArea dataOnly="0" labelOnly="1" grandCol="1" outline="0" fieldPosition="0"/>
    </format>
    <format dxfId="62">
      <pivotArea dataOnly="0" labelOnly="1" grandCol="1" outline="0" fieldPosition="0"/>
    </format>
    <format dxfId="61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1" count="0" selected="0"/>
            <reference field="27" count="0" selected="0"/>
          </references>
        </pivotArea>
      </pivotAreas>
    </conditionalFormat>
  </conditionalFormats>
  <pivotTableStyleInfo name="PivotStyleDark1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" sourceName="Mês">
  <pivotTables>
    <pivotTable tabId="4" name="Tabela dinâmica1"/>
  </pivotTables>
  <data>
    <tabular pivotCacheId="1">
      <items count="4">
        <i x="0"/>
        <i x="1"/>
        <i x="2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Turno" sourceName="Turno">
  <pivotTables>
    <pivotTable tabId="4" name="Tabela dinâmica1"/>
  </pivotTables>
  <data>
    <tabular pivotCacheId="1">
      <items count="3">
        <i x="1" s="1"/>
        <i x="0" s="1"/>
        <i x="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Família" sourceName="Família">
  <pivotTables>
    <pivotTable tabId="4" name="Tabela dinâmica1"/>
  </pivotTables>
  <data>
    <tabular pivotCacheId="1">
      <items count="10">
        <i x="3" s="1"/>
        <i x="7" s="1"/>
        <i x="8" s="1"/>
        <i x="4" s="1"/>
        <i x="0" s="1"/>
        <i x="1" s="1"/>
        <i x="2" s="1"/>
        <i x="6" s="1" nd="1"/>
        <i x="5" s="1" nd="1"/>
        <i x="9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Mês1" sourceName="Mês">
  <pivotTables>
    <pivotTable tabId="5" name="Tabela dinâmica1"/>
  </pivotTables>
  <data>
    <tabular pivotCacheId="1">
      <items count="4">
        <i x="0" s="1"/>
        <i x="1" s="1"/>
        <i x="2" s="1"/>
        <i x="3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Turno1" sourceName="Turno">
  <pivotTables>
    <pivotTable tabId="5" name="Tabela dinâmica1"/>
  </pivotTables>
  <data>
    <tabular pivotCacheId="1">
      <items count="3">
        <i x="1" s="1"/>
        <i x="0" s="1"/>
        <i x="2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Família1" sourceName="Família">
  <pivotTables>
    <pivotTable tabId="5" name="Tabela dinâmica1"/>
  </pivotTables>
  <data>
    <tabular pivotCacheId="1">
      <items count="10">
        <i x="3" s="1"/>
        <i x="7" s="1"/>
        <i x="8" s="1"/>
        <i x="6" s="1"/>
        <i x="5" s="1"/>
        <i x="4" s="1"/>
        <i x="0" s="1"/>
        <i x="1" s="1"/>
        <i x="2" s="1"/>
        <i x="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" cache="SegmentaçãodeDados_Mês" caption="Mês" columnCount="4" showCaption="0" style="SlicerStyleDark3" rowHeight="241300"/>
  <slicer name=" " cache="SegmentaçãodeDados_Turno" caption=" " style="SlicerStyleDark3" rowHeight="241300"/>
  <slicer name="Família" cache="SegmentaçãodeDados_Família" caption="Família" columnCount="2" style="SlicerStyleDark3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ês 1" cache="SegmentaçãodeDados_Mês1" caption="Mês" columnCount="6" showCaption="0" style="SlicerStyleDark3" rowHeight="241300"/>
  <slicer name="Turno 1" cache="SegmentaçãodeDados_Turno1" caption="Turno" showCaption="0" style="SlicerStyleDark3" rowHeight="241300"/>
  <slicer name="Família 1" cache="SegmentaçãodeDados_Família1" caption="Família" columnCount="2" style="SlicerStyleDark3" rowHeight="241300"/>
</slicers>
</file>

<file path=xl/tables/table1.xml><?xml version="1.0" encoding="utf-8"?>
<table xmlns="http://schemas.openxmlformats.org/spreadsheetml/2006/main" id="1" name="Tabela1" displayName="Tabela1" ref="A1:AC1533" totalsRowShown="0">
  <autoFilter ref="A1:AC1533"/>
  <tableColumns count="29">
    <tableColumn id="25" name="Data Corrigida" dataDxfId="60">
      <calculatedColumnFormula>INT(Tabela1[[#This Row],[Data e Hora2]])</calculatedColumnFormula>
    </tableColumn>
    <tableColumn id="26" name="Mês" dataDxfId="59">
      <calculatedColumnFormula>UPPER(TEXT(Tabela1[[#This Row],[Data Corrigida]],"MMM"))</calculatedColumnFormula>
    </tableColumn>
    <tableColumn id="1" name="ID"/>
    <tableColumn id="2" name="Data e Hora" dataDxfId="58"/>
    <tableColumn id="3" name="Data recebimento" dataDxfId="57"/>
    <tableColumn id="4" name="Usuário"/>
    <tableColumn id="5" name="Data e Hora2" dataDxfId="56"/>
    <tableColumn id="6" name="Turno"/>
    <tableColumn id="7" name="Agente de Monitoramento"/>
    <tableColumn id="8" name="SKU"/>
    <tableColumn id="9" name="Peso  1" dataDxfId="55"/>
    <tableColumn id="10" name="Peso  2" dataDxfId="54"/>
    <tableColumn id="11" name="Peso  3" dataDxfId="53"/>
    <tableColumn id="12" name="Peso  4" dataDxfId="52"/>
    <tableColumn id="13" name="Peso  5" dataDxfId="51"/>
    <tableColumn id="14" name="Peso  6" dataDxfId="50"/>
    <tableColumn id="15" name="Peso  7" dataDxfId="49"/>
    <tableColumn id="16" name="Peso  8" dataDxfId="48"/>
    <tableColumn id="17" name="Peso  9" dataDxfId="47"/>
    <tableColumn id="18" name="Peso  10" dataDxfId="46"/>
    <tableColumn id="19" name="Média" dataDxfId="45"/>
    <tableColumn id="20" name="Média (Comentário)"/>
    <tableColumn id="21" name="Colunas1"/>
    <tableColumn id="22" name="Tempo de resposta"/>
    <tableColumn id="28" name="Meta" dataDxfId="44">
      <calculatedColumnFormula>VLOOKUP(Tabela1[[#This Row],[SKU]],SKU!A:D,4,0)</calculatedColumnFormula>
    </tableColumn>
    <tableColumn id="27" name="% Sobrepeso" dataDxfId="43" dataCellStyle="Porcentagem">
      <calculatedColumnFormula>IFERROR((Tabela1[[#This Row],[Média]]-Tabela1[[#This Row],[Meta]])/Tabela1[[#This Row],[Meta]],"")</calculatedColumnFormula>
    </tableColumn>
    <tableColumn id="29" name="Desvio" dataDxfId="42" dataCellStyle="Porcentagem">
      <calculatedColumnFormula>Tabela1[[#This Row],[Média]]-Tabela1[[#This Row],[Meta]]</calculatedColumnFormula>
    </tableColumn>
    <tableColumn id="23" name="Item" dataDxfId="41">
      <calculatedColumnFormula>VLOOKUP(Tabela1[[#This Row],[SKU]],SKU!A:B,2,0)</calculatedColumnFormula>
    </tableColumn>
    <tableColumn id="24" name="Família" dataDxfId="40">
      <calculatedColumnFormula>VLOOKUP(Tabela1[[#This Row],[SKU]],SKU!A:C,3,0)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NativeTimeline_Data_Corrigida" sourceName="Data Corrigida">
  <pivotTables>
    <pivotTable tabId="4" name="Tabela dinâmica1"/>
  </pivotTables>
  <state minimalRefreshVersion="6" lastRefreshVersion="6" pivotCacheId="1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Data Corrigida" cache="NativeTimeline_Data_Corrigida" caption="Data Corrigida" level="3" selectionLevel="3" scrollPosition="2026-08-28T00:00:00" style="TimeSlicerStyleDark3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0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34" sqref="I34"/>
    </sheetView>
  </sheetViews>
  <sheetFormatPr defaultRowHeight="14.4" x14ac:dyDescent="0.3"/>
  <cols>
    <col min="1" max="1" width="39.5546875" customWidth="1"/>
    <col min="2" max="30" width="8.6640625" style="13" customWidth="1"/>
    <col min="31" max="32" width="8.33203125" style="13" customWidth="1"/>
  </cols>
  <sheetData>
    <row r="1" spans="1:32" ht="36" customHeight="1" x14ac:dyDescent="0.3"/>
    <row r="2" spans="1:32" ht="36" customHeight="1" x14ac:dyDescent="0.3"/>
    <row r="3" spans="1:32" ht="15" thickBot="1" x14ac:dyDescent="0.35"/>
    <row r="4" spans="1:32" x14ac:dyDescent="0.3">
      <c r="A4" s="20" t="s">
        <v>751</v>
      </c>
    </row>
    <row r="5" spans="1:32" hidden="1" x14ac:dyDescent="0.3">
      <c r="A5" s="11" t="s">
        <v>2436</v>
      </c>
      <c r="B5" s="11" t="s">
        <v>408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 s="25" customFormat="1" x14ac:dyDescent="0.3">
      <c r="A6" s="24" t="s">
        <v>410</v>
      </c>
      <c r="B6" s="28">
        <v>46296</v>
      </c>
      <c r="C6" s="28">
        <v>46297</v>
      </c>
      <c r="D6" s="28">
        <v>46300</v>
      </c>
      <c r="E6" s="28">
        <v>46301</v>
      </c>
      <c r="F6" s="28">
        <v>46302</v>
      </c>
      <c r="G6" s="28">
        <v>46303</v>
      </c>
      <c r="H6" s="28">
        <v>46304</v>
      </c>
      <c r="I6" s="28">
        <v>46308</v>
      </c>
      <c r="J6" s="23" t="s">
        <v>409</v>
      </c>
      <c r="K6"/>
      <c r="L6"/>
      <c r="M6"/>
      <c r="N6"/>
      <c r="O6"/>
      <c r="P6"/>
      <c r="Q6"/>
      <c r="R6"/>
      <c r="S6"/>
      <c r="T6"/>
      <c r="U6"/>
      <c r="V6"/>
      <c r="W6"/>
    </row>
    <row r="7" spans="1:32" x14ac:dyDescent="0.3">
      <c r="A7" s="12" t="s">
        <v>385</v>
      </c>
      <c r="B7" s="32">
        <v>31.000000000000085</v>
      </c>
      <c r="C7" s="32">
        <v>63.180000000000021</v>
      </c>
      <c r="D7" s="32">
        <v>65.860000000000042</v>
      </c>
      <c r="E7" s="32">
        <v>102.66666666666667</v>
      </c>
      <c r="F7" s="32">
        <v>75.639999999999844</v>
      </c>
      <c r="G7" s="32">
        <v>27.25</v>
      </c>
      <c r="H7" s="32">
        <v>29</v>
      </c>
      <c r="I7" s="32"/>
      <c r="J7" s="32">
        <v>66.297058823529383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 x14ac:dyDescent="0.3">
      <c r="A8" s="17" t="s">
        <v>337</v>
      </c>
      <c r="B8" s="32">
        <v>87</v>
      </c>
      <c r="C8" s="32">
        <v>52</v>
      </c>
      <c r="D8" s="32">
        <v>22.5</v>
      </c>
      <c r="E8" s="32"/>
      <c r="F8" s="32">
        <v>33.5</v>
      </c>
      <c r="G8" s="32">
        <v>34</v>
      </c>
      <c r="H8" s="32">
        <v>27</v>
      </c>
      <c r="I8" s="32"/>
      <c r="J8" s="32">
        <v>39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 x14ac:dyDescent="0.3">
      <c r="A9" s="17" t="s">
        <v>321</v>
      </c>
      <c r="B9" s="32">
        <v>3.3999999999999773</v>
      </c>
      <c r="C9" s="32">
        <v>24.900000000000091</v>
      </c>
      <c r="D9" s="32"/>
      <c r="E9" s="32">
        <v>14</v>
      </c>
      <c r="F9" s="32">
        <v>8.8999999999999773</v>
      </c>
      <c r="G9" s="32"/>
      <c r="H9" s="32"/>
      <c r="I9" s="32"/>
      <c r="J9" s="32">
        <v>12.350000000000003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3">
      <c r="A10" s="17" t="s">
        <v>303</v>
      </c>
      <c r="B10" s="32">
        <v>5.6000000000003638</v>
      </c>
      <c r="C10" s="32"/>
      <c r="D10" s="32">
        <v>9.8000000000001819</v>
      </c>
      <c r="E10" s="32"/>
      <c r="F10" s="32"/>
      <c r="G10" s="32"/>
      <c r="H10" s="32"/>
      <c r="I10" s="32"/>
      <c r="J10" s="32">
        <v>7.7000000000002728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 x14ac:dyDescent="0.3">
      <c r="A11" s="17" t="s">
        <v>380</v>
      </c>
      <c r="B11" s="32">
        <v>28</v>
      </c>
      <c r="C11" s="32">
        <v>40.5</v>
      </c>
      <c r="D11" s="32">
        <v>70.5</v>
      </c>
      <c r="E11" s="32">
        <v>33.5</v>
      </c>
      <c r="F11" s="32">
        <v>19.299999999999272</v>
      </c>
      <c r="G11" s="32">
        <v>20.5</v>
      </c>
      <c r="H11" s="32">
        <v>31</v>
      </c>
      <c r="I11" s="32"/>
      <c r="J11" s="32">
        <v>32.899999999999835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 x14ac:dyDescent="0.3">
      <c r="A12" s="17" t="s">
        <v>338</v>
      </c>
      <c r="B12" s="32"/>
      <c r="C12" s="32">
        <v>99.25</v>
      </c>
      <c r="D12" s="32">
        <v>204</v>
      </c>
      <c r="E12" s="32">
        <v>260.5</v>
      </c>
      <c r="F12" s="32">
        <v>158.25</v>
      </c>
      <c r="G12" s="32"/>
      <c r="H12" s="32"/>
      <c r="I12" s="32"/>
      <c r="J12" s="32">
        <v>172.94444444444446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 x14ac:dyDescent="0.3">
      <c r="A13" s="12" t="s">
        <v>391</v>
      </c>
      <c r="B13" s="32"/>
      <c r="C13" s="32"/>
      <c r="D13" s="32"/>
      <c r="E13" s="32"/>
      <c r="F13" s="32">
        <v>1.8999999999999773</v>
      </c>
      <c r="G13" s="32"/>
      <c r="H13" s="32"/>
      <c r="I13" s="32"/>
      <c r="J13" s="32">
        <v>1.8999999999999773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 x14ac:dyDescent="0.3">
      <c r="A14" s="12" t="s">
        <v>386</v>
      </c>
      <c r="B14" s="32">
        <v>16.260000000000012</v>
      </c>
      <c r="C14" s="32">
        <v>11.124999999999972</v>
      </c>
      <c r="D14" s="32">
        <v>14.366666666666637</v>
      </c>
      <c r="E14" s="32">
        <v>7.9400000000000093</v>
      </c>
      <c r="F14" s="32">
        <v>24.45999999999999</v>
      </c>
      <c r="G14" s="32">
        <v>20.571428571428573</v>
      </c>
      <c r="H14" s="32">
        <v>15.279999999999996</v>
      </c>
      <c r="I14" s="32"/>
      <c r="J14" s="32">
        <v>16.211363636363632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x14ac:dyDescent="0.3">
      <c r="A15" s="17" t="s">
        <v>326</v>
      </c>
      <c r="B15" s="32">
        <v>17.300000000000011</v>
      </c>
      <c r="C15" s="32">
        <v>11.124999999999972</v>
      </c>
      <c r="D15" s="32">
        <v>14.366666666666637</v>
      </c>
      <c r="E15" s="32">
        <v>7.9400000000000093</v>
      </c>
      <c r="F15" s="32">
        <v>17.649999999999977</v>
      </c>
      <c r="G15" s="32">
        <v>15.25</v>
      </c>
      <c r="H15" s="32">
        <v>15.279999999999996</v>
      </c>
      <c r="I15" s="32"/>
      <c r="J15" s="32">
        <v>13.632499999999993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 x14ac:dyDescent="0.3">
      <c r="A16" s="17" t="s">
        <v>329</v>
      </c>
      <c r="B16" s="32">
        <v>12.100000000000023</v>
      </c>
      <c r="C16" s="32"/>
      <c r="D16" s="32"/>
      <c r="E16" s="32"/>
      <c r="F16" s="32">
        <v>51.700000000000045</v>
      </c>
      <c r="G16" s="32">
        <v>52.5</v>
      </c>
      <c r="H16" s="32"/>
      <c r="I16" s="32"/>
      <c r="J16" s="32">
        <v>42.000000000000028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 x14ac:dyDescent="0.3">
      <c r="A17" s="12" t="s">
        <v>396</v>
      </c>
      <c r="B17" s="32">
        <v>21.244999999999976</v>
      </c>
      <c r="C17" s="32">
        <v>18.067857142857125</v>
      </c>
      <c r="D17" s="32">
        <v>13.012500000000003</v>
      </c>
      <c r="E17" s="32">
        <v>13.757142857142858</v>
      </c>
      <c r="F17" s="32">
        <v>18.617647058823557</v>
      </c>
      <c r="G17" s="32">
        <v>19.713043478260833</v>
      </c>
      <c r="H17" s="32">
        <v>23.594444444444434</v>
      </c>
      <c r="I17" s="32"/>
      <c r="J17" s="32">
        <v>18.175449101796399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 x14ac:dyDescent="0.3">
      <c r="A18" s="17" t="s">
        <v>352</v>
      </c>
      <c r="B18" s="32">
        <v>34.650000000000034</v>
      </c>
      <c r="C18" s="32">
        <v>7.8000000000000114</v>
      </c>
      <c r="D18" s="32"/>
      <c r="E18" s="32"/>
      <c r="F18" s="32"/>
      <c r="G18" s="32"/>
      <c r="H18" s="32"/>
      <c r="I18" s="32"/>
      <c r="J18" s="32">
        <v>21.225000000000023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 x14ac:dyDescent="0.3">
      <c r="A19" s="17" t="s">
        <v>313</v>
      </c>
      <c r="B19" s="32">
        <v>4.75</v>
      </c>
      <c r="C19" s="32">
        <v>15.125</v>
      </c>
      <c r="D19" s="32">
        <v>12.333333333333334</v>
      </c>
      <c r="E19" s="32">
        <v>-5.75</v>
      </c>
      <c r="F19" s="32">
        <v>24.833333333333332</v>
      </c>
      <c r="G19" s="32">
        <v>10.25</v>
      </c>
      <c r="H19" s="32">
        <v>21.3</v>
      </c>
      <c r="I19" s="32"/>
      <c r="J19" s="32">
        <v>13.846153846153847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 x14ac:dyDescent="0.3">
      <c r="A20" s="17" t="s">
        <v>344</v>
      </c>
      <c r="B20" s="32">
        <v>9.5</v>
      </c>
      <c r="C20" s="32">
        <v>5.9499999999999886</v>
      </c>
      <c r="D20" s="32">
        <v>-3</v>
      </c>
      <c r="E20" s="32">
        <v>0.60000000000002274</v>
      </c>
      <c r="F20" s="32">
        <v>16.299999999999955</v>
      </c>
      <c r="G20" s="32"/>
      <c r="H20" s="32"/>
      <c r="I20" s="32"/>
      <c r="J20" s="32">
        <v>5.4666666666666588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 x14ac:dyDescent="0.3">
      <c r="A21" s="17" t="s">
        <v>356</v>
      </c>
      <c r="B21" s="32">
        <v>42.799999999999955</v>
      </c>
      <c r="C21" s="32">
        <v>40.799999999999955</v>
      </c>
      <c r="D21" s="32"/>
      <c r="E21" s="32">
        <v>54.800000000000182</v>
      </c>
      <c r="F21" s="32">
        <v>31</v>
      </c>
      <c r="G21" s="32">
        <v>20.900000000000091</v>
      </c>
      <c r="H21" s="32"/>
      <c r="I21" s="32"/>
      <c r="J21" s="32">
        <v>39.966666666666697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 x14ac:dyDescent="0.3">
      <c r="A22" s="17" t="s">
        <v>314</v>
      </c>
      <c r="B22" s="32">
        <v>27.100000000000023</v>
      </c>
      <c r="C22" s="32">
        <v>28.850000000000023</v>
      </c>
      <c r="D22" s="32">
        <v>23.300000000000068</v>
      </c>
      <c r="E22" s="32">
        <v>22.900000000000091</v>
      </c>
      <c r="F22" s="32">
        <v>25.5</v>
      </c>
      <c r="G22" s="32">
        <v>47.324999999999932</v>
      </c>
      <c r="H22" s="32">
        <v>26.100000000000023</v>
      </c>
      <c r="I22" s="32"/>
      <c r="J22" s="32">
        <v>30.433333333333344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 x14ac:dyDescent="0.3">
      <c r="A23" s="17" t="s">
        <v>315</v>
      </c>
      <c r="B23" s="32">
        <v>7.5499999999999545</v>
      </c>
      <c r="C23" s="32">
        <v>19.366666666666635</v>
      </c>
      <c r="D23" s="32">
        <v>10.5</v>
      </c>
      <c r="E23" s="32">
        <v>10.699999999999932</v>
      </c>
      <c r="F23" s="32">
        <v>10.850000000000023</v>
      </c>
      <c r="G23" s="32">
        <v>14.375</v>
      </c>
      <c r="H23" s="32">
        <v>24.5</v>
      </c>
      <c r="I23" s="32"/>
      <c r="J23" s="32">
        <v>14.154545454545438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 x14ac:dyDescent="0.3">
      <c r="A24" s="17" t="s">
        <v>316</v>
      </c>
      <c r="B24" s="32">
        <v>-5.9000000000000909</v>
      </c>
      <c r="C24" s="32">
        <v>14.499999999999849</v>
      </c>
      <c r="D24" s="32">
        <v>-0.84999999999990905</v>
      </c>
      <c r="E24" s="32">
        <v>14.049999999999955</v>
      </c>
      <c r="F24" s="32">
        <v>24.900000000000091</v>
      </c>
      <c r="G24" s="32">
        <v>17.324999999999932</v>
      </c>
      <c r="H24" s="32">
        <v>9.5999999999999091</v>
      </c>
      <c r="I24" s="32"/>
      <c r="J24" s="32">
        <v>13.90416666666664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 x14ac:dyDescent="0.3">
      <c r="A25" s="17" t="s">
        <v>317</v>
      </c>
      <c r="B25" s="32">
        <v>27.66666666666659</v>
      </c>
      <c r="C25" s="32">
        <v>22.866666666666635</v>
      </c>
      <c r="D25" s="32">
        <v>12</v>
      </c>
      <c r="E25" s="32">
        <v>20.649999999999977</v>
      </c>
      <c r="F25" s="32">
        <v>11.400000000000091</v>
      </c>
      <c r="G25" s="32">
        <v>33.52499999999992</v>
      </c>
      <c r="H25" s="32">
        <v>40.666666666666664</v>
      </c>
      <c r="I25" s="32"/>
      <c r="J25" s="32">
        <v>24.343478260869549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 x14ac:dyDescent="0.3">
      <c r="A26" s="17" t="s">
        <v>345</v>
      </c>
      <c r="B26" s="32"/>
      <c r="C26" s="32">
        <v>5.1000000000000227</v>
      </c>
      <c r="D26" s="32"/>
      <c r="E26" s="32">
        <v>1.2000000000000455</v>
      </c>
      <c r="F26" s="32">
        <v>0.30000000000001137</v>
      </c>
      <c r="G26" s="32">
        <v>-26.100000000000023</v>
      </c>
      <c r="H26" s="32"/>
      <c r="I26" s="32"/>
      <c r="J26" s="32">
        <v>-3.7363636363636177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 x14ac:dyDescent="0.3">
      <c r="A27" s="17" t="s">
        <v>351</v>
      </c>
      <c r="B27" s="32">
        <v>23.800000000000029</v>
      </c>
      <c r="C27" s="32">
        <v>2.466666666666697</v>
      </c>
      <c r="D27" s="32"/>
      <c r="E27" s="32"/>
      <c r="F27" s="32"/>
      <c r="G27" s="32">
        <v>7</v>
      </c>
      <c r="H27" s="32"/>
      <c r="I27" s="32"/>
      <c r="J27" s="32">
        <v>11.600000000000023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 x14ac:dyDescent="0.3">
      <c r="A28" s="17" t="s">
        <v>318</v>
      </c>
      <c r="B28" s="32">
        <v>39.099999999999909</v>
      </c>
      <c r="C28" s="32">
        <v>37.200000000000045</v>
      </c>
      <c r="D28" s="32">
        <v>17.099999999999909</v>
      </c>
      <c r="E28" s="32"/>
      <c r="F28" s="32"/>
      <c r="G28" s="32"/>
      <c r="H28" s="32">
        <v>19.5</v>
      </c>
      <c r="I28" s="32"/>
      <c r="J28" s="32">
        <v>25.999999999999954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 x14ac:dyDescent="0.3">
      <c r="A29" s="17" t="s">
        <v>367</v>
      </c>
      <c r="B29" s="32"/>
      <c r="C29" s="32">
        <v>11.299999999999955</v>
      </c>
      <c r="D29" s="32"/>
      <c r="E29" s="32"/>
      <c r="F29" s="32"/>
      <c r="G29" s="32"/>
      <c r="H29" s="32">
        <v>22.200000000000045</v>
      </c>
      <c r="I29" s="32"/>
      <c r="J29" s="32">
        <v>16.75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 x14ac:dyDescent="0.3">
      <c r="A30" s="17" t="s">
        <v>357</v>
      </c>
      <c r="B30" s="32"/>
      <c r="C30" s="32"/>
      <c r="D30" s="32">
        <v>53.099999999999909</v>
      </c>
      <c r="E30" s="32">
        <v>32.599999999999909</v>
      </c>
      <c r="F30" s="32"/>
      <c r="G30" s="32"/>
      <c r="H30" s="32"/>
      <c r="I30" s="32"/>
      <c r="J30" s="32">
        <v>39.433333333333245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 x14ac:dyDescent="0.3">
      <c r="A31" s="17" t="s">
        <v>377</v>
      </c>
      <c r="B31" s="32"/>
      <c r="C31" s="32"/>
      <c r="D31" s="32"/>
      <c r="E31" s="32"/>
      <c r="F31" s="32">
        <v>23.899999999999977</v>
      </c>
      <c r="G31" s="32"/>
      <c r="H31" s="32"/>
      <c r="I31" s="32"/>
      <c r="J31" s="32">
        <v>23.899999999999977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 x14ac:dyDescent="0.3">
      <c r="A32" s="17" t="s">
        <v>369</v>
      </c>
      <c r="B32" s="32"/>
      <c r="C32" s="32">
        <v>47.400000000000091</v>
      </c>
      <c r="D32" s="32"/>
      <c r="E32" s="32"/>
      <c r="F32" s="32"/>
      <c r="G32" s="32"/>
      <c r="H32" s="32"/>
      <c r="I32" s="32"/>
      <c r="J32" s="32">
        <v>47.400000000000091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 x14ac:dyDescent="0.3">
      <c r="A33" s="12" t="s">
        <v>395</v>
      </c>
      <c r="B33" s="32">
        <v>7.0500000000000114</v>
      </c>
      <c r="C33" s="32"/>
      <c r="D33" s="32">
        <v>7.2000000000000073</v>
      </c>
      <c r="E33" s="32">
        <v>16.299999999999955</v>
      </c>
      <c r="F33" s="32"/>
      <c r="G33" s="32">
        <v>17.966666666666622</v>
      </c>
      <c r="H33" s="32">
        <v>2</v>
      </c>
      <c r="I33" s="32">
        <v>1.7999999999999545</v>
      </c>
      <c r="J33" s="32">
        <v>10.49999999999998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 x14ac:dyDescent="0.3">
      <c r="A34" s="17" t="s">
        <v>360</v>
      </c>
      <c r="B34" s="32"/>
      <c r="C34" s="32"/>
      <c r="D34" s="32"/>
      <c r="E34" s="32">
        <v>16.299999999999955</v>
      </c>
      <c r="F34" s="32"/>
      <c r="G34" s="32">
        <v>17.966666666666622</v>
      </c>
      <c r="H34" s="32"/>
      <c r="I34" s="32">
        <v>1.7999999999999545</v>
      </c>
      <c r="J34" s="32">
        <v>14.716666666666621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 x14ac:dyDescent="0.3">
      <c r="A35" s="17" t="s">
        <v>339</v>
      </c>
      <c r="B35" s="32">
        <v>7.0500000000000114</v>
      </c>
      <c r="C35" s="32"/>
      <c r="D35" s="32">
        <v>11</v>
      </c>
      <c r="E35" s="32"/>
      <c r="F35" s="32"/>
      <c r="G35" s="32"/>
      <c r="H35" s="32">
        <v>2</v>
      </c>
      <c r="I35" s="32"/>
      <c r="J35" s="32">
        <v>7.6200000000000045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 x14ac:dyDescent="0.3">
      <c r="A36" s="17" t="s">
        <v>330</v>
      </c>
      <c r="B36" s="32"/>
      <c r="C36" s="32"/>
      <c r="D36" s="32">
        <v>-0.39999999999997726</v>
      </c>
      <c r="E36" s="32"/>
      <c r="F36" s="32"/>
      <c r="G36" s="32"/>
      <c r="H36" s="32"/>
      <c r="I36" s="32"/>
      <c r="J36" s="32">
        <v>-0.39999999999997726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 x14ac:dyDescent="0.3">
      <c r="A37" s="12" t="s">
        <v>387</v>
      </c>
      <c r="B37" s="32"/>
      <c r="C37" s="32"/>
      <c r="D37" s="32"/>
      <c r="E37" s="32"/>
      <c r="F37" s="32">
        <v>-46.700000000000045</v>
      </c>
      <c r="G37" s="32">
        <v>-1</v>
      </c>
      <c r="H37" s="32"/>
      <c r="I37" s="32"/>
      <c r="J37" s="32">
        <v>-23.850000000000023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1:32" x14ac:dyDescent="0.3">
      <c r="A38" s="17" t="s">
        <v>304</v>
      </c>
      <c r="B38" s="32"/>
      <c r="C38" s="32"/>
      <c r="D38" s="32"/>
      <c r="E38" s="32"/>
      <c r="F38" s="32">
        <v>-46.700000000000045</v>
      </c>
      <c r="G38" s="32">
        <v>-1</v>
      </c>
      <c r="H38" s="32"/>
      <c r="I38" s="32"/>
      <c r="J38" s="32">
        <v>-23.850000000000023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32" x14ac:dyDescent="0.3">
      <c r="A39" s="12" t="s">
        <v>388</v>
      </c>
      <c r="B39" s="32"/>
      <c r="C39" s="32"/>
      <c r="D39" s="32"/>
      <c r="E39" s="32"/>
      <c r="F39" s="32"/>
      <c r="G39" s="32">
        <v>3.2999999999999545</v>
      </c>
      <c r="H39" s="32"/>
      <c r="I39" s="32"/>
      <c r="J39" s="32">
        <v>3.2999999999999545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32" x14ac:dyDescent="0.3">
      <c r="A40" s="17" t="s">
        <v>305</v>
      </c>
      <c r="B40" s="32"/>
      <c r="C40" s="32"/>
      <c r="D40" s="32"/>
      <c r="E40" s="32"/>
      <c r="F40" s="32"/>
      <c r="G40" s="32">
        <v>3.2999999999999545</v>
      </c>
      <c r="H40" s="32"/>
      <c r="I40" s="32"/>
      <c r="J40" s="32">
        <v>3.2999999999999545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32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32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32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32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32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  <row r="46" spans="1:32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</row>
    <row r="47" spans="1:32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</row>
    <row r="48" spans="1:32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</row>
    <row r="49" spans="2:22" x14ac:dyDescent="0.3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2:22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</sheetData>
  <conditionalFormatting pivot="1" sqref="B7:J40">
    <cfRule type="cellIs" dxfId="20" priority="1" operator="greaterThan">
      <formula>20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9"/>
  <sheetViews>
    <sheetView workbookViewId="0">
      <selection activeCell="J13" sqref="J13"/>
    </sheetView>
  </sheetViews>
  <sheetFormatPr defaultRowHeight="14.4" x14ac:dyDescent="0.3"/>
  <cols>
    <col min="1" max="1" width="32.6640625" bestFit="1" customWidth="1"/>
    <col min="2" max="30" width="8.6640625" style="13" customWidth="1"/>
    <col min="31" max="32" width="8.33203125" style="13" customWidth="1"/>
  </cols>
  <sheetData>
    <row r="1" spans="1:32" ht="36" customHeight="1" x14ac:dyDescent="0.3"/>
    <row r="2" spans="1:32" ht="36" customHeight="1" x14ac:dyDescent="0.3"/>
    <row r="5" spans="1:32" hidden="1" x14ac:dyDescent="0.3">
      <c r="A5" s="11" t="s">
        <v>2436</v>
      </c>
      <c r="B5" s="11" t="s">
        <v>408</v>
      </c>
      <c r="C5"/>
      <c r="D5"/>
      <c r="E5"/>
      <c r="F5"/>
      <c r="G5"/>
      <c r="H5"/>
      <c r="I5"/>
      <c r="J5"/>
      <c r="K5"/>
      <c r="L5"/>
      <c r="M5"/>
      <c r="N5"/>
    </row>
    <row r="6" spans="1:32" x14ac:dyDescent="0.3">
      <c r="A6" s="11" t="s">
        <v>410</v>
      </c>
      <c r="B6" t="s">
        <v>2438</v>
      </c>
      <c r="C6" t="s">
        <v>2437</v>
      </c>
      <c r="D6" t="s">
        <v>2309</v>
      </c>
      <c r="E6" t="s">
        <v>2885</v>
      </c>
      <c r="F6"/>
      <c r="G6"/>
      <c r="H6"/>
      <c r="I6"/>
      <c r="J6"/>
      <c r="K6"/>
      <c r="L6"/>
      <c r="M6"/>
      <c r="N6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3">
      <c r="A7" s="12" t="s">
        <v>385</v>
      </c>
      <c r="B7" s="32"/>
      <c r="C7" s="32">
        <v>21.394736842105281</v>
      </c>
      <c r="D7" s="32">
        <v>21.209859154929568</v>
      </c>
      <c r="E7" s="32">
        <v>66.297058823529383</v>
      </c>
      <c r="F7"/>
      <c r="G7"/>
      <c r="H7"/>
      <c r="I7"/>
      <c r="J7"/>
      <c r="K7"/>
      <c r="L7"/>
      <c r="M7"/>
      <c r="N7"/>
    </row>
    <row r="8" spans="1:32" x14ac:dyDescent="0.3">
      <c r="A8" s="17" t="s">
        <v>337</v>
      </c>
      <c r="B8" s="32"/>
      <c r="C8" s="32">
        <v>38.740000000000144</v>
      </c>
      <c r="D8" s="32">
        <v>-2.0700000000000727</v>
      </c>
      <c r="E8" s="32">
        <v>39</v>
      </c>
      <c r="F8"/>
      <c r="G8"/>
      <c r="H8"/>
      <c r="I8"/>
      <c r="J8"/>
      <c r="K8"/>
      <c r="L8"/>
      <c r="M8"/>
      <c r="N8"/>
    </row>
    <row r="9" spans="1:32" x14ac:dyDescent="0.3">
      <c r="A9" s="17" t="s">
        <v>321</v>
      </c>
      <c r="B9" s="32"/>
      <c r="C9" s="32">
        <v>-8.1000000000000227</v>
      </c>
      <c r="D9" s="32">
        <v>21.025000000000006</v>
      </c>
      <c r="E9" s="32">
        <v>12.350000000000003</v>
      </c>
      <c r="F9"/>
      <c r="G9"/>
      <c r="H9"/>
      <c r="I9"/>
      <c r="J9"/>
      <c r="K9"/>
      <c r="L9"/>
      <c r="M9"/>
      <c r="N9"/>
    </row>
    <row r="10" spans="1:32" x14ac:dyDescent="0.3">
      <c r="A10" s="17" t="s">
        <v>342</v>
      </c>
      <c r="B10" s="32"/>
      <c r="C10" s="32">
        <v>0.60000000000002274</v>
      </c>
      <c r="D10" s="32"/>
      <c r="E10" s="32"/>
      <c r="F10"/>
      <c r="G10"/>
      <c r="H10"/>
      <c r="I10"/>
      <c r="J10"/>
      <c r="K10"/>
      <c r="L10"/>
      <c r="M10"/>
      <c r="N10"/>
    </row>
    <row r="11" spans="1:32" x14ac:dyDescent="0.3">
      <c r="A11" s="17" t="s">
        <v>365</v>
      </c>
      <c r="B11" s="32"/>
      <c r="C11" s="32">
        <v>8</v>
      </c>
      <c r="D11" s="32"/>
      <c r="E11" s="32"/>
      <c r="F11"/>
      <c r="G11"/>
      <c r="H11"/>
      <c r="I11"/>
      <c r="J11"/>
      <c r="K11"/>
      <c r="L11"/>
      <c r="M11"/>
      <c r="N11"/>
    </row>
    <row r="12" spans="1:32" x14ac:dyDescent="0.3">
      <c r="A12" s="17" t="s">
        <v>371</v>
      </c>
      <c r="B12" s="32"/>
      <c r="C12" s="32">
        <v>-10.149999999999864</v>
      </c>
      <c r="D12" s="32">
        <v>25.560000000000038</v>
      </c>
      <c r="E12" s="32"/>
      <c r="F12"/>
      <c r="G12"/>
      <c r="H12"/>
      <c r="I12"/>
      <c r="J12"/>
      <c r="K12"/>
      <c r="L12"/>
      <c r="M12"/>
      <c r="N12"/>
    </row>
    <row r="13" spans="1:32" x14ac:dyDescent="0.3">
      <c r="A13" s="17" t="s">
        <v>303</v>
      </c>
      <c r="B13" s="32"/>
      <c r="C13" s="32">
        <v>11.559999999999976</v>
      </c>
      <c r="D13" s="32">
        <v>7.9954545454544874</v>
      </c>
      <c r="E13" s="32">
        <v>7.7000000000002728</v>
      </c>
      <c r="F13"/>
      <c r="G13"/>
      <c r="H13"/>
      <c r="I13"/>
      <c r="J13"/>
      <c r="K13"/>
      <c r="L13"/>
      <c r="M13"/>
      <c r="N13"/>
    </row>
    <row r="14" spans="1:32" x14ac:dyDescent="0.3">
      <c r="A14" s="17" t="s">
        <v>380</v>
      </c>
      <c r="B14" s="32"/>
      <c r="C14" s="32">
        <v>33</v>
      </c>
      <c r="D14" s="32">
        <v>36.464285714285715</v>
      </c>
      <c r="E14" s="32">
        <v>32.899999999999835</v>
      </c>
      <c r="F14"/>
      <c r="G14"/>
      <c r="H14"/>
      <c r="I14"/>
      <c r="J14"/>
      <c r="K14"/>
      <c r="L14"/>
      <c r="M14"/>
      <c r="N14"/>
    </row>
    <row r="15" spans="1:32" x14ac:dyDescent="0.3">
      <c r="A15" s="17" t="s">
        <v>338</v>
      </c>
      <c r="B15" s="32"/>
      <c r="C15" s="32">
        <v>138.5</v>
      </c>
      <c r="D15" s="32">
        <v>144.56666666666692</v>
      </c>
      <c r="E15" s="32">
        <v>172.94444444444446</v>
      </c>
      <c r="F15"/>
      <c r="G15"/>
      <c r="H15"/>
      <c r="I15"/>
      <c r="J15"/>
      <c r="K15"/>
      <c r="L15"/>
      <c r="M15"/>
      <c r="N15"/>
    </row>
    <row r="16" spans="1:32" x14ac:dyDescent="0.3">
      <c r="A16" s="17" t="s">
        <v>341</v>
      </c>
      <c r="B16" s="32"/>
      <c r="C16" s="32">
        <v>15.800000000000011</v>
      </c>
      <c r="D16" s="32">
        <v>5.280000000000018</v>
      </c>
      <c r="E16" s="32"/>
      <c r="F16"/>
      <c r="G16"/>
      <c r="H16"/>
      <c r="I16"/>
      <c r="J16"/>
      <c r="K16"/>
      <c r="L16"/>
      <c r="M16"/>
      <c r="N16"/>
    </row>
    <row r="17" spans="1:7" x14ac:dyDescent="0.3">
      <c r="A17" s="12" t="s">
        <v>391</v>
      </c>
      <c r="B17" s="32"/>
      <c r="C17" s="32">
        <v>4.7428571428571491</v>
      </c>
      <c r="D17" s="32">
        <v>1.2428571428571493</v>
      </c>
      <c r="E17" s="32">
        <v>1.8999999999999773</v>
      </c>
      <c r="F17"/>
      <c r="G17"/>
    </row>
    <row r="18" spans="1:7" x14ac:dyDescent="0.3">
      <c r="A18" s="12" t="s">
        <v>386</v>
      </c>
      <c r="B18" s="32">
        <v>17.600000000000023</v>
      </c>
      <c r="C18" s="32">
        <v>20.179268292682931</v>
      </c>
      <c r="D18" s="32">
        <v>15.989887640449448</v>
      </c>
      <c r="E18" s="32">
        <v>16.211363636363632</v>
      </c>
      <c r="F18"/>
      <c r="G18"/>
    </row>
    <row r="19" spans="1:7" x14ac:dyDescent="0.3">
      <c r="A19" s="12" t="s">
        <v>396</v>
      </c>
      <c r="B19" s="32"/>
      <c r="C19" s="32">
        <v>25.79553191489364</v>
      </c>
      <c r="D19" s="32">
        <v>20.146358792184724</v>
      </c>
      <c r="E19" s="32">
        <v>18.175449101796396</v>
      </c>
      <c r="F19"/>
      <c r="G19"/>
    </row>
    <row r="20" spans="1:7" x14ac:dyDescent="0.3">
      <c r="A20" s="17" t="s">
        <v>352</v>
      </c>
      <c r="B20" s="32"/>
      <c r="C20" s="32">
        <v>6.3551724137931176</v>
      </c>
      <c r="D20" s="32">
        <v>6.2666666666666657</v>
      </c>
      <c r="E20" s="32">
        <v>21.225000000000023</v>
      </c>
    </row>
    <row r="21" spans="1:7" x14ac:dyDescent="0.3">
      <c r="A21" s="17" t="s">
        <v>313</v>
      </c>
      <c r="B21" s="32"/>
      <c r="C21" s="32">
        <v>50.584782608695647</v>
      </c>
      <c r="D21" s="32">
        <v>22.433653846153831</v>
      </c>
      <c r="E21" s="32">
        <v>13.846153846153847</v>
      </c>
    </row>
    <row r="22" spans="1:7" x14ac:dyDescent="0.3">
      <c r="A22" s="17" t="s">
        <v>344</v>
      </c>
      <c r="B22" s="32"/>
      <c r="C22" s="32">
        <v>8.4809523809523881</v>
      </c>
      <c r="D22" s="32">
        <v>7.4437500000000085</v>
      </c>
      <c r="E22" s="32">
        <v>5.4666666666666588</v>
      </c>
    </row>
    <row r="23" spans="1:7" x14ac:dyDescent="0.3">
      <c r="A23" s="17" t="s">
        <v>356</v>
      </c>
      <c r="B23" s="32"/>
      <c r="C23" s="32">
        <v>25.700000000000045</v>
      </c>
      <c r="D23" s="32">
        <v>32.651515151515184</v>
      </c>
      <c r="E23" s="32">
        <v>39.966666666666697</v>
      </c>
    </row>
    <row r="24" spans="1:7" x14ac:dyDescent="0.3">
      <c r="A24" s="17" t="s">
        <v>314</v>
      </c>
      <c r="B24" s="32"/>
      <c r="C24" s="32">
        <v>44.164705882352955</v>
      </c>
      <c r="D24" s="32">
        <v>34.703846153846158</v>
      </c>
      <c r="E24" s="32">
        <v>30.433333333333344</v>
      </c>
    </row>
    <row r="25" spans="1:7" x14ac:dyDescent="0.3">
      <c r="A25" s="17" t="s">
        <v>315</v>
      </c>
      <c r="B25" s="32"/>
      <c r="C25" s="32">
        <v>21.250000000000011</v>
      </c>
      <c r="D25" s="32">
        <v>12.247169811320745</v>
      </c>
      <c r="E25" s="32">
        <v>14.154545454545438</v>
      </c>
    </row>
    <row r="26" spans="1:7" x14ac:dyDescent="0.3">
      <c r="A26" s="17" t="s">
        <v>316</v>
      </c>
      <c r="B26" s="32"/>
      <c r="C26" s="32">
        <v>24.81923076923076</v>
      </c>
      <c r="D26" s="32">
        <v>24.413461538461522</v>
      </c>
      <c r="E26" s="32">
        <v>13.90416666666664</v>
      </c>
    </row>
    <row r="27" spans="1:7" x14ac:dyDescent="0.3">
      <c r="A27" s="17" t="s">
        <v>317</v>
      </c>
      <c r="B27" s="32"/>
      <c r="C27" s="32">
        <v>31.328000000000003</v>
      </c>
      <c r="D27" s="32">
        <v>23.75869565217392</v>
      </c>
      <c r="E27" s="32">
        <v>24.343478260869549</v>
      </c>
    </row>
    <row r="28" spans="1:7" x14ac:dyDescent="0.3">
      <c r="A28" s="17" t="s">
        <v>353</v>
      </c>
      <c r="B28" s="32"/>
      <c r="C28" s="32">
        <v>20.900000000000034</v>
      </c>
      <c r="D28" s="32">
        <v>15.049999999999955</v>
      </c>
      <c r="E28" s="32"/>
    </row>
    <row r="29" spans="1:7" x14ac:dyDescent="0.3">
      <c r="A29" s="17" t="s">
        <v>345</v>
      </c>
      <c r="B29" s="32"/>
      <c r="C29" s="32">
        <v>0.69999999999998863</v>
      </c>
      <c r="D29" s="32">
        <v>0.74285714285713311</v>
      </c>
      <c r="E29" s="32">
        <v>-3.7363636363636177</v>
      </c>
    </row>
    <row r="30" spans="1:7" x14ac:dyDescent="0.3">
      <c r="A30" s="17" t="s">
        <v>351</v>
      </c>
      <c r="B30" s="32"/>
      <c r="C30" s="32">
        <v>9.1985714285714195</v>
      </c>
      <c r="D30" s="32">
        <v>7.328571428571431</v>
      </c>
      <c r="E30" s="32">
        <v>11.600000000000023</v>
      </c>
    </row>
    <row r="31" spans="1:7" x14ac:dyDescent="0.3">
      <c r="A31" s="17" t="s">
        <v>336</v>
      </c>
      <c r="B31" s="32"/>
      <c r="C31" s="32">
        <v>82</v>
      </c>
      <c r="D31" s="32">
        <v>14.857142857142858</v>
      </c>
      <c r="E31" s="32"/>
    </row>
    <row r="32" spans="1:7" x14ac:dyDescent="0.3">
      <c r="A32" s="17" t="s">
        <v>318</v>
      </c>
      <c r="B32" s="32"/>
      <c r="C32" s="32"/>
      <c r="D32" s="32">
        <v>34.443333333333335</v>
      </c>
      <c r="E32" s="32">
        <v>25.999999999999954</v>
      </c>
    </row>
    <row r="33" spans="1:5" x14ac:dyDescent="0.3">
      <c r="A33" s="17" t="s">
        <v>349</v>
      </c>
      <c r="B33" s="32"/>
      <c r="C33" s="32"/>
      <c r="D33" s="32">
        <v>23.5</v>
      </c>
      <c r="E33" s="32"/>
    </row>
    <row r="34" spans="1:5" x14ac:dyDescent="0.3">
      <c r="A34" s="17" t="s">
        <v>367</v>
      </c>
      <c r="B34" s="32"/>
      <c r="C34" s="32"/>
      <c r="D34" s="32">
        <v>11.53333333333336</v>
      </c>
      <c r="E34" s="32">
        <v>16.75</v>
      </c>
    </row>
    <row r="35" spans="1:5" x14ac:dyDescent="0.3">
      <c r="A35" s="17" t="s">
        <v>357</v>
      </c>
      <c r="B35" s="32"/>
      <c r="C35" s="32"/>
      <c r="D35" s="32">
        <v>23.645454545454538</v>
      </c>
      <c r="E35" s="32">
        <v>39.433333333333245</v>
      </c>
    </row>
    <row r="36" spans="1:5" x14ac:dyDescent="0.3">
      <c r="A36" s="30" t="s">
        <v>26</v>
      </c>
      <c r="B36" s="32"/>
      <c r="C36" s="32"/>
      <c r="D36" s="32">
        <v>23.645454545454538</v>
      </c>
      <c r="E36" s="32">
        <v>39.433333333333245</v>
      </c>
    </row>
    <row r="37" spans="1:5" x14ac:dyDescent="0.3">
      <c r="A37" s="17" t="s">
        <v>358</v>
      </c>
      <c r="B37" s="32"/>
      <c r="C37" s="32"/>
      <c r="D37" s="32">
        <v>168.5</v>
      </c>
      <c r="E37" s="32"/>
    </row>
    <row r="38" spans="1:5" x14ac:dyDescent="0.3">
      <c r="A38" s="30" t="s">
        <v>26</v>
      </c>
      <c r="B38" s="32"/>
      <c r="C38" s="32"/>
      <c r="D38" s="32">
        <v>168.5</v>
      </c>
      <c r="E38" s="32"/>
    </row>
    <row r="39" spans="1:5" x14ac:dyDescent="0.3">
      <c r="A39" s="17" t="s">
        <v>377</v>
      </c>
      <c r="B39" s="32"/>
      <c r="C39" s="32"/>
      <c r="D39" s="32">
        <v>24.760000000000037</v>
      </c>
      <c r="E39" s="32">
        <v>23.899999999999977</v>
      </c>
    </row>
    <row r="40" spans="1:5" x14ac:dyDescent="0.3">
      <c r="A40" s="30" t="s">
        <v>142</v>
      </c>
      <c r="B40" s="32"/>
      <c r="C40" s="32"/>
      <c r="D40" s="32">
        <v>21.5</v>
      </c>
      <c r="E40" s="32"/>
    </row>
    <row r="41" spans="1:5" x14ac:dyDescent="0.3">
      <c r="A41" s="30" t="s">
        <v>26</v>
      </c>
      <c r="B41" s="32"/>
      <c r="C41" s="32"/>
      <c r="D41" s="32">
        <v>25.575000000000045</v>
      </c>
      <c r="E41" s="32">
        <v>23.899999999999977</v>
      </c>
    </row>
    <row r="42" spans="1:5" x14ac:dyDescent="0.3">
      <c r="A42" s="17" t="s">
        <v>369</v>
      </c>
      <c r="B42" s="32"/>
      <c r="C42" s="32"/>
      <c r="D42" s="32">
        <v>34.062500000000028</v>
      </c>
      <c r="E42" s="32">
        <v>47.400000000000091</v>
      </c>
    </row>
    <row r="43" spans="1:5" x14ac:dyDescent="0.3">
      <c r="A43" s="30" t="s">
        <v>142</v>
      </c>
      <c r="B43" s="32"/>
      <c r="C43" s="32"/>
      <c r="D43" s="32">
        <v>39.300000000000068</v>
      </c>
      <c r="E43" s="32">
        <v>47.400000000000091</v>
      </c>
    </row>
    <row r="44" spans="1:5" x14ac:dyDescent="0.3">
      <c r="A44" s="30" t="s">
        <v>26</v>
      </c>
      <c r="B44" s="32"/>
      <c r="C44" s="32"/>
      <c r="D44" s="32">
        <v>28.824999999999989</v>
      </c>
      <c r="E44" s="32"/>
    </row>
    <row r="45" spans="1:5" x14ac:dyDescent="0.3">
      <c r="A45" s="17" t="s">
        <v>366</v>
      </c>
      <c r="B45" s="32"/>
      <c r="C45" s="32"/>
      <c r="D45" s="32">
        <v>2.8999999999999773</v>
      </c>
      <c r="E45" s="32"/>
    </row>
    <row r="46" spans="1:5" x14ac:dyDescent="0.3">
      <c r="A46" s="30" t="s">
        <v>26</v>
      </c>
      <c r="B46" s="32"/>
      <c r="C46" s="32"/>
      <c r="D46" s="32">
        <v>2.8999999999999773</v>
      </c>
      <c r="E46" s="32"/>
    </row>
    <row r="47" spans="1:5" x14ac:dyDescent="0.3">
      <c r="A47" s="12" t="s">
        <v>395</v>
      </c>
      <c r="B47" s="32"/>
      <c r="C47" s="32">
        <v>11.725000000000009</v>
      </c>
      <c r="D47" s="32">
        <v>7.2873015873015836</v>
      </c>
      <c r="E47" s="32">
        <v>10.49999999999998</v>
      </c>
    </row>
    <row r="48" spans="1:5" x14ac:dyDescent="0.3">
      <c r="A48" s="12" t="s">
        <v>401</v>
      </c>
      <c r="B48" s="32"/>
      <c r="C48" s="32">
        <v>42.5</v>
      </c>
      <c r="D48" s="32"/>
      <c r="E48" s="32"/>
    </row>
    <row r="49" spans="1:5" x14ac:dyDescent="0.3">
      <c r="A49" s="17" t="s">
        <v>361</v>
      </c>
      <c r="B49" s="32"/>
      <c r="C49" s="32">
        <v>42.5</v>
      </c>
      <c r="D49" s="32"/>
      <c r="E49" s="32"/>
    </row>
    <row r="50" spans="1:5" x14ac:dyDescent="0.3">
      <c r="A50" s="12" t="s">
        <v>397</v>
      </c>
      <c r="B50" s="32"/>
      <c r="C50" s="32"/>
      <c r="D50" s="32">
        <v>0.42222222222220451</v>
      </c>
      <c r="E50" s="32"/>
    </row>
    <row r="51" spans="1:5" x14ac:dyDescent="0.3">
      <c r="A51" s="17" t="s">
        <v>322</v>
      </c>
      <c r="B51" s="32"/>
      <c r="C51" s="32"/>
      <c r="D51" s="32">
        <v>0.42222222222220451</v>
      </c>
      <c r="E51" s="32"/>
    </row>
    <row r="52" spans="1:5" x14ac:dyDescent="0.3">
      <c r="A52" s="12" t="s">
        <v>387</v>
      </c>
      <c r="B52" s="32"/>
      <c r="C52" s="32"/>
      <c r="D52" s="32">
        <v>-6.5333333333333785</v>
      </c>
      <c r="E52" s="32">
        <v>-23.850000000000023</v>
      </c>
    </row>
    <row r="53" spans="1:5" x14ac:dyDescent="0.3">
      <c r="A53" s="17" t="s">
        <v>304</v>
      </c>
      <c r="B53" s="32"/>
      <c r="C53" s="32"/>
      <c r="D53" s="32">
        <v>-6.5333333333333785</v>
      </c>
      <c r="E53" s="32">
        <v>-23.850000000000023</v>
      </c>
    </row>
    <row r="54" spans="1:5" x14ac:dyDescent="0.3">
      <c r="A54" s="30" t="s">
        <v>142</v>
      </c>
      <c r="B54" s="32"/>
      <c r="C54" s="32"/>
      <c r="D54" s="32">
        <v>-6.5333333333333785</v>
      </c>
      <c r="E54" s="32">
        <v>-23.850000000000023</v>
      </c>
    </row>
    <row r="55" spans="1:5" x14ac:dyDescent="0.3">
      <c r="A55" s="12" t="s">
        <v>388</v>
      </c>
      <c r="B55" s="32"/>
      <c r="C55" s="32"/>
      <c r="D55" s="32">
        <v>3.9000000000000909</v>
      </c>
      <c r="E55" s="32">
        <v>3.2999999999999545</v>
      </c>
    </row>
    <row r="56" spans="1:5" x14ac:dyDescent="0.3">
      <c r="A56" s="17" t="s">
        <v>305</v>
      </c>
      <c r="B56" s="32"/>
      <c r="C56" s="32"/>
      <c r="D56" s="32">
        <v>3.9000000000000909</v>
      </c>
      <c r="E56" s="32">
        <v>3.2999999999999545</v>
      </c>
    </row>
    <row r="57" spans="1:5" x14ac:dyDescent="0.3">
      <c r="A57" s="30" t="s">
        <v>142</v>
      </c>
      <c r="B57" s="32"/>
      <c r="C57" s="32"/>
      <c r="D57" s="32"/>
      <c r="E57" s="32">
        <v>3.2999999999999545</v>
      </c>
    </row>
    <row r="58" spans="1:5" x14ac:dyDescent="0.3">
      <c r="A58" s="30" t="s">
        <v>26</v>
      </c>
      <c r="B58" s="32"/>
      <c r="C58" s="32"/>
      <c r="D58" s="32">
        <v>3.9000000000000909</v>
      </c>
      <c r="E58" s="32"/>
    </row>
    <row r="59" spans="1:5" x14ac:dyDescent="0.3">
      <c r="A59" s="12" t="s">
        <v>409</v>
      </c>
      <c r="B59" s="32">
        <v>17.600000000000023</v>
      </c>
      <c r="C59" s="32">
        <v>23.447843665768193</v>
      </c>
      <c r="D59" s="32">
        <v>18.045139664804456</v>
      </c>
      <c r="E59" s="32">
        <v>22.806415094339606</v>
      </c>
    </row>
  </sheetData>
  <conditionalFormatting pivot="1" sqref="B8:E16 B20:E35 B37:E37 B39:E39 B42:E42 B45:E45 B49:E49 B51:E51 B53:E53 B56:E56">
    <cfRule type="cellIs" dxfId="19" priority="1" operator="greaterThan">
      <formula>20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1533"/>
  <sheetViews>
    <sheetView topLeftCell="C1508" workbookViewId="0">
      <selection activeCell="D1532" sqref="D1532"/>
    </sheetView>
  </sheetViews>
  <sheetFormatPr defaultRowHeight="14.4" x14ac:dyDescent="0.3"/>
  <cols>
    <col min="1" max="1" width="14.5546875" hidden="1" customWidth="1"/>
    <col min="2" max="2" width="13.6640625" hidden="1" customWidth="1"/>
    <col min="3" max="3" width="3.6640625" customWidth="1"/>
    <col min="4" max="4" width="21" customWidth="1"/>
    <col min="5" max="5" width="21" hidden="1" customWidth="1"/>
    <col min="6" max="6" width="9.88671875" customWidth="1"/>
    <col min="7" max="7" width="13.33203125" customWidth="1"/>
    <col min="9" max="9" width="33" hidden="1" customWidth="1"/>
    <col min="10" max="10" width="8" customWidth="1"/>
    <col min="11" max="19" width="9.33203125" customWidth="1"/>
    <col min="20" max="20" width="10.33203125" customWidth="1"/>
    <col min="22" max="22" width="21" hidden="1" customWidth="1"/>
    <col min="23" max="23" width="12" hidden="1" customWidth="1"/>
    <col min="24" max="24" width="20" hidden="1" customWidth="1"/>
    <col min="25" max="25" width="8.6640625" customWidth="1"/>
    <col min="26" max="27" width="10.109375" style="10" customWidth="1"/>
    <col min="28" max="28" width="28.88671875" bestFit="1" customWidth="1"/>
    <col min="29" max="29" width="18.109375" bestFit="1" customWidth="1"/>
  </cols>
  <sheetData>
    <row r="1" spans="1:29" x14ac:dyDescent="0.3">
      <c r="A1" t="s">
        <v>403</v>
      </c>
      <c r="B1" t="s">
        <v>404</v>
      </c>
      <c r="C1" t="s">
        <v>0</v>
      </c>
      <c r="D1" t="s">
        <v>3</v>
      </c>
      <c r="E1" t="s">
        <v>1</v>
      </c>
      <c r="F1" t="s">
        <v>2</v>
      </c>
      <c r="G1" t="s">
        <v>405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299</v>
      </c>
      <c r="X1" t="s">
        <v>20</v>
      </c>
      <c r="Y1" t="s">
        <v>407</v>
      </c>
      <c r="Z1" s="10" t="s">
        <v>406</v>
      </c>
      <c r="AA1" s="10" t="s">
        <v>2435</v>
      </c>
      <c r="AB1" t="s">
        <v>298</v>
      </c>
      <c r="AC1" t="s">
        <v>384</v>
      </c>
    </row>
    <row r="2" spans="1:29" x14ac:dyDescent="0.3">
      <c r="A2" s="2">
        <f>INT(Tabela1[[#This Row],[Data e Hora2]])</f>
        <v>46233</v>
      </c>
      <c r="B2" t="str">
        <f>UPPER(TEXT(Tabela1[[#This Row],[Data Corrigida]],"MMM"))</f>
        <v>JUL</v>
      </c>
      <c r="C2" t="s">
        <v>294</v>
      </c>
      <c r="D2" s="2" t="s">
        <v>295</v>
      </c>
      <c r="E2" s="1" t="s">
        <v>296</v>
      </c>
      <c r="F2" t="s">
        <v>24</v>
      </c>
      <c r="G2" s="2" t="s">
        <v>297</v>
      </c>
      <c r="H2" t="s">
        <v>26</v>
      </c>
      <c r="I2" t="s">
        <v>143</v>
      </c>
      <c r="J2" s="6">
        <v>15105</v>
      </c>
      <c r="K2" s="16">
        <v>1020</v>
      </c>
      <c r="L2" s="16">
        <v>1035</v>
      </c>
      <c r="M2" s="16">
        <v>1048</v>
      </c>
      <c r="N2" s="16">
        <v>995</v>
      </c>
      <c r="O2" s="16">
        <v>1003</v>
      </c>
      <c r="P2" s="16">
        <v>1038</v>
      </c>
      <c r="Q2" s="16">
        <v>1027</v>
      </c>
      <c r="R2" s="16">
        <v>1028</v>
      </c>
      <c r="S2" s="16">
        <v>1025</v>
      </c>
      <c r="T2" s="16">
        <v>957</v>
      </c>
      <c r="U2" s="15">
        <v>1017.6</v>
      </c>
      <c r="V2" t="s">
        <v>19</v>
      </c>
      <c r="W2" t="s">
        <v>28</v>
      </c>
      <c r="X2">
        <v>382</v>
      </c>
      <c r="Y2" s="16">
        <f>VLOOKUP(Tabela1[[#This Row],[SKU]],SKU!A:D,4,0)</f>
        <v>1000</v>
      </c>
      <c r="Z2" s="18">
        <f>IFERROR((Tabela1[[#This Row],[Média]]-Tabela1[[#This Row],[Meta]])/Tabela1[[#This Row],[Meta]],"")</f>
        <v>1.7600000000000022E-2</v>
      </c>
      <c r="AA2" s="19">
        <f>Tabela1[[#This Row],[Média]]-Tabela1[[#This Row],[Meta]]</f>
        <v>17.600000000000023</v>
      </c>
      <c r="AB2" t="str">
        <f>VLOOKUP(Tabela1[[#This Row],[SKU]],SKU!A:B,2,0)</f>
        <v>FILE PEITO MET CG BDJ SE</v>
      </c>
      <c r="AC2" t="str">
        <f>VLOOKUP(Tabela1[[#This Row],[SKU]],SKU!A:C,3,0)</f>
        <v>PEITO</v>
      </c>
    </row>
    <row r="3" spans="1:29" x14ac:dyDescent="0.3">
      <c r="A3" s="2">
        <f>INT(Tabela1[[#This Row],[Data e Hora2]])</f>
        <v>46237</v>
      </c>
      <c r="B3" t="str">
        <f>UPPER(TEXT(Tabela1[[#This Row],[Data Corrigida]],"MMM"))</f>
        <v>AGO</v>
      </c>
      <c r="C3" t="s">
        <v>290</v>
      </c>
      <c r="D3" s="2" t="s">
        <v>291</v>
      </c>
      <c r="E3" s="1" t="s">
        <v>292</v>
      </c>
      <c r="F3" t="s">
        <v>56</v>
      </c>
      <c r="G3" s="2" t="s">
        <v>293</v>
      </c>
      <c r="H3" t="s">
        <v>26</v>
      </c>
      <c r="I3" t="s">
        <v>57</v>
      </c>
      <c r="J3" s="6">
        <v>209009</v>
      </c>
      <c r="K3" s="16">
        <v>1014</v>
      </c>
      <c r="L3" s="16">
        <v>1009</v>
      </c>
      <c r="M3" s="16">
        <v>1000</v>
      </c>
      <c r="N3" s="16">
        <v>1037</v>
      </c>
      <c r="O3" s="16">
        <v>1051</v>
      </c>
      <c r="P3" s="16">
        <v>1010</v>
      </c>
      <c r="Q3" s="16">
        <v>1019</v>
      </c>
      <c r="R3" s="16">
        <v>1012</v>
      </c>
      <c r="S3" s="16">
        <v>1000</v>
      </c>
      <c r="T3" s="16">
        <v>1007</v>
      </c>
      <c r="U3" s="15">
        <v>1015.9</v>
      </c>
      <c r="V3" t="s">
        <v>19</v>
      </c>
      <c r="W3" t="s">
        <v>28</v>
      </c>
      <c r="X3">
        <v>627</v>
      </c>
      <c r="Y3" s="16">
        <f>VLOOKUP(Tabela1[[#This Row],[SKU]],SKU!A:D,4,0)</f>
        <v>1000</v>
      </c>
      <c r="Z3" s="18">
        <f>IFERROR((Tabela1[[#This Row],[Média]]-Tabela1[[#This Row],[Meta]])/Tabela1[[#This Row],[Meta]],"")</f>
        <v>1.5899999999999977E-2</v>
      </c>
      <c r="AA3" s="19">
        <f>Tabela1[[#This Row],[Média]]-Tabela1[[#This Row],[Meta]]</f>
        <v>15.899999999999977</v>
      </c>
      <c r="AB3" t="str">
        <f>VLOOKUP(Tabela1[[#This Row],[SKU]],SKU!A:B,2,0)</f>
        <v>COXA SEM PELE IQF 1KG</v>
      </c>
      <c r="AC3" t="str">
        <f>VLOOKUP(Tabela1[[#This Row],[SKU]],SKU!A:C,3,0)</f>
        <v>PERNA</v>
      </c>
    </row>
    <row r="4" spans="1:29" x14ac:dyDescent="0.3">
      <c r="A4" s="2">
        <f>INT(Tabela1[[#This Row],[Data e Hora2]])</f>
        <v>46238</v>
      </c>
      <c r="B4" t="str">
        <f>UPPER(TEXT(Tabela1[[#This Row],[Data Corrigida]],"MMM"))</f>
        <v>AGO</v>
      </c>
      <c r="C4" t="s">
        <v>286</v>
      </c>
      <c r="D4" s="2" t="s">
        <v>287</v>
      </c>
      <c r="E4" s="1" t="s">
        <v>288</v>
      </c>
      <c r="F4" t="s">
        <v>56</v>
      </c>
      <c r="G4" s="2" t="s">
        <v>289</v>
      </c>
      <c r="H4" t="s">
        <v>26</v>
      </c>
      <c r="I4" t="s">
        <v>57</v>
      </c>
      <c r="J4" s="6">
        <v>197734</v>
      </c>
      <c r="K4" s="16">
        <v>1000</v>
      </c>
      <c r="L4" s="16">
        <v>1006</v>
      </c>
      <c r="M4" s="16">
        <v>999</v>
      </c>
      <c r="N4" s="16">
        <v>1010</v>
      </c>
      <c r="O4" s="16">
        <v>1063</v>
      </c>
      <c r="P4" s="16">
        <v>1004</v>
      </c>
      <c r="Q4" s="16">
        <v>1008</v>
      </c>
      <c r="R4" s="16">
        <v>1013</v>
      </c>
      <c r="S4" s="16">
        <v>997</v>
      </c>
      <c r="T4" s="16">
        <v>1001</v>
      </c>
      <c r="U4" s="15">
        <v>1010.1</v>
      </c>
      <c r="V4" t="s">
        <v>19</v>
      </c>
      <c r="W4" t="s">
        <v>28</v>
      </c>
      <c r="X4">
        <v>292</v>
      </c>
      <c r="Y4" s="16">
        <f>VLOOKUP(Tabela1[[#This Row],[SKU]],SKU!A:D,4,0)</f>
        <v>1000</v>
      </c>
      <c r="Z4" s="18">
        <f>IFERROR((Tabela1[[#This Row],[Média]]-Tabela1[[#This Row],[Meta]])/Tabela1[[#This Row],[Meta]],"")</f>
        <v>1.0100000000000022E-2</v>
      </c>
      <c r="AA4" s="19">
        <f>Tabela1[[#This Row],[Média]]-Tabela1[[#This Row],[Meta]]</f>
        <v>10.100000000000023</v>
      </c>
      <c r="AB4" t="str">
        <f>VLOOKUP(Tabela1[[#This Row],[SKU]],SKU!A:B,2,0)</f>
        <v>FILEZINHO FRANGO IQF ALM SE</v>
      </c>
      <c r="AC4" t="str">
        <f>VLOOKUP(Tabela1[[#This Row],[SKU]],SKU!A:C,3,0)</f>
        <v>SASSAMI</v>
      </c>
    </row>
    <row r="5" spans="1:29" x14ac:dyDescent="0.3">
      <c r="A5" s="2">
        <f>INT(Tabela1[[#This Row],[Data e Hora2]])</f>
        <v>46239</v>
      </c>
      <c r="B5" t="str">
        <f>UPPER(TEXT(Tabela1[[#This Row],[Data Corrigida]],"MMM"))</f>
        <v>AGO</v>
      </c>
      <c r="C5" t="s">
        <v>283</v>
      </c>
      <c r="D5" s="2" t="s">
        <v>284</v>
      </c>
      <c r="E5" s="1" t="s">
        <v>285</v>
      </c>
      <c r="F5" t="s">
        <v>56</v>
      </c>
      <c r="G5" s="2" t="s">
        <v>246</v>
      </c>
      <c r="H5" t="s">
        <v>26</v>
      </c>
      <c r="I5" t="s">
        <v>143</v>
      </c>
      <c r="J5" s="6">
        <v>40762</v>
      </c>
      <c r="K5" s="16">
        <v>10045</v>
      </c>
      <c r="L5" s="16">
        <v>10080</v>
      </c>
      <c r="M5" s="16">
        <v>10010</v>
      </c>
      <c r="N5" s="16">
        <v>10035</v>
      </c>
      <c r="O5" s="16">
        <v>9975</v>
      </c>
      <c r="P5" s="16">
        <v>10090</v>
      </c>
      <c r="Q5" s="16">
        <v>9980</v>
      </c>
      <c r="R5" s="16">
        <v>10005</v>
      </c>
      <c r="S5" s="16">
        <v>10065</v>
      </c>
      <c r="T5" s="16">
        <v>9970</v>
      </c>
      <c r="U5" s="15">
        <v>10025.5</v>
      </c>
      <c r="V5" t="s">
        <v>19</v>
      </c>
      <c r="W5" t="s">
        <v>28</v>
      </c>
      <c r="X5">
        <v>4451</v>
      </c>
      <c r="Y5" s="16">
        <f>VLOOKUP(Tabela1[[#This Row],[SKU]],SKU!A:D,4,0)</f>
        <v>10000</v>
      </c>
      <c r="Z5" s="18">
        <f>IFERROR((Tabela1[[#This Row],[Média]]-Tabela1[[#This Row],[Meta]])/Tabela1[[#This Row],[Meta]],"")</f>
        <v>2.5500000000000002E-3</v>
      </c>
      <c r="AA5" s="19">
        <f>Tabela1[[#This Row],[Média]]-Tabela1[[#This Row],[Meta]]</f>
        <v>25.5</v>
      </c>
      <c r="AB5" t="str">
        <f>VLOOKUP(Tabela1[[#This Row],[SKU]],SKU!A:B,2,0)</f>
        <v>COXA SBCX LQ FG LP</v>
      </c>
      <c r="AC5" t="str">
        <f>VLOOKUP(Tabela1[[#This Row],[SKU]],SKU!A:C,3,0)</f>
        <v>PERNA</v>
      </c>
    </row>
    <row r="6" spans="1:29" x14ac:dyDescent="0.3">
      <c r="A6" s="2">
        <f>INT(Tabela1[[#This Row],[Data e Hora2]])</f>
        <v>46239</v>
      </c>
      <c r="B6" t="str">
        <f>UPPER(TEXT(Tabela1[[#This Row],[Data Corrigida]],"MMM"))</f>
        <v>AGO</v>
      </c>
      <c r="C6" t="s">
        <v>280</v>
      </c>
      <c r="D6" s="2" t="s">
        <v>281</v>
      </c>
      <c r="E6" s="1" t="s">
        <v>282</v>
      </c>
      <c r="F6" t="s">
        <v>56</v>
      </c>
      <c r="G6" s="2" t="s">
        <v>246</v>
      </c>
      <c r="H6" t="s">
        <v>26</v>
      </c>
      <c r="I6" t="s">
        <v>27</v>
      </c>
      <c r="J6" s="6">
        <v>15105</v>
      </c>
      <c r="K6" s="16">
        <v>1004</v>
      </c>
      <c r="L6" s="16">
        <v>1015</v>
      </c>
      <c r="M6" s="16">
        <v>1004</v>
      </c>
      <c r="N6" s="16">
        <v>1009</v>
      </c>
      <c r="O6" s="16">
        <v>1012</v>
      </c>
      <c r="P6" s="16">
        <v>1008</v>
      </c>
      <c r="Q6" s="16">
        <v>1023</v>
      </c>
      <c r="R6" s="16">
        <v>1011</v>
      </c>
      <c r="S6" s="16">
        <v>1024</v>
      </c>
      <c r="T6" s="16">
        <v>1011</v>
      </c>
      <c r="U6" s="15">
        <v>1012.1</v>
      </c>
      <c r="V6" t="s">
        <v>19</v>
      </c>
      <c r="W6" t="s">
        <v>28</v>
      </c>
      <c r="X6">
        <v>338</v>
      </c>
      <c r="Y6" s="16">
        <f>VLOOKUP(Tabela1[[#This Row],[SKU]],SKU!A:D,4,0)</f>
        <v>1000</v>
      </c>
      <c r="Z6" s="18">
        <f>IFERROR((Tabela1[[#This Row],[Média]]-Tabela1[[#This Row],[Meta]])/Tabela1[[#This Row],[Meta]],"")</f>
        <v>1.2100000000000022E-2</v>
      </c>
      <c r="AA6" s="19">
        <f>Tabela1[[#This Row],[Média]]-Tabela1[[#This Row],[Meta]]</f>
        <v>12.100000000000023</v>
      </c>
      <c r="AB6" t="str">
        <f>VLOOKUP(Tabela1[[#This Row],[SKU]],SKU!A:B,2,0)</f>
        <v>FILE PEITO MET CG BDJ SE</v>
      </c>
      <c r="AC6" t="str">
        <f>VLOOKUP(Tabela1[[#This Row],[SKU]],SKU!A:C,3,0)</f>
        <v>PEITO</v>
      </c>
    </row>
    <row r="7" spans="1:29" x14ac:dyDescent="0.3">
      <c r="A7" s="2">
        <f>INT(Tabela1[[#This Row],[Data e Hora2]])</f>
        <v>46239</v>
      </c>
      <c r="B7" t="str">
        <f>UPPER(TEXT(Tabela1[[#This Row],[Data Corrigida]],"MMM"))</f>
        <v>AGO</v>
      </c>
      <c r="C7" t="s">
        <v>277</v>
      </c>
      <c r="D7" s="2" t="s">
        <v>278</v>
      </c>
      <c r="E7" s="1" t="s">
        <v>279</v>
      </c>
      <c r="F7" t="s">
        <v>56</v>
      </c>
      <c r="G7" s="2" t="s">
        <v>246</v>
      </c>
      <c r="H7" t="s">
        <v>26</v>
      </c>
      <c r="I7" t="s">
        <v>27</v>
      </c>
      <c r="J7" s="6">
        <v>42854</v>
      </c>
      <c r="K7" s="16">
        <v>2082</v>
      </c>
      <c r="L7" s="16" t="s">
        <v>19</v>
      </c>
      <c r="M7" s="16">
        <v>2082</v>
      </c>
      <c r="N7" s="16">
        <v>2085</v>
      </c>
      <c r="O7" s="16">
        <v>2069</v>
      </c>
      <c r="P7" s="16">
        <v>2003</v>
      </c>
      <c r="Q7" s="16">
        <v>2151</v>
      </c>
      <c r="R7" s="16">
        <v>2084</v>
      </c>
      <c r="S7" s="16">
        <v>2155</v>
      </c>
      <c r="T7" s="16">
        <v>2099</v>
      </c>
      <c r="U7" s="15">
        <v>2090</v>
      </c>
      <c r="V7" t="s">
        <v>19</v>
      </c>
      <c r="W7" t="s">
        <v>28</v>
      </c>
      <c r="X7">
        <v>826</v>
      </c>
      <c r="Y7" s="16">
        <f>VLOOKUP(Tabela1[[#This Row],[SKU]],SKU!A:D,4,0)</f>
        <v>2080</v>
      </c>
      <c r="Z7" s="18">
        <f>IFERROR((Tabela1[[#This Row],[Média]]-Tabela1[[#This Row],[Meta]])/Tabela1[[#This Row],[Meta]],"")</f>
        <v>4.807692307692308E-3</v>
      </c>
      <c r="AA7" s="19">
        <f>Tabela1[[#This Row],[Média]]-Tabela1[[#This Row],[Meta]]</f>
        <v>10</v>
      </c>
      <c r="AB7" t="str">
        <f>VLOOKUP(Tabela1[[#This Row],[SKU]],SKU!A:B,2,0)</f>
        <v>COXA SBCX S/O FG 260-280g PB</v>
      </c>
      <c r="AC7" t="str">
        <f>VLOOKUP(Tabela1[[#This Row],[SKU]],SKU!A:C,3,0)</f>
        <v>PERNA</v>
      </c>
    </row>
    <row r="8" spans="1:29" x14ac:dyDescent="0.3">
      <c r="A8" s="2">
        <f>INT(Tabela1[[#This Row],[Data e Hora2]])</f>
        <v>46239</v>
      </c>
      <c r="B8" t="str">
        <f>UPPER(TEXT(Tabela1[[#This Row],[Data Corrigida]],"MMM"))</f>
        <v>AGO</v>
      </c>
      <c r="C8" t="s">
        <v>274</v>
      </c>
      <c r="D8" s="2" t="s">
        <v>275</v>
      </c>
      <c r="E8" s="1" t="s">
        <v>276</v>
      </c>
      <c r="F8" t="s">
        <v>56</v>
      </c>
      <c r="G8" s="2" t="s">
        <v>246</v>
      </c>
      <c r="H8" t="s">
        <v>26</v>
      </c>
      <c r="I8" t="s">
        <v>27</v>
      </c>
      <c r="J8" s="6">
        <v>42862</v>
      </c>
      <c r="K8" s="16">
        <v>2019</v>
      </c>
      <c r="L8" s="16">
        <v>2008</v>
      </c>
      <c r="M8" s="16">
        <v>1993</v>
      </c>
      <c r="N8" s="16">
        <v>2017</v>
      </c>
      <c r="O8" s="16">
        <v>2003</v>
      </c>
      <c r="P8" s="16">
        <v>2044</v>
      </c>
      <c r="Q8" s="16">
        <v>2009</v>
      </c>
      <c r="R8" s="16">
        <v>2017</v>
      </c>
      <c r="S8" s="16">
        <v>2023</v>
      </c>
      <c r="T8" s="16">
        <v>2025</v>
      </c>
      <c r="U8" s="15">
        <v>2015.8</v>
      </c>
      <c r="V8" t="s">
        <v>19</v>
      </c>
      <c r="W8" t="s">
        <v>28</v>
      </c>
      <c r="X8">
        <v>288</v>
      </c>
      <c r="Y8" s="16">
        <f>VLOOKUP(Tabela1[[#This Row],[SKU]],SKU!A:D,4,0)</f>
        <v>2000</v>
      </c>
      <c r="Z8" s="18">
        <f>IFERROR((Tabela1[[#This Row],[Média]]-Tabela1[[#This Row],[Meta]])/Tabela1[[#This Row],[Meta]],"")</f>
        <v>7.8999999999999765E-3</v>
      </c>
      <c r="AA8" s="19">
        <f>Tabela1[[#This Row],[Média]]-Tabela1[[#This Row],[Meta]]</f>
        <v>15.799999999999955</v>
      </c>
      <c r="AB8" t="str">
        <f>VLOOKUP(Tabela1[[#This Row],[SKU]],SKU!A:B,2,0)</f>
        <v>COXA SBCX S/O FG 280-300g PB</v>
      </c>
      <c r="AC8" t="str">
        <f>VLOOKUP(Tabela1[[#This Row],[SKU]],SKU!A:C,3,0)</f>
        <v>PERNA</v>
      </c>
    </row>
    <row r="9" spans="1:29" x14ac:dyDescent="0.3">
      <c r="A9" s="2">
        <f>INT(Tabela1[[#This Row],[Data e Hora2]])</f>
        <v>46239</v>
      </c>
      <c r="B9" t="str">
        <f>UPPER(TEXT(Tabela1[[#This Row],[Data Corrigida]],"MMM"))</f>
        <v>AGO</v>
      </c>
      <c r="C9" t="s">
        <v>271</v>
      </c>
      <c r="D9" s="2" t="s">
        <v>272</v>
      </c>
      <c r="E9" s="1" t="s">
        <v>273</v>
      </c>
      <c r="F9" t="s">
        <v>56</v>
      </c>
      <c r="G9" s="2" t="s">
        <v>246</v>
      </c>
      <c r="H9" t="s">
        <v>26</v>
      </c>
      <c r="I9" t="s">
        <v>27</v>
      </c>
      <c r="J9" s="6">
        <v>42846</v>
      </c>
      <c r="K9" s="16">
        <v>2025</v>
      </c>
      <c r="L9" s="16">
        <v>2039</v>
      </c>
      <c r="M9" s="16">
        <v>2002</v>
      </c>
      <c r="N9" s="16">
        <v>2199</v>
      </c>
      <c r="O9" s="16">
        <v>2128</v>
      </c>
      <c r="P9" s="16">
        <v>1994</v>
      </c>
      <c r="Q9" s="16">
        <v>2032</v>
      </c>
      <c r="R9" s="16">
        <v>1981</v>
      </c>
      <c r="S9" s="16">
        <v>2015</v>
      </c>
      <c r="T9" s="16">
        <v>2016</v>
      </c>
      <c r="U9" s="15">
        <v>2043.1</v>
      </c>
      <c r="V9" t="s">
        <v>19</v>
      </c>
      <c r="W9" t="s">
        <v>28</v>
      </c>
      <c r="X9">
        <v>293</v>
      </c>
      <c r="Y9" s="16">
        <f>VLOOKUP(Tabela1[[#This Row],[SKU]],SKU!A:D,4,0)</f>
        <v>2000</v>
      </c>
      <c r="Z9" s="18">
        <f>IFERROR((Tabela1[[#This Row],[Média]]-Tabela1[[#This Row],[Meta]])/Tabela1[[#This Row],[Meta]],"")</f>
        <v>2.1549999999999955E-2</v>
      </c>
      <c r="AA9" s="19">
        <f>Tabela1[[#This Row],[Média]]-Tabela1[[#This Row],[Meta]]</f>
        <v>43.099999999999909</v>
      </c>
      <c r="AB9" t="str">
        <f>VLOOKUP(Tabela1[[#This Row],[SKU]],SKU!A:B,2,0)</f>
        <v>COXA SBCX S/O FG 240-260g PB</v>
      </c>
      <c r="AC9" t="str">
        <f>VLOOKUP(Tabela1[[#This Row],[SKU]],SKU!A:C,3,0)</f>
        <v>PERNA</v>
      </c>
    </row>
    <row r="10" spans="1:29" x14ac:dyDescent="0.3">
      <c r="A10" s="2">
        <f>INT(Tabela1[[#This Row],[Data e Hora2]])</f>
        <v>46239</v>
      </c>
      <c r="B10" t="str">
        <f>UPPER(TEXT(Tabela1[[#This Row],[Data Corrigida]],"MMM"))</f>
        <v>AGO</v>
      </c>
      <c r="C10" t="s">
        <v>268</v>
      </c>
      <c r="D10" s="2" t="s">
        <v>269</v>
      </c>
      <c r="E10" s="1" t="s">
        <v>270</v>
      </c>
      <c r="F10" t="s">
        <v>56</v>
      </c>
      <c r="G10" s="2" t="s">
        <v>246</v>
      </c>
      <c r="H10" t="s">
        <v>26</v>
      </c>
      <c r="I10" t="s">
        <v>27</v>
      </c>
      <c r="J10" s="6">
        <v>42838</v>
      </c>
      <c r="K10" s="16">
        <v>2030</v>
      </c>
      <c r="L10" s="16">
        <v>1997</v>
      </c>
      <c r="M10" s="16">
        <v>1996</v>
      </c>
      <c r="N10" s="16">
        <v>2006</v>
      </c>
      <c r="O10" s="16">
        <v>2023</v>
      </c>
      <c r="P10" s="16">
        <v>2113</v>
      </c>
      <c r="Q10" s="16">
        <v>2006</v>
      </c>
      <c r="R10" s="16">
        <v>2013</v>
      </c>
      <c r="S10" s="16">
        <v>2018</v>
      </c>
      <c r="T10" s="16">
        <v>2007</v>
      </c>
      <c r="U10" s="15">
        <v>2020.9</v>
      </c>
      <c r="V10" t="s">
        <v>19</v>
      </c>
      <c r="W10" t="s">
        <v>28</v>
      </c>
      <c r="X10">
        <v>351</v>
      </c>
      <c r="Y10" s="16">
        <f>VLOOKUP(Tabela1[[#This Row],[SKU]],SKU!A:D,4,0)</f>
        <v>2000</v>
      </c>
      <c r="Z10" s="18">
        <f>IFERROR((Tabela1[[#This Row],[Média]]-Tabela1[[#This Row],[Meta]])/Tabela1[[#This Row],[Meta]],"")</f>
        <v>1.0450000000000046E-2</v>
      </c>
      <c r="AA10" s="19">
        <f>Tabela1[[#This Row],[Média]]-Tabela1[[#This Row],[Meta]]</f>
        <v>20.900000000000091</v>
      </c>
      <c r="AB10" t="str">
        <f>VLOOKUP(Tabela1[[#This Row],[SKU]],SKU!A:B,2,0)</f>
        <v>COXA SBCX S/O FG 220-240g PB</v>
      </c>
      <c r="AC10" t="str">
        <f>VLOOKUP(Tabela1[[#This Row],[SKU]],SKU!A:C,3,0)</f>
        <v>PERNA</v>
      </c>
    </row>
    <row r="11" spans="1:29" x14ac:dyDescent="0.3">
      <c r="A11" s="2">
        <f>INT(Tabela1[[#This Row],[Data e Hora2]])</f>
        <v>46239</v>
      </c>
      <c r="B11" t="str">
        <f>UPPER(TEXT(Tabela1[[#This Row],[Data Corrigida]],"MMM"))</f>
        <v>AGO</v>
      </c>
      <c r="C11" t="s">
        <v>265</v>
      </c>
      <c r="D11" s="2" t="s">
        <v>266</v>
      </c>
      <c r="E11" s="1" t="s">
        <v>267</v>
      </c>
      <c r="F11" t="s">
        <v>56</v>
      </c>
      <c r="G11" s="2" t="s">
        <v>246</v>
      </c>
      <c r="H11" t="s">
        <v>26</v>
      </c>
      <c r="I11" t="s">
        <v>27</v>
      </c>
      <c r="J11" s="6">
        <v>13188</v>
      </c>
      <c r="K11" s="16">
        <v>1006</v>
      </c>
      <c r="L11" s="16">
        <v>1016</v>
      </c>
      <c r="M11" s="16">
        <v>1012</v>
      </c>
      <c r="N11" s="16">
        <v>1025</v>
      </c>
      <c r="O11" s="16">
        <v>1025</v>
      </c>
      <c r="P11" s="16">
        <v>1012</v>
      </c>
      <c r="Q11" s="16">
        <v>1001</v>
      </c>
      <c r="R11" s="16">
        <v>1017</v>
      </c>
      <c r="S11" s="16">
        <v>1024</v>
      </c>
      <c r="T11" s="16">
        <v>1017</v>
      </c>
      <c r="U11" s="15">
        <v>1015.5</v>
      </c>
      <c r="V11" t="s">
        <v>19</v>
      </c>
      <c r="W11" t="s">
        <v>28</v>
      </c>
      <c r="X11">
        <v>344</v>
      </c>
      <c r="Y11" s="16">
        <f>VLOOKUP(Tabela1[[#This Row],[SKU]],SKU!A:D,4,0)</f>
        <v>1000</v>
      </c>
      <c r="Z11" s="18">
        <f>IFERROR((Tabela1[[#This Row],[Média]]-Tabela1[[#This Row],[Meta]])/Tabela1[[#This Row],[Meta]],"")</f>
        <v>1.55E-2</v>
      </c>
      <c r="AA11" s="19">
        <f>Tabela1[[#This Row],[Média]]-Tabela1[[#This Row],[Meta]]</f>
        <v>15.5</v>
      </c>
      <c r="AB11" t="str">
        <f>VLOOKUP(Tabela1[[#This Row],[SKU]],SKU!A:B,2,0)</f>
        <v>SOBRECOXA CG BDJ SE</v>
      </c>
      <c r="AC11" t="str">
        <f>VLOOKUP(Tabela1[[#This Row],[SKU]],SKU!A:C,3,0)</f>
        <v>PERNA</v>
      </c>
    </row>
    <row r="12" spans="1:29" x14ac:dyDescent="0.3">
      <c r="A12" s="2">
        <f>INT(Tabela1[[#This Row],[Data e Hora2]])</f>
        <v>46239</v>
      </c>
      <c r="B12" t="str">
        <f>UPPER(TEXT(Tabela1[[#This Row],[Data Corrigida]],"MMM"))</f>
        <v>AGO</v>
      </c>
      <c r="C12" t="s">
        <v>262</v>
      </c>
      <c r="D12" s="2" t="s">
        <v>263</v>
      </c>
      <c r="E12" s="1" t="s">
        <v>264</v>
      </c>
      <c r="F12" t="s">
        <v>56</v>
      </c>
      <c r="G12" s="2" t="s">
        <v>246</v>
      </c>
      <c r="H12" t="s">
        <v>26</v>
      </c>
      <c r="I12" t="s">
        <v>57</v>
      </c>
      <c r="J12" s="6">
        <v>209009</v>
      </c>
      <c r="K12" s="16">
        <v>1026</v>
      </c>
      <c r="L12" s="16">
        <v>1005</v>
      </c>
      <c r="M12" s="16">
        <v>1011</v>
      </c>
      <c r="N12" s="16">
        <v>1046</v>
      </c>
      <c r="O12" s="16">
        <v>1010</v>
      </c>
      <c r="P12" s="16">
        <v>1049</v>
      </c>
      <c r="Q12" s="16">
        <v>1003</v>
      </c>
      <c r="R12" s="16">
        <v>1050</v>
      </c>
      <c r="S12" s="16">
        <v>1032</v>
      </c>
      <c r="T12" s="16">
        <v>1027</v>
      </c>
      <c r="U12" s="15">
        <v>1025.9000000000001</v>
      </c>
      <c r="V12" t="s">
        <v>19</v>
      </c>
      <c r="W12" t="s">
        <v>28</v>
      </c>
      <c r="X12">
        <v>291</v>
      </c>
      <c r="Y12" s="16">
        <f>VLOOKUP(Tabela1[[#This Row],[SKU]],SKU!A:D,4,0)</f>
        <v>1000</v>
      </c>
      <c r="Z12" s="18">
        <f>IFERROR((Tabela1[[#This Row],[Média]]-Tabela1[[#This Row],[Meta]])/Tabela1[[#This Row],[Meta]],"")</f>
        <v>2.590000000000009E-2</v>
      </c>
      <c r="AA12" s="19">
        <f>Tabela1[[#This Row],[Média]]-Tabela1[[#This Row],[Meta]]</f>
        <v>25.900000000000091</v>
      </c>
      <c r="AB12" t="str">
        <f>VLOOKUP(Tabela1[[#This Row],[SKU]],SKU!A:B,2,0)</f>
        <v>COXA SEM PELE IQF 1KG</v>
      </c>
      <c r="AC12" t="str">
        <f>VLOOKUP(Tabela1[[#This Row],[SKU]],SKU!A:C,3,0)</f>
        <v>PERNA</v>
      </c>
    </row>
    <row r="13" spans="1:29" x14ac:dyDescent="0.3">
      <c r="A13" s="2">
        <f>INT(Tabela1[[#This Row],[Data e Hora2]])</f>
        <v>46239</v>
      </c>
      <c r="B13" t="str">
        <f>UPPER(TEXT(Tabela1[[#This Row],[Data Corrigida]],"MMM"))</f>
        <v>AGO</v>
      </c>
      <c r="C13" t="s">
        <v>259</v>
      </c>
      <c r="D13" s="2" t="s">
        <v>260</v>
      </c>
      <c r="E13" s="1" t="s">
        <v>261</v>
      </c>
      <c r="F13" t="s">
        <v>56</v>
      </c>
      <c r="G13" s="2" t="s">
        <v>246</v>
      </c>
      <c r="H13" t="s">
        <v>26</v>
      </c>
      <c r="I13" t="s">
        <v>27</v>
      </c>
      <c r="J13" s="6">
        <v>15105</v>
      </c>
      <c r="K13" s="16">
        <v>1013</v>
      </c>
      <c r="L13" s="16">
        <v>990</v>
      </c>
      <c r="M13" s="16">
        <v>1203</v>
      </c>
      <c r="N13" s="16">
        <v>1037</v>
      </c>
      <c r="O13" s="16">
        <v>1025</v>
      </c>
      <c r="P13" s="16">
        <v>1035</v>
      </c>
      <c r="Q13" s="16">
        <v>991</v>
      </c>
      <c r="R13" s="16">
        <v>1014</v>
      </c>
      <c r="S13" s="16">
        <v>1039</v>
      </c>
      <c r="T13" s="16">
        <v>1034</v>
      </c>
      <c r="U13" s="15">
        <v>1038.0999999999999</v>
      </c>
      <c r="V13" t="s">
        <v>19</v>
      </c>
      <c r="W13" t="s">
        <v>28</v>
      </c>
      <c r="X13">
        <v>384</v>
      </c>
      <c r="Y13" s="16">
        <f>VLOOKUP(Tabela1[[#This Row],[SKU]],SKU!A:D,4,0)</f>
        <v>1000</v>
      </c>
      <c r="Z13" s="18">
        <f>IFERROR((Tabela1[[#This Row],[Média]]-Tabela1[[#This Row],[Meta]])/Tabela1[[#This Row],[Meta]],"")</f>
        <v>3.8099999999999912E-2</v>
      </c>
      <c r="AA13" s="19">
        <f>Tabela1[[#This Row],[Média]]-Tabela1[[#This Row],[Meta]]</f>
        <v>38.099999999999909</v>
      </c>
      <c r="AB13" t="str">
        <f>VLOOKUP(Tabela1[[#This Row],[SKU]],SKU!A:B,2,0)</f>
        <v>FILE PEITO MET CG BDJ SE</v>
      </c>
      <c r="AC13" t="str">
        <f>VLOOKUP(Tabela1[[#This Row],[SKU]],SKU!A:C,3,0)</f>
        <v>PEITO</v>
      </c>
    </row>
    <row r="14" spans="1:29" x14ac:dyDescent="0.3">
      <c r="A14" s="2">
        <f>INT(Tabela1[[#This Row],[Data e Hora2]])</f>
        <v>46239</v>
      </c>
      <c r="B14" t="str">
        <f>UPPER(TEXT(Tabela1[[#This Row],[Data Corrigida]],"MMM"))</f>
        <v>AGO</v>
      </c>
      <c r="C14" t="s">
        <v>256</v>
      </c>
      <c r="D14" s="2" t="s">
        <v>257</v>
      </c>
      <c r="E14" s="1" t="s">
        <v>258</v>
      </c>
      <c r="F14" t="s">
        <v>56</v>
      </c>
      <c r="G14" s="2" t="s">
        <v>246</v>
      </c>
      <c r="H14" t="s">
        <v>26</v>
      </c>
      <c r="I14" t="s">
        <v>27</v>
      </c>
      <c r="J14" s="6">
        <v>15229</v>
      </c>
      <c r="K14" s="16">
        <v>1019</v>
      </c>
      <c r="L14" s="16">
        <v>1018</v>
      </c>
      <c r="M14" s="16">
        <v>1016</v>
      </c>
      <c r="N14" s="16">
        <v>1021</v>
      </c>
      <c r="O14" s="16">
        <v>1017</v>
      </c>
      <c r="P14" s="16">
        <v>1023</v>
      </c>
      <c r="Q14" s="16">
        <v>997</v>
      </c>
      <c r="R14" s="16">
        <v>1022</v>
      </c>
      <c r="S14" s="16">
        <v>1020</v>
      </c>
      <c r="T14" s="16">
        <v>999</v>
      </c>
      <c r="U14" s="15">
        <v>1015.2</v>
      </c>
      <c r="V14" t="s">
        <v>19</v>
      </c>
      <c r="W14" t="s">
        <v>28</v>
      </c>
      <c r="X14">
        <v>587</v>
      </c>
      <c r="Y14" s="16">
        <f>VLOOKUP(Tabela1[[#This Row],[SKU]],SKU!A:D,4,0)</f>
        <v>1000</v>
      </c>
      <c r="Z14" s="18">
        <f>IFERROR((Tabela1[[#This Row],[Média]]-Tabela1[[#This Row],[Meta]])/Tabela1[[#This Row],[Meta]],"")</f>
        <v>1.5200000000000045E-2</v>
      </c>
      <c r="AA14" s="19">
        <f>Tabela1[[#This Row],[Média]]-Tabela1[[#This Row],[Meta]]</f>
        <v>15.200000000000045</v>
      </c>
      <c r="AB14" t="str">
        <f>VLOOKUP(Tabela1[[#This Row],[SKU]],SKU!A:B,2,0)</f>
        <v>COXA CG BDJ SE</v>
      </c>
      <c r="AC14" t="str">
        <f>VLOOKUP(Tabela1[[#This Row],[SKU]],SKU!A:C,3,0)</f>
        <v>PERNA</v>
      </c>
    </row>
    <row r="15" spans="1:29" x14ac:dyDescent="0.3">
      <c r="A15" s="2">
        <f>INT(Tabela1[[#This Row],[Data e Hora2]])</f>
        <v>46239</v>
      </c>
      <c r="B15" t="str">
        <f>UPPER(TEXT(Tabela1[[#This Row],[Data Corrigida]],"MMM"))</f>
        <v>AGO</v>
      </c>
      <c r="C15" t="s">
        <v>253</v>
      </c>
      <c r="D15" s="2" t="s">
        <v>254</v>
      </c>
      <c r="E15" s="1" t="s">
        <v>255</v>
      </c>
      <c r="F15" t="s">
        <v>56</v>
      </c>
      <c r="G15" s="2" t="s">
        <v>246</v>
      </c>
      <c r="H15" t="s">
        <v>26</v>
      </c>
      <c r="I15" t="s">
        <v>27</v>
      </c>
      <c r="J15" s="6">
        <v>42846</v>
      </c>
      <c r="K15" s="16">
        <v>2055</v>
      </c>
      <c r="L15" s="16">
        <v>2071</v>
      </c>
      <c r="M15" s="16">
        <v>2048</v>
      </c>
      <c r="N15" s="16">
        <v>2070</v>
      </c>
      <c r="O15" s="16">
        <v>2018</v>
      </c>
      <c r="P15" s="16">
        <v>2003</v>
      </c>
      <c r="Q15" s="16">
        <v>2013</v>
      </c>
      <c r="R15" s="16">
        <v>2073</v>
      </c>
      <c r="S15" s="16">
        <v>2042</v>
      </c>
      <c r="T15" s="16">
        <v>2039</v>
      </c>
      <c r="U15" s="15">
        <v>2043.2</v>
      </c>
      <c r="V15" t="s">
        <v>19</v>
      </c>
      <c r="W15" t="s">
        <v>28</v>
      </c>
      <c r="X15">
        <v>453</v>
      </c>
      <c r="Y15" s="16">
        <f>VLOOKUP(Tabela1[[#This Row],[SKU]],SKU!A:D,4,0)</f>
        <v>2000</v>
      </c>
      <c r="Z15" s="18">
        <f>IFERROR((Tabela1[[#This Row],[Média]]-Tabela1[[#This Row],[Meta]])/Tabela1[[#This Row],[Meta]],"")</f>
        <v>2.1600000000000022E-2</v>
      </c>
      <c r="AA15" s="19">
        <f>Tabela1[[#This Row],[Média]]-Tabela1[[#This Row],[Meta]]</f>
        <v>43.200000000000045</v>
      </c>
      <c r="AB15" t="str">
        <f>VLOOKUP(Tabela1[[#This Row],[SKU]],SKU!A:B,2,0)</f>
        <v>COXA SBCX S/O FG 240-260g PB</v>
      </c>
      <c r="AC15" t="str">
        <f>VLOOKUP(Tabela1[[#This Row],[SKU]],SKU!A:C,3,0)</f>
        <v>PERNA</v>
      </c>
    </row>
    <row r="16" spans="1:29" x14ac:dyDescent="0.3">
      <c r="A16" s="2">
        <f>INT(Tabela1[[#This Row],[Data e Hora2]])</f>
        <v>46239</v>
      </c>
      <c r="B16" t="str">
        <f>UPPER(TEXT(Tabela1[[#This Row],[Data Corrigida]],"MMM"))</f>
        <v>AGO</v>
      </c>
      <c r="C16" t="s">
        <v>250</v>
      </c>
      <c r="D16" s="2" t="s">
        <v>251</v>
      </c>
      <c r="E16" s="1" t="s">
        <v>252</v>
      </c>
      <c r="F16" t="s">
        <v>56</v>
      </c>
      <c r="G16" s="2" t="s">
        <v>246</v>
      </c>
      <c r="H16" t="s">
        <v>26</v>
      </c>
      <c r="I16" t="s">
        <v>27</v>
      </c>
      <c r="J16" s="6">
        <v>42862</v>
      </c>
      <c r="K16" s="16">
        <v>2093</v>
      </c>
      <c r="L16" s="16">
        <v>2024</v>
      </c>
      <c r="M16" s="16">
        <v>2010</v>
      </c>
      <c r="N16" s="16">
        <v>1978</v>
      </c>
      <c r="O16" s="16">
        <v>1974</v>
      </c>
      <c r="P16" s="16">
        <v>2026</v>
      </c>
      <c r="Q16" s="16">
        <v>2028</v>
      </c>
      <c r="R16" s="16">
        <v>2020</v>
      </c>
      <c r="S16" s="16">
        <v>2001</v>
      </c>
      <c r="T16" s="16">
        <v>2003</v>
      </c>
      <c r="U16" s="15">
        <v>2015.7</v>
      </c>
      <c r="V16" t="s">
        <v>19</v>
      </c>
      <c r="W16" t="s">
        <v>28</v>
      </c>
      <c r="X16">
        <v>332</v>
      </c>
      <c r="Y16" s="16">
        <f>VLOOKUP(Tabela1[[#This Row],[SKU]],SKU!A:D,4,0)</f>
        <v>2000</v>
      </c>
      <c r="Z16" s="18">
        <f>IFERROR((Tabela1[[#This Row],[Média]]-Tabela1[[#This Row],[Meta]])/Tabela1[[#This Row],[Meta]],"")</f>
        <v>7.8500000000000219E-3</v>
      </c>
      <c r="AA16" s="19">
        <f>Tabela1[[#This Row],[Média]]-Tabela1[[#This Row],[Meta]]</f>
        <v>15.700000000000045</v>
      </c>
      <c r="AB16" t="str">
        <f>VLOOKUP(Tabela1[[#This Row],[SKU]],SKU!A:B,2,0)</f>
        <v>COXA SBCX S/O FG 280-300g PB</v>
      </c>
      <c r="AC16" t="str">
        <f>VLOOKUP(Tabela1[[#This Row],[SKU]],SKU!A:C,3,0)</f>
        <v>PERNA</v>
      </c>
    </row>
    <row r="17" spans="1:29" x14ac:dyDescent="0.3">
      <c r="A17" s="2">
        <f>INT(Tabela1[[#This Row],[Data e Hora2]])</f>
        <v>46239</v>
      </c>
      <c r="B17" t="str">
        <f>UPPER(TEXT(Tabela1[[#This Row],[Data Corrigida]],"MMM"))</f>
        <v>AGO</v>
      </c>
      <c r="C17" t="s">
        <v>247</v>
      </c>
      <c r="D17" s="2" t="s">
        <v>248</v>
      </c>
      <c r="E17" s="1" t="s">
        <v>249</v>
      </c>
      <c r="F17" t="s">
        <v>56</v>
      </c>
      <c r="G17" s="2" t="s">
        <v>246</v>
      </c>
      <c r="H17" t="s">
        <v>26</v>
      </c>
      <c r="I17" t="s">
        <v>27</v>
      </c>
      <c r="J17" s="6">
        <v>42854</v>
      </c>
      <c r="K17" s="16">
        <v>2066</v>
      </c>
      <c r="L17" s="16">
        <v>2022</v>
      </c>
      <c r="M17" s="16">
        <v>2038</v>
      </c>
      <c r="N17" s="16">
        <v>2109</v>
      </c>
      <c r="O17" s="16">
        <v>2140</v>
      </c>
      <c r="P17" s="16">
        <v>2133</v>
      </c>
      <c r="Q17" s="16">
        <v>2144</v>
      </c>
      <c r="R17" s="16">
        <v>2125</v>
      </c>
      <c r="S17" s="16">
        <v>2165</v>
      </c>
      <c r="T17" s="16">
        <v>2190</v>
      </c>
      <c r="U17" s="15">
        <v>2113.1999999999998</v>
      </c>
      <c r="V17" t="s">
        <v>19</v>
      </c>
      <c r="W17" t="s">
        <v>28</v>
      </c>
      <c r="X17">
        <v>347</v>
      </c>
      <c r="Y17" s="16">
        <f>VLOOKUP(Tabela1[[#This Row],[SKU]],SKU!A:D,4,0)</f>
        <v>2080</v>
      </c>
      <c r="Z17" s="18">
        <f>IFERROR((Tabela1[[#This Row],[Média]]-Tabela1[[#This Row],[Meta]])/Tabela1[[#This Row],[Meta]],"")</f>
        <v>1.5961538461538374E-2</v>
      </c>
      <c r="AA17" s="19">
        <f>Tabela1[[#This Row],[Média]]-Tabela1[[#This Row],[Meta]]</f>
        <v>33.199999999999818</v>
      </c>
      <c r="AB17" t="str">
        <f>VLOOKUP(Tabela1[[#This Row],[SKU]],SKU!A:B,2,0)</f>
        <v>COXA SBCX S/O FG 260-280g PB</v>
      </c>
      <c r="AC17" t="str">
        <f>VLOOKUP(Tabela1[[#This Row],[SKU]],SKU!A:C,3,0)</f>
        <v>PERNA</v>
      </c>
    </row>
    <row r="18" spans="1:29" x14ac:dyDescent="0.3">
      <c r="A18" s="2">
        <f>INT(Tabela1[[#This Row],[Data e Hora2]])</f>
        <v>46239</v>
      </c>
      <c r="B18" t="str">
        <f>UPPER(TEXT(Tabela1[[#This Row],[Data Corrigida]],"MMM"))</f>
        <v>AGO</v>
      </c>
      <c r="C18" t="s">
        <v>243</v>
      </c>
      <c r="D18" s="2" t="s">
        <v>244</v>
      </c>
      <c r="E18" s="1" t="s">
        <v>245</v>
      </c>
      <c r="F18" t="s">
        <v>56</v>
      </c>
      <c r="G18" s="2" t="s">
        <v>246</v>
      </c>
      <c r="H18" t="s">
        <v>26</v>
      </c>
      <c r="I18" t="s">
        <v>27</v>
      </c>
      <c r="J18" s="6">
        <v>42838</v>
      </c>
      <c r="K18" s="16">
        <v>2073</v>
      </c>
      <c r="L18" s="16">
        <v>1987</v>
      </c>
      <c r="M18" s="16">
        <v>2066</v>
      </c>
      <c r="N18" s="16">
        <v>2040</v>
      </c>
      <c r="O18" s="16">
        <v>2141</v>
      </c>
      <c r="P18" s="16">
        <v>2015</v>
      </c>
      <c r="Q18" s="16">
        <v>2013</v>
      </c>
      <c r="R18" s="16">
        <v>2078</v>
      </c>
      <c r="S18" s="16">
        <v>2075</v>
      </c>
      <c r="T18" s="16">
        <v>2065</v>
      </c>
      <c r="U18" s="15">
        <v>2055.3000000000002</v>
      </c>
      <c r="V18" t="s">
        <v>19</v>
      </c>
      <c r="W18" t="s">
        <v>28</v>
      </c>
      <c r="X18">
        <v>581</v>
      </c>
      <c r="Y18" s="16">
        <f>VLOOKUP(Tabela1[[#This Row],[SKU]],SKU!A:D,4,0)</f>
        <v>2000</v>
      </c>
      <c r="Z18" s="18">
        <f>IFERROR((Tabela1[[#This Row],[Média]]-Tabela1[[#This Row],[Meta]])/Tabela1[[#This Row],[Meta]],"")</f>
        <v>2.7650000000000091E-2</v>
      </c>
      <c r="AA18" s="19">
        <f>Tabela1[[#This Row],[Média]]-Tabela1[[#This Row],[Meta]]</f>
        <v>55.300000000000182</v>
      </c>
      <c r="AB18" t="str">
        <f>VLOOKUP(Tabela1[[#This Row],[SKU]],SKU!A:B,2,0)</f>
        <v>COXA SBCX S/O FG 220-240g PB</v>
      </c>
      <c r="AC18" t="str">
        <f>VLOOKUP(Tabela1[[#This Row],[SKU]],SKU!A:C,3,0)</f>
        <v>PERNA</v>
      </c>
    </row>
    <row r="19" spans="1:29" x14ac:dyDescent="0.3">
      <c r="A19" s="2">
        <f>INT(Tabela1[[#This Row],[Data e Hora2]])</f>
        <v>46240</v>
      </c>
      <c r="B19" t="str">
        <f>UPPER(TEXT(Tabela1[[#This Row],[Data Corrigida]],"MMM"))</f>
        <v>AGO</v>
      </c>
      <c r="C19" t="s">
        <v>240</v>
      </c>
      <c r="D19" s="2" t="s">
        <v>241</v>
      </c>
      <c r="E19" s="1" t="s">
        <v>242</v>
      </c>
      <c r="F19" t="s">
        <v>56</v>
      </c>
      <c r="G19" s="2" t="s">
        <v>203</v>
      </c>
      <c r="H19" t="s">
        <v>26</v>
      </c>
      <c r="I19" t="s">
        <v>27</v>
      </c>
      <c r="J19" s="6">
        <v>15105</v>
      </c>
      <c r="K19" s="16">
        <v>1007</v>
      </c>
      <c r="L19" s="16">
        <v>998</v>
      </c>
      <c r="M19" s="16">
        <v>992</v>
      </c>
      <c r="N19" s="16">
        <v>1040</v>
      </c>
      <c r="O19" s="16">
        <v>1035</v>
      </c>
      <c r="P19" s="16">
        <v>1049</v>
      </c>
      <c r="Q19" s="16">
        <v>1022</v>
      </c>
      <c r="R19" s="16">
        <v>1009</v>
      </c>
      <c r="S19" s="16">
        <v>1005</v>
      </c>
      <c r="T19" s="16">
        <v>1018</v>
      </c>
      <c r="U19" s="15">
        <v>1017.5</v>
      </c>
      <c r="V19" t="s">
        <v>19</v>
      </c>
      <c r="W19" t="s">
        <v>28</v>
      </c>
      <c r="X19">
        <v>622</v>
      </c>
      <c r="Y19" s="16">
        <f>VLOOKUP(Tabela1[[#This Row],[SKU]],SKU!A:D,4,0)</f>
        <v>1000</v>
      </c>
      <c r="Z19" s="18">
        <f>IFERROR((Tabela1[[#This Row],[Média]]-Tabela1[[#This Row],[Meta]])/Tabela1[[#This Row],[Meta]],"")</f>
        <v>1.7500000000000002E-2</v>
      </c>
      <c r="AA19" s="19">
        <f>Tabela1[[#This Row],[Média]]-Tabela1[[#This Row],[Meta]]</f>
        <v>17.5</v>
      </c>
      <c r="AB19" t="str">
        <f>VLOOKUP(Tabela1[[#This Row],[SKU]],SKU!A:B,2,0)</f>
        <v>FILE PEITO MET CG BDJ SE</v>
      </c>
      <c r="AC19" t="str">
        <f>VLOOKUP(Tabela1[[#This Row],[SKU]],SKU!A:C,3,0)</f>
        <v>PEITO</v>
      </c>
    </row>
    <row r="20" spans="1:29" x14ac:dyDescent="0.3">
      <c r="A20" s="2">
        <f>INT(Tabela1[[#This Row],[Data e Hora2]])</f>
        <v>46240</v>
      </c>
      <c r="B20" t="str">
        <f>UPPER(TEXT(Tabela1[[#This Row],[Data Corrigida]],"MMM"))</f>
        <v>AGO</v>
      </c>
      <c r="C20" t="s">
        <v>237</v>
      </c>
      <c r="D20" s="2" t="s">
        <v>238</v>
      </c>
      <c r="E20" s="1" t="s">
        <v>239</v>
      </c>
      <c r="F20" t="s">
        <v>56</v>
      </c>
      <c r="G20" s="2" t="s">
        <v>203</v>
      </c>
      <c r="H20" t="s">
        <v>26</v>
      </c>
      <c r="I20" t="s">
        <v>27</v>
      </c>
      <c r="J20" s="6">
        <v>42862</v>
      </c>
      <c r="K20" s="16">
        <v>2024</v>
      </c>
      <c r="L20" s="16">
        <v>2005</v>
      </c>
      <c r="M20" s="16">
        <v>2069</v>
      </c>
      <c r="N20" s="16">
        <v>2008</v>
      </c>
      <c r="O20" s="16">
        <v>2032</v>
      </c>
      <c r="P20" s="16">
        <v>2018</v>
      </c>
      <c r="Q20" s="16">
        <v>2062</v>
      </c>
      <c r="R20" s="16">
        <v>2033</v>
      </c>
      <c r="S20" s="16">
        <v>2048</v>
      </c>
      <c r="T20" s="16">
        <v>2023</v>
      </c>
      <c r="U20" s="15">
        <v>2032.2</v>
      </c>
      <c r="V20" t="s">
        <v>19</v>
      </c>
      <c r="W20" t="s">
        <v>28</v>
      </c>
      <c r="X20">
        <v>100</v>
      </c>
      <c r="Y20" s="16">
        <f>VLOOKUP(Tabela1[[#This Row],[SKU]],SKU!A:D,4,0)</f>
        <v>2000</v>
      </c>
      <c r="Z20" s="18">
        <f>IFERROR((Tabela1[[#This Row],[Média]]-Tabela1[[#This Row],[Meta]])/Tabela1[[#This Row],[Meta]],"")</f>
        <v>1.6100000000000024E-2</v>
      </c>
      <c r="AA20" s="19">
        <f>Tabela1[[#This Row],[Média]]-Tabela1[[#This Row],[Meta]]</f>
        <v>32.200000000000045</v>
      </c>
      <c r="AB20" t="str">
        <f>VLOOKUP(Tabela1[[#This Row],[SKU]],SKU!A:B,2,0)</f>
        <v>COXA SBCX S/O FG 280-300g PB</v>
      </c>
      <c r="AC20" t="str">
        <f>VLOOKUP(Tabela1[[#This Row],[SKU]],SKU!A:C,3,0)</f>
        <v>PERNA</v>
      </c>
    </row>
    <row r="21" spans="1:29" x14ac:dyDescent="0.3">
      <c r="A21" s="2">
        <f>INT(Tabela1[[#This Row],[Data e Hora2]])</f>
        <v>46240</v>
      </c>
      <c r="B21" t="str">
        <f>UPPER(TEXT(Tabela1[[#This Row],[Data Corrigida]],"MMM"))</f>
        <v>AGO</v>
      </c>
      <c r="C21" t="s">
        <v>234</v>
      </c>
      <c r="D21" s="2" t="s">
        <v>235</v>
      </c>
      <c r="E21" s="1" t="s">
        <v>236</v>
      </c>
      <c r="F21" t="s">
        <v>56</v>
      </c>
      <c r="G21" s="2" t="s">
        <v>203</v>
      </c>
      <c r="H21" t="s">
        <v>26</v>
      </c>
      <c r="I21" t="s">
        <v>27</v>
      </c>
      <c r="J21" s="6">
        <v>42846</v>
      </c>
      <c r="K21" s="16">
        <v>2022</v>
      </c>
      <c r="L21" s="16">
        <v>2000</v>
      </c>
      <c r="M21" s="16">
        <v>2009</v>
      </c>
      <c r="N21" s="16">
        <v>2015</v>
      </c>
      <c r="O21" s="16">
        <v>1993</v>
      </c>
      <c r="P21" s="16">
        <v>2015</v>
      </c>
      <c r="Q21" s="16">
        <v>1996</v>
      </c>
      <c r="R21" s="16">
        <v>2001</v>
      </c>
      <c r="S21" s="16">
        <v>2004</v>
      </c>
      <c r="T21" s="16">
        <v>2053</v>
      </c>
      <c r="U21" s="15">
        <v>2010.8</v>
      </c>
      <c r="V21" t="s">
        <v>19</v>
      </c>
      <c r="W21" t="s">
        <v>28</v>
      </c>
      <c r="X21">
        <v>449</v>
      </c>
      <c r="Y21" s="16">
        <f>VLOOKUP(Tabela1[[#This Row],[SKU]],SKU!A:D,4,0)</f>
        <v>2000</v>
      </c>
      <c r="Z21" s="18">
        <f>IFERROR((Tabela1[[#This Row],[Média]]-Tabela1[[#This Row],[Meta]])/Tabela1[[#This Row],[Meta]],"")</f>
        <v>5.3999999999999769E-3</v>
      </c>
      <c r="AA21" s="19">
        <f>Tabela1[[#This Row],[Média]]-Tabela1[[#This Row],[Meta]]</f>
        <v>10.799999999999955</v>
      </c>
      <c r="AB21" t="str">
        <f>VLOOKUP(Tabela1[[#This Row],[SKU]],SKU!A:B,2,0)</f>
        <v>COXA SBCX S/O FG 240-260g PB</v>
      </c>
      <c r="AC21" t="str">
        <f>VLOOKUP(Tabela1[[#This Row],[SKU]],SKU!A:C,3,0)</f>
        <v>PERNA</v>
      </c>
    </row>
    <row r="22" spans="1:29" x14ac:dyDescent="0.3">
      <c r="A22" s="2">
        <f>INT(Tabela1[[#This Row],[Data e Hora2]])</f>
        <v>46240</v>
      </c>
      <c r="B22" t="str">
        <f>UPPER(TEXT(Tabela1[[#This Row],[Data Corrigida]],"MMM"))</f>
        <v>AGO</v>
      </c>
      <c r="C22" t="s">
        <v>231</v>
      </c>
      <c r="D22" s="2" t="s">
        <v>232</v>
      </c>
      <c r="E22" s="1" t="s">
        <v>233</v>
      </c>
      <c r="F22" t="s">
        <v>56</v>
      </c>
      <c r="G22" s="2" t="s">
        <v>203</v>
      </c>
      <c r="H22" t="s">
        <v>26</v>
      </c>
      <c r="I22" t="s">
        <v>27</v>
      </c>
      <c r="J22" s="6">
        <v>42854</v>
      </c>
      <c r="K22" s="16">
        <v>2045</v>
      </c>
      <c r="L22" s="16">
        <v>2118</v>
      </c>
      <c r="M22" s="16">
        <v>2075</v>
      </c>
      <c r="N22" s="16">
        <v>2045</v>
      </c>
      <c r="O22" s="16">
        <v>2116</v>
      </c>
      <c r="P22" s="16">
        <v>2054</v>
      </c>
      <c r="Q22" s="16">
        <v>1979</v>
      </c>
      <c r="R22" s="16">
        <v>2030</v>
      </c>
      <c r="S22" s="16">
        <v>2077</v>
      </c>
      <c r="T22" s="16">
        <v>2152</v>
      </c>
      <c r="U22" s="15">
        <v>2069.1</v>
      </c>
      <c r="V22" t="s">
        <v>19</v>
      </c>
      <c r="W22" t="s">
        <v>28</v>
      </c>
      <c r="X22">
        <v>180</v>
      </c>
      <c r="Y22" s="16">
        <f>VLOOKUP(Tabela1[[#This Row],[SKU]],SKU!A:D,4,0)</f>
        <v>2080</v>
      </c>
      <c r="Z22" s="18">
        <f>IFERROR((Tabela1[[#This Row],[Média]]-Tabela1[[#This Row],[Meta]])/Tabela1[[#This Row],[Meta]],"")</f>
        <v>-5.2403846153846589E-3</v>
      </c>
      <c r="AA22" s="19">
        <f>Tabela1[[#This Row],[Média]]-Tabela1[[#This Row],[Meta]]</f>
        <v>-10.900000000000091</v>
      </c>
      <c r="AB22" t="str">
        <f>VLOOKUP(Tabela1[[#This Row],[SKU]],SKU!A:B,2,0)</f>
        <v>COXA SBCX S/O FG 260-280g PB</v>
      </c>
      <c r="AC22" t="str">
        <f>VLOOKUP(Tabela1[[#This Row],[SKU]],SKU!A:C,3,0)</f>
        <v>PERNA</v>
      </c>
    </row>
    <row r="23" spans="1:29" x14ac:dyDescent="0.3">
      <c r="A23" s="2">
        <f>INT(Tabela1[[#This Row],[Data e Hora2]])</f>
        <v>46240</v>
      </c>
      <c r="B23" t="str">
        <f>UPPER(TEXT(Tabela1[[#This Row],[Data Corrigida]],"MMM"))</f>
        <v>AGO</v>
      </c>
      <c r="C23" t="s">
        <v>228</v>
      </c>
      <c r="D23" s="2" t="s">
        <v>229</v>
      </c>
      <c r="E23" s="1" t="s">
        <v>230</v>
      </c>
      <c r="F23" t="s">
        <v>56</v>
      </c>
      <c r="G23" s="2" t="s">
        <v>203</v>
      </c>
      <c r="H23" t="s">
        <v>26</v>
      </c>
      <c r="I23" t="s">
        <v>27</v>
      </c>
      <c r="J23" s="6">
        <v>13188</v>
      </c>
      <c r="K23" s="16">
        <v>1025</v>
      </c>
      <c r="L23" s="16">
        <v>1024</v>
      </c>
      <c r="M23" s="16">
        <v>1023</v>
      </c>
      <c r="N23" s="16">
        <v>1014</v>
      </c>
      <c r="O23" s="16">
        <v>1023</v>
      </c>
      <c r="P23" s="16">
        <v>1006</v>
      </c>
      <c r="Q23" s="16">
        <v>1022</v>
      </c>
      <c r="R23" s="16">
        <v>1028</v>
      </c>
      <c r="S23" s="16">
        <v>1029</v>
      </c>
      <c r="T23" s="16">
        <v>1014</v>
      </c>
      <c r="U23" s="15">
        <v>1020.8</v>
      </c>
      <c r="V23" t="s">
        <v>19</v>
      </c>
      <c r="W23" t="s">
        <v>28</v>
      </c>
      <c r="X23">
        <v>256</v>
      </c>
      <c r="Y23" s="16">
        <f>VLOOKUP(Tabela1[[#This Row],[SKU]],SKU!A:D,4,0)</f>
        <v>1000</v>
      </c>
      <c r="Z23" s="18">
        <f>IFERROR((Tabela1[[#This Row],[Média]]-Tabela1[[#This Row],[Meta]])/Tabela1[[#This Row],[Meta]],"")</f>
        <v>2.0799999999999954E-2</v>
      </c>
      <c r="AA23" s="19">
        <f>Tabela1[[#This Row],[Média]]-Tabela1[[#This Row],[Meta]]</f>
        <v>20.799999999999955</v>
      </c>
      <c r="AB23" t="str">
        <f>VLOOKUP(Tabela1[[#This Row],[SKU]],SKU!A:B,2,0)</f>
        <v>SOBRECOXA CG BDJ SE</v>
      </c>
      <c r="AC23" t="str">
        <f>VLOOKUP(Tabela1[[#This Row],[SKU]],SKU!A:C,3,0)</f>
        <v>PERNA</v>
      </c>
    </row>
    <row r="24" spans="1:29" x14ac:dyDescent="0.3">
      <c r="A24" s="2">
        <f>INT(Tabela1[[#This Row],[Data e Hora2]])</f>
        <v>46240</v>
      </c>
      <c r="B24" t="str">
        <f>UPPER(TEXT(Tabela1[[#This Row],[Data Corrigida]],"MMM"))</f>
        <v>AGO</v>
      </c>
      <c r="C24" t="s">
        <v>225</v>
      </c>
      <c r="D24" s="2" t="s">
        <v>226</v>
      </c>
      <c r="E24" s="1" t="s">
        <v>227</v>
      </c>
      <c r="F24" t="s">
        <v>56</v>
      </c>
      <c r="G24" s="2" t="s">
        <v>203</v>
      </c>
      <c r="H24" t="s">
        <v>26</v>
      </c>
      <c r="I24" t="s">
        <v>27</v>
      </c>
      <c r="J24" s="6">
        <v>15229</v>
      </c>
      <c r="K24" s="16">
        <v>993</v>
      </c>
      <c r="L24" s="16">
        <v>1012</v>
      </c>
      <c r="M24" s="16">
        <v>987</v>
      </c>
      <c r="N24" s="16">
        <v>987</v>
      </c>
      <c r="O24" s="16">
        <v>984</v>
      </c>
      <c r="P24" s="16">
        <v>992</v>
      </c>
      <c r="Q24" s="16">
        <v>985</v>
      </c>
      <c r="R24" s="16">
        <v>989</v>
      </c>
      <c r="S24" s="16">
        <v>985</v>
      </c>
      <c r="T24" s="16">
        <v>1012</v>
      </c>
      <c r="U24" s="15">
        <v>992.6</v>
      </c>
      <c r="V24" t="s">
        <v>19</v>
      </c>
      <c r="W24" t="s">
        <v>28</v>
      </c>
      <c r="X24">
        <v>374</v>
      </c>
      <c r="Y24" s="16">
        <f>VLOOKUP(Tabela1[[#This Row],[SKU]],SKU!A:D,4,0)</f>
        <v>1000</v>
      </c>
      <c r="Z24" s="18">
        <f>IFERROR((Tabela1[[#This Row],[Média]]-Tabela1[[#This Row],[Meta]])/Tabela1[[#This Row],[Meta]],"")</f>
        <v>-7.3999999999999769E-3</v>
      </c>
      <c r="AA24" s="19">
        <f>Tabela1[[#This Row],[Média]]-Tabela1[[#This Row],[Meta]]</f>
        <v>-7.3999999999999773</v>
      </c>
      <c r="AB24" t="str">
        <f>VLOOKUP(Tabela1[[#This Row],[SKU]],SKU!A:B,2,0)</f>
        <v>COXA CG BDJ SE</v>
      </c>
      <c r="AC24" t="str">
        <f>VLOOKUP(Tabela1[[#This Row],[SKU]],SKU!A:C,3,0)</f>
        <v>PERNA</v>
      </c>
    </row>
    <row r="25" spans="1:29" x14ac:dyDescent="0.3">
      <c r="A25" s="2">
        <f>INT(Tabela1[[#This Row],[Data e Hora2]])</f>
        <v>46240</v>
      </c>
      <c r="B25" t="str">
        <f>UPPER(TEXT(Tabela1[[#This Row],[Data Corrigida]],"MMM"))</f>
        <v>AGO</v>
      </c>
      <c r="C25" t="s">
        <v>222</v>
      </c>
      <c r="D25" s="2" t="s">
        <v>223</v>
      </c>
      <c r="E25" s="1" t="s">
        <v>224</v>
      </c>
      <c r="F25" t="s">
        <v>56</v>
      </c>
      <c r="G25" s="2" t="s">
        <v>203</v>
      </c>
      <c r="H25" t="s">
        <v>26</v>
      </c>
      <c r="I25" t="s">
        <v>27</v>
      </c>
      <c r="J25" s="6">
        <v>15105</v>
      </c>
      <c r="K25" s="16">
        <v>1013</v>
      </c>
      <c r="L25" s="16">
        <v>1040</v>
      </c>
      <c r="M25" s="16">
        <v>999</v>
      </c>
      <c r="N25" s="16">
        <v>1032</v>
      </c>
      <c r="O25" s="16">
        <v>998</v>
      </c>
      <c r="P25" s="16">
        <v>1025</v>
      </c>
      <c r="Q25" s="16">
        <v>1033</v>
      </c>
      <c r="R25" s="16">
        <v>1015</v>
      </c>
      <c r="S25" s="16">
        <v>1003</v>
      </c>
      <c r="T25" s="16">
        <v>1014</v>
      </c>
      <c r="U25" s="15">
        <v>1017.2</v>
      </c>
      <c r="V25" t="s">
        <v>19</v>
      </c>
      <c r="W25" t="s">
        <v>28</v>
      </c>
      <c r="X25">
        <v>334</v>
      </c>
      <c r="Y25" s="16">
        <f>VLOOKUP(Tabela1[[#This Row],[SKU]],SKU!A:D,4,0)</f>
        <v>1000</v>
      </c>
      <c r="Z25" s="18">
        <f>IFERROR((Tabela1[[#This Row],[Média]]-Tabela1[[#This Row],[Meta]])/Tabela1[[#This Row],[Meta]],"")</f>
        <v>1.7200000000000045E-2</v>
      </c>
      <c r="AA25" s="19">
        <f>Tabela1[[#This Row],[Média]]-Tabela1[[#This Row],[Meta]]</f>
        <v>17.200000000000045</v>
      </c>
      <c r="AB25" t="str">
        <f>VLOOKUP(Tabela1[[#This Row],[SKU]],SKU!A:B,2,0)</f>
        <v>FILE PEITO MET CG BDJ SE</v>
      </c>
      <c r="AC25" t="str">
        <f>VLOOKUP(Tabela1[[#This Row],[SKU]],SKU!A:C,3,0)</f>
        <v>PEITO</v>
      </c>
    </row>
    <row r="26" spans="1:29" x14ac:dyDescent="0.3">
      <c r="A26" s="2">
        <f>INT(Tabela1[[#This Row],[Data e Hora2]])</f>
        <v>46240</v>
      </c>
      <c r="B26" t="str">
        <f>UPPER(TEXT(Tabela1[[#This Row],[Data Corrigida]],"MMM"))</f>
        <v>AGO</v>
      </c>
      <c r="C26" t="s">
        <v>219</v>
      </c>
      <c r="D26" s="2" t="s">
        <v>220</v>
      </c>
      <c r="E26" s="1" t="s">
        <v>221</v>
      </c>
      <c r="F26" t="s">
        <v>56</v>
      </c>
      <c r="G26" s="2" t="s">
        <v>203</v>
      </c>
      <c r="H26" t="s">
        <v>26</v>
      </c>
      <c r="I26" t="s">
        <v>27</v>
      </c>
      <c r="J26" s="6">
        <v>42862</v>
      </c>
      <c r="K26" s="16">
        <v>2000</v>
      </c>
      <c r="L26" s="16">
        <v>2014</v>
      </c>
      <c r="M26" s="16">
        <v>2017</v>
      </c>
      <c r="N26" s="16">
        <v>2030</v>
      </c>
      <c r="O26" s="16">
        <v>2100</v>
      </c>
      <c r="P26" s="16">
        <v>2029</v>
      </c>
      <c r="Q26" s="16">
        <v>2019</v>
      </c>
      <c r="R26" s="16">
        <v>2068</v>
      </c>
      <c r="S26" s="16">
        <v>2055</v>
      </c>
      <c r="T26" s="16">
        <v>2012</v>
      </c>
      <c r="U26" s="15">
        <v>2034.4</v>
      </c>
      <c r="V26" t="s">
        <v>19</v>
      </c>
      <c r="W26" t="s">
        <v>28</v>
      </c>
      <c r="X26">
        <v>334</v>
      </c>
      <c r="Y26" s="16">
        <f>VLOOKUP(Tabela1[[#This Row],[SKU]],SKU!A:D,4,0)</f>
        <v>2000</v>
      </c>
      <c r="Z26" s="18">
        <f>IFERROR((Tabela1[[#This Row],[Média]]-Tabela1[[#This Row],[Meta]])/Tabela1[[#This Row],[Meta]],"")</f>
        <v>1.7200000000000045E-2</v>
      </c>
      <c r="AA26" s="19">
        <f>Tabela1[[#This Row],[Média]]-Tabela1[[#This Row],[Meta]]</f>
        <v>34.400000000000091</v>
      </c>
      <c r="AB26" t="str">
        <f>VLOOKUP(Tabela1[[#This Row],[SKU]],SKU!A:B,2,0)</f>
        <v>COXA SBCX S/O FG 280-300g PB</v>
      </c>
      <c r="AC26" t="str">
        <f>VLOOKUP(Tabela1[[#This Row],[SKU]],SKU!A:C,3,0)</f>
        <v>PERNA</v>
      </c>
    </row>
    <row r="27" spans="1:29" x14ac:dyDescent="0.3">
      <c r="A27" s="2">
        <f>INT(Tabela1[[#This Row],[Data e Hora2]])</f>
        <v>46240</v>
      </c>
      <c r="B27" t="str">
        <f>UPPER(TEXT(Tabela1[[#This Row],[Data Corrigida]],"MMM"))</f>
        <v>AGO</v>
      </c>
      <c r="C27" t="s">
        <v>216</v>
      </c>
      <c r="D27" s="2" t="s">
        <v>217</v>
      </c>
      <c r="E27" s="1" t="s">
        <v>218</v>
      </c>
      <c r="F27" t="s">
        <v>56</v>
      </c>
      <c r="G27" s="2" t="s">
        <v>203</v>
      </c>
      <c r="H27" t="s">
        <v>26</v>
      </c>
      <c r="I27" t="s">
        <v>27</v>
      </c>
      <c r="J27" s="6">
        <v>42862</v>
      </c>
      <c r="K27" s="16">
        <v>2259</v>
      </c>
      <c r="L27" s="16">
        <v>1988</v>
      </c>
      <c r="M27" s="16">
        <v>2019</v>
      </c>
      <c r="N27" s="16">
        <v>2018</v>
      </c>
      <c r="O27" s="16">
        <v>2004</v>
      </c>
      <c r="P27" s="16">
        <v>2038</v>
      </c>
      <c r="Q27" s="16">
        <v>2001</v>
      </c>
      <c r="R27" s="16">
        <v>2045</v>
      </c>
      <c r="S27" s="16">
        <v>1993</v>
      </c>
      <c r="T27" s="16">
        <v>2005</v>
      </c>
      <c r="U27" s="15">
        <v>2037</v>
      </c>
      <c r="V27" t="s">
        <v>19</v>
      </c>
      <c r="W27" t="s">
        <v>28</v>
      </c>
      <c r="X27">
        <v>353</v>
      </c>
      <c r="Y27" s="16">
        <f>VLOOKUP(Tabela1[[#This Row],[SKU]],SKU!A:D,4,0)</f>
        <v>2000</v>
      </c>
      <c r="Z27" s="18">
        <f>IFERROR((Tabela1[[#This Row],[Média]]-Tabela1[[#This Row],[Meta]])/Tabela1[[#This Row],[Meta]],"")</f>
        <v>1.8499999999999999E-2</v>
      </c>
      <c r="AA27" s="19">
        <f>Tabela1[[#This Row],[Média]]-Tabela1[[#This Row],[Meta]]</f>
        <v>37</v>
      </c>
      <c r="AB27" t="str">
        <f>VLOOKUP(Tabela1[[#This Row],[SKU]],SKU!A:B,2,0)</f>
        <v>COXA SBCX S/O FG 280-300g PB</v>
      </c>
      <c r="AC27" t="str">
        <f>VLOOKUP(Tabela1[[#This Row],[SKU]],SKU!A:C,3,0)</f>
        <v>PERNA</v>
      </c>
    </row>
    <row r="28" spans="1:29" x14ac:dyDescent="0.3">
      <c r="A28" s="2">
        <f>INT(Tabela1[[#This Row],[Data e Hora2]])</f>
        <v>46240</v>
      </c>
      <c r="B28" t="str">
        <f>UPPER(TEXT(Tabela1[[#This Row],[Data Corrigida]],"MMM"))</f>
        <v>AGO</v>
      </c>
      <c r="C28" t="s">
        <v>213</v>
      </c>
      <c r="D28" s="2" t="s">
        <v>214</v>
      </c>
      <c r="E28" s="1" t="s">
        <v>215</v>
      </c>
      <c r="F28" t="s">
        <v>56</v>
      </c>
      <c r="G28" s="2" t="s">
        <v>203</v>
      </c>
      <c r="H28" t="s">
        <v>26</v>
      </c>
      <c r="I28" t="s">
        <v>27</v>
      </c>
      <c r="J28" s="6">
        <v>42854</v>
      </c>
      <c r="K28" s="16">
        <v>2107</v>
      </c>
      <c r="L28" s="16">
        <v>2164</v>
      </c>
      <c r="M28" s="16">
        <v>2170</v>
      </c>
      <c r="N28" s="16">
        <v>2091</v>
      </c>
      <c r="O28" s="16">
        <v>2104</v>
      </c>
      <c r="P28" s="16">
        <v>2111</v>
      </c>
      <c r="Q28" s="16">
        <v>2115</v>
      </c>
      <c r="R28" s="16">
        <v>2105</v>
      </c>
      <c r="S28" s="16">
        <v>2095</v>
      </c>
      <c r="T28" s="16">
        <v>2173</v>
      </c>
      <c r="U28" s="15">
        <v>2123.5</v>
      </c>
      <c r="V28" t="s">
        <v>19</v>
      </c>
      <c r="W28" t="s">
        <v>28</v>
      </c>
      <c r="X28">
        <v>390</v>
      </c>
      <c r="Y28" s="16">
        <f>VLOOKUP(Tabela1[[#This Row],[SKU]],SKU!A:D,4,0)</f>
        <v>2080</v>
      </c>
      <c r="Z28" s="18">
        <f>IFERROR((Tabela1[[#This Row],[Média]]-Tabela1[[#This Row],[Meta]])/Tabela1[[#This Row],[Meta]],"")</f>
        <v>2.0913461538461537E-2</v>
      </c>
      <c r="AA28" s="19">
        <f>Tabela1[[#This Row],[Média]]-Tabela1[[#This Row],[Meta]]</f>
        <v>43.5</v>
      </c>
      <c r="AB28" t="str">
        <f>VLOOKUP(Tabela1[[#This Row],[SKU]],SKU!A:B,2,0)</f>
        <v>COXA SBCX S/O FG 260-280g PB</v>
      </c>
      <c r="AC28" t="str">
        <f>VLOOKUP(Tabela1[[#This Row],[SKU]],SKU!A:C,3,0)</f>
        <v>PERNA</v>
      </c>
    </row>
    <row r="29" spans="1:29" x14ac:dyDescent="0.3">
      <c r="A29" s="2">
        <f>INT(Tabela1[[#This Row],[Data e Hora2]])</f>
        <v>46240</v>
      </c>
      <c r="B29" t="str">
        <f>UPPER(TEXT(Tabela1[[#This Row],[Data Corrigida]],"MMM"))</f>
        <v>AGO</v>
      </c>
      <c r="C29" t="s">
        <v>210</v>
      </c>
      <c r="D29" s="2" t="s">
        <v>211</v>
      </c>
      <c r="E29" s="1" t="s">
        <v>212</v>
      </c>
      <c r="F29" t="s">
        <v>56</v>
      </c>
      <c r="G29" s="2" t="s">
        <v>203</v>
      </c>
      <c r="H29" t="s">
        <v>26</v>
      </c>
      <c r="I29" t="s">
        <v>27</v>
      </c>
      <c r="J29" s="6">
        <v>42820</v>
      </c>
      <c r="K29" s="16">
        <v>2015</v>
      </c>
      <c r="L29" s="16">
        <v>2014</v>
      </c>
      <c r="M29" s="16">
        <v>2034</v>
      </c>
      <c r="N29" s="16">
        <v>2026</v>
      </c>
      <c r="O29" s="16">
        <v>2070</v>
      </c>
      <c r="P29" s="16">
        <v>2059</v>
      </c>
      <c r="Q29" s="16">
        <v>1987</v>
      </c>
      <c r="R29" s="16">
        <v>2024</v>
      </c>
      <c r="S29" s="16">
        <v>2046</v>
      </c>
      <c r="T29" s="16">
        <v>2029</v>
      </c>
      <c r="U29" s="15">
        <v>2030.4</v>
      </c>
      <c r="V29" t="s">
        <v>19</v>
      </c>
      <c r="W29" t="s">
        <v>28</v>
      </c>
      <c r="X29">
        <v>215</v>
      </c>
      <c r="Y29" s="16">
        <f>VLOOKUP(Tabela1[[#This Row],[SKU]],SKU!A:D,4,0)</f>
        <v>2000</v>
      </c>
      <c r="Z29" s="18">
        <f>IFERROR((Tabela1[[#This Row],[Média]]-Tabela1[[#This Row],[Meta]])/Tabela1[[#This Row],[Meta]],"")</f>
        <v>1.5200000000000045E-2</v>
      </c>
      <c r="AA29" s="19">
        <f>Tabela1[[#This Row],[Média]]-Tabela1[[#This Row],[Meta]]</f>
        <v>30.400000000000091</v>
      </c>
      <c r="AB29" t="str">
        <f>VLOOKUP(Tabela1[[#This Row],[SKU]],SKU!A:B,2,0)</f>
        <v>COXA SBCX S/O FG 200-220g PB</v>
      </c>
      <c r="AC29" t="str">
        <f>VLOOKUP(Tabela1[[#This Row],[SKU]],SKU!A:C,3,0)</f>
        <v>PERNA</v>
      </c>
    </row>
    <row r="30" spans="1:29" x14ac:dyDescent="0.3">
      <c r="A30" s="2">
        <f>INT(Tabela1[[#This Row],[Data e Hora2]])</f>
        <v>46240</v>
      </c>
      <c r="B30" t="str">
        <f>UPPER(TEXT(Tabela1[[#This Row],[Data Corrigida]],"MMM"))</f>
        <v>AGO</v>
      </c>
      <c r="C30" t="s">
        <v>207</v>
      </c>
      <c r="D30" s="2" t="s">
        <v>208</v>
      </c>
      <c r="E30" s="1" t="s">
        <v>209</v>
      </c>
      <c r="F30" t="s">
        <v>56</v>
      </c>
      <c r="G30" s="2" t="s">
        <v>203</v>
      </c>
      <c r="H30" t="s">
        <v>26</v>
      </c>
      <c r="I30" t="s">
        <v>27</v>
      </c>
      <c r="J30" s="6">
        <v>54632</v>
      </c>
      <c r="K30" s="16">
        <v>1022</v>
      </c>
      <c r="L30" s="16">
        <v>1016</v>
      </c>
      <c r="M30" s="16">
        <v>1023</v>
      </c>
      <c r="N30" s="16">
        <v>1015</v>
      </c>
      <c r="O30" s="16">
        <v>1021</v>
      </c>
      <c r="P30" s="16">
        <v>1017</v>
      </c>
      <c r="Q30" s="16">
        <v>1019</v>
      </c>
      <c r="R30" s="16">
        <v>1009</v>
      </c>
      <c r="S30" s="16">
        <v>1020</v>
      </c>
      <c r="T30" s="16">
        <v>1018</v>
      </c>
      <c r="U30" s="15">
        <v>1018</v>
      </c>
      <c r="V30" t="s">
        <v>19</v>
      </c>
      <c r="W30" t="s">
        <v>28</v>
      </c>
      <c r="X30">
        <v>416</v>
      </c>
      <c r="Y30" s="16">
        <f>VLOOKUP(Tabela1[[#This Row],[SKU]],SKU!A:D,4,0)</f>
        <v>1000</v>
      </c>
      <c r="Z30" s="18">
        <f>IFERROR((Tabela1[[#This Row],[Média]]-Tabela1[[#This Row],[Meta]])/Tabela1[[#This Row],[Meta]],"")</f>
        <v>1.7999999999999999E-2</v>
      </c>
      <c r="AA30" s="19">
        <f>Tabela1[[#This Row],[Média]]-Tabela1[[#This Row],[Meta]]</f>
        <v>18</v>
      </c>
      <c r="AB30" t="str">
        <f>VLOOKUP(Tabela1[[#This Row],[SKU]],SKU!A:B,2,0)</f>
        <v>COXA SBCX S/O BDJ CG</v>
      </c>
      <c r="AC30" t="str">
        <f>VLOOKUP(Tabela1[[#This Row],[SKU]],SKU!A:C,3,0)</f>
        <v>PERNA</v>
      </c>
    </row>
    <row r="31" spans="1:29" x14ac:dyDescent="0.3">
      <c r="A31" s="2">
        <f>INT(Tabela1[[#This Row],[Data e Hora2]])</f>
        <v>46240</v>
      </c>
      <c r="B31" t="str">
        <f>UPPER(TEXT(Tabela1[[#This Row],[Data Corrigida]],"MMM"))</f>
        <v>AGO</v>
      </c>
      <c r="C31" t="s">
        <v>204</v>
      </c>
      <c r="D31" s="2" t="s">
        <v>205</v>
      </c>
      <c r="E31" s="1" t="s">
        <v>206</v>
      </c>
      <c r="F31" t="s">
        <v>56</v>
      </c>
      <c r="G31" s="2" t="s">
        <v>203</v>
      </c>
      <c r="H31" t="s">
        <v>26</v>
      </c>
      <c r="I31" t="s">
        <v>27</v>
      </c>
      <c r="J31" s="6">
        <v>792799</v>
      </c>
      <c r="K31" s="16">
        <v>15060</v>
      </c>
      <c r="L31" s="16">
        <v>15080</v>
      </c>
      <c r="M31" s="16">
        <v>15055</v>
      </c>
      <c r="N31" s="16">
        <v>15090</v>
      </c>
      <c r="O31" s="16">
        <v>15065</v>
      </c>
      <c r="P31" s="16">
        <v>15035</v>
      </c>
      <c r="Q31" s="16">
        <v>15020</v>
      </c>
      <c r="R31" s="16">
        <v>15000</v>
      </c>
      <c r="S31" s="16">
        <v>15055</v>
      </c>
      <c r="T31" s="16">
        <v>15000</v>
      </c>
      <c r="U31" s="15">
        <v>15046</v>
      </c>
      <c r="V31" t="s">
        <v>19</v>
      </c>
      <c r="W31" t="s">
        <v>28</v>
      </c>
      <c r="X31">
        <v>554</v>
      </c>
      <c r="Y31" s="16">
        <f>VLOOKUP(Tabela1[[#This Row],[SKU]],SKU!A:D,4,0)</f>
        <v>15000</v>
      </c>
      <c r="Z31" s="18">
        <f>IFERROR((Tabela1[[#This Row],[Média]]-Tabela1[[#This Row],[Meta]])/Tabela1[[#This Row],[Meta]],"")</f>
        <v>3.0666666666666668E-3</v>
      </c>
      <c r="AA31" s="19">
        <f>Tabela1[[#This Row],[Média]]-Tabela1[[#This Row],[Meta]]</f>
        <v>46</v>
      </c>
      <c r="AB31" t="str">
        <f>VLOOKUP(Tabela1[[#This Row],[SKU]],SKU!A:B,2,0)</f>
        <v>ASAS FG 100g UP LP</v>
      </c>
      <c r="AC31" t="str">
        <f>VLOOKUP(Tabela1[[#This Row],[SKU]],SKU!A:C,3,0)</f>
        <v>ASA</v>
      </c>
    </row>
    <row r="32" spans="1:29" x14ac:dyDescent="0.3">
      <c r="A32" s="2">
        <f>INT(Tabela1[[#This Row],[Data e Hora2]])</f>
        <v>46240</v>
      </c>
      <c r="B32" t="str">
        <f>UPPER(TEXT(Tabela1[[#This Row],[Data Corrigida]],"MMM"))</f>
        <v>AGO</v>
      </c>
      <c r="C32" t="s">
        <v>200</v>
      </c>
      <c r="D32" s="2" t="s">
        <v>201</v>
      </c>
      <c r="E32" s="1" t="s">
        <v>202</v>
      </c>
      <c r="F32" t="s">
        <v>56</v>
      </c>
      <c r="G32" s="2" t="s">
        <v>203</v>
      </c>
      <c r="H32" t="s">
        <v>26</v>
      </c>
      <c r="I32" t="s">
        <v>19</v>
      </c>
      <c r="J32" s="6">
        <v>992093</v>
      </c>
      <c r="K32" s="16">
        <v>5008</v>
      </c>
      <c r="L32" s="16">
        <v>5002</v>
      </c>
      <c r="M32" s="16">
        <v>5022</v>
      </c>
      <c r="N32" s="16">
        <v>5008</v>
      </c>
      <c r="O32" s="16">
        <v>5005</v>
      </c>
      <c r="P32" s="16">
        <v>5008</v>
      </c>
      <c r="Q32" s="16">
        <v>5012</v>
      </c>
      <c r="R32" s="16">
        <v>5009</v>
      </c>
      <c r="S32" s="16">
        <v>5002</v>
      </c>
      <c r="T32" s="16">
        <v>5001</v>
      </c>
      <c r="U32" s="15">
        <v>5007.7</v>
      </c>
      <c r="V32" t="s">
        <v>19</v>
      </c>
      <c r="W32" t="s">
        <v>28</v>
      </c>
      <c r="X32">
        <v>606</v>
      </c>
      <c r="Y32" s="16">
        <f>VLOOKUP(Tabela1[[#This Row],[SKU]],SKU!A:D,4,0)</f>
        <v>5000</v>
      </c>
      <c r="Z32" s="18">
        <f>IFERROR((Tabela1[[#This Row],[Média]]-Tabela1[[#This Row],[Meta]])/Tabela1[[#This Row],[Meta]],"")</f>
        <v>1.5399999999999637E-3</v>
      </c>
      <c r="AA32" s="19">
        <f>Tabela1[[#This Row],[Média]]-Tabela1[[#This Row],[Meta]]</f>
        <v>7.6999999999998181</v>
      </c>
      <c r="AB32" t="str">
        <f>VLOOKUP(Tabela1[[#This Row],[SKU]],SKU!A:B,2,0)</f>
        <v>PONTA ASA FG PB CG</v>
      </c>
      <c r="AC32" t="str">
        <f>VLOOKUP(Tabela1[[#This Row],[SKU]],SKU!A:C,3,0)</f>
        <v>ASA</v>
      </c>
    </row>
    <row r="33" spans="1:29" x14ac:dyDescent="0.3">
      <c r="A33" s="2">
        <f>INT(Tabela1[[#This Row],[Data e Hora2]])</f>
        <v>46241</v>
      </c>
      <c r="B33" t="str">
        <f>UPPER(TEXT(Tabela1[[#This Row],[Data Corrigida]],"MMM"))</f>
        <v>AGO</v>
      </c>
      <c r="C33" t="s">
        <v>197</v>
      </c>
      <c r="D33" s="2" t="s">
        <v>198</v>
      </c>
      <c r="E33" s="1" t="s">
        <v>199</v>
      </c>
      <c r="F33" t="s">
        <v>24</v>
      </c>
      <c r="G33" s="2" t="s">
        <v>182</v>
      </c>
      <c r="H33" t="s">
        <v>26</v>
      </c>
      <c r="I33" t="s">
        <v>27</v>
      </c>
      <c r="J33" s="6">
        <v>42820</v>
      </c>
      <c r="K33" s="16">
        <v>1999</v>
      </c>
      <c r="L33" s="16">
        <v>2085</v>
      </c>
      <c r="M33" s="16">
        <v>2000</v>
      </c>
      <c r="N33" s="16">
        <v>2033</v>
      </c>
      <c r="O33" s="16">
        <v>2033</v>
      </c>
      <c r="P33" s="16">
        <v>2051</v>
      </c>
      <c r="Q33" s="16">
        <v>2023</v>
      </c>
      <c r="R33" s="16">
        <v>2016</v>
      </c>
      <c r="S33" s="16">
        <v>2035</v>
      </c>
      <c r="T33" s="16">
        <v>1989</v>
      </c>
      <c r="U33" s="15">
        <v>2026.4</v>
      </c>
      <c r="V33" t="s">
        <v>19</v>
      </c>
      <c r="W33" t="s">
        <v>28</v>
      </c>
      <c r="X33">
        <v>2758</v>
      </c>
      <c r="Y33" s="16">
        <f>VLOOKUP(Tabela1[[#This Row],[SKU]],SKU!A:D,4,0)</f>
        <v>2000</v>
      </c>
      <c r="Z33" s="18">
        <f>IFERROR((Tabela1[[#This Row],[Média]]-Tabela1[[#This Row],[Meta]])/Tabela1[[#This Row],[Meta]],"")</f>
        <v>1.3200000000000045E-2</v>
      </c>
      <c r="AA33" s="19">
        <f>Tabela1[[#This Row],[Média]]-Tabela1[[#This Row],[Meta]]</f>
        <v>26.400000000000091</v>
      </c>
      <c r="AB33" t="str">
        <f>VLOOKUP(Tabela1[[#This Row],[SKU]],SKU!A:B,2,0)</f>
        <v>COXA SBCX S/O FG 200-220g PB</v>
      </c>
      <c r="AC33" t="str">
        <f>VLOOKUP(Tabela1[[#This Row],[SKU]],SKU!A:C,3,0)</f>
        <v>PERNA</v>
      </c>
    </row>
    <row r="34" spans="1:29" x14ac:dyDescent="0.3">
      <c r="A34" s="2">
        <f>INT(Tabela1[[#This Row],[Data e Hora2]])</f>
        <v>46241</v>
      </c>
      <c r="B34" t="str">
        <f>UPPER(TEXT(Tabela1[[#This Row],[Data Corrigida]],"MMM"))</f>
        <v>AGO</v>
      </c>
      <c r="C34" t="s">
        <v>195</v>
      </c>
      <c r="D34" s="2" t="s">
        <v>196</v>
      </c>
      <c r="E34" s="1" t="s">
        <v>179</v>
      </c>
      <c r="F34" t="s">
        <v>24</v>
      </c>
      <c r="G34" s="2" t="s">
        <v>182</v>
      </c>
      <c r="H34" t="s">
        <v>26</v>
      </c>
      <c r="I34" t="s">
        <v>27</v>
      </c>
      <c r="J34" s="6">
        <v>42854</v>
      </c>
      <c r="K34" s="16">
        <v>2002</v>
      </c>
      <c r="L34" s="16">
        <v>2119</v>
      </c>
      <c r="M34" s="16">
        <v>2151</v>
      </c>
      <c r="N34" s="16">
        <v>2100</v>
      </c>
      <c r="O34" s="16">
        <v>2099</v>
      </c>
      <c r="P34" s="16">
        <v>2110</v>
      </c>
      <c r="Q34" s="16">
        <v>2117</v>
      </c>
      <c r="R34" s="16">
        <v>2079</v>
      </c>
      <c r="S34" s="16">
        <v>2139</v>
      </c>
      <c r="T34" s="16">
        <v>2115</v>
      </c>
      <c r="U34" s="15">
        <v>2103.1</v>
      </c>
      <c r="V34" t="s">
        <v>19</v>
      </c>
      <c r="W34" t="s">
        <v>19</v>
      </c>
      <c r="X34">
        <v>181</v>
      </c>
      <c r="Y34" s="16">
        <f>VLOOKUP(Tabela1[[#This Row],[SKU]],SKU!A:D,4,0)</f>
        <v>2080</v>
      </c>
      <c r="Z34" s="18">
        <f>IFERROR((Tabela1[[#This Row],[Média]]-Tabela1[[#This Row],[Meta]])/Tabela1[[#This Row],[Meta]],"")</f>
        <v>1.1105769230769186E-2</v>
      </c>
      <c r="AA34" s="19">
        <f>Tabela1[[#This Row],[Média]]-Tabela1[[#This Row],[Meta]]</f>
        <v>23.099999999999909</v>
      </c>
      <c r="AB34" t="str">
        <f>VLOOKUP(Tabela1[[#This Row],[SKU]],SKU!A:B,2,0)</f>
        <v>COXA SBCX S/O FG 260-280g PB</v>
      </c>
      <c r="AC34" t="str">
        <f>VLOOKUP(Tabela1[[#This Row],[SKU]],SKU!A:C,3,0)</f>
        <v>PERNA</v>
      </c>
    </row>
    <row r="35" spans="1:29" x14ac:dyDescent="0.3">
      <c r="A35" s="2">
        <f>INT(Tabela1[[#This Row],[Data e Hora2]])</f>
        <v>46241</v>
      </c>
      <c r="B35" t="str">
        <f>UPPER(TEXT(Tabela1[[#This Row],[Data Corrigida]],"MMM"))</f>
        <v>AGO</v>
      </c>
      <c r="C35" t="s">
        <v>193</v>
      </c>
      <c r="D35" s="2" t="s">
        <v>194</v>
      </c>
      <c r="E35" s="1" t="s">
        <v>179</v>
      </c>
      <c r="F35" t="s">
        <v>24</v>
      </c>
      <c r="G35" s="2" t="s">
        <v>182</v>
      </c>
      <c r="H35" t="s">
        <v>26</v>
      </c>
      <c r="I35" t="s">
        <v>27</v>
      </c>
      <c r="J35" s="6">
        <v>42846</v>
      </c>
      <c r="K35" s="16">
        <v>2000</v>
      </c>
      <c r="L35" s="16">
        <v>2013</v>
      </c>
      <c r="M35" s="16">
        <v>2010</v>
      </c>
      <c r="N35" s="16">
        <v>2013</v>
      </c>
      <c r="O35" s="16">
        <v>2016</v>
      </c>
      <c r="P35" s="16">
        <v>2003</v>
      </c>
      <c r="Q35" s="16">
        <v>1994</v>
      </c>
      <c r="R35" s="16">
        <v>2009</v>
      </c>
      <c r="S35" s="16">
        <v>1770</v>
      </c>
      <c r="T35" s="16">
        <v>1999</v>
      </c>
      <c r="U35" s="15">
        <v>1982.7</v>
      </c>
      <c r="V35" t="s">
        <v>19</v>
      </c>
      <c r="W35" t="s">
        <v>28</v>
      </c>
      <c r="X35">
        <v>233</v>
      </c>
      <c r="Y35" s="16">
        <f>VLOOKUP(Tabela1[[#This Row],[SKU]],SKU!A:D,4,0)</f>
        <v>2000</v>
      </c>
      <c r="Z35" s="18">
        <f>IFERROR((Tabela1[[#This Row],[Média]]-Tabela1[[#This Row],[Meta]])/Tabela1[[#This Row],[Meta]],"")</f>
        <v>-8.6499999999999772E-3</v>
      </c>
      <c r="AA35" s="19">
        <f>Tabela1[[#This Row],[Média]]-Tabela1[[#This Row],[Meta]]</f>
        <v>-17.299999999999955</v>
      </c>
      <c r="AB35" t="str">
        <f>VLOOKUP(Tabela1[[#This Row],[SKU]],SKU!A:B,2,0)</f>
        <v>COXA SBCX S/O FG 240-260g PB</v>
      </c>
      <c r="AC35" t="str">
        <f>VLOOKUP(Tabela1[[#This Row],[SKU]],SKU!A:C,3,0)</f>
        <v>PERNA</v>
      </c>
    </row>
    <row r="36" spans="1:29" x14ac:dyDescent="0.3">
      <c r="A36" s="2">
        <f>INT(Tabela1[[#This Row],[Data e Hora2]])</f>
        <v>46241</v>
      </c>
      <c r="B36" t="str">
        <f>UPPER(TEXT(Tabela1[[#This Row],[Data Corrigida]],"MMM"))</f>
        <v>AGO</v>
      </c>
      <c r="C36" t="s">
        <v>191</v>
      </c>
      <c r="D36" s="2" t="s">
        <v>192</v>
      </c>
      <c r="E36" s="1" t="s">
        <v>179</v>
      </c>
      <c r="F36" t="s">
        <v>24</v>
      </c>
      <c r="G36" s="2" t="s">
        <v>182</v>
      </c>
      <c r="H36" t="s">
        <v>26</v>
      </c>
      <c r="I36" t="s">
        <v>27</v>
      </c>
      <c r="J36" s="6">
        <v>42862</v>
      </c>
      <c r="K36" s="16">
        <v>2016</v>
      </c>
      <c r="L36" s="16">
        <v>2009</v>
      </c>
      <c r="M36" s="16">
        <v>2057</v>
      </c>
      <c r="N36" s="16">
        <v>2040</v>
      </c>
      <c r="O36" s="16">
        <v>2059</v>
      </c>
      <c r="P36" s="16">
        <v>2001</v>
      </c>
      <c r="Q36" s="16">
        <v>2017</v>
      </c>
      <c r="R36" s="16">
        <v>2016</v>
      </c>
      <c r="S36" s="16">
        <v>2003</v>
      </c>
      <c r="T36" s="16">
        <v>2023</v>
      </c>
      <c r="U36" s="15">
        <v>2024.1</v>
      </c>
      <c r="V36" t="s">
        <v>19</v>
      </c>
      <c r="W36" t="s">
        <v>19</v>
      </c>
      <c r="X36">
        <v>148</v>
      </c>
      <c r="Y36" s="16">
        <f>VLOOKUP(Tabela1[[#This Row],[SKU]],SKU!A:D,4,0)</f>
        <v>2000</v>
      </c>
      <c r="Z36" s="18">
        <f>IFERROR((Tabela1[[#This Row],[Média]]-Tabela1[[#This Row],[Meta]])/Tabela1[[#This Row],[Meta]],"")</f>
        <v>1.2049999999999955E-2</v>
      </c>
      <c r="AA36" s="19">
        <f>Tabela1[[#This Row],[Média]]-Tabela1[[#This Row],[Meta]]</f>
        <v>24.099999999999909</v>
      </c>
      <c r="AB36" t="str">
        <f>VLOOKUP(Tabela1[[#This Row],[SKU]],SKU!A:B,2,0)</f>
        <v>COXA SBCX S/O FG 280-300g PB</v>
      </c>
      <c r="AC36" t="str">
        <f>VLOOKUP(Tabela1[[#This Row],[SKU]],SKU!A:C,3,0)</f>
        <v>PERNA</v>
      </c>
    </row>
    <row r="37" spans="1:29" x14ac:dyDescent="0.3">
      <c r="A37" s="2">
        <f>INT(Tabela1[[#This Row],[Data e Hora2]])</f>
        <v>46241</v>
      </c>
      <c r="B37" t="str">
        <f>UPPER(TEXT(Tabela1[[#This Row],[Data Corrigida]],"MMM"))</f>
        <v>AGO</v>
      </c>
      <c r="C37" t="s">
        <v>189</v>
      </c>
      <c r="D37" s="2" t="s">
        <v>190</v>
      </c>
      <c r="E37" s="1" t="s">
        <v>179</v>
      </c>
      <c r="F37" t="s">
        <v>24</v>
      </c>
      <c r="G37" s="2" t="s">
        <v>182</v>
      </c>
      <c r="H37" t="s">
        <v>26</v>
      </c>
      <c r="I37" t="s">
        <v>27</v>
      </c>
      <c r="J37" s="6">
        <v>13188</v>
      </c>
      <c r="K37" s="16">
        <v>1014</v>
      </c>
      <c r="L37" s="16">
        <v>1020</v>
      </c>
      <c r="M37" s="16">
        <v>1023</v>
      </c>
      <c r="N37" s="16">
        <v>994</v>
      </c>
      <c r="O37" s="16">
        <v>993</v>
      </c>
      <c r="P37" s="16">
        <v>1013</v>
      </c>
      <c r="Q37" s="16">
        <v>998</v>
      </c>
      <c r="R37" s="16">
        <v>1007</v>
      </c>
      <c r="S37" s="16">
        <v>1023</v>
      </c>
      <c r="T37" s="16">
        <v>997</v>
      </c>
      <c r="U37" s="15">
        <v>1008.2</v>
      </c>
      <c r="V37" t="s">
        <v>19</v>
      </c>
      <c r="W37" t="s">
        <v>19</v>
      </c>
      <c r="X37">
        <v>210</v>
      </c>
      <c r="Y37" s="16">
        <f>VLOOKUP(Tabela1[[#This Row],[SKU]],SKU!A:D,4,0)</f>
        <v>1000</v>
      </c>
      <c r="Z37" s="18">
        <f>IFERROR((Tabela1[[#This Row],[Média]]-Tabela1[[#This Row],[Meta]])/Tabela1[[#This Row],[Meta]],"")</f>
        <v>8.2000000000000458E-3</v>
      </c>
      <c r="AA37" s="19">
        <f>Tabela1[[#This Row],[Média]]-Tabela1[[#This Row],[Meta]]</f>
        <v>8.2000000000000455</v>
      </c>
      <c r="AB37" t="str">
        <f>VLOOKUP(Tabela1[[#This Row],[SKU]],SKU!A:B,2,0)</f>
        <v>SOBRECOXA CG BDJ SE</v>
      </c>
      <c r="AC37" t="str">
        <f>VLOOKUP(Tabela1[[#This Row],[SKU]],SKU!A:C,3,0)</f>
        <v>PERNA</v>
      </c>
    </row>
    <row r="38" spans="1:29" x14ac:dyDescent="0.3">
      <c r="A38" s="2">
        <f>INT(Tabela1[[#This Row],[Data e Hora2]])</f>
        <v>46241</v>
      </c>
      <c r="B38" t="str">
        <f>UPPER(TEXT(Tabela1[[#This Row],[Data Corrigida]],"MMM"))</f>
        <v>AGO</v>
      </c>
      <c r="C38" t="s">
        <v>187</v>
      </c>
      <c r="D38" s="2" t="s">
        <v>188</v>
      </c>
      <c r="E38" s="1" t="s">
        <v>179</v>
      </c>
      <c r="F38" t="s">
        <v>24</v>
      </c>
      <c r="G38" s="2" t="s">
        <v>182</v>
      </c>
      <c r="H38" t="s">
        <v>26</v>
      </c>
      <c r="I38" t="s">
        <v>27</v>
      </c>
      <c r="J38" s="6">
        <v>15105</v>
      </c>
      <c r="K38" s="16">
        <v>992</v>
      </c>
      <c r="L38" s="16">
        <v>998</v>
      </c>
      <c r="M38" s="16">
        <v>1011</v>
      </c>
      <c r="N38" s="16">
        <v>1018</v>
      </c>
      <c r="O38" s="16">
        <v>957</v>
      </c>
      <c r="P38" s="16">
        <v>920</v>
      </c>
      <c r="Q38" s="16">
        <v>1021</v>
      </c>
      <c r="R38" s="16">
        <v>1020</v>
      </c>
      <c r="S38" s="16">
        <v>1060</v>
      </c>
      <c r="T38" s="16">
        <v>1014</v>
      </c>
      <c r="U38" s="15">
        <v>1001.1</v>
      </c>
      <c r="V38" t="s">
        <v>19</v>
      </c>
      <c r="W38" t="s">
        <v>28</v>
      </c>
      <c r="X38">
        <v>533</v>
      </c>
      <c r="Y38" s="16">
        <f>VLOOKUP(Tabela1[[#This Row],[SKU]],SKU!A:D,4,0)</f>
        <v>1000</v>
      </c>
      <c r="Z38" s="18">
        <f>IFERROR((Tabela1[[#This Row],[Média]]-Tabela1[[#This Row],[Meta]])/Tabela1[[#This Row],[Meta]],"")</f>
        <v>1.1000000000000228E-3</v>
      </c>
      <c r="AA38" s="19">
        <f>Tabela1[[#This Row],[Média]]-Tabela1[[#This Row],[Meta]]</f>
        <v>1.1000000000000227</v>
      </c>
      <c r="AB38" t="str">
        <f>VLOOKUP(Tabela1[[#This Row],[SKU]],SKU!A:B,2,0)</f>
        <v>FILE PEITO MET CG BDJ SE</v>
      </c>
      <c r="AC38" t="str">
        <f>VLOOKUP(Tabela1[[#This Row],[SKU]],SKU!A:C,3,0)</f>
        <v>PEITO</v>
      </c>
    </row>
    <row r="39" spans="1:29" x14ac:dyDescent="0.3">
      <c r="A39" s="2">
        <f>INT(Tabela1[[#This Row],[Data e Hora2]])</f>
        <v>46241</v>
      </c>
      <c r="B39" t="str">
        <f>UPPER(TEXT(Tabela1[[#This Row],[Data Corrigida]],"MMM"))</f>
        <v>AGO</v>
      </c>
      <c r="C39" t="s">
        <v>185</v>
      </c>
      <c r="D39" s="2" t="s">
        <v>186</v>
      </c>
      <c r="E39" s="1" t="s">
        <v>179</v>
      </c>
      <c r="F39" t="s">
        <v>24</v>
      </c>
      <c r="G39" s="2" t="s">
        <v>182</v>
      </c>
      <c r="H39" t="s">
        <v>26</v>
      </c>
      <c r="I39" t="s">
        <v>27</v>
      </c>
      <c r="J39" s="6">
        <v>992093</v>
      </c>
      <c r="K39" s="16">
        <v>5014</v>
      </c>
      <c r="L39" s="16">
        <v>5015</v>
      </c>
      <c r="M39" s="16">
        <v>5014</v>
      </c>
      <c r="N39" s="16">
        <v>5021</v>
      </c>
      <c r="O39" s="16">
        <v>5014</v>
      </c>
      <c r="P39" s="16">
        <v>5015</v>
      </c>
      <c r="Q39" s="16">
        <v>5017</v>
      </c>
      <c r="R39" s="16">
        <v>5010</v>
      </c>
      <c r="S39" s="16">
        <v>5014</v>
      </c>
      <c r="T39" s="16">
        <v>5014</v>
      </c>
      <c r="U39" s="15">
        <v>5014.8</v>
      </c>
      <c r="V39" t="s">
        <v>19</v>
      </c>
      <c r="W39" t="s">
        <v>28</v>
      </c>
      <c r="X39">
        <v>465</v>
      </c>
      <c r="Y39" s="16">
        <f>VLOOKUP(Tabela1[[#This Row],[SKU]],SKU!A:D,4,0)</f>
        <v>5000</v>
      </c>
      <c r="Z39" s="18">
        <f>IFERROR((Tabela1[[#This Row],[Média]]-Tabela1[[#This Row],[Meta]])/Tabela1[[#This Row],[Meta]],"")</f>
        <v>2.9600000000000364E-3</v>
      </c>
      <c r="AA39" s="19">
        <f>Tabela1[[#This Row],[Média]]-Tabela1[[#This Row],[Meta]]</f>
        <v>14.800000000000182</v>
      </c>
      <c r="AB39" t="str">
        <f>VLOOKUP(Tabela1[[#This Row],[SKU]],SKU!A:B,2,0)</f>
        <v>PONTA ASA FG PB CG</v>
      </c>
      <c r="AC39" t="str">
        <f>VLOOKUP(Tabela1[[#This Row],[SKU]],SKU!A:C,3,0)</f>
        <v>ASA</v>
      </c>
    </row>
    <row r="40" spans="1:29" x14ac:dyDescent="0.3">
      <c r="A40" s="2">
        <f>INT(Tabela1[[#This Row],[Data e Hora2]])</f>
        <v>46241</v>
      </c>
      <c r="B40" t="str">
        <f>UPPER(TEXT(Tabela1[[#This Row],[Data Corrigida]],"MMM"))</f>
        <v>AGO</v>
      </c>
      <c r="C40" t="s">
        <v>183</v>
      </c>
      <c r="D40" s="2" t="s">
        <v>184</v>
      </c>
      <c r="E40" s="1" t="s">
        <v>179</v>
      </c>
      <c r="F40" t="s">
        <v>24</v>
      </c>
      <c r="G40" s="2" t="s">
        <v>182</v>
      </c>
      <c r="H40" t="s">
        <v>26</v>
      </c>
      <c r="I40" t="s">
        <v>27</v>
      </c>
      <c r="J40" s="6">
        <v>15105</v>
      </c>
      <c r="K40" s="16">
        <v>1009</v>
      </c>
      <c r="L40" s="16">
        <v>1025</v>
      </c>
      <c r="M40" s="16">
        <v>1003</v>
      </c>
      <c r="N40" s="16">
        <v>1035</v>
      </c>
      <c r="O40" s="16">
        <v>1029</v>
      </c>
      <c r="P40" s="16">
        <v>1004</v>
      </c>
      <c r="Q40" s="16">
        <v>1000</v>
      </c>
      <c r="R40" s="16">
        <v>1004</v>
      </c>
      <c r="S40" s="16">
        <v>1013</v>
      </c>
      <c r="T40" s="16">
        <v>1007</v>
      </c>
      <c r="U40" s="15">
        <v>1012.9</v>
      </c>
      <c r="V40" t="s">
        <v>19</v>
      </c>
      <c r="W40" t="s">
        <v>28</v>
      </c>
      <c r="X40">
        <v>440</v>
      </c>
      <c r="Y40" s="16">
        <f>VLOOKUP(Tabela1[[#This Row],[SKU]],SKU!A:D,4,0)</f>
        <v>1000</v>
      </c>
      <c r="Z40" s="18">
        <f>IFERROR((Tabela1[[#This Row],[Média]]-Tabela1[[#This Row],[Meta]])/Tabela1[[#This Row],[Meta]],"")</f>
        <v>1.2899999999999977E-2</v>
      </c>
      <c r="AA40" s="19">
        <f>Tabela1[[#This Row],[Média]]-Tabela1[[#This Row],[Meta]]</f>
        <v>12.899999999999977</v>
      </c>
      <c r="AB40" t="str">
        <f>VLOOKUP(Tabela1[[#This Row],[SKU]],SKU!A:B,2,0)</f>
        <v>FILE PEITO MET CG BDJ SE</v>
      </c>
      <c r="AC40" t="str">
        <f>VLOOKUP(Tabela1[[#This Row],[SKU]],SKU!A:C,3,0)</f>
        <v>PEITO</v>
      </c>
    </row>
    <row r="41" spans="1:29" x14ac:dyDescent="0.3">
      <c r="A41" s="2">
        <f>INT(Tabela1[[#This Row],[Data e Hora2]])</f>
        <v>46241</v>
      </c>
      <c r="B41" t="str">
        <f>UPPER(TEXT(Tabela1[[#This Row],[Data Corrigida]],"MMM"))</f>
        <v>AGO</v>
      </c>
      <c r="C41" t="s">
        <v>180</v>
      </c>
      <c r="D41" s="2" t="s">
        <v>181</v>
      </c>
      <c r="E41" s="1" t="s">
        <v>179</v>
      </c>
      <c r="F41" t="s">
        <v>24</v>
      </c>
      <c r="G41" s="2" t="s">
        <v>182</v>
      </c>
      <c r="H41" t="s">
        <v>26</v>
      </c>
      <c r="I41" t="s">
        <v>27</v>
      </c>
      <c r="J41" s="6">
        <v>13188</v>
      </c>
      <c r="K41" s="16">
        <v>1014</v>
      </c>
      <c r="L41" s="16">
        <v>1019</v>
      </c>
      <c r="M41" s="16">
        <v>1005</v>
      </c>
      <c r="N41" s="16">
        <v>994</v>
      </c>
      <c r="O41" s="16">
        <v>1024</v>
      </c>
      <c r="P41" s="16">
        <v>1022</v>
      </c>
      <c r="Q41" s="16">
        <v>1027</v>
      </c>
      <c r="R41" s="16">
        <v>1016</v>
      </c>
      <c r="S41" s="16">
        <v>1009</v>
      </c>
      <c r="T41" s="16">
        <v>1038</v>
      </c>
      <c r="U41" s="15">
        <v>1016.8</v>
      </c>
      <c r="V41" t="s">
        <v>19</v>
      </c>
      <c r="W41" t="s">
        <v>28</v>
      </c>
      <c r="X41">
        <v>574</v>
      </c>
      <c r="Y41" s="16">
        <f>VLOOKUP(Tabela1[[#This Row],[SKU]],SKU!A:D,4,0)</f>
        <v>1000</v>
      </c>
      <c r="Z41" s="18">
        <f>IFERROR((Tabela1[[#This Row],[Média]]-Tabela1[[#This Row],[Meta]])/Tabela1[[#This Row],[Meta]],"")</f>
        <v>1.6799999999999954E-2</v>
      </c>
      <c r="AA41" s="19">
        <f>Tabela1[[#This Row],[Média]]-Tabela1[[#This Row],[Meta]]</f>
        <v>16.799999999999955</v>
      </c>
      <c r="AB41" t="str">
        <f>VLOOKUP(Tabela1[[#This Row],[SKU]],SKU!A:B,2,0)</f>
        <v>SOBRECOXA CG BDJ SE</v>
      </c>
      <c r="AC41" t="str">
        <f>VLOOKUP(Tabela1[[#This Row],[SKU]],SKU!A:C,3,0)</f>
        <v>PERNA</v>
      </c>
    </row>
    <row r="42" spans="1:29" x14ac:dyDescent="0.3">
      <c r="A42" s="2">
        <f>INT(Tabela1[[#This Row],[Data e Hora2]])</f>
        <v>46241</v>
      </c>
      <c r="B42" t="str">
        <f>UPPER(TEXT(Tabela1[[#This Row],[Data Corrigida]],"MMM"))</f>
        <v>AGO</v>
      </c>
      <c r="C42" t="s">
        <v>177</v>
      </c>
      <c r="D42" s="2" t="s">
        <v>178</v>
      </c>
      <c r="E42" s="1" t="s">
        <v>179</v>
      </c>
      <c r="F42" t="s">
        <v>24</v>
      </c>
      <c r="G42" s="2" t="s">
        <v>182</v>
      </c>
      <c r="H42" t="s">
        <v>26</v>
      </c>
      <c r="I42" t="s">
        <v>19</v>
      </c>
      <c r="J42" s="6">
        <v>40762</v>
      </c>
      <c r="K42" s="16">
        <v>10070</v>
      </c>
      <c r="L42" s="16">
        <v>9885</v>
      </c>
      <c r="M42" s="16">
        <v>9875</v>
      </c>
      <c r="N42" s="16">
        <v>9955</v>
      </c>
      <c r="O42" s="16">
        <v>9985</v>
      </c>
      <c r="P42" s="16">
        <v>9965</v>
      </c>
      <c r="Q42" s="16">
        <v>9885</v>
      </c>
      <c r="R42" s="16">
        <v>10060</v>
      </c>
      <c r="S42" s="16">
        <v>10010</v>
      </c>
      <c r="T42" s="16">
        <v>9885</v>
      </c>
      <c r="U42" s="15">
        <v>9957.5</v>
      </c>
      <c r="V42" t="s">
        <v>19</v>
      </c>
      <c r="W42" t="s">
        <v>19</v>
      </c>
      <c r="X42">
        <v>472</v>
      </c>
      <c r="Y42" s="16">
        <f>VLOOKUP(Tabela1[[#This Row],[SKU]],SKU!A:D,4,0)</f>
        <v>10000</v>
      </c>
      <c r="Z42" s="18">
        <f>IFERROR((Tabela1[[#This Row],[Média]]-Tabela1[[#This Row],[Meta]])/Tabela1[[#This Row],[Meta]],"")</f>
        <v>-4.2500000000000003E-3</v>
      </c>
      <c r="AA42" s="19">
        <f>Tabela1[[#This Row],[Média]]-Tabela1[[#This Row],[Meta]]</f>
        <v>-42.5</v>
      </c>
      <c r="AB42" t="str">
        <f>VLOOKUP(Tabela1[[#This Row],[SKU]],SKU!A:B,2,0)</f>
        <v>COXA SBCX LQ FG LP</v>
      </c>
      <c r="AC42" t="str">
        <f>VLOOKUP(Tabela1[[#This Row],[SKU]],SKU!A:C,3,0)</f>
        <v>PERNA</v>
      </c>
    </row>
    <row r="43" spans="1:29" x14ac:dyDescent="0.3">
      <c r="A43" s="2">
        <f>INT(Tabela1[[#This Row],[Data e Hora2]])</f>
        <v>46244</v>
      </c>
      <c r="B43" t="str">
        <f>UPPER(TEXT(Tabela1[[#This Row],[Data Corrigida]],"MMM"))</f>
        <v>AGO</v>
      </c>
      <c r="C43" t="s">
        <v>175</v>
      </c>
      <c r="D43" s="2" t="s">
        <v>176</v>
      </c>
      <c r="E43" s="1" t="s">
        <v>162</v>
      </c>
      <c r="F43" t="s">
        <v>24</v>
      </c>
      <c r="G43" s="2" t="s">
        <v>153</v>
      </c>
      <c r="H43" t="s">
        <v>26</v>
      </c>
      <c r="I43" t="s">
        <v>27</v>
      </c>
      <c r="J43" s="6">
        <v>42846</v>
      </c>
      <c r="K43" s="16">
        <v>2010</v>
      </c>
      <c r="L43" s="16">
        <v>2019</v>
      </c>
      <c r="M43" s="16">
        <v>2010</v>
      </c>
      <c r="N43" s="16">
        <v>2021</v>
      </c>
      <c r="O43" s="16">
        <v>2005</v>
      </c>
      <c r="P43" s="16">
        <v>2062</v>
      </c>
      <c r="Q43" s="16">
        <v>2005</v>
      </c>
      <c r="R43" s="16">
        <v>2104</v>
      </c>
      <c r="S43" s="16">
        <v>2015</v>
      </c>
      <c r="T43" s="16">
        <v>1997</v>
      </c>
      <c r="U43" s="15">
        <v>2024.8</v>
      </c>
      <c r="V43" t="s">
        <v>19</v>
      </c>
      <c r="W43" t="s">
        <v>28</v>
      </c>
      <c r="X43">
        <v>299</v>
      </c>
      <c r="Y43" s="16">
        <f>VLOOKUP(Tabela1[[#This Row],[SKU]],SKU!A:D,4,0)</f>
        <v>2000</v>
      </c>
      <c r="Z43" s="18">
        <f>IFERROR((Tabela1[[#This Row],[Média]]-Tabela1[[#This Row],[Meta]])/Tabela1[[#This Row],[Meta]],"")</f>
        <v>1.2399999999999977E-2</v>
      </c>
      <c r="AA43" s="19">
        <f>Tabela1[[#This Row],[Média]]-Tabela1[[#This Row],[Meta]]</f>
        <v>24.799999999999955</v>
      </c>
      <c r="AB43" t="str">
        <f>VLOOKUP(Tabela1[[#This Row],[SKU]],SKU!A:B,2,0)</f>
        <v>COXA SBCX S/O FG 240-260g PB</v>
      </c>
      <c r="AC43" t="str">
        <f>VLOOKUP(Tabela1[[#This Row],[SKU]],SKU!A:C,3,0)</f>
        <v>PERNA</v>
      </c>
    </row>
    <row r="44" spans="1:29" x14ac:dyDescent="0.3">
      <c r="A44" s="2">
        <f>INT(Tabela1[[#This Row],[Data e Hora2]])</f>
        <v>46244</v>
      </c>
      <c r="B44" t="str">
        <f>UPPER(TEXT(Tabela1[[#This Row],[Data Corrigida]],"MMM"))</f>
        <v>AGO</v>
      </c>
      <c r="C44" t="s">
        <v>173</v>
      </c>
      <c r="D44" s="2" t="s">
        <v>174</v>
      </c>
      <c r="E44" s="1" t="s">
        <v>162</v>
      </c>
      <c r="F44" t="s">
        <v>24</v>
      </c>
      <c r="G44" s="2" t="s">
        <v>153</v>
      </c>
      <c r="H44" t="s">
        <v>26</v>
      </c>
      <c r="I44" t="s">
        <v>27</v>
      </c>
      <c r="J44" s="6">
        <v>42838</v>
      </c>
      <c r="K44" s="16">
        <v>2025</v>
      </c>
      <c r="L44" s="16">
        <v>2043</v>
      </c>
      <c r="M44" s="16">
        <v>2034</v>
      </c>
      <c r="N44" s="16">
        <v>2046</v>
      </c>
      <c r="O44" s="16">
        <v>2032</v>
      </c>
      <c r="P44" s="16">
        <v>2017</v>
      </c>
      <c r="Q44" s="16">
        <v>2031</v>
      </c>
      <c r="R44" s="16">
        <v>2031</v>
      </c>
      <c r="S44" s="16">
        <v>2082</v>
      </c>
      <c r="T44" s="16">
        <v>2140</v>
      </c>
      <c r="U44" s="15">
        <v>2048.1</v>
      </c>
      <c r="V44" t="s">
        <v>19</v>
      </c>
      <c r="W44" t="s">
        <v>19</v>
      </c>
      <c r="X44">
        <v>153</v>
      </c>
      <c r="Y44" s="16">
        <f>VLOOKUP(Tabela1[[#This Row],[SKU]],SKU!A:D,4,0)</f>
        <v>2000</v>
      </c>
      <c r="Z44" s="18">
        <f>IFERROR((Tabela1[[#This Row],[Média]]-Tabela1[[#This Row],[Meta]])/Tabela1[[#This Row],[Meta]],"")</f>
        <v>2.4049999999999953E-2</v>
      </c>
      <c r="AA44" s="19">
        <f>Tabela1[[#This Row],[Média]]-Tabela1[[#This Row],[Meta]]</f>
        <v>48.099999999999909</v>
      </c>
      <c r="AB44" t="str">
        <f>VLOOKUP(Tabela1[[#This Row],[SKU]],SKU!A:B,2,0)</f>
        <v>COXA SBCX S/O FG 220-240g PB</v>
      </c>
      <c r="AC44" t="str">
        <f>VLOOKUP(Tabela1[[#This Row],[SKU]],SKU!A:C,3,0)</f>
        <v>PERNA</v>
      </c>
    </row>
    <row r="45" spans="1:29" x14ac:dyDescent="0.3">
      <c r="A45" s="2">
        <f>INT(Tabela1[[#This Row],[Data e Hora2]])</f>
        <v>46244</v>
      </c>
      <c r="B45" t="str">
        <f>UPPER(TEXT(Tabela1[[#This Row],[Data Corrigida]],"MMM"))</f>
        <v>AGO</v>
      </c>
      <c r="C45" t="s">
        <v>171</v>
      </c>
      <c r="D45" s="2" t="s">
        <v>172</v>
      </c>
      <c r="E45" s="1" t="s">
        <v>162</v>
      </c>
      <c r="F45" t="s">
        <v>24</v>
      </c>
      <c r="G45" s="2" t="s">
        <v>153</v>
      </c>
      <c r="H45" t="s">
        <v>26</v>
      </c>
      <c r="I45" t="s">
        <v>27</v>
      </c>
      <c r="J45" s="6">
        <v>42854</v>
      </c>
      <c r="K45" s="16">
        <v>2098</v>
      </c>
      <c r="L45" s="16">
        <v>2133</v>
      </c>
      <c r="M45" s="16">
        <v>2114</v>
      </c>
      <c r="N45" s="16">
        <v>2088</v>
      </c>
      <c r="O45" s="16">
        <v>2079</v>
      </c>
      <c r="P45" s="16">
        <v>2092</v>
      </c>
      <c r="Q45" s="16">
        <v>2097</v>
      </c>
      <c r="R45" s="16">
        <v>2126</v>
      </c>
      <c r="S45" s="16">
        <v>2099</v>
      </c>
      <c r="T45" s="16">
        <v>2119</v>
      </c>
      <c r="U45" s="15">
        <v>2104.5</v>
      </c>
      <c r="V45" t="s">
        <v>19</v>
      </c>
      <c r="W45" t="s">
        <v>19</v>
      </c>
      <c r="X45">
        <v>239</v>
      </c>
      <c r="Y45" s="16">
        <f>VLOOKUP(Tabela1[[#This Row],[SKU]],SKU!A:D,4,0)</f>
        <v>2080</v>
      </c>
      <c r="Z45" s="18">
        <f>IFERROR((Tabela1[[#This Row],[Média]]-Tabela1[[#This Row],[Meta]])/Tabela1[[#This Row],[Meta]],"")</f>
        <v>1.1778846153846154E-2</v>
      </c>
      <c r="AA45" s="19">
        <f>Tabela1[[#This Row],[Média]]-Tabela1[[#This Row],[Meta]]</f>
        <v>24.5</v>
      </c>
      <c r="AB45" t="str">
        <f>VLOOKUP(Tabela1[[#This Row],[SKU]],SKU!A:B,2,0)</f>
        <v>COXA SBCX S/O FG 260-280g PB</v>
      </c>
      <c r="AC45" t="str">
        <f>VLOOKUP(Tabela1[[#This Row],[SKU]],SKU!A:C,3,0)</f>
        <v>PERNA</v>
      </c>
    </row>
    <row r="46" spans="1:29" x14ac:dyDescent="0.3">
      <c r="A46" s="2">
        <f>INT(Tabela1[[#This Row],[Data e Hora2]])</f>
        <v>46244</v>
      </c>
      <c r="B46" t="str">
        <f>UPPER(TEXT(Tabela1[[#This Row],[Data Corrigida]],"MMM"))</f>
        <v>AGO</v>
      </c>
      <c r="C46" t="s">
        <v>169</v>
      </c>
      <c r="D46" s="2" t="s">
        <v>170</v>
      </c>
      <c r="E46" s="1" t="s">
        <v>162</v>
      </c>
      <c r="F46" t="s">
        <v>24</v>
      </c>
      <c r="G46" s="2" t="s">
        <v>153</v>
      </c>
      <c r="H46" t="s">
        <v>26</v>
      </c>
      <c r="I46" t="s">
        <v>27</v>
      </c>
      <c r="J46" s="6">
        <v>13188</v>
      </c>
      <c r="K46" s="16">
        <v>1000</v>
      </c>
      <c r="L46" s="16">
        <v>1014</v>
      </c>
      <c r="M46" s="16">
        <v>994</v>
      </c>
      <c r="N46" s="16">
        <v>1025</v>
      </c>
      <c r="O46" s="16">
        <v>1021</v>
      </c>
      <c r="P46" s="16">
        <v>997</v>
      </c>
      <c r="Q46" s="16">
        <v>1008</v>
      </c>
      <c r="R46" s="16">
        <v>1013</v>
      </c>
      <c r="S46" s="16">
        <v>1018</v>
      </c>
      <c r="T46" s="16">
        <v>1014</v>
      </c>
      <c r="U46" s="15">
        <v>1010.4</v>
      </c>
      <c r="V46" t="s">
        <v>19</v>
      </c>
      <c r="W46" t="s">
        <v>19</v>
      </c>
      <c r="X46">
        <v>201</v>
      </c>
      <c r="Y46" s="16">
        <f>VLOOKUP(Tabela1[[#This Row],[SKU]],SKU!A:D,4,0)</f>
        <v>1000</v>
      </c>
      <c r="Z46" s="18">
        <f>IFERROR((Tabela1[[#This Row],[Média]]-Tabela1[[#This Row],[Meta]])/Tabela1[[#This Row],[Meta]],"")</f>
        <v>1.0399999999999977E-2</v>
      </c>
      <c r="AA46" s="19">
        <f>Tabela1[[#This Row],[Média]]-Tabela1[[#This Row],[Meta]]</f>
        <v>10.399999999999977</v>
      </c>
      <c r="AB46" t="str">
        <f>VLOOKUP(Tabela1[[#This Row],[SKU]],SKU!A:B,2,0)</f>
        <v>SOBRECOXA CG BDJ SE</v>
      </c>
      <c r="AC46" t="str">
        <f>VLOOKUP(Tabela1[[#This Row],[SKU]],SKU!A:C,3,0)</f>
        <v>PERNA</v>
      </c>
    </row>
    <row r="47" spans="1:29" x14ac:dyDescent="0.3">
      <c r="A47" s="2">
        <f>INT(Tabela1[[#This Row],[Data e Hora2]])</f>
        <v>46244</v>
      </c>
      <c r="B47" t="str">
        <f>UPPER(TEXT(Tabela1[[#This Row],[Data Corrigida]],"MMM"))</f>
        <v>AGO</v>
      </c>
      <c r="C47" t="s">
        <v>167</v>
      </c>
      <c r="D47" s="2" t="s">
        <v>168</v>
      </c>
      <c r="E47" s="1" t="s">
        <v>162</v>
      </c>
      <c r="F47" t="s">
        <v>24</v>
      </c>
      <c r="G47" s="2" t="s">
        <v>153</v>
      </c>
      <c r="H47" t="s">
        <v>26</v>
      </c>
      <c r="I47" t="s">
        <v>27</v>
      </c>
      <c r="J47" s="6">
        <v>15229</v>
      </c>
      <c r="K47" s="16">
        <v>972</v>
      </c>
      <c r="L47" s="16">
        <v>1030</v>
      </c>
      <c r="M47" s="16">
        <v>1040</v>
      </c>
      <c r="N47" s="16">
        <v>1025</v>
      </c>
      <c r="O47" s="16">
        <v>972</v>
      </c>
      <c r="P47" s="16">
        <v>984</v>
      </c>
      <c r="Q47" s="16">
        <v>1069</v>
      </c>
      <c r="R47" s="16">
        <v>1039</v>
      </c>
      <c r="S47" s="16">
        <v>1035</v>
      </c>
      <c r="T47" s="16">
        <v>969</v>
      </c>
      <c r="U47" s="15">
        <v>1013.5</v>
      </c>
      <c r="V47" t="s">
        <v>19</v>
      </c>
      <c r="W47" t="s">
        <v>19</v>
      </c>
      <c r="X47">
        <v>337</v>
      </c>
      <c r="Y47" s="16">
        <f>VLOOKUP(Tabela1[[#This Row],[SKU]],SKU!A:D,4,0)</f>
        <v>1000</v>
      </c>
      <c r="Z47" s="18">
        <f>IFERROR((Tabela1[[#This Row],[Média]]-Tabela1[[#This Row],[Meta]])/Tabela1[[#This Row],[Meta]],"")</f>
        <v>1.35E-2</v>
      </c>
      <c r="AA47" s="19">
        <f>Tabela1[[#This Row],[Média]]-Tabela1[[#This Row],[Meta]]</f>
        <v>13.5</v>
      </c>
      <c r="AB47" t="str">
        <f>VLOOKUP(Tabela1[[#This Row],[SKU]],SKU!A:B,2,0)</f>
        <v>COXA CG BDJ SE</v>
      </c>
      <c r="AC47" t="str">
        <f>VLOOKUP(Tabela1[[#This Row],[SKU]],SKU!A:C,3,0)</f>
        <v>PERNA</v>
      </c>
    </row>
    <row r="48" spans="1:29" x14ac:dyDescent="0.3">
      <c r="A48" s="2">
        <f>INT(Tabela1[[#This Row],[Data e Hora2]])</f>
        <v>46244</v>
      </c>
      <c r="B48" t="str">
        <f>UPPER(TEXT(Tabela1[[#This Row],[Data Corrigida]],"MMM"))</f>
        <v>AGO</v>
      </c>
      <c r="C48" t="s">
        <v>165</v>
      </c>
      <c r="D48" s="2" t="s">
        <v>166</v>
      </c>
      <c r="E48" s="1" t="s">
        <v>162</v>
      </c>
      <c r="F48" t="s">
        <v>24</v>
      </c>
      <c r="G48" s="2" t="s">
        <v>153</v>
      </c>
      <c r="H48" t="s">
        <v>26</v>
      </c>
      <c r="I48" t="s">
        <v>27</v>
      </c>
      <c r="J48" s="6">
        <v>15105</v>
      </c>
      <c r="K48" s="16">
        <v>1044</v>
      </c>
      <c r="L48" s="16">
        <v>997</v>
      </c>
      <c r="M48" s="16">
        <v>1009</v>
      </c>
      <c r="N48" s="16">
        <v>1022</v>
      </c>
      <c r="O48" s="16">
        <v>1019</v>
      </c>
      <c r="P48" s="16">
        <v>1011</v>
      </c>
      <c r="Q48" s="16">
        <v>1031</v>
      </c>
      <c r="R48" s="16">
        <v>1040</v>
      </c>
      <c r="S48" s="16">
        <v>1015</v>
      </c>
      <c r="T48" s="16">
        <v>1078</v>
      </c>
      <c r="U48" s="15">
        <v>1026.5999999999999</v>
      </c>
      <c r="V48" t="s">
        <v>19</v>
      </c>
      <c r="W48" t="s">
        <v>28</v>
      </c>
      <c r="X48">
        <v>235</v>
      </c>
      <c r="Y48" s="16">
        <f>VLOOKUP(Tabela1[[#This Row],[SKU]],SKU!A:D,4,0)</f>
        <v>1000</v>
      </c>
      <c r="Z48" s="18">
        <f>IFERROR((Tabela1[[#This Row],[Média]]-Tabela1[[#This Row],[Meta]])/Tabela1[[#This Row],[Meta]],"")</f>
        <v>2.6599999999999908E-2</v>
      </c>
      <c r="AA48" s="19">
        <f>Tabela1[[#This Row],[Média]]-Tabela1[[#This Row],[Meta]]</f>
        <v>26.599999999999909</v>
      </c>
      <c r="AB48" t="str">
        <f>VLOOKUP(Tabela1[[#This Row],[SKU]],SKU!A:B,2,0)</f>
        <v>FILE PEITO MET CG BDJ SE</v>
      </c>
      <c r="AC48" t="str">
        <f>VLOOKUP(Tabela1[[#This Row],[SKU]],SKU!A:C,3,0)</f>
        <v>PEITO</v>
      </c>
    </row>
    <row r="49" spans="1:29" x14ac:dyDescent="0.3">
      <c r="A49" s="2">
        <f>INT(Tabela1[[#This Row],[Data e Hora2]])</f>
        <v>46244</v>
      </c>
      <c r="B49" t="str">
        <f>UPPER(TEXT(Tabela1[[#This Row],[Data Corrigida]],"MMM"))</f>
        <v>AGO</v>
      </c>
      <c r="C49" t="s">
        <v>163</v>
      </c>
      <c r="D49" s="2" t="s">
        <v>164</v>
      </c>
      <c r="E49" s="1" t="s">
        <v>162</v>
      </c>
      <c r="F49" t="s">
        <v>24</v>
      </c>
      <c r="G49" s="2" t="s">
        <v>153</v>
      </c>
      <c r="H49" t="s">
        <v>26</v>
      </c>
      <c r="I49" t="s">
        <v>27</v>
      </c>
      <c r="J49" s="6">
        <v>992093</v>
      </c>
      <c r="K49" s="16">
        <v>4983</v>
      </c>
      <c r="L49" s="16">
        <v>4998</v>
      </c>
      <c r="M49" s="16">
        <v>4869</v>
      </c>
      <c r="N49" s="16">
        <v>4978</v>
      </c>
      <c r="O49" s="16">
        <v>4949</v>
      </c>
      <c r="P49" s="16">
        <v>4986</v>
      </c>
      <c r="Q49" s="16">
        <v>4996</v>
      </c>
      <c r="R49" s="16">
        <v>5004</v>
      </c>
      <c r="S49" s="16">
        <v>5020</v>
      </c>
      <c r="T49" s="16">
        <v>4989</v>
      </c>
      <c r="U49" s="15">
        <v>4977.2</v>
      </c>
      <c r="V49" t="s">
        <v>19</v>
      </c>
      <c r="W49" t="s">
        <v>28</v>
      </c>
      <c r="X49">
        <v>513</v>
      </c>
      <c r="Y49" s="16">
        <f>VLOOKUP(Tabela1[[#This Row],[SKU]],SKU!A:D,4,0)</f>
        <v>5000</v>
      </c>
      <c r="Z49" s="18">
        <f>IFERROR((Tabela1[[#This Row],[Média]]-Tabela1[[#This Row],[Meta]])/Tabela1[[#This Row],[Meta]],"")</f>
        <v>-4.5600000000000362E-3</v>
      </c>
      <c r="AA49" s="19">
        <f>Tabela1[[#This Row],[Média]]-Tabela1[[#This Row],[Meta]]</f>
        <v>-22.800000000000182</v>
      </c>
      <c r="AB49" t="str">
        <f>VLOOKUP(Tabela1[[#This Row],[SKU]],SKU!A:B,2,0)</f>
        <v>PONTA ASA FG PB CG</v>
      </c>
      <c r="AC49" t="str">
        <f>VLOOKUP(Tabela1[[#This Row],[SKU]],SKU!A:C,3,0)</f>
        <v>ASA</v>
      </c>
    </row>
    <row r="50" spans="1:29" x14ac:dyDescent="0.3">
      <c r="A50" s="2">
        <f>INT(Tabela1[[#This Row],[Data e Hora2]])</f>
        <v>46244</v>
      </c>
      <c r="B50" t="str">
        <f>UPPER(TEXT(Tabela1[[#This Row],[Data Corrigida]],"MMM"))</f>
        <v>AGO</v>
      </c>
      <c r="C50" t="s">
        <v>160</v>
      </c>
      <c r="D50" s="2" t="s">
        <v>161</v>
      </c>
      <c r="E50" s="1" t="s">
        <v>162</v>
      </c>
      <c r="F50" t="s">
        <v>24</v>
      </c>
      <c r="G50" s="2" t="s">
        <v>153</v>
      </c>
      <c r="H50" t="s">
        <v>26</v>
      </c>
      <c r="I50" t="s">
        <v>27</v>
      </c>
      <c r="J50" s="6">
        <v>15105</v>
      </c>
      <c r="K50" s="16">
        <v>1004</v>
      </c>
      <c r="L50" s="16">
        <v>1157</v>
      </c>
      <c r="M50" s="16">
        <v>1033</v>
      </c>
      <c r="N50" s="16">
        <v>1023</v>
      </c>
      <c r="O50" s="16">
        <v>1024</v>
      </c>
      <c r="P50" s="16">
        <v>1022</v>
      </c>
      <c r="Q50" s="16">
        <v>1006</v>
      </c>
      <c r="R50" s="16">
        <v>1013</v>
      </c>
      <c r="S50" s="16">
        <v>1042</v>
      </c>
      <c r="T50" s="16">
        <v>1007</v>
      </c>
      <c r="U50" s="15">
        <v>1033.0999999999999</v>
      </c>
      <c r="V50" t="s">
        <v>19</v>
      </c>
      <c r="W50" t="s">
        <v>28</v>
      </c>
      <c r="X50">
        <v>324</v>
      </c>
      <c r="Y50" s="16">
        <f>VLOOKUP(Tabela1[[#This Row],[SKU]],SKU!A:D,4,0)</f>
        <v>1000</v>
      </c>
      <c r="Z50" s="18">
        <f>IFERROR((Tabela1[[#This Row],[Média]]-Tabela1[[#This Row],[Meta]])/Tabela1[[#This Row],[Meta]],"")</f>
        <v>3.3099999999999907E-2</v>
      </c>
      <c r="AA50" s="19">
        <f>Tabela1[[#This Row],[Média]]-Tabela1[[#This Row],[Meta]]</f>
        <v>33.099999999999909</v>
      </c>
      <c r="AB50" t="str">
        <f>VLOOKUP(Tabela1[[#This Row],[SKU]],SKU!A:B,2,0)</f>
        <v>FILE PEITO MET CG BDJ SE</v>
      </c>
      <c r="AC50" t="str">
        <f>VLOOKUP(Tabela1[[#This Row],[SKU]],SKU!A:C,3,0)</f>
        <v>PEITO</v>
      </c>
    </row>
    <row r="51" spans="1:29" x14ac:dyDescent="0.3">
      <c r="A51" s="2">
        <f>INT(Tabela1[[#This Row],[Data e Hora2]])</f>
        <v>46244</v>
      </c>
      <c r="B51" t="str">
        <f>UPPER(TEXT(Tabela1[[#This Row],[Data Corrigida]],"MMM"))</f>
        <v>AGO</v>
      </c>
      <c r="C51" t="s">
        <v>158</v>
      </c>
      <c r="D51" s="2" t="s">
        <v>159</v>
      </c>
      <c r="E51" s="1" t="s">
        <v>152</v>
      </c>
      <c r="F51" t="s">
        <v>24</v>
      </c>
      <c r="G51" s="2" t="s">
        <v>153</v>
      </c>
      <c r="H51" t="s">
        <v>26</v>
      </c>
      <c r="I51" t="s">
        <v>27</v>
      </c>
      <c r="J51" s="6">
        <v>792799</v>
      </c>
      <c r="K51" s="16">
        <v>15055</v>
      </c>
      <c r="L51" s="16">
        <v>15040</v>
      </c>
      <c r="M51" s="16">
        <v>15025</v>
      </c>
      <c r="N51" s="16">
        <v>15045</v>
      </c>
      <c r="O51" s="16">
        <v>15040</v>
      </c>
      <c r="P51" s="16">
        <v>15035</v>
      </c>
      <c r="Q51" s="16">
        <v>15030</v>
      </c>
      <c r="R51" s="16">
        <v>15030</v>
      </c>
      <c r="S51" s="16">
        <v>15060</v>
      </c>
      <c r="T51" s="16">
        <v>15045</v>
      </c>
      <c r="U51" s="15">
        <v>15040.5</v>
      </c>
      <c r="V51" t="s">
        <v>19</v>
      </c>
      <c r="W51" t="s">
        <v>28</v>
      </c>
      <c r="X51">
        <v>3543</v>
      </c>
      <c r="Y51" s="16">
        <f>VLOOKUP(Tabela1[[#This Row],[SKU]],SKU!A:D,4,0)</f>
        <v>15000</v>
      </c>
      <c r="Z51" s="18">
        <f>IFERROR((Tabela1[[#This Row],[Média]]-Tabela1[[#This Row],[Meta]])/Tabela1[[#This Row],[Meta]],"")</f>
        <v>2.7000000000000001E-3</v>
      </c>
      <c r="AA51" s="19">
        <f>Tabela1[[#This Row],[Média]]-Tabela1[[#This Row],[Meta]]</f>
        <v>40.5</v>
      </c>
      <c r="AB51" t="str">
        <f>VLOOKUP(Tabela1[[#This Row],[SKU]],SKU!A:B,2,0)</f>
        <v>ASAS FG 100g UP LP</v>
      </c>
      <c r="AC51" t="str">
        <f>VLOOKUP(Tabela1[[#This Row],[SKU]],SKU!A:C,3,0)</f>
        <v>ASA</v>
      </c>
    </row>
    <row r="52" spans="1:29" x14ac:dyDescent="0.3">
      <c r="A52" s="2">
        <f>INT(Tabela1[[#This Row],[Data e Hora2]])</f>
        <v>46244</v>
      </c>
      <c r="B52" t="str">
        <f>UPPER(TEXT(Tabela1[[#This Row],[Data Corrigida]],"MMM"))</f>
        <v>AGO</v>
      </c>
      <c r="C52" t="s">
        <v>156</v>
      </c>
      <c r="D52" s="2" t="s">
        <v>157</v>
      </c>
      <c r="E52" s="1" t="s">
        <v>152</v>
      </c>
      <c r="F52" t="s">
        <v>24</v>
      </c>
      <c r="G52" s="2" t="s">
        <v>153</v>
      </c>
      <c r="H52" t="s">
        <v>26</v>
      </c>
      <c r="I52" t="s">
        <v>27</v>
      </c>
      <c r="J52" s="6">
        <v>40762</v>
      </c>
      <c r="K52" s="16">
        <v>9950</v>
      </c>
      <c r="L52" s="16">
        <v>9900</v>
      </c>
      <c r="M52" s="16">
        <v>9910</v>
      </c>
      <c r="N52" s="16">
        <v>10145</v>
      </c>
      <c r="O52" s="16">
        <v>9960</v>
      </c>
      <c r="P52" s="16">
        <v>10150</v>
      </c>
      <c r="Q52" s="16">
        <v>10235</v>
      </c>
      <c r="R52" s="16">
        <v>10170</v>
      </c>
      <c r="S52" s="16">
        <v>10045</v>
      </c>
      <c r="T52" s="16">
        <v>10030</v>
      </c>
      <c r="U52" s="15">
        <v>10049.5</v>
      </c>
      <c r="V52" t="s">
        <v>19</v>
      </c>
      <c r="W52" t="s">
        <v>28</v>
      </c>
      <c r="X52">
        <v>554</v>
      </c>
      <c r="Y52" s="16">
        <f>VLOOKUP(Tabela1[[#This Row],[SKU]],SKU!A:D,4,0)</f>
        <v>10000</v>
      </c>
      <c r="Z52" s="18">
        <f>IFERROR((Tabela1[[#This Row],[Média]]-Tabela1[[#This Row],[Meta]])/Tabela1[[#This Row],[Meta]],"")</f>
        <v>4.9500000000000004E-3</v>
      </c>
      <c r="AA52" s="19">
        <f>Tabela1[[#This Row],[Média]]-Tabela1[[#This Row],[Meta]]</f>
        <v>49.5</v>
      </c>
      <c r="AB52" t="str">
        <f>VLOOKUP(Tabela1[[#This Row],[SKU]],SKU!A:B,2,0)</f>
        <v>COXA SBCX LQ FG LP</v>
      </c>
      <c r="AC52" t="str">
        <f>VLOOKUP(Tabela1[[#This Row],[SKU]],SKU!A:C,3,0)</f>
        <v>PERNA</v>
      </c>
    </row>
    <row r="53" spans="1:29" x14ac:dyDescent="0.3">
      <c r="A53" s="2">
        <f>INT(Tabela1[[#This Row],[Data e Hora2]])</f>
        <v>46244</v>
      </c>
      <c r="B53" t="str">
        <f>UPPER(TEXT(Tabela1[[#This Row],[Data Corrigida]],"MMM"))</f>
        <v>AGO</v>
      </c>
      <c r="C53" t="s">
        <v>154</v>
      </c>
      <c r="D53" s="2" t="s">
        <v>155</v>
      </c>
      <c r="E53" s="1" t="s">
        <v>152</v>
      </c>
      <c r="F53" t="s">
        <v>24</v>
      </c>
      <c r="G53" s="2" t="s">
        <v>153</v>
      </c>
      <c r="H53" t="s">
        <v>26</v>
      </c>
      <c r="I53" t="s">
        <v>19</v>
      </c>
      <c r="J53" s="6">
        <v>13188</v>
      </c>
      <c r="K53" s="16">
        <v>1000</v>
      </c>
      <c r="L53" s="16">
        <v>1004</v>
      </c>
      <c r="M53" s="16">
        <v>997</v>
      </c>
      <c r="N53" s="16">
        <v>997</v>
      </c>
      <c r="O53" s="16">
        <v>1014</v>
      </c>
      <c r="P53" s="16">
        <v>993</v>
      </c>
      <c r="Q53" s="16">
        <v>1008</v>
      </c>
      <c r="R53" s="16">
        <v>997</v>
      </c>
      <c r="S53" s="16">
        <v>1012</v>
      </c>
      <c r="T53" s="16">
        <v>1009</v>
      </c>
      <c r="U53" s="15">
        <v>1003.1</v>
      </c>
      <c r="V53" t="s">
        <v>19</v>
      </c>
      <c r="W53" t="s">
        <v>19</v>
      </c>
      <c r="X53">
        <v>247</v>
      </c>
      <c r="Y53" s="16">
        <f>VLOOKUP(Tabela1[[#This Row],[SKU]],SKU!A:D,4,0)</f>
        <v>1000</v>
      </c>
      <c r="Z53" s="18">
        <f>IFERROR((Tabela1[[#This Row],[Média]]-Tabela1[[#This Row],[Meta]])/Tabela1[[#This Row],[Meta]],"")</f>
        <v>3.1000000000000229E-3</v>
      </c>
      <c r="AA53" s="19">
        <f>Tabela1[[#This Row],[Média]]-Tabela1[[#This Row],[Meta]]</f>
        <v>3.1000000000000227</v>
      </c>
      <c r="AB53" t="str">
        <f>VLOOKUP(Tabela1[[#This Row],[SKU]],SKU!A:B,2,0)</f>
        <v>SOBRECOXA CG BDJ SE</v>
      </c>
      <c r="AC53" t="str">
        <f>VLOOKUP(Tabela1[[#This Row],[SKU]],SKU!A:C,3,0)</f>
        <v>PERNA</v>
      </c>
    </row>
    <row r="54" spans="1:29" x14ac:dyDescent="0.3">
      <c r="A54" s="2">
        <f>INT(Tabela1[[#This Row],[Data e Hora2]])</f>
        <v>46244</v>
      </c>
      <c r="B54" t="str">
        <f>UPPER(TEXT(Tabela1[[#This Row],[Data Corrigida]],"MMM"))</f>
        <v>AGO</v>
      </c>
      <c r="C54" t="s">
        <v>150</v>
      </c>
      <c r="D54" s="2" t="s">
        <v>151</v>
      </c>
      <c r="E54" s="1" t="s">
        <v>152</v>
      </c>
      <c r="F54" t="s">
        <v>24</v>
      </c>
      <c r="G54" s="2" t="s">
        <v>153</v>
      </c>
      <c r="H54" t="s">
        <v>26</v>
      </c>
      <c r="I54" t="s">
        <v>27</v>
      </c>
      <c r="J54" s="6">
        <v>992014</v>
      </c>
      <c r="K54" s="16">
        <v>702</v>
      </c>
      <c r="L54" s="16">
        <v>700</v>
      </c>
      <c r="M54" s="16">
        <v>704</v>
      </c>
      <c r="N54" s="16">
        <v>709</v>
      </c>
      <c r="O54" s="16">
        <v>707</v>
      </c>
      <c r="P54" s="16">
        <v>703</v>
      </c>
      <c r="Q54" s="16">
        <v>709</v>
      </c>
      <c r="R54" s="16">
        <v>699</v>
      </c>
      <c r="S54" s="16">
        <v>698</v>
      </c>
      <c r="T54" s="16">
        <v>700</v>
      </c>
      <c r="U54" s="15">
        <v>703.1</v>
      </c>
      <c r="V54" t="s">
        <v>19</v>
      </c>
      <c r="W54" t="s">
        <v>19</v>
      </c>
      <c r="X54">
        <v>2890</v>
      </c>
      <c r="Y54" s="16">
        <f>VLOOKUP(Tabela1[[#This Row],[SKU]],SKU!A:D,4,0)</f>
        <v>700</v>
      </c>
      <c r="Z54" s="18">
        <f>IFERROR((Tabela1[[#This Row],[Média]]-Tabela1[[#This Row],[Meta]])/Tabela1[[#This Row],[Meta]],"")</f>
        <v>4.4285714285714614E-3</v>
      </c>
      <c r="AA54" s="19">
        <f>Tabela1[[#This Row],[Média]]-Tabela1[[#This Row],[Meta]]</f>
        <v>3.1000000000000227</v>
      </c>
      <c r="AB54" t="str">
        <f>VLOOKUP(Tabela1[[#This Row],[SKU]],SKU!A:B,2,0)</f>
        <v>OSTRINHA CG PCT 700G SWIFT</v>
      </c>
      <c r="AC54" t="str">
        <f>VLOOKUP(Tabela1[[#This Row],[SKU]],SKU!A:C,3,0)</f>
        <v>PERNA</v>
      </c>
    </row>
    <row r="55" spans="1:29" x14ac:dyDescent="0.3">
      <c r="A55" s="2">
        <f>INT(Tabela1[[#This Row],[Data e Hora2]])</f>
        <v>46253</v>
      </c>
      <c r="B55" s="6" t="str">
        <f>UPPER(TEXT(Tabela1[[#This Row],[Data Corrigida]],"MMM"))</f>
        <v>AGO</v>
      </c>
      <c r="C55" t="s">
        <v>465</v>
      </c>
      <c r="D55" s="2" t="s">
        <v>466</v>
      </c>
      <c r="E55" s="1" t="s">
        <v>460</v>
      </c>
      <c r="F55" t="s">
        <v>24</v>
      </c>
      <c r="G55" s="2" t="s">
        <v>461</v>
      </c>
      <c r="H55" t="s">
        <v>142</v>
      </c>
      <c r="I55" t="s">
        <v>462</v>
      </c>
      <c r="J55" s="6">
        <v>963925</v>
      </c>
      <c r="K55" s="16">
        <v>18225</v>
      </c>
      <c r="L55" s="16">
        <v>18160</v>
      </c>
      <c r="M55" s="16">
        <v>18075</v>
      </c>
      <c r="N55" s="16">
        <v>18390</v>
      </c>
      <c r="O55" s="16">
        <v>18150</v>
      </c>
      <c r="P55" s="16">
        <v>18150</v>
      </c>
      <c r="Q55" s="16">
        <v>18015</v>
      </c>
      <c r="R55" s="16">
        <v>18005</v>
      </c>
      <c r="S55" s="16">
        <v>18180</v>
      </c>
      <c r="T55" s="16">
        <v>18035</v>
      </c>
      <c r="U55" s="15">
        <v>18138.5</v>
      </c>
      <c r="V55" t="s">
        <v>19</v>
      </c>
      <c r="W55" t="s">
        <v>28</v>
      </c>
      <c r="X55">
        <v>1068</v>
      </c>
      <c r="Y55" s="16">
        <f>VLOOKUP(Tabela1[[#This Row],[SKU]],SKU!A:D,4,0)</f>
        <v>18000</v>
      </c>
      <c r="Z55" s="18">
        <f>IFERROR((Tabela1[[#This Row],[Média]]-Tabela1[[#This Row],[Meta]])/Tabela1[[#This Row],[Meta]],"")</f>
        <v>7.6944444444444447E-3</v>
      </c>
      <c r="AA55" s="19">
        <f>Tabela1[[#This Row],[Média]]-Tabela1[[#This Row],[Meta]]</f>
        <v>138.5</v>
      </c>
      <c r="AB55" s="6" t="str">
        <f>VLOOKUP(Tabela1[[#This Row],[SKU]],SKU!A:B,2,0)</f>
        <v>COXINHA DA ASA FG CG PCT</v>
      </c>
      <c r="AC55" s="6" t="str">
        <f>VLOOKUP(Tabela1[[#This Row],[SKU]],SKU!A:C,3,0)</f>
        <v>ASA</v>
      </c>
    </row>
    <row r="56" spans="1:29" x14ac:dyDescent="0.3">
      <c r="A56" s="2">
        <f>INT(Tabela1[[#This Row],[Data e Hora2]])</f>
        <v>46245</v>
      </c>
      <c r="B56" t="str">
        <f>UPPER(TEXT(Tabela1[[#This Row],[Data Corrigida]],"MMM"))</f>
        <v>AGO</v>
      </c>
      <c r="C56" t="s">
        <v>147</v>
      </c>
      <c r="D56" s="2" t="s">
        <v>148</v>
      </c>
      <c r="E56" s="1" t="s">
        <v>149</v>
      </c>
      <c r="F56" t="s">
        <v>24</v>
      </c>
      <c r="G56" s="2" t="s">
        <v>117</v>
      </c>
      <c r="H56" t="s">
        <v>142</v>
      </c>
      <c r="I56" t="s">
        <v>143</v>
      </c>
      <c r="J56" s="6">
        <v>18228</v>
      </c>
      <c r="K56" s="16">
        <v>1010</v>
      </c>
      <c r="L56" s="16">
        <v>1000</v>
      </c>
      <c r="M56" s="16">
        <v>1001</v>
      </c>
      <c r="N56" s="16">
        <v>1002</v>
      </c>
      <c r="O56" s="16">
        <v>1002</v>
      </c>
      <c r="P56" s="16">
        <v>999</v>
      </c>
      <c r="Q56" s="16">
        <v>1001</v>
      </c>
      <c r="R56" s="16">
        <v>1007</v>
      </c>
      <c r="S56" s="16">
        <v>1010</v>
      </c>
      <c r="T56" s="16">
        <v>1009</v>
      </c>
      <c r="U56" s="15">
        <v>1004.1</v>
      </c>
      <c r="V56" t="s">
        <v>19</v>
      </c>
      <c r="W56" t="s">
        <v>28</v>
      </c>
      <c r="X56">
        <v>314</v>
      </c>
      <c r="Y56" s="16">
        <f>VLOOKUP(Tabela1[[#This Row],[SKU]],SKU!A:D,4,0)</f>
        <v>1000</v>
      </c>
      <c r="Z56" s="18">
        <f>IFERROR((Tabela1[[#This Row],[Média]]-Tabela1[[#This Row],[Meta]])/Tabela1[[#This Row],[Meta]],"")</f>
        <v>4.1000000000000229E-3</v>
      </c>
      <c r="AA56" s="19">
        <f>Tabela1[[#This Row],[Média]]-Tabela1[[#This Row],[Meta]]</f>
        <v>4.1000000000000227</v>
      </c>
      <c r="AB56" t="str">
        <f>VLOOKUP(Tabela1[[#This Row],[SKU]],SKU!A:B,2,0)</f>
        <v>MOELA FRANGO CG ALM SE</v>
      </c>
      <c r="AC56" t="str">
        <f>VLOOKUP(Tabela1[[#This Row],[SKU]],SKU!A:C,3,0)</f>
        <v>MOELA</v>
      </c>
    </row>
    <row r="57" spans="1:29" x14ac:dyDescent="0.3">
      <c r="A57" s="2">
        <f>INT(Tabela1[[#This Row],[Data e Hora2]])</f>
        <v>46254</v>
      </c>
      <c r="B57" s="6" t="str">
        <f>UPPER(TEXT(Tabela1[[#This Row],[Data Corrigida]],"MMM"))</f>
        <v>AGO</v>
      </c>
      <c r="C57" t="s">
        <v>584</v>
      </c>
      <c r="D57" s="2" t="s">
        <v>585</v>
      </c>
      <c r="E57" s="1" t="s">
        <v>583</v>
      </c>
      <c r="F57" t="s">
        <v>24</v>
      </c>
      <c r="G57" s="2" t="s">
        <v>541</v>
      </c>
      <c r="H57" t="s">
        <v>142</v>
      </c>
      <c r="I57" t="s">
        <v>462</v>
      </c>
      <c r="J57" s="6">
        <v>18228</v>
      </c>
      <c r="K57" s="16">
        <v>1014</v>
      </c>
      <c r="L57" s="16">
        <v>1010</v>
      </c>
      <c r="M57" s="16">
        <v>1005</v>
      </c>
      <c r="N57" s="16">
        <v>1019</v>
      </c>
      <c r="O57" s="16">
        <v>1005</v>
      </c>
      <c r="P57" s="16">
        <v>1007</v>
      </c>
      <c r="Q57" s="16">
        <v>1010</v>
      </c>
      <c r="R57" s="16">
        <v>1025</v>
      </c>
      <c r="S57" s="16">
        <v>1014</v>
      </c>
      <c r="T57" s="16">
        <v>1012</v>
      </c>
      <c r="U57" s="15">
        <v>1012.1</v>
      </c>
      <c r="V57" t="s">
        <v>19</v>
      </c>
      <c r="W57" t="s">
        <v>28</v>
      </c>
      <c r="X57">
        <v>741</v>
      </c>
      <c r="Y57" s="16">
        <f>VLOOKUP(Tabela1[[#This Row],[SKU]],SKU!A:D,4,0)</f>
        <v>1000</v>
      </c>
      <c r="Z57" s="18">
        <f>IFERROR((Tabela1[[#This Row],[Média]]-Tabela1[[#This Row],[Meta]])/Tabela1[[#This Row],[Meta]],"")</f>
        <v>1.2100000000000022E-2</v>
      </c>
      <c r="AA57" s="19">
        <f>Tabela1[[#This Row],[Média]]-Tabela1[[#This Row],[Meta]]</f>
        <v>12.100000000000023</v>
      </c>
      <c r="AB57" s="6" t="str">
        <f>VLOOKUP(Tabela1[[#This Row],[SKU]],SKU!A:B,2,0)</f>
        <v>MOELA FRANGO CG ALM SE</v>
      </c>
      <c r="AC57" s="6" t="str">
        <f>VLOOKUP(Tabela1[[#This Row],[SKU]],SKU!A:C,3,0)</f>
        <v>MOELA</v>
      </c>
    </row>
    <row r="58" spans="1:29" x14ac:dyDescent="0.3">
      <c r="A58" s="2">
        <f>INT(Tabela1[[#This Row],[Data e Hora2]])</f>
        <v>46245</v>
      </c>
      <c r="B58" t="str">
        <f>UPPER(TEXT(Tabela1[[#This Row],[Data Corrigida]],"MMM"))</f>
        <v>AGO</v>
      </c>
      <c r="C58" t="s">
        <v>137</v>
      </c>
      <c r="D58" s="2" t="s">
        <v>138</v>
      </c>
      <c r="E58" s="1" t="s">
        <v>124</v>
      </c>
      <c r="F58" t="s">
        <v>24</v>
      </c>
      <c r="G58" s="2" t="s">
        <v>117</v>
      </c>
      <c r="H58" t="s">
        <v>26</v>
      </c>
      <c r="I58" t="s">
        <v>27</v>
      </c>
      <c r="J58" s="6">
        <v>15105</v>
      </c>
      <c r="K58" s="16">
        <v>1027</v>
      </c>
      <c r="L58" s="16">
        <v>1042</v>
      </c>
      <c r="M58" s="16">
        <v>1031</v>
      </c>
      <c r="N58" s="16">
        <v>1062</v>
      </c>
      <c r="O58" s="16">
        <v>1003</v>
      </c>
      <c r="P58" s="16">
        <v>1063</v>
      </c>
      <c r="Q58" s="16">
        <v>1029</v>
      </c>
      <c r="R58" s="16">
        <v>1031</v>
      </c>
      <c r="S58" s="16">
        <v>1028</v>
      </c>
      <c r="T58" s="16">
        <v>1025</v>
      </c>
      <c r="U58" s="15">
        <v>1034.0999999999999</v>
      </c>
      <c r="V58" t="s">
        <v>19</v>
      </c>
      <c r="W58" t="s">
        <v>28</v>
      </c>
      <c r="X58">
        <v>417</v>
      </c>
      <c r="Y58" s="16">
        <f>VLOOKUP(Tabela1[[#This Row],[SKU]],SKU!A:D,4,0)</f>
        <v>1000</v>
      </c>
      <c r="Z58" s="18">
        <f>IFERROR((Tabela1[[#This Row],[Média]]-Tabela1[[#This Row],[Meta]])/Tabela1[[#This Row],[Meta]],"")</f>
        <v>3.4099999999999908E-2</v>
      </c>
      <c r="AA58" s="19">
        <f>Tabela1[[#This Row],[Média]]-Tabela1[[#This Row],[Meta]]</f>
        <v>34.099999999999909</v>
      </c>
      <c r="AB58" t="str">
        <f>VLOOKUP(Tabela1[[#This Row],[SKU]],SKU!A:B,2,0)</f>
        <v>FILE PEITO MET CG BDJ SE</v>
      </c>
      <c r="AC58" t="str">
        <f>VLOOKUP(Tabela1[[#This Row],[SKU]],SKU!A:C,3,0)</f>
        <v>PEITO</v>
      </c>
    </row>
    <row r="59" spans="1:29" x14ac:dyDescent="0.3">
      <c r="A59" s="2">
        <f>INT(Tabela1[[#This Row],[Data e Hora2]])</f>
        <v>46245</v>
      </c>
      <c r="B59" t="str">
        <f>UPPER(TEXT(Tabela1[[#This Row],[Data Corrigida]],"MMM"))</f>
        <v>AGO</v>
      </c>
      <c r="C59" t="s">
        <v>135</v>
      </c>
      <c r="D59" s="2" t="s">
        <v>136</v>
      </c>
      <c r="E59" s="1" t="s">
        <v>124</v>
      </c>
      <c r="F59" t="s">
        <v>24</v>
      </c>
      <c r="G59" s="2" t="s">
        <v>117</v>
      </c>
      <c r="H59" t="s">
        <v>26</v>
      </c>
      <c r="I59" t="s">
        <v>27</v>
      </c>
      <c r="J59" s="6">
        <v>958611</v>
      </c>
      <c r="K59" s="16">
        <v>999</v>
      </c>
      <c r="L59" s="16">
        <v>1012</v>
      </c>
      <c r="M59" s="16">
        <v>1013</v>
      </c>
      <c r="N59" s="16">
        <v>1014</v>
      </c>
      <c r="O59" s="16">
        <v>1002</v>
      </c>
      <c r="P59" s="16">
        <v>1000</v>
      </c>
      <c r="Q59" s="16">
        <v>1017</v>
      </c>
      <c r="R59" s="16">
        <v>996</v>
      </c>
      <c r="S59" s="16">
        <v>1012</v>
      </c>
      <c r="T59" s="16">
        <v>1015</v>
      </c>
      <c r="U59" s="15">
        <v>1008</v>
      </c>
      <c r="V59" t="s">
        <v>19</v>
      </c>
      <c r="W59" t="s">
        <v>28</v>
      </c>
      <c r="X59">
        <v>832</v>
      </c>
      <c r="Y59" s="16">
        <f>VLOOKUP(Tabela1[[#This Row],[SKU]],SKU!A:D,4,0)</f>
        <v>1000</v>
      </c>
      <c r="Z59" s="18">
        <f>IFERROR((Tabela1[[#This Row],[Média]]-Tabela1[[#This Row],[Meta]])/Tabela1[[#This Row],[Meta]],"")</f>
        <v>8.0000000000000002E-3</v>
      </c>
      <c r="AA59" s="19">
        <f>Tabela1[[#This Row],[Média]]-Tabela1[[#This Row],[Meta]]</f>
        <v>8</v>
      </c>
      <c r="AB59" t="str">
        <f>VLOOKUP(Tabela1[[#This Row],[SKU]],SKU!A:B,2,0)</f>
        <v>MEIO DA ASA IQF</v>
      </c>
      <c r="AC59" t="str">
        <f>VLOOKUP(Tabela1[[#This Row],[SKU]],SKU!A:C,3,0)</f>
        <v>ASA</v>
      </c>
    </row>
    <row r="60" spans="1:29" x14ac:dyDescent="0.3">
      <c r="A60" s="2">
        <f>INT(Tabela1[[#This Row],[Data e Hora2]])</f>
        <v>46245</v>
      </c>
      <c r="B60" t="str">
        <f>UPPER(TEXT(Tabela1[[#This Row],[Data Corrigida]],"MMM"))</f>
        <v>AGO</v>
      </c>
      <c r="C60" t="s">
        <v>133</v>
      </c>
      <c r="D60" s="2" t="s">
        <v>134</v>
      </c>
      <c r="E60" s="1" t="s">
        <v>124</v>
      </c>
      <c r="F60" t="s">
        <v>24</v>
      </c>
      <c r="G60" s="2" t="s">
        <v>117</v>
      </c>
      <c r="H60" t="s">
        <v>26</v>
      </c>
      <c r="I60" t="s">
        <v>27</v>
      </c>
      <c r="J60" s="6">
        <v>992093</v>
      </c>
      <c r="K60" s="16">
        <v>5019</v>
      </c>
      <c r="L60" s="16">
        <v>5017</v>
      </c>
      <c r="M60" s="16">
        <v>5017</v>
      </c>
      <c r="N60" s="16">
        <v>5021</v>
      </c>
      <c r="O60" s="16">
        <v>5018</v>
      </c>
      <c r="P60" s="16">
        <v>5008</v>
      </c>
      <c r="Q60" s="16">
        <v>5002</v>
      </c>
      <c r="R60" s="16">
        <v>5022</v>
      </c>
      <c r="S60" s="16">
        <v>5015</v>
      </c>
      <c r="T60" s="16">
        <v>5011</v>
      </c>
      <c r="U60" s="15">
        <v>5015</v>
      </c>
      <c r="V60" t="s">
        <v>19</v>
      </c>
      <c r="W60" t="s">
        <v>19</v>
      </c>
      <c r="X60">
        <v>1120</v>
      </c>
      <c r="Y60" s="16">
        <f>VLOOKUP(Tabela1[[#This Row],[SKU]],SKU!A:D,4,0)</f>
        <v>5000</v>
      </c>
      <c r="Z60" s="18">
        <f>IFERROR((Tabela1[[#This Row],[Média]]-Tabela1[[#This Row],[Meta]])/Tabela1[[#This Row],[Meta]],"")</f>
        <v>3.0000000000000001E-3</v>
      </c>
      <c r="AA60" s="19">
        <f>Tabela1[[#This Row],[Média]]-Tabela1[[#This Row],[Meta]]</f>
        <v>15</v>
      </c>
      <c r="AB60" t="str">
        <f>VLOOKUP(Tabela1[[#This Row],[SKU]],SKU!A:B,2,0)</f>
        <v>PONTA ASA FG PB CG</v>
      </c>
      <c r="AC60" t="str">
        <f>VLOOKUP(Tabela1[[#This Row],[SKU]],SKU!A:C,3,0)</f>
        <v>ASA</v>
      </c>
    </row>
    <row r="61" spans="1:29" x14ac:dyDescent="0.3">
      <c r="A61" s="2">
        <f>INT(Tabela1[[#This Row],[Data e Hora2]])</f>
        <v>46245</v>
      </c>
      <c r="B61" t="str">
        <f>UPPER(TEXT(Tabela1[[#This Row],[Data Corrigida]],"MMM"))</f>
        <v>AGO</v>
      </c>
      <c r="C61" t="s">
        <v>131</v>
      </c>
      <c r="D61" s="2" t="s">
        <v>132</v>
      </c>
      <c r="E61" s="1" t="s">
        <v>124</v>
      </c>
      <c r="F61" t="s">
        <v>24</v>
      </c>
      <c r="G61" s="2" t="s">
        <v>117</v>
      </c>
      <c r="H61" t="s">
        <v>26</v>
      </c>
      <c r="I61" t="s">
        <v>27</v>
      </c>
      <c r="J61" s="6">
        <v>42838</v>
      </c>
      <c r="K61" s="16">
        <v>2016</v>
      </c>
      <c r="L61" s="16">
        <v>2002</v>
      </c>
      <c r="M61" s="16">
        <v>2064</v>
      </c>
      <c r="N61" s="16">
        <v>2029</v>
      </c>
      <c r="O61" s="16">
        <v>2002</v>
      </c>
      <c r="P61" s="16">
        <v>2059</v>
      </c>
      <c r="Q61" s="16">
        <v>2035</v>
      </c>
      <c r="R61" s="16">
        <v>2057</v>
      </c>
      <c r="S61" s="16">
        <v>2028</v>
      </c>
      <c r="T61" s="16">
        <v>2074</v>
      </c>
      <c r="U61" s="15">
        <v>2036.6</v>
      </c>
      <c r="V61" t="s">
        <v>19</v>
      </c>
      <c r="W61" t="s">
        <v>28</v>
      </c>
      <c r="X61">
        <v>716</v>
      </c>
      <c r="Y61" s="16">
        <f>VLOOKUP(Tabela1[[#This Row],[SKU]],SKU!A:D,4,0)</f>
        <v>2000</v>
      </c>
      <c r="Z61" s="18">
        <f>IFERROR((Tabela1[[#This Row],[Média]]-Tabela1[[#This Row],[Meta]])/Tabela1[[#This Row],[Meta]],"")</f>
        <v>1.8299999999999955E-2</v>
      </c>
      <c r="AA61" s="19">
        <f>Tabela1[[#This Row],[Média]]-Tabela1[[#This Row],[Meta]]</f>
        <v>36.599999999999909</v>
      </c>
      <c r="AB61" t="str">
        <f>VLOOKUP(Tabela1[[#This Row],[SKU]],SKU!A:B,2,0)</f>
        <v>COXA SBCX S/O FG 220-240g PB</v>
      </c>
      <c r="AC61" t="str">
        <f>VLOOKUP(Tabela1[[#This Row],[SKU]],SKU!A:C,3,0)</f>
        <v>PERNA</v>
      </c>
    </row>
    <row r="62" spans="1:29" x14ac:dyDescent="0.3">
      <c r="A62" s="2">
        <f>INT(Tabela1[[#This Row],[Data e Hora2]])</f>
        <v>46245</v>
      </c>
      <c r="B62" t="str">
        <f>UPPER(TEXT(Tabela1[[#This Row],[Data Corrigida]],"MMM"))</f>
        <v>AGO</v>
      </c>
      <c r="C62" t="s">
        <v>129</v>
      </c>
      <c r="D62" s="2" t="s">
        <v>130</v>
      </c>
      <c r="E62" s="1" t="s">
        <v>124</v>
      </c>
      <c r="F62" t="s">
        <v>24</v>
      </c>
      <c r="G62" s="2" t="s">
        <v>117</v>
      </c>
      <c r="H62" t="s">
        <v>26</v>
      </c>
      <c r="I62" t="s">
        <v>27</v>
      </c>
      <c r="J62" s="6">
        <v>42854</v>
      </c>
      <c r="K62" s="16">
        <v>1998</v>
      </c>
      <c r="L62" s="16">
        <v>2090</v>
      </c>
      <c r="M62" s="16">
        <v>2101</v>
      </c>
      <c r="N62" s="16">
        <v>2001</v>
      </c>
      <c r="O62" s="16">
        <v>2115</v>
      </c>
      <c r="P62" s="16">
        <v>1997</v>
      </c>
      <c r="Q62" s="16">
        <v>2133</v>
      </c>
      <c r="R62" s="16">
        <v>2147</v>
      </c>
      <c r="S62" s="16">
        <v>2119</v>
      </c>
      <c r="T62" s="16">
        <v>2100</v>
      </c>
      <c r="U62" s="15">
        <v>2080.1</v>
      </c>
      <c r="V62" t="s">
        <v>19</v>
      </c>
      <c r="W62" t="s">
        <v>19</v>
      </c>
      <c r="X62">
        <v>138</v>
      </c>
      <c r="Y62" s="16">
        <f>VLOOKUP(Tabela1[[#This Row],[SKU]],SKU!A:D,4,0)</f>
        <v>2080</v>
      </c>
      <c r="Z62" s="18">
        <f>IFERROR((Tabela1[[#This Row],[Média]]-Tabela1[[#This Row],[Meta]])/Tabela1[[#This Row],[Meta]],"")</f>
        <v>4.807692307687935E-5</v>
      </c>
      <c r="AA62" s="19">
        <f>Tabela1[[#This Row],[Média]]-Tabela1[[#This Row],[Meta]]</f>
        <v>9.9999999999909051E-2</v>
      </c>
      <c r="AB62" t="str">
        <f>VLOOKUP(Tabela1[[#This Row],[SKU]],SKU!A:B,2,0)</f>
        <v>COXA SBCX S/O FG 260-280g PB</v>
      </c>
      <c r="AC62" t="str">
        <f>VLOOKUP(Tabela1[[#This Row],[SKU]],SKU!A:C,3,0)</f>
        <v>PERNA</v>
      </c>
    </row>
    <row r="63" spans="1:29" x14ac:dyDescent="0.3">
      <c r="A63" s="2">
        <f>INT(Tabela1[[#This Row],[Data e Hora2]])</f>
        <v>46245</v>
      </c>
      <c r="B63" t="str">
        <f>UPPER(TEXT(Tabela1[[#This Row],[Data Corrigida]],"MMM"))</f>
        <v>AGO</v>
      </c>
      <c r="C63" t="s">
        <v>127</v>
      </c>
      <c r="D63" s="2" t="s">
        <v>128</v>
      </c>
      <c r="E63" s="1" t="s">
        <v>124</v>
      </c>
      <c r="F63" t="s">
        <v>24</v>
      </c>
      <c r="G63" s="2" t="s">
        <v>117</v>
      </c>
      <c r="H63" t="s">
        <v>26</v>
      </c>
      <c r="I63" t="s">
        <v>27</v>
      </c>
      <c r="J63" s="6">
        <v>42846</v>
      </c>
      <c r="K63" s="16">
        <v>2008</v>
      </c>
      <c r="L63" s="16">
        <v>2010</v>
      </c>
      <c r="M63" s="16">
        <v>2010</v>
      </c>
      <c r="N63" s="16">
        <v>2004</v>
      </c>
      <c r="O63" s="16">
        <v>2033</v>
      </c>
      <c r="P63" s="16">
        <v>2027</v>
      </c>
      <c r="Q63" s="16">
        <v>2010</v>
      </c>
      <c r="R63" s="16">
        <v>2009</v>
      </c>
      <c r="S63" s="16">
        <v>2013</v>
      </c>
      <c r="T63" s="16">
        <v>2010</v>
      </c>
      <c r="U63" s="15">
        <v>2013.4</v>
      </c>
      <c r="V63" t="s">
        <v>19</v>
      </c>
      <c r="W63" t="s">
        <v>19</v>
      </c>
      <c r="X63">
        <v>181</v>
      </c>
      <c r="Y63" s="16">
        <f>VLOOKUP(Tabela1[[#This Row],[SKU]],SKU!A:D,4,0)</f>
        <v>2000</v>
      </c>
      <c r="Z63" s="18">
        <f>IFERROR((Tabela1[[#This Row],[Média]]-Tabela1[[#This Row],[Meta]])/Tabela1[[#This Row],[Meta]],"")</f>
        <v>6.7000000000000453E-3</v>
      </c>
      <c r="AA63" s="19">
        <f>Tabela1[[#This Row],[Média]]-Tabela1[[#This Row],[Meta]]</f>
        <v>13.400000000000091</v>
      </c>
      <c r="AB63" t="str">
        <f>VLOOKUP(Tabela1[[#This Row],[SKU]],SKU!A:B,2,0)</f>
        <v>COXA SBCX S/O FG 240-260g PB</v>
      </c>
      <c r="AC63" t="str">
        <f>VLOOKUP(Tabela1[[#This Row],[SKU]],SKU!A:C,3,0)</f>
        <v>PERNA</v>
      </c>
    </row>
    <row r="64" spans="1:29" x14ac:dyDescent="0.3">
      <c r="A64" s="2">
        <f>INT(Tabela1[[#This Row],[Data e Hora2]])</f>
        <v>46245</v>
      </c>
      <c r="B64" t="str">
        <f>UPPER(TEXT(Tabela1[[#This Row],[Data Corrigida]],"MMM"))</f>
        <v>AGO</v>
      </c>
      <c r="C64" t="s">
        <v>125</v>
      </c>
      <c r="D64" s="2" t="s">
        <v>126</v>
      </c>
      <c r="E64" s="1" t="s">
        <v>124</v>
      </c>
      <c r="F64" t="s">
        <v>24</v>
      </c>
      <c r="G64" s="2" t="s">
        <v>117</v>
      </c>
      <c r="H64" t="s">
        <v>26</v>
      </c>
      <c r="I64" t="s">
        <v>27</v>
      </c>
      <c r="J64" s="6">
        <v>42862</v>
      </c>
      <c r="K64" s="16">
        <v>2025</v>
      </c>
      <c r="L64" s="16">
        <v>2020</v>
      </c>
      <c r="M64" s="16">
        <v>2027</v>
      </c>
      <c r="N64" s="16">
        <v>2004</v>
      </c>
      <c r="O64" s="16">
        <v>2025</v>
      </c>
      <c r="P64" s="16">
        <v>1993</v>
      </c>
      <c r="Q64" s="16">
        <v>1996</v>
      </c>
      <c r="R64" s="16">
        <v>2009</v>
      </c>
      <c r="S64" s="16">
        <v>2041</v>
      </c>
      <c r="T64" s="16">
        <v>2003</v>
      </c>
      <c r="U64" s="15">
        <v>2014.3</v>
      </c>
      <c r="V64" t="s">
        <v>19</v>
      </c>
      <c r="W64" t="s">
        <v>19</v>
      </c>
      <c r="X64">
        <v>139</v>
      </c>
      <c r="Y64" s="16">
        <f>VLOOKUP(Tabela1[[#This Row],[SKU]],SKU!A:D,4,0)</f>
        <v>2000</v>
      </c>
      <c r="Z64" s="18">
        <f>IFERROR((Tabela1[[#This Row],[Média]]-Tabela1[[#This Row],[Meta]])/Tabela1[[#This Row],[Meta]],"")</f>
        <v>7.1499999999999776E-3</v>
      </c>
      <c r="AA64" s="19">
        <f>Tabela1[[#This Row],[Média]]-Tabela1[[#This Row],[Meta]]</f>
        <v>14.299999999999955</v>
      </c>
      <c r="AB64" t="str">
        <f>VLOOKUP(Tabela1[[#This Row],[SKU]],SKU!A:B,2,0)</f>
        <v>COXA SBCX S/O FG 280-300g PB</v>
      </c>
      <c r="AC64" t="str">
        <f>VLOOKUP(Tabela1[[#This Row],[SKU]],SKU!A:C,3,0)</f>
        <v>PERNA</v>
      </c>
    </row>
    <row r="65" spans="1:29" x14ac:dyDescent="0.3">
      <c r="A65" s="2">
        <f>INT(Tabela1[[#This Row],[Data e Hora2]])</f>
        <v>46245</v>
      </c>
      <c r="B65" t="str">
        <f>UPPER(TEXT(Tabela1[[#This Row],[Data Corrigida]],"MMM"))</f>
        <v>AGO</v>
      </c>
      <c r="C65" t="s">
        <v>122</v>
      </c>
      <c r="D65" s="2" t="s">
        <v>123</v>
      </c>
      <c r="E65" s="1" t="s">
        <v>124</v>
      </c>
      <c r="F65" t="s">
        <v>24</v>
      </c>
      <c r="G65" s="2" t="s">
        <v>117</v>
      </c>
      <c r="H65" t="s">
        <v>26</v>
      </c>
      <c r="I65" t="s">
        <v>27</v>
      </c>
      <c r="J65" s="6">
        <v>13188</v>
      </c>
      <c r="K65" s="16">
        <v>1028</v>
      </c>
      <c r="L65" s="16">
        <v>1017</v>
      </c>
      <c r="M65" s="16">
        <v>1011</v>
      </c>
      <c r="N65" s="16">
        <v>1023</v>
      </c>
      <c r="O65" s="16">
        <v>1004</v>
      </c>
      <c r="P65" s="16">
        <v>1033</v>
      </c>
      <c r="Q65" s="16">
        <v>1005</v>
      </c>
      <c r="R65" s="16">
        <v>1011</v>
      </c>
      <c r="S65" s="16">
        <v>1015</v>
      </c>
      <c r="T65" s="16">
        <v>1011</v>
      </c>
      <c r="U65" s="15">
        <v>1015.8</v>
      </c>
      <c r="V65" t="s">
        <v>19</v>
      </c>
      <c r="W65" t="s">
        <v>19</v>
      </c>
      <c r="X65">
        <v>280</v>
      </c>
      <c r="Y65" s="16">
        <f>VLOOKUP(Tabela1[[#This Row],[SKU]],SKU!A:D,4,0)</f>
        <v>1000</v>
      </c>
      <c r="Z65" s="18">
        <f>IFERROR((Tabela1[[#This Row],[Média]]-Tabela1[[#This Row],[Meta]])/Tabela1[[#This Row],[Meta]],"")</f>
        <v>1.5799999999999953E-2</v>
      </c>
      <c r="AA65" s="19">
        <f>Tabela1[[#This Row],[Média]]-Tabela1[[#This Row],[Meta]]</f>
        <v>15.799999999999955</v>
      </c>
      <c r="AB65" t="str">
        <f>VLOOKUP(Tabela1[[#This Row],[SKU]],SKU!A:B,2,0)</f>
        <v>SOBRECOXA CG BDJ SE</v>
      </c>
      <c r="AC65" t="str">
        <f>VLOOKUP(Tabela1[[#This Row],[SKU]],SKU!A:C,3,0)</f>
        <v>PERNA</v>
      </c>
    </row>
    <row r="66" spans="1:29" x14ac:dyDescent="0.3">
      <c r="A66" s="2">
        <f>INT(Tabela1[[#This Row],[Data e Hora2]])</f>
        <v>46245</v>
      </c>
      <c r="B66" t="str">
        <f>UPPER(TEXT(Tabela1[[#This Row],[Data Corrigida]],"MMM"))</f>
        <v>AGO</v>
      </c>
      <c r="C66" t="s">
        <v>120</v>
      </c>
      <c r="D66" s="2" t="s">
        <v>121</v>
      </c>
      <c r="E66" s="1" t="s">
        <v>116</v>
      </c>
      <c r="F66" t="s">
        <v>24</v>
      </c>
      <c r="G66" s="2" t="s">
        <v>117</v>
      </c>
      <c r="H66" t="s">
        <v>26</v>
      </c>
      <c r="I66" t="s">
        <v>27</v>
      </c>
      <c r="J66" s="6">
        <v>15105</v>
      </c>
      <c r="K66" s="16">
        <v>1004</v>
      </c>
      <c r="L66" s="16">
        <v>1028</v>
      </c>
      <c r="M66" s="16">
        <v>1048</v>
      </c>
      <c r="N66" s="16">
        <v>1030</v>
      </c>
      <c r="O66" s="16">
        <v>1002</v>
      </c>
      <c r="P66" s="16">
        <v>1009</v>
      </c>
      <c r="Q66" s="16">
        <v>1021</v>
      </c>
      <c r="R66" s="16">
        <v>1040</v>
      </c>
      <c r="S66" s="16">
        <v>1011</v>
      </c>
      <c r="T66" s="16">
        <v>1008</v>
      </c>
      <c r="U66" s="15">
        <v>1020.1</v>
      </c>
      <c r="V66" t="s">
        <v>19</v>
      </c>
      <c r="W66" t="s">
        <v>28</v>
      </c>
      <c r="X66">
        <v>1125</v>
      </c>
      <c r="Y66" s="16">
        <f>VLOOKUP(Tabela1[[#This Row],[SKU]],SKU!A:D,4,0)</f>
        <v>1000</v>
      </c>
      <c r="Z66" s="18">
        <f>IFERROR((Tabela1[[#This Row],[Média]]-Tabela1[[#This Row],[Meta]])/Tabela1[[#This Row],[Meta]],"")</f>
        <v>2.0100000000000024E-2</v>
      </c>
      <c r="AA66" s="19">
        <f>Tabela1[[#This Row],[Média]]-Tabela1[[#This Row],[Meta]]</f>
        <v>20.100000000000023</v>
      </c>
      <c r="AB66" t="str">
        <f>VLOOKUP(Tabela1[[#This Row],[SKU]],SKU!A:B,2,0)</f>
        <v>FILE PEITO MET CG BDJ SE</v>
      </c>
      <c r="AC66" t="str">
        <f>VLOOKUP(Tabela1[[#This Row],[SKU]],SKU!A:C,3,0)</f>
        <v>PEITO</v>
      </c>
    </row>
    <row r="67" spans="1:29" x14ac:dyDescent="0.3">
      <c r="A67" s="2">
        <f>INT(Tabela1[[#This Row],[Data e Hora2]])</f>
        <v>46245</v>
      </c>
      <c r="B67" t="str">
        <f>UPPER(TEXT(Tabela1[[#This Row],[Data Corrigida]],"MMM"))</f>
        <v>AGO</v>
      </c>
      <c r="C67" t="s">
        <v>118</v>
      </c>
      <c r="D67" s="2" t="s">
        <v>119</v>
      </c>
      <c r="E67" s="1" t="s">
        <v>116</v>
      </c>
      <c r="F67" t="s">
        <v>24</v>
      </c>
      <c r="G67" s="2" t="s">
        <v>117</v>
      </c>
      <c r="H67" t="s">
        <v>26</v>
      </c>
      <c r="I67" t="s">
        <v>27</v>
      </c>
      <c r="J67" s="6">
        <v>15229</v>
      </c>
      <c r="K67" s="16">
        <v>1001</v>
      </c>
      <c r="L67" s="16">
        <v>1005</v>
      </c>
      <c r="M67" s="16">
        <v>1008</v>
      </c>
      <c r="N67" s="16">
        <v>1000</v>
      </c>
      <c r="O67" s="16">
        <v>1026</v>
      </c>
      <c r="P67" s="16">
        <v>1004</v>
      </c>
      <c r="Q67" s="16">
        <v>1005</v>
      </c>
      <c r="R67" s="16">
        <v>1003</v>
      </c>
      <c r="S67" s="16">
        <v>1015</v>
      </c>
      <c r="T67" s="16">
        <v>1005</v>
      </c>
      <c r="U67" s="15">
        <v>1007.2</v>
      </c>
      <c r="V67" t="s">
        <v>19</v>
      </c>
      <c r="W67" t="s">
        <v>28</v>
      </c>
      <c r="X67">
        <v>388</v>
      </c>
      <c r="Y67" s="16">
        <f>VLOOKUP(Tabela1[[#This Row],[SKU]],SKU!A:D,4,0)</f>
        <v>1000</v>
      </c>
      <c r="Z67" s="18">
        <f>IFERROR((Tabela1[[#This Row],[Média]]-Tabela1[[#This Row],[Meta]])/Tabela1[[#This Row],[Meta]],"")</f>
        <v>7.2000000000000458E-3</v>
      </c>
      <c r="AA67" s="19">
        <f>Tabela1[[#This Row],[Média]]-Tabela1[[#This Row],[Meta]]</f>
        <v>7.2000000000000455</v>
      </c>
      <c r="AB67" t="str">
        <f>VLOOKUP(Tabela1[[#This Row],[SKU]],SKU!A:B,2,0)</f>
        <v>COXA CG BDJ SE</v>
      </c>
      <c r="AC67" t="str">
        <f>VLOOKUP(Tabela1[[#This Row],[SKU]],SKU!A:C,3,0)</f>
        <v>PERNA</v>
      </c>
    </row>
    <row r="68" spans="1:29" x14ac:dyDescent="0.3">
      <c r="A68" s="2">
        <f>INT(Tabela1[[#This Row],[Data e Hora2]])</f>
        <v>46245</v>
      </c>
      <c r="B68" t="str">
        <f>UPPER(TEXT(Tabela1[[#This Row],[Data Corrigida]],"MMM"))</f>
        <v>AGO</v>
      </c>
      <c r="C68" t="s">
        <v>114</v>
      </c>
      <c r="D68" s="2" t="s">
        <v>115</v>
      </c>
      <c r="E68" s="1" t="s">
        <v>116</v>
      </c>
      <c r="F68" t="s">
        <v>24</v>
      </c>
      <c r="G68" s="2" t="s">
        <v>117</v>
      </c>
      <c r="H68" t="s">
        <v>26</v>
      </c>
      <c r="I68" t="s">
        <v>27</v>
      </c>
      <c r="J68" s="6">
        <v>40762</v>
      </c>
      <c r="K68" s="16">
        <v>10205</v>
      </c>
      <c r="L68" s="16">
        <v>10085</v>
      </c>
      <c r="M68" s="16">
        <v>10160</v>
      </c>
      <c r="N68" s="16">
        <v>10120</v>
      </c>
      <c r="O68" s="16">
        <v>10105</v>
      </c>
      <c r="P68" s="16">
        <v>9985</v>
      </c>
      <c r="Q68" s="16">
        <v>10100</v>
      </c>
      <c r="R68" s="16">
        <v>10150</v>
      </c>
      <c r="S68" s="16">
        <v>10125</v>
      </c>
      <c r="T68" s="16">
        <v>10080</v>
      </c>
      <c r="U68" s="15">
        <v>10111.5</v>
      </c>
      <c r="V68" t="s">
        <v>19</v>
      </c>
      <c r="W68" t="s">
        <v>19</v>
      </c>
      <c r="X68">
        <v>540</v>
      </c>
      <c r="Y68" s="16">
        <f>VLOOKUP(Tabela1[[#This Row],[SKU]],SKU!A:D,4,0)</f>
        <v>10000</v>
      </c>
      <c r="Z68" s="18">
        <f>IFERROR((Tabela1[[#This Row],[Média]]-Tabela1[[#This Row],[Meta]])/Tabela1[[#This Row],[Meta]],"")</f>
        <v>1.115E-2</v>
      </c>
      <c r="AA68" s="19">
        <f>Tabela1[[#This Row],[Média]]-Tabela1[[#This Row],[Meta]]</f>
        <v>111.5</v>
      </c>
      <c r="AB68" t="str">
        <f>VLOOKUP(Tabela1[[#This Row],[SKU]],SKU!A:B,2,0)</f>
        <v>COXA SBCX LQ FG LP</v>
      </c>
      <c r="AC68" t="str">
        <f>VLOOKUP(Tabela1[[#This Row],[SKU]],SKU!A:C,3,0)</f>
        <v>PERNA</v>
      </c>
    </row>
    <row r="69" spans="1:29" x14ac:dyDescent="0.3">
      <c r="A69" s="2">
        <f>INT(Tabela1[[#This Row],[Data e Hora2]])</f>
        <v>46246</v>
      </c>
      <c r="B69" t="str">
        <f>UPPER(TEXT(Tabela1[[#This Row],[Data Corrigida]],"MMM"))</f>
        <v>AGO</v>
      </c>
      <c r="C69" t="s">
        <v>112</v>
      </c>
      <c r="D69" s="2" t="s">
        <v>113</v>
      </c>
      <c r="E69" s="1" t="s">
        <v>91</v>
      </c>
      <c r="F69" t="s">
        <v>24</v>
      </c>
      <c r="G69" s="2" t="s">
        <v>79</v>
      </c>
      <c r="H69" t="s">
        <v>26</v>
      </c>
      <c r="I69" t="s">
        <v>27</v>
      </c>
      <c r="J69" s="6">
        <v>15105</v>
      </c>
      <c r="K69" s="16">
        <v>1018</v>
      </c>
      <c r="L69" s="16">
        <v>1010</v>
      </c>
      <c r="M69" s="16">
        <v>1018</v>
      </c>
      <c r="N69" s="16">
        <v>1016</v>
      </c>
      <c r="O69" s="16">
        <v>992</v>
      </c>
      <c r="P69" s="16">
        <v>1006</v>
      </c>
      <c r="Q69" s="16">
        <v>1023</v>
      </c>
      <c r="R69" s="16">
        <v>1059</v>
      </c>
      <c r="S69" s="16">
        <v>1015</v>
      </c>
      <c r="T69" s="16">
        <v>939</v>
      </c>
      <c r="U69" s="15">
        <v>1009.6</v>
      </c>
      <c r="V69" t="s">
        <v>19</v>
      </c>
      <c r="W69" t="s">
        <v>28</v>
      </c>
      <c r="X69">
        <v>234</v>
      </c>
      <c r="Y69" s="16">
        <f>VLOOKUP(Tabela1[[#This Row],[SKU]],SKU!A:D,4,0)</f>
        <v>1000</v>
      </c>
      <c r="Z69" s="18">
        <f>IFERROR((Tabela1[[#This Row],[Média]]-Tabela1[[#This Row],[Meta]])/Tabela1[[#This Row],[Meta]],"")</f>
        <v>9.6000000000000234E-3</v>
      </c>
      <c r="AA69" s="19">
        <f>Tabela1[[#This Row],[Média]]-Tabela1[[#This Row],[Meta]]</f>
        <v>9.6000000000000227</v>
      </c>
      <c r="AB69" t="str">
        <f>VLOOKUP(Tabela1[[#This Row],[SKU]],SKU!A:B,2,0)</f>
        <v>FILE PEITO MET CG BDJ SE</v>
      </c>
      <c r="AC69" t="str">
        <f>VLOOKUP(Tabela1[[#This Row],[SKU]],SKU!A:C,3,0)</f>
        <v>PEITO</v>
      </c>
    </row>
    <row r="70" spans="1:29" x14ac:dyDescent="0.3">
      <c r="A70" s="2">
        <f>INT(Tabela1[[#This Row],[Data e Hora2]])</f>
        <v>46246</v>
      </c>
      <c r="B70" t="str">
        <f>UPPER(TEXT(Tabela1[[#This Row],[Data Corrigida]],"MMM"))</f>
        <v>AGO</v>
      </c>
      <c r="C70" t="s">
        <v>110</v>
      </c>
      <c r="D70" s="2" t="s">
        <v>111</v>
      </c>
      <c r="E70" s="1" t="s">
        <v>91</v>
      </c>
      <c r="F70" t="s">
        <v>24</v>
      </c>
      <c r="G70" s="2" t="s">
        <v>79</v>
      </c>
      <c r="H70" t="s">
        <v>26</v>
      </c>
      <c r="I70" t="s">
        <v>27</v>
      </c>
      <c r="J70" s="6">
        <v>992093</v>
      </c>
      <c r="K70" s="16">
        <v>5015</v>
      </c>
      <c r="L70" s="16">
        <v>5018</v>
      </c>
      <c r="M70" s="16">
        <v>5019</v>
      </c>
      <c r="N70" s="16">
        <v>5024</v>
      </c>
      <c r="O70" s="16">
        <v>5015</v>
      </c>
      <c r="P70" s="16">
        <v>5019</v>
      </c>
      <c r="Q70" s="16">
        <v>5014</v>
      </c>
      <c r="R70" s="16">
        <v>5020</v>
      </c>
      <c r="S70" s="16">
        <v>5008</v>
      </c>
      <c r="T70" s="16">
        <v>5012</v>
      </c>
      <c r="U70" s="15">
        <v>5016.3999999999996</v>
      </c>
      <c r="V70" t="s">
        <v>19</v>
      </c>
      <c r="W70" t="s">
        <v>28</v>
      </c>
      <c r="X70">
        <v>322</v>
      </c>
      <c r="Y70" s="16">
        <f>VLOOKUP(Tabela1[[#This Row],[SKU]],SKU!A:D,4,0)</f>
        <v>5000</v>
      </c>
      <c r="Z70" s="18">
        <f>IFERROR((Tabela1[[#This Row],[Média]]-Tabela1[[#This Row],[Meta]])/Tabela1[[#This Row],[Meta]],"")</f>
        <v>3.2799999999999271E-3</v>
      </c>
      <c r="AA70" s="19">
        <f>Tabela1[[#This Row],[Média]]-Tabela1[[#This Row],[Meta]]</f>
        <v>16.399999999999636</v>
      </c>
      <c r="AB70" t="str">
        <f>VLOOKUP(Tabela1[[#This Row],[SKU]],SKU!A:B,2,0)</f>
        <v>PONTA ASA FG PB CG</v>
      </c>
      <c r="AC70" t="str">
        <f>VLOOKUP(Tabela1[[#This Row],[SKU]],SKU!A:C,3,0)</f>
        <v>ASA</v>
      </c>
    </row>
    <row r="71" spans="1:29" x14ac:dyDescent="0.3">
      <c r="A71" s="2">
        <f>INT(Tabela1[[#This Row],[Data e Hora2]])</f>
        <v>46246</v>
      </c>
      <c r="B71" t="str">
        <f>UPPER(TEXT(Tabela1[[#This Row],[Data Corrigida]],"MMM"))</f>
        <v>AGO</v>
      </c>
      <c r="C71" t="s">
        <v>108</v>
      </c>
      <c r="D71" s="2" t="s">
        <v>109</v>
      </c>
      <c r="E71" s="1" t="s">
        <v>91</v>
      </c>
      <c r="F71" t="s">
        <v>24</v>
      </c>
      <c r="G71" s="2" t="s">
        <v>79</v>
      </c>
      <c r="H71" t="s">
        <v>26</v>
      </c>
      <c r="I71" t="s">
        <v>19</v>
      </c>
      <c r="J71" s="6">
        <v>42854</v>
      </c>
      <c r="K71" s="16">
        <v>2125</v>
      </c>
      <c r="L71" s="16">
        <v>2115</v>
      </c>
      <c r="M71" s="16">
        <v>2077</v>
      </c>
      <c r="N71" s="16">
        <v>2155</v>
      </c>
      <c r="O71" s="16">
        <v>2092</v>
      </c>
      <c r="P71" s="16">
        <v>2141</v>
      </c>
      <c r="Q71" s="16">
        <v>1885</v>
      </c>
      <c r="R71" s="16">
        <v>2111</v>
      </c>
      <c r="S71" s="16">
        <v>2074</v>
      </c>
      <c r="T71" s="16">
        <v>2149</v>
      </c>
      <c r="U71" s="15">
        <v>2092.4</v>
      </c>
      <c r="V71" t="s">
        <v>19</v>
      </c>
      <c r="W71" t="s">
        <v>28</v>
      </c>
      <c r="X71">
        <v>800</v>
      </c>
      <c r="Y71" s="16">
        <f>VLOOKUP(Tabela1[[#This Row],[SKU]],SKU!A:D,4,0)</f>
        <v>2080</v>
      </c>
      <c r="Z71" s="18">
        <f>IFERROR((Tabela1[[#This Row],[Média]]-Tabela1[[#This Row],[Meta]])/Tabela1[[#This Row],[Meta]],"")</f>
        <v>5.9615384615385051E-3</v>
      </c>
      <c r="AA71" s="19">
        <f>Tabela1[[#This Row],[Média]]-Tabela1[[#This Row],[Meta]]</f>
        <v>12.400000000000091</v>
      </c>
      <c r="AB71" t="str">
        <f>VLOOKUP(Tabela1[[#This Row],[SKU]],SKU!A:B,2,0)</f>
        <v>COXA SBCX S/O FG 260-280g PB</v>
      </c>
      <c r="AC71" t="str">
        <f>VLOOKUP(Tabela1[[#This Row],[SKU]],SKU!A:C,3,0)</f>
        <v>PERNA</v>
      </c>
    </row>
    <row r="72" spans="1:29" x14ac:dyDescent="0.3">
      <c r="A72" s="2">
        <f>INT(Tabela1[[#This Row],[Data e Hora2]])</f>
        <v>46246</v>
      </c>
      <c r="B72" t="str">
        <f>UPPER(TEXT(Tabela1[[#This Row],[Data Corrigida]],"MMM"))</f>
        <v>AGO</v>
      </c>
      <c r="C72" t="s">
        <v>106</v>
      </c>
      <c r="D72" s="2" t="s">
        <v>107</v>
      </c>
      <c r="E72" s="1" t="s">
        <v>91</v>
      </c>
      <c r="F72" t="s">
        <v>24</v>
      </c>
      <c r="G72" s="2" t="s">
        <v>79</v>
      </c>
      <c r="H72" t="s">
        <v>26</v>
      </c>
      <c r="I72" t="s">
        <v>27</v>
      </c>
      <c r="J72" s="6">
        <v>42838</v>
      </c>
      <c r="K72" s="16">
        <v>2095</v>
      </c>
      <c r="L72" s="16">
        <v>2010</v>
      </c>
      <c r="M72" s="16">
        <v>2163</v>
      </c>
      <c r="N72" s="16">
        <v>2019</v>
      </c>
      <c r="O72" s="16">
        <v>2030</v>
      </c>
      <c r="P72" s="16">
        <v>2090</v>
      </c>
      <c r="Q72" s="16">
        <v>2030</v>
      </c>
      <c r="R72" s="16">
        <v>2014</v>
      </c>
      <c r="S72" s="16">
        <v>2068</v>
      </c>
      <c r="T72" s="16">
        <v>2035</v>
      </c>
      <c r="U72" s="15">
        <v>2055.4</v>
      </c>
      <c r="V72" t="s">
        <v>19</v>
      </c>
      <c r="W72" t="s">
        <v>19</v>
      </c>
      <c r="X72">
        <v>145</v>
      </c>
      <c r="Y72" s="16">
        <f>VLOOKUP(Tabela1[[#This Row],[SKU]],SKU!A:D,4,0)</f>
        <v>2000</v>
      </c>
      <c r="Z72" s="18">
        <f>IFERROR((Tabela1[[#This Row],[Média]]-Tabela1[[#This Row],[Meta]])/Tabela1[[#This Row],[Meta]],"")</f>
        <v>2.7700000000000044E-2</v>
      </c>
      <c r="AA72" s="19">
        <f>Tabela1[[#This Row],[Média]]-Tabela1[[#This Row],[Meta]]</f>
        <v>55.400000000000091</v>
      </c>
      <c r="AB72" t="str">
        <f>VLOOKUP(Tabela1[[#This Row],[SKU]],SKU!A:B,2,0)</f>
        <v>COXA SBCX S/O FG 220-240g PB</v>
      </c>
      <c r="AC72" t="str">
        <f>VLOOKUP(Tabela1[[#This Row],[SKU]],SKU!A:C,3,0)</f>
        <v>PERNA</v>
      </c>
    </row>
    <row r="73" spans="1:29" x14ac:dyDescent="0.3">
      <c r="A73" s="2">
        <f>INT(Tabela1[[#This Row],[Data e Hora2]])</f>
        <v>46246</v>
      </c>
      <c r="B73" t="str">
        <f>UPPER(TEXT(Tabela1[[#This Row],[Data Corrigida]],"MMM"))</f>
        <v>AGO</v>
      </c>
      <c r="C73" t="s">
        <v>104</v>
      </c>
      <c r="D73" s="2" t="s">
        <v>105</v>
      </c>
      <c r="E73" s="1" t="s">
        <v>91</v>
      </c>
      <c r="F73" t="s">
        <v>24</v>
      </c>
      <c r="G73" s="2" t="s">
        <v>79</v>
      </c>
      <c r="H73" t="s">
        <v>26</v>
      </c>
      <c r="I73" t="s">
        <v>27</v>
      </c>
      <c r="J73" s="6">
        <v>42862</v>
      </c>
      <c r="K73" s="16">
        <v>2010</v>
      </c>
      <c r="L73" s="16">
        <v>2022</v>
      </c>
      <c r="M73" s="16">
        <v>2042</v>
      </c>
      <c r="N73" s="16">
        <v>1934</v>
      </c>
      <c r="O73" s="16">
        <v>2015</v>
      </c>
      <c r="P73" s="16">
        <v>2023</v>
      </c>
      <c r="Q73" s="16">
        <v>2278</v>
      </c>
      <c r="R73" s="16">
        <v>2014</v>
      </c>
      <c r="S73" s="16">
        <v>2009</v>
      </c>
      <c r="T73" s="16">
        <v>2056</v>
      </c>
      <c r="U73" s="15">
        <v>2040.3</v>
      </c>
      <c r="V73" t="s">
        <v>19</v>
      </c>
      <c r="W73" t="s">
        <v>19</v>
      </c>
      <c r="X73">
        <v>129</v>
      </c>
      <c r="Y73" s="16">
        <f>VLOOKUP(Tabela1[[#This Row],[SKU]],SKU!A:D,4,0)</f>
        <v>2000</v>
      </c>
      <c r="Z73" s="18">
        <f>IFERROR((Tabela1[[#This Row],[Média]]-Tabela1[[#This Row],[Meta]])/Tabela1[[#This Row],[Meta]],"")</f>
        <v>2.0149999999999977E-2</v>
      </c>
      <c r="AA73" s="19">
        <f>Tabela1[[#This Row],[Média]]-Tabela1[[#This Row],[Meta]]</f>
        <v>40.299999999999955</v>
      </c>
      <c r="AB73" t="str">
        <f>VLOOKUP(Tabela1[[#This Row],[SKU]],SKU!A:B,2,0)</f>
        <v>COXA SBCX S/O FG 280-300g PB</v>
      </c>
      <c r="AC73" t="str">
        <f>VLOOKUP(Tabela1[[#This Row],[SKU]],SKU!A:C,3,0)</f>
        <v>PERNA</v>
      </c>
    </row>
    <row r="74" spans="1:29" x14ac:dyDescent="0.3">
      <c r="A74" s="2">
        <f>INT(Tabela1[[#This Row],[Data e Hora2]])</f>
        <v>46246</v>
      </c>
      <c r="B74" t="str">
        <f>UPPER(TEXT(Tabela1[[#This Row],[Data Corrigida]],"MMM"))</f>
        <v>AGO</v>
      </c>
      <c r="C74" t="s">
        <v>102</v>
      </c>
      <c r="D74" s="2" t="s">
        <v>103</v>
      </c>
      <c r="E74" s="1" t="s">
        <v>91</v>
      </c>
      <c r="F74" t="s">
        <v>24</v>
      </c>
      <c r="G74" s="2" t="s">
        <v>79</v>
      </c>
      <c r="H74" t="s">
        <v>26</v>
      </c>
      <c r="I74" t="s">
        <v>27</v>
      </c>
      <c r="J74" s="6">
        <v>42820</v>
      </c>
      <c r="K74" s="16">
        <v>1885</v>
      </c>
      <c r="L74" s="16">
        <v>2009</v>
      </c>
      <c r="M74" s="16">
        <v>2014</v>
      </c>
      <c r="N74" s="16">
        <v>2046</v>
      </c>
      <c r="O74" s="16">
        <v>2025</v>
      </c>
      <c r="P74" s="16">
        <v>2014</v>
      </c>
      <c r="Q74" s="16">
        <v>2047</v>
      </c>
      <c r="R74" s="16">
        <v>2025</v>
      </c>
      <c r="S74" s="16">
        <v>2003</v>
      </c>
      <c r="T74" s="16">
        <v>2007</v>
      </c>
      <c r="U74" s="15">
        <v>2007.5</v>
      </c>
      <c r="V74" t="s">
        <v>19</v>
      </c>
      <c r="W74" t="s">
        <v>19</v>
      </c>
      <c r="X74">
        <v>126</v>
      </c>
      <c r="Y74" s="16">
        <f>VLOOKUP(Tabela1[[#This Row],[SKU]],SKU!A:D,4,0)</f>
        <v>2000</v>
      </c>
      <c r="Z74" s="18">
        <f>IFERROR((Tabela1[[#This Row],[Média]]-Tabela1[[#This Row],[Meta]])/Tabela1[[#This Row],[Meta]],"")</f>
        <v>3.7499999999999999E-3</v>
      </c>
      <c r="AA74" s="19">
        <f>Tabela1[[#This Row],[Média]]-Tabela1[[#This Row],[Meta]]</f>
        <v>7.5</v>
      </c>
      <c r="AB74" t="str">
        <f>VLOOKUP(Tabela1[[#This Row],[SKU]],SKU!A:B,2,0)</f>
        <v>COXA SBCX S/O FG 200-220g PB</v>
      </c>
      <c r="AC74" t="str">
        <f>VLOOKUP(Tabela1[[#This Row],[SKU]],SKU!A:C,3,0)</f>
        <v>PERNA</v>
      </c>
    </row>
    <row r="75" spans="1:29" x14ac:dyDescent="0.3">
      <c r="A75" s="2">
        <f>INT(Tabela1[[#This Row],[Data e Hora2]])</f>
        <v>46246</v>
      </c>
      <c r="B75" t="str">
        <f>UPPER(TEXT(Tabela1[[#This Row],[Data Corrigida]],"MMM"))</f>
        <v>AGO</v>
      </c>
      <c r="C75" t="s">
        <v>100</v>
      </c>
      <c r="D75" s="2" t="s">
        <v>101</v>
      </c>
      <c r="E75" s="1" t="s">
        <v>91</v>
      </c>
      <c r="F75" t="s">
        <v>24</v>
      </c>
      <c r="G75" s="2" t="s">
        <v>79</v>
      </c>
      <c r="H75" t="s">
        <v>26</v>
      </c>
      <c r="I75" t="s">
        <v>27</v>
      </c>
      <c r="J75" s="6">
        <v>13188</v>
      </c>
      <c r="K75" s="16">
        <v>1011</v>
      </c>
      <c r="L75" s="16">
        <v>1001</v>
      </c>
      <c r="M75" s="16">
        <v>996</v>
      </c>
      <c r="N75" s="16">
        <v>1008</v>
      </c>
      <c r="O75" s="16">
        <v>1019</v>
      </c>
      <c r="P75" s="16">
        <v>1029</v>
      </c>
      <c r="Q75" s="16">
        <v>1016</v>
      </c>
      <c r="R75" s="16">
        <v>1006</v>
      </c>
      <c r="S75" s="16">
        <v>1022</v>
      </c>
      <c r="T75" s="16">
        <v>1026</v>
      </c>
      <c r="U75" s="15">
        <v>1013.4</v>
      </c>
      <c r="V75" t="s">
        <v>19</v>
      </c>
      <c r="W75" t="s">
        <v>19</v>
      </c>
      <c r="X75">
        <v>361</v>
      </c>
      <c r="Y75" s="16">
        <f>VLOOKUP(Tabela1[[#This Row],[SKU]],SKU!A:D,4,0)</f>
        <v>1000</v>
      </c>
      <c r="Z75" s="18">
        <f>IFERROR((Tabela1[[#This Row],[Média]]-Tabela1[[#This Row],[Meta]])/Tabela1[[#This Row],[Meta]],"")</f>
        <v>1.3399999999999978E-2</v>
      </c>
      <c r="AA75" s="19">
        <f>Tabela1[[#This Row],[Média]]-Tabela1[[#This Row],[Meta]]</f>
        <v>13.399999999999977</v>
      </c>
      <c r="AB75" t="str">
        <f>VLOOKUP(Tabela1[[#This Row],[SKU]],SKU!A:B,2,0)</f>
        <v>SOBRECOXA CG BDJ SE</v>
      </c>
      <c r="AC75" t="str">
        <f>VLOOKUP(Tabela1[[#This Row],[SKU]],SKU!A:C,3,0)</f>
        <v>PERNA</v>
      </c>
    </row>
    <row r="76" spans="1:29" x14ac:dyDescent="0.3">
      <c r="A76" s="2">
        <f>INT(Tabela1[[#This Row],[Data e Hora2]])</f>
        <v>46246</v>
      </c>
      <c r="B76" t="str">
        <f>UPPER(TEXT(Tabela1[[#This Row],[Data Corrigida]],"MMM"))</f>
        <v>AGO</v>
      </c>
      <c r="C76" t="s">
        <v>98</v>
      </c>
      <c r="D76" s="2" t="s">
        <v>99</v>
      </c>
      <c r="E76" s="1" t="s">
        <v>91</v>
      </c>
      <c r="F76" t="s">
        <v>24</v>
      </c>
      <c r="G76" s="2" t="s">
        <v>79</v>
      </c>
      <c r="H76" t="s">
        <v>26</v>
      </c>
      <c r="I76" t="s">
        <v>19</v>
      </c>
      <c r="J76" s="6">
        <v>15229</v>
      </c>
      <c r="K76" s="16">
        <v>1005</v>
      </c>
      <c r="L76" s="16">
        <v>1048</v>
      </c>
      <c r="M76" s="16">
        <v>1012</v>
      </c>
      <c r="N76" s="16">
        <v>1027</v>
      </c>
      <c r="O76" s="16">
        <v>995</v>
      </c>
      <c r="P76" s="16">
        <v>1003</v>
      </c>
      <c r="Q76" s="16">
        <v>1045</v>
      </c>
      <c r="R76" s="16">
        <v>944</v>
      </c>
      <c r="S76" s="16">
        <v>1000</v>
      </c>
      <c r="T76" s="16">
        <v>948</v>
      </c>
      <c r="U76" s="15">
        <v>1002.7</v>
      </c>
      <c r="V76" t="s">
        <v>19</v>
      </c>
      <c r="W76" t="s">
        <v>19</v>
      </c>
      <c r="X76">
        <v>200</v>
      </c>
      <c r="Y76" s="16">
        <f>VLOOKUP(Tabela1[[#This Row],[SKU]],SKU!A:D,4,0)</f>
        <v>1000</v>
      </c>
      <c r="Z76" s="18">
        <f>IFERROR((Tabela1[[#This Row],[Média]]-Tabela1[[#This Row],[Meta]])/Tabela1[[#This Row],[Meta]],"")</f>
        <v>2.7000000000000457E-3</v>
      </c>
      <c r="AA76" s="19">
        <f>Tabela1[[#This Row],[Média]]-Tabela1[[#This Row],[Meta]]</f>
        <v>2.7000000000000455</v>
      </c>
      <c r="AB76" t="str">
        <f>VLOOKUP(Tabela1[[#This Row],[SKU]],SKU!A:B,2,0)</f>
        <v>COXA CG BDJ SE</v>
      </c>
      <c r="AC76" t="str">
        <f>VLOOKUP(Tabela1[[#This Row],[SKU]],SKU!A:C,3,0)</f>
        <v>PERNA</v>
      </c>
    </row>
    <row r="77" spans="1:29" x14ac:dyDescent="0.3">
      <c r="A77" s="2">
        <f>INT(Tabela1[[#This Row],[Data e Hora2]])</f>
        <v>46246</v>
      </c>
      <c r="B77" t="str">
        <f>UPPER(TEXT(Tabela1[[#This Row],[Data Corrigida]],"MMM"))</f>
        <v>AGO</v>
      </c>
      <c r="C77" t="s">
        <v>96</v>
      </c>
      <c r="D77" s="2" t="s">
        <v>97</v>
      </c>
      <c r="E77" s="1" t="s">
        <v>91</v>
      </c>
      <c r="F77" t="s">
        <v>24</v>
      </c>
      <c r="G77" s="2" t="s">
        <v>79</v>
      </c>
      <c r="H77" t="s">
        <v>26</v>
      </c>
      <c r="I77" t="s">
        <v>27</v>
      </c>
      <c r="J77" s="6">
        <v>15105</v>
      </c>
      <c r="K77" s="16">
        <v>1006</v>
      </c>
      <c r="L77" s="16">
        <v>1043</v>
      </c>
      <c r="M77" s="16">
        <v>1001</v>
      </c>
      <c r="N77" s="16">
        <v>997</v>
      </c>
      <c r="O77" s="16">
        <v>996</v>
      </c>
      <c r="P77" s="16">
        <v>1046</v>
      </c>
      <c r="Q77" s="16">
        <v>1004</v>
      </c>
      <c r="R77" s="16">
        <v>1022</v>
      </c>
      <c r="S77" s="16">
        <v>1049</v>
      </c>
      <c r="T77" s="16">
        <v>1052</v>
      </c>
      <c r="U77" s="15">
        <v>1021.6</v>
      </c>
      <c r="V77" t="s">
        <v>19</v>
      </c>
      <c r="W77" t="s">
        <v>28</v>
      </c>
      <c r="X77">
        <v>206</v>
      </c>
      <c r="Y77" s="16">
        <f>VLOOKUP(Tabela1[[#This Row],[SKU]],SKU!A:D,4,0)</f>
        <v>1000</v>
      </c>
      <c r="Z77" s="18">
        <f>IFERROR((Tabela1[[#This Row],[Média]]-Tabela1[[#This Row],[Meta]])/Tabela1[[#This Row],[Meta]],"")</f>
        <v>2.1600000000000022E-2</v>
      </c>
      <c r="AA77" s="19">
        <f>Tabela1[[#This Row],[Média]]-Tabela1[[#This Row],[Meta]]</f>
        <v>21.600000000000023</v>
      </c>
      <c r="AB77" t="str">
        <f>VLOOKUP(Tabela1[[#This Row],[SKU]],SKU!A:B,2,0)</f>
        <v>FILE PEITO MET CG BDJ SE</v>
      </c>
      <c r="AC77" t="str">
        <f>VLOOKUP(Tabela1[[#This Row],[SKU]],SKU!A:C,3,0)</f>
        <v>PEITO</v>
      </c>
    </row>
    <row r="78" spans="1:29" x14ac:dyDescent="0.3">
      <c r="A78" s="2">
        <f>INT(Tabela1[[#This Row],[Data e Hora2]])</f>
        <v>46246</v>
      </c>
      <c r="B78" t="str">
        <f>UPPER(TEXT(Tabela1[[#This Row],[Data Corrigida]],"MMM"))</f>
        <v>AGO</v>
      </c>
      <c r="C78" t="s">
        <v>94</v>
      </c>
      <c r="D78" s="2" t="s">
        <v>95</v>
      </c>
      <c r="E78" s="1" t="s">
        <v>91</v>
      </c>
      <c r="F78" t="s">
        <v>24</v>
      </c>
      <c r="G78" s="2" t="s">
        <v>79</v>
      </c>
      <c r="H78" t="s">
        <v>26</v>
      </c>
      <c r="I78" t="s">
        <v>27</v>
      </c>
      <c r="J78" s="6">
        <v>197815</v>
      </c>
      <c r="K78" s="16">
        <v>1003</v>
      </c>
      <c r="L78" s="16">
        <v>1002</v>
      </c>
      <c r="M78" s="16">
        <v>999</v>
      </c>
      <c r="N78" s="16">
        <v>1003</v>
      </c>
      <c r="O78" s="16">
        <v>1006</v>
      </c>
      <c r="P78" s="16">
        <v>997</v>
      </c>
      <c r="Q78" s="16">
        <v>1002</v>
      </c>
      <c r="R78" s="16">
        <v>996</v>
      </c>
      <c r="S78" s="16">
        <v>1001</v>
      </c>
      <c r="T78" s="16">
        <v>997</v>
      </c>
      <c r="U78" s="15">
        <v>1000.6</v>
      </c>
      <c r="V78" t="s">
        <v>19</v>
      </c>
      <c r="W78" t="s">
        <v>28</v>
      </c>
      <c r="X78">
        <v>419</v>
      </c>
      <c r="Y78" s="16">
        <f>VLOOKUP(Tabela1[[#This Row],[SKU]],SKU!A:D,4,0)</f>
        <v>1000</v>
      </c>
      <c r="Z78" s="18">
        <f>IFERROR((Tabela1[[#This Row],[Média]]-Tabela1[[#This Row],[Meta]])/Tabela1[[#This Row],[Meta]],"")</f>
        <v>6.0000000000002272E-4</v>
      </c>
      <c r="AA78" s="19">
        <f>Tabela1[[#This Row],[Média]]-Tabela1[[#This Row],[Meta]]</f>
        <v>0.60000000000002274</v>
      </c>
      <c r="AB78" t="str">
        <f>VLOOKUP(Tabela1[[#This Row],[SKU]],SKU!A:B,2,0)</f>
        <v>MEIO ASA CG BDJ SE</v>
      </c>
      <c r="AC78" t="str">
        <f>VLOOKUP(Tabela1[[#This Row],[SKU]],SKU!A:C,3,0)</f>
        <v>ASA</v>
      </c>
    </row>
    <row r="79" spans="1:29" x14ac:dyDescent="0.3">
      <c r="A79" s="2">
        <f>INT(Tabela1[[#This Row],[Data e Hora2]])</f>
        <v>46246</v>
      </c>
      <c r="B79" t="str">
        <f>UPPER(TEXT(Tabela1[[#This Row],[Data Corrigida]],"MMM"))</f>
        <v>AGO</v>
      </c>
      <c r="C79" t="s">
        <v>92</v>
      </c>
      <c r="D79" s="2" t="s">
        <v>93</v>
      </c>
      <c r="E79" s="1" t="s">
        <v>91</v>
      </c>
      <c r="F79" t="s">
        <v>24</v>
      </c>
      <c r="G79" s="2" t="s">
        <v>79</v>
      </c>
      <c r="H79" t="s">
        <v>26</v>
      </c>
      <c r="I79" t="s">
        <v>27</v>
      </c>
      <c r="J79" s="6">
        <v>40762</v>
      </c>
      <c r="K79" s="16">
        <v>9850</v>
      </c>
      <c r="L79" s="16">
        <v>10060</v>
      </c>
      <c r="M79" s="16">
        <v>10080</v>
      </c>
      <c r="N79" s="16">
        <v>10025</v>
      </c>
      <c r="O79" s="16">
        <v>10075</v>
      </c>
      <c r="P79" s="16">
        <v>10105</v>
      </c>
      <c r="Q79" s="16">
        <v>9930</v>
      </c>
      <c r="R79" s="16">
        <v>9970</v>
      </c>
      <c r="S79" s="16">
        <v>10020</v>
      </c>
      <c r="T79" s="16">
        <v>9885</v>
      </c>
      <c r="U79" s="15">
        <v>10000</v>
      </c>
      <c r="V79" t="s">
        <v>19</v>
      </c>
      <c r="W79" t="s">
        <v>28</v>
      </c>
      <c r="X79">
        <v>1004</v>
      </c>
      <c r="Y79" s="16">
        <f>VLOOKUP(Tabela1[[#This Row],[SKU]],SKU!A:D,4,0)</f>
        <v>10000</v>
      </c>
      <c r="Z79" s="18">
        <f>IFERROR((Tabela1[[#This Row],[Média]]-Tabela1[[#This Row],[Meta]])/Tabela1[[#This Row],[Meta]],"")</f>
        <v>0</v>
      </c>
      <c r="AA79" s="19">
        <f>Tabela1[[#This Row],[Média]]-Tabela1[[#This Row],[Meta]]</f>
        <v>0</v>
      </c>
      <c r="AB79" t="str">
        <f>VLOOKUP(Tabela1[[#This Row],[SKU]],SKU!A:B,2,0)</f>
        <v>COXA SBCX LQ FG LP</v>
      </c>
      <c r="AC79" t="str">
        <f>VLOOKUP(Tabela1[[#This Row],[SKU]],SKU!A:C,3,0)</f>
        <v>PERNA</v>
      </c>
    </row>
    <row r="80" spans="1:29" x14ac:dyDescent="0.3">
      <c r="A80" s="2">
        <f>INT(Tabela1[[#This Row],[Data e Hora2]])</f>
        <v>46246</v>
      </c>
      <c r="B80" t="str">
        <f>UPPER(TEXT(Tabela1[[#This Row],[Data Corrigida]],"MMM"))</f>
        <v>AGO</v>
      </c>
      <c r="C80" t="s">
        <v>89</v>
      </c>
      <c r="D80" s="2" t="s">
        <v>90</v>
      </c>
      <c r="E80" s="1" t="s">
        <v>91</v>
      </c>
      <c r="F80" t="s">
        <v>24</v>
      </c>
      <c r="G80" s="2" t="s">
        <v>79</v>
      </c>
      <c r="H80" t="s">
        <v>26</v>
      </c>
      <c r="I80" t="s">
        <v>27</v>
      </c>
      <c r="J80" s="6">
        <v>792799</v>
      </c>
      <c r="K80" s="16">
        <v>15055</v>
      </c>
      <c r="L80" s="16">
        <v>15040</v>
      </c>
      <c r="M80" s="16">
        <v>15035</v>
      </c>
      <c r="N80" s="16">
        <v>15030</v>
      </c>
      <c r="O80" s="16">
        <v>15050</v>
      </c>
      <c r="P80" s="16">
        <v>15040</v>
      </c>
      <c r="Q80" s="16">
        <v>15085</v>
      </c>
      <c r="R80" s="16">
        <v>15030</v>
      </c>
      <c r="S80" s="16">
        <v>15080</v>
      </c>
      <c r="T80" s="16">
        <v>15110</v>
      </c>
      <c r="U80" s="15">
        <v>15055.5</v>
      </c>
      <c r="V80" t="s">
        <v>19</v>
      </c>
      <c r="W80" t="s">
        <v>28</v>
      </c>
      <c r="X80">
        <v>473</v>
      </c>
      <c r="Y80" s="16">
        <f>VLOOKUP(Tabela1[[#This Row],[SKU]],SKU!A:D,4,0)</f>
        <v>15000</v>
      </c>
      <c r="Z80" s="18">
        <f>IFERROR((Tabela1[[#This Row],[Média]]-Tabela1[[#This Row],[Meta]])/Tabela1[[#This Row],[Meta]],"")</f>
        <v>3.7000000000000002E-3</v>
      </c>
      <c r="AA80" s="19">
        <f>Tabela1[[#This Row],[Média]]-Tabela1[[#This Row],[Meta]]</f>
        <v>55.5</v>
      </c>
      <c r="AB80" t="str">
        <f>VLOOKUP(Tabela1[[#This Row],[SKU]],SKU!A:B,2,0)</f>
        <v>ASAS FG 100g UP LP</v>
      </c>
      <c r="AC80" t="str">
        <f>VLOOKUP(Tabela1[[#This Row],[SKU]],SKU!A:C,3,0)</f>
        <v>ASA</v>
      </c>
    </row>
    <row r="81" spans="1:29" x14ac:dyDescent="0.3">
      <c r="A81" s="2">
        <f>INT(Tabela1[[#This Row],[Data e Hora2]])</f>
        <v>46247</v>
      </c>
      <c r="B81" t="str">
        <f>UPPER(TEXT(Tabela1[[#This Row],[Data Corrigida]],"MMM"))</f>
        <v>AGO</v>
      </c>
      <c r="C81" t="s">
        <v>84</v>
      </c>
      <c r="D81" s="2" t="s">
        <v>85</v>
      </c>
      <c r="E81" s="1" t="s">
        <v>74</v>
      </c>
      <c r="F81" t="s">
        <v>24</v>
      </c>
      <c r="G81" s="2" t="s">
        <v>46</v>
      </c>
      <c r="H81" t="s">
        <v>26</v>
      </c>
      <c r="I81" t="s">
        <v>27</v>
      </c>
      <c r="J81" s="6">
        <v>15105</v>
      </c>
      <c r="K81" s="16">
        <v>1001</v>
      </c>
      <c r="L81" s="16">
        <v>995</v>
      </c>
      <c r="M81" s="16">
        <v>1048</v>
      </c>
      <c r="N81" s="16">
        <v>1020</v>
      </c>
      <c r="O81" s="16">
        <v>1044</v>
      </c>
      <c r="P81" s="16">
        <v>1005</v>
      </c>
      <c r="Q81" s="16">
        <v>1030</v>
      </c>
      <c r="R81" s="16">
        <v>1050</v>
      </c>
      <c r="S81" s="16">
        <v>1069</v>
      </c>
      <c r="T81" s="16">
        <v>988</v>
      </c>
      <c r="U81" s="15">
        <v>1025</v>
      </c>
      <c r="V81" t="s">
        <v>19</v>
      </c>
      <c r="W81" t="s">
        <v>28</v>
      </c>
      <c r="X81">
        <v>303</v>
      </c>
      <c r="Y81" s="16">
        <f>VLOOKUP(Tabela1[[#This Row],[SKU]],SKU!A:D,4,0)</f>
        <v>1000</v>
      </c>
      <c r="Z81" s="18">
        <f>IFERROR((Tabela1[[#This Row],[Média]]-Tabela1[[#This Row],[Meta]])/Tabela1[[#This Row],[Meta]],"")</f>
        <v>2.5000000000000001E-2</v>
      </c>
      <c r="AA81" s="19">
        <f>Tabela1[[#This Row],[Média]]-Tabela1[[#This Row],[Meta]]</f>
        <v>25</v>
      </c>
      <c r="AB81" t="str">
        <f>VLOOKUP(Tabela1[[#This Row],[SKU]],SKU!A:B,2,0)</f>
        <v>FILE PEITO MET CG BDJ SE</v>
      </c>
      <c r="AC81" t="str">
        <f>VLOOKUP(Tabela1[[#This Row],[SKU]],SKU!A:C,3,0)</f>
        <v>PEITO</v>
      </c>
    </row>
    <row r="82" spans="1:29" x14ac:dyDescent="0.3">
      <c r="A82" s="2">
        <f>INT(Tabela1[[#This Row],[Data e Hora2]])</f>
        <v>46247</v>
      </c>
      <c r="B82" t="str">
        <f>UPPER(TEXT(Tabela1[[#This Row],[Data Corrigida]],"MMM"))</f>
        <v>AGO</v>
      </c>
      <c r="C82" t="s">
        <v>82</v>
      </c>
      <c r="D82" s="2" t="s">
        <v>83</v>
      </c>
      <c r="E82" s="1" t="s">
        <v>74</v>
      </c>
      <c r="F82" t="s">
        <v>24</v>
      </c>
      <c r="G82" s="2" t="s">
        <v>46</v>
      </c>
      <c r="H82" t="s">
        <v>26</v>
      </c>
      <c r="I82" t="s">
        <v>27</v>
      </c>
      <c r="J82" s="6">
        <v>42838</v>
      </c>
      <c r="K82" s="16">
        <v>2041</v>
      </c>
      <c r="L82" s="16">
        <v>2076</v>
      </c>
      <c r="M82" s="16">
        <v>2031</v>
      </c>
      <c r="N82" s="16">
        <v>2051</v>
      </c>
      <c r="O82" s="16">
        <v>2066</v>
      </c>
      <c r="P82" s="16">
        <v>2060</v>
      </c>
      <c r="Q82" s="16">
        <v>2029</v>
      </c>
      <c r="R82" s="16">
        <v>2014</v>
      </c>
      <c r="S82" s="16">
        <v>2050</v>
      </c>
      <c r="T82" s="16">
        <v>2036</v>
      </c>
      <c r="U82" s="15">
        <v>2045.4</v>
      </c>
      <c r="V82" t="s">
        <v>19</v>
      </c>
      <c r="W82" t="s">
        <v>28</v>
      </c>
      <c r="X82">
        <v>166</v>
      </c>
      <c r="Y82" s="16">
        <f>VLOOKUP(Tabela1[[#This Row],[SKU]],SKU!A:D,4,0)</f>
        <v>2000</v>
      </c>
      <c r="Z82" s="18">
        <f>IFERROR((Tabela1[[#This Row],[Média]]-Tabela1[[#This Row],[Meta]])/Tabela1[[#This Row],[Meta]],"")</f>
        <v>2.2700000000000047E-2</v>
      </c>
      <c r="AA82" s="19">
        <f>Tabela1[[#This Row],[Média]]-Tabela1[[#This Row],[Meta]]</f>
        <v>45.400000000000091</v>
      </c>
      <c r="AB82" t="str">
        <f>VLOOKUP(Tabela1[[#This Row],[SKU]],SKU!A:B,2,0)</f>
        <v>COXA SBCX S/O FG 220-240g PB</v>
      </c>
      <c r="AC82" t="str">
        <f>VLOOKUP(Tabela1[[#This Row],[SKU]],SKU!A:C,3,0)</f>
        <v>PERNA</v>
      </c>
    </row>
    <row r="83" spans="1:29" x14ac:dyDescent="0.3">
      <c r="A83" s="2">
        <f>INT(Tabela1[[#This Row],[Data e Hora2]])</f>
        <v>46247</v>
      </c>
      <c r="B83" t="str">
        <f>UPPER(TEXT(Tabela1[[#This Row],[Data Corrigida]],"MMM"))</f>
        <v>AGO</v>
      </c>
      <c r="C83" t="s">
        <v>80</v>
      </c>
      <c r="D83" s="2" t="s">
        <v>81</v>
      </c>
      <c r="E83" s="1" t="s">
        <v>74</v>
      </c>
      <c r="F83" t="s">
        <v>24</v>
      </c>
      <c r="G83" s="2" t="s">
        <v>46</v>
      </c>
      <c r="H83" t="s">
        <v>26</v>
      </c>
      <c r="I83" t="s">
        <v>27</v>
      </c>
      <c r="J83" s="6">
        <v>42846</v>
      </c>
      <c r="K83" s="16">
        <v>2049</v>
      </c>
      <c r="L83" s="16">
        <v>2098</v>
      </c>
      <c r="M83" s="16">
        <v>2013</v>
      </c>
      <c r="N83" s="16">
        <v>2011</v>
      </c>
      <c r="O83" s="16">
        <v>2013</v>
      </c>
      <c r="P83" s="16">
        <v>2010</v>
      </c>
      <c r="Q83" s="16">
        <v>2010</v>
      </c>
      <c r="R83" s="16">
        <v>2017</v>
      </c>
      <c r="S83" s="16">
        <v>2002</v>
      </c>
      <c r="T83" s="16">
        <v>2096</v>
      </c>
      <c r="U83" s="15">
        <v>2031.9</v>
      </c>
      <c r="V83" t="s">
        <v>19</v>
      </c>
      <c r="W83" t="s">
        <v>19</v>
      </c>
      <c r="X83">
        <v>326</v>
      </c>
      <c r="Y83" s="16">
        <f>VLOOKUP(Tabela1[[#This Row],[SKU]],SKU!A:D,4,0)</f>
        <v>2000</v>
      </c>
      <c r="Z83" s="18">
        <f>IFERROR((Tabela1[[#This Row],[Média]]-Tabela1[[#This Row],[Meta]])/Tabela1[[#This Row],[Meta]],"")</f>
        <v>1.5950000000000044E-2</v>
      </c>
      <c r="AA83" s="19">
        <f>Tabela1[[#This Row],[Média]]-Tabela1[[#This Row],[Meta]]</f>
        <v>31.900000000000091</v>
      </c>
      <c r="AB83" t="str">
        <f>VLOOKUP(Tabela1[[#This Row],[SKU]],SKU!A:B,2,0)</f>
        <v>COXA SBCX S/O FG 240-260g PB</v>
      </c>
      <c r="AC83" t="str">
        <f>VLOOKUP(Tabela1[[#This Row],[SKU]],SKU!A:C,3,0)</f>
        <v>PERNA</v>
      </c>
    </row>
    <row r="84" spans="1:29" x14ac:dyDescent="0.3">
      <c r="A84" s="2">
        <f>INT(Tabela1[[#This Row],[Data e Hora2]])</f>
        <v>46246</v>
      </c>
      <c r="B84" t="str">
        <f>UPPER(TEXT(Tabela1[[#This Row],[Data Corrigida]],"MMM"))</f>
        <v>AGO</v>
      </c>
      <c r="C84" t="s">
        <v>77</v>
      </c>
      <c r="D84" s="2" t="s">
        <v>78</v>
      </c>
      <c r="E84" s="1" t="s">
        <v>74</v>
      </c>
      <c r="F84" t="s">
        <v>24</v>
      </c>
      <c r="G84" s="2" t="s">
        <v>79</v>
      </c>
      <c r="H84" t="s">
        <v>26</v>
      </c>
      <c r="I84" t="s">
        <v>27</v>
      </c>
      <c r="J84" s="6">
        <v>42862</v>
      </c>
      <c r="K84" s="16">
        <v>2023</v>
      </c>
      <c r="L84" s="16">
        <v>2015</v>
      </c>
      <c r="M84" s="16">
        <v>2004</v>
      </c>
      <c r="N84" s="16">
        <v>2018</v>
      </c>
      <c r="O84" s="16">
        <v>2003</v>
      </c>
      <c r="P84" s="16">
        <v>2004</v>
      </c>
      <c r="Q84" s="16">
        <v>2005</v>
      </c>
      <c r="R84" s="16">
        <v>2013</v>
      </c>
      <c r="S84" s="16">
        <v>2019</v>
      </c>
      <c r="T84" s="16">
        <v>2063</v>
      </c>
      <c r="U84" s="15">
        <v>2016.7</v>
      </c>
      <c r="V84" t="s">
        <v>19</v>
      </c>
      <c r="W84" t="s">
        <v>19</v>
      </c>
      <c r="X84">
        <v>115</v>
      </c>
      <c r="Y84" s="16">
        <f>VLOOKUP(Tabela1[[#This Row],[SKU]],SKU!A:D,4,0)</f>
        <v>2000</v>
      </c>
      <c r="Z84" s="18">
        <f>IFERROR((Tabela1[[#This Row],[Média]]-Tabela1[[#This Row],[Meta]])/Tabela1[[#This Row],[Meta]],"")</f>
        <v>8.3500000000000223E-3</v>
      </c>
      <c r="AA84" s="19">
        <f>Tabela1[[#This Row],[Média]]-Tabela1[[#This Row],[Meta]]</f>
        <v>16.700000000000045</v>
      </c>
      <c r="AB84" t="str">
        <f>VLOOKUP(Tabela1[[#This Row],[SKU]],SKU!A:B,2,0)</f>
        <v>COXA SBCX S/O FG 280-300g PB</v>
      </c>
      <c r="AC84" t="str">
        <f>VLOOKUP(Tabela1[[#This Row],[SKU]],SKU!A:C,3,0)</f>
        <v>PERNA</v>
      </c>
    </row>
    <row r="85" spans="1:29" x14ac:dyDescent="0.3">
      <c r="A85" s="2">
        <f>INT(Tabela1[[#This Row],[Data e Hora2]])</f>
        <v>46247</v>
      </c>
      <c r="B85" t="str">
        <f>UPPER(TEXT(Tabela1[[#This Row],[Data Corrigida]],"MMM"))</f>
        <v>AGO</v>
      </c>
      <c r="C85" t="s">
        <v>75</v>
      </c>
      <c r="D85" s="2" t="s">
        <v>76</v>
      </c>
      <c r="E85" s="1" t="s">
        <v>74</v>
      </c>
      <c r="F85" t="s">
        <v>24</v>
      </c>
      <c r="G85" s="2" t="s">
        <v>46</v>
      </c>
      <c r="H85" t="s">
        <v>26</v>
      </c>
      <c r="I85" t="s">
        <v>27</v>
      </c>
      <c r="J85" s="6">
        <v>42854</v>
      </c>
      <c r="K85" s="16">
        <v>2087</v>
      </c>
      <c r="L85" s="16">
        <v>2119</v>
      </c>
      <c r="M85" s="16">
        <v>1535</v>
      </c>
      <c r="N85" s="16">
        <v>2087</v>
      </c>
      <c r="O85" s="16">
        <v>2103</v>
      </c>
      <c r="P85" s="16">
        <v>2117</v>
      </c>
      <c r="Q85" s="16">
        <v>2118</v>
      </c>
      <c r="R85" s="16">
        <v>2109</v>
      </c>
      <c r="S85" s="16">
        <v>2122</v>
      </c>
      <c r="T85" s="16">
        <v>2123</v>
      </c>
      <c r="U85" s="15">
        <v>2052</v>
      </c>
      <c r="V85" t="s">
        <v>19</v>
      </c>
      <c r="W85" t="s">
        <v>19</v>
      </c>
      <c r="X85">
        <v>157</v>
      </c>
      <c r="Y85" s="16">
        <f>VLOOKUP(Tabela1[[#This Row],[SKU]],SKU!A:D,4,0)</f>
        <v>2080</v>
      </c>
      <c r="Z85" s="18">
        <f>IFERROR((Tabela1[[#This Row],[Média]]-Tabela1[[#This Row],[Meta]])/Tabela1[[#This Row],[Meta]],"")</f>
        <v>-1.3461538461538462E-2</v>
      </c>
      <c r="AA85" s="19">
        <f>Tabela1[[#This Row],[Média]]-Tabela1[[#This Row],[Meta]]</f>
        <v>-28</v>
      </c>
      <c r="AB85" t="str">
        <f>VLOOKUP(Tabela1[[#This Row],[SKU]],SKU!A:B,2,0)</f>
        <v>COXA SBCX S/O FG 260-280g PB</v>
      </c>
      <c r="AC85" t="str">
        <f>VLOOKUP(Tabela1[[#This Row],[SKU]],SKU!A:C,3,0)</f>
        <v>PERNA</v>
      </c>
    </row>
    <row r="86" spans="1:29" x14ac:dyDescent="0.3">
      <c r="A86" s="2">
        <f>INT(Tabela1[[#This Row],[Data e Hora2]])</f>
        <v>46247</v>
      </c>
      <c r="B86" t="str">
        <f>UPPER(TEXT(Tabela1[[#This Row],[Data Corrigida]],"MMM"))</f>
        <v>AGO</v>
      </c>
      <c r="C86" t="s">
        <v>72</v>
      </c>
      <c r="D86" s="2" t="s">
        <v>73</v>
      </c>
      <c r="E86" s="1" t="s">
        <v>74</v>
      </c>
      <c r="F86" t="s">
        <v>24</v>
      </c>
      <c r="G86" s="2" t="s">
        <v>46</v>
      </c>
      <c r="H86" t="s">
        <v>26</v>
      </c>
      <c r="I86" t="s">
        <v>27</v>
      </c>
      <c r="J86" s="6">
        <v>992093</v>
      </c>
      <c r="K86" s="16">
        <v>4992</v>
      </c>
      <c r="L86" s="16">
        <v>5020</v>
      </c>
      <c r="M86" s="16">
        <v>5013</v>
      </c>
      <c r="N86" s="16">
        <v>5014</v>
      </c>
      <c r="O86" s="16">
        <v>5019</v>
      </c>
      <c r="P86" s="16">
        <v>5008</v>
      </c>
      <c r="Q86" s="16">
        <v>5013</v>
      </c>
      <c r="R86" s="16">
        <v>5008</v>
      </c>
      <c r="S86" s="16">
        <v>5012</v>
      </c>
      <c r="T86" s="16">
        <v>5009</v>
      </c>
      <c r="U86" s="15">
        <v>5010.8</v>
      </c>
      <c r="V86" t="s">
        <v>19</v>
      </c>
      <c r="W86" t="s">
        <v>28</v>
      </c>
      <c r="X86">
        <v>474</v>
      </c>
      <c r="Y86" s="16">
        <f>VLOOKUP(Tabela1[[#This Row],[SKU]],SKU!A:D,4,0)</f>
        <v>5000</v>
      </c>
      <c r="Z86" s="18">
        <f>IFERROR((Tabela1[[#This Row],[Média]]-Tabela1[[#This Row],[Meta]])/Tabela1[[#This Row],[Meta]],"")</f>
        <v>2.1600000000000365E-3</v>
      </c>
      <c r="AA86" s="19">
        <f>Tabela1[[#This Row],[Média]]-Tabela1[[#This Row],[Meta]]</f>
        <v>10.800000000000182</v>
      </c>
      <c r="AB86" t="str">
        <f>VLOOKUP(Tabela1[[#This Row],[SKU]],SKU!A:B,2,0)</f>
        <v>PONTA ASA FG PB CG</v>
      </c>
      <c r="AC86" t="str">
        <f>VLOOKUP(Tabela1[[#This Row],[SKU]],SKU!A:C,3,0)</f>
        <v>ASA</v>
      </c>
    </row>
    <row r="87" spans="1:29" x14ac:dyDescent="0.3">
      <c r="A87" s="2">
        <f>INT(Tabela1[[#This Row],[Data e Hora2]])</f>
        <v>46247</v>
      </c>
      <c r="B87" t="str">
        <f>UPPER(TEXT(Tabela1[[#This Row],[Data Corrigida]],"MMM"))</f>
        <v>AGO</v>
      </c>
      <c r="C87" t="s">
        <v>86</v>
      </c>
      <c r="D87" s="2" t="s">
        <v>87</v>
      </c>
      <c r="E87" s="1" t="s">
        <v>88</v>
      </c>
      <c r="F87" t="s">
        <v>56</v>
      </c>
      <c r="G87" s="2" t="s">
        <v>46</v>
      </c>
      <c r="H87" t="s">
        <v>26</v>
      </c>
      <c r="I87" t="s">
        <v>57</v>
      </c>
      <c r="J87" s="6">
        <v>209039</v>
      </c>
      <c r="K87" s="16">
        <v>990</v>
      </c>
      <c r="L87" s="16">
        <v>991</v>
      </c>
      <c r="M87" s="16">
        <v>996</v>
      </c>
      <c r="N87" s="16">
        <v>1000</v>
      </c>
      <c r="O87" s="16">
        <v>986</v>
      </c>
      <c r="P87" s="16">
        <v>1000</v>
      </c>
      <c r="Q87" s="16">
        <v>1006</v>
      </c>
      <c r="R87" s="16">
        <v>997</v>
      </c>
      <c r="S87" s="16">
        <v>1010</v>
      </c>
      <c r="T87" s="16">
        <v>943</v>
      </c>
      <c r="U87" s="15">
        <v>991.9</v>
      </c>
      <c r="V87" t="s">
        <v>19</v>
      </c>
      <c r="W87" t="s">
        <v>28</v>
      </c>
      <c r="X87">
        <v>426</v>
      </c>
      <c r="Y87" s="16">
        <f>VLOOKUP(Tabela1[[#This Row],[SKU]],SKU!A:D,4,0)</f>
        <v>1000</v>
      </c>
      <c r="Z87" s="18">
        <f>IFERROR((Tabela1[[#This Row],[Média]]-Tabela1[[#This Row],[Meta]])/Tabela1[[#This Row],[Meta]],"")</f>
        <v>-8.1000000000000221E-3</v>
      </c>
      <c r="AA87" s="19">
        <f>Tabela1[[#This Row],[Média]]-Tabela1[[#This Row],[Meta]]</f>
        <v>-8.1000000000000227</v>
      </c>
      <c r="AB87" t="str">
        <f>VLOOKUP(Tabela1[[#This Row],[SKU]],SKU!A:B,2,0)</f>
        <v>COXINHA ASA IQF ALM 1KG</v>
      </c>
      <c r="AC87" t="str">
        <f>VLOOKUP(Tabela1[[#This Row],[SKU]],SKU!A:C,3,0)</f>
        <v>ASA</v>
      </c>
    </row>
    <row r="88" spans="1:29" x14ac:dyDescent="0.3">
      <c r="A88" s="2">
        <f>INT(Tabela1[[#This Row],[Data e Hora2]])</f>
        <v>46247</v>
      </c>
      <c r="B88" t="str">
        <f>UPPER(TEXT(Tabela1[[#This Row],[Data Corrigida]],"MMM"))</f>
        <v>AGO</v>
      </c>
      <c r="C88" t="s">
        <v>70</v>
      </c>
      <c r="D88" s="2" t="s">
        <v>71</v>
      </c>
      <c r="E88" s="1" t="s">
        <v>69</v>
      </c>
      <c r="F88" t="s">
        <v>24</v>
      </c>
      <c r="G88" s="2" t="s">
        <v>46</v>
      </c>
      <c r="H88" t="s">
        <v>26</v>
      </c>
      <c r="I88" t="s">
        <v>27</v>
      </c>
      <c r="J88" s="6">
        <v>15105</v>
      </c>
      <c r="K88" s="16">
        <v>1023</v>
      </c>
      <c r="L88" s="16">
        <v>1002</v>
      </c>
      <c r="M88" s="16">
        <v>1012</v>
      </c>
      <c r="N88" s="16">
        <v>1044</v>
      </c>
      <c r="O88" s="16">
        <v>975</v>
      </c>
      <c r="P88" s="16">
        <v>1015</v>
      </c>
      <c r="Q88" s="16">
        <v>1013</v>
      </c>
      <c r="R88" s="16">
        <v>996</v>
      </c>
      <c r="S88" s="16">
        <v>1001</v>
      </c>
      <c r="T88" s="16">
        <v>1014</v>
      </c>
      <c r="U88" s="15">
        <v>1009.5</v>
      </c>
      <c r="V88" t="s">
        <v>19</v>
      </c>
      <c r="W88" t="s">
        <v>28</v>
      </c>
      <c r="X88">
        <v>206</v>
      </c>
      <c r="Y88" s="16">
        <f>VLOOKUP(Tabela1[[#This Row],[SKU]],SKU!A:D,4,0)</f>
        <v>1000</v>
      </c>
      <c r="Z88" s="18">
        <f>IFERROR((Tabela1[[#This Row],[Média]]-Tabela1[[#This Row],[Meta]])/Tabela1[[#This Row],[Meta]],"")</f>
        <v>9.4999999999999998E-3</v>
      </c>
      <c r="AA88" s="19">
        <f>Tabela1[[#This Row],[Média]]-Tabela1[[#This Row],[Meta]]</f>
        <v>9.5</v>
      </c>
      <c r="AB88" t="str">
        <f>VLOOKUP(Tabela1[[#This Row],[SKU]],SKU!A:B,2,0)</f>
        <v>FILE PEITO MET CG BDJ SE</v>
      </c>
      <c r="AC88" t="str">
        <f>VLOOKUP(Tabela1[[#This Row],[SKU]],SKU!A:C,3,0)</f>
        <v>PEITO</v>
      </c>
    </row>
    <row r="89" spans="1:29" x14ac:dyDescent="0.3">
      <c r="A89" s="2">
        <f>INT(Tabela1[[#This Row],[Data e Hora2]])</f>
        <v>46247</v>
      </c>
      <c r="B89" t="str">
        <f>UPPER(TEXT(Tabela1[[#This Row],[Data Corrigida]],"MMM"))</f>
        <v>AGO</v>
      </c>
      <c r="C89" t="s">
        <v>67</v>
      </c>
      <c r="D89" s="2" t="s">
        <v>68</v>
      </c>
      <c r="E89" s="1" t="s">
        <v>69</v>
      </c>
      <c r="F89" t="s">
        <v>24</v>
      </c>
      <c r="G89" s="2" t="s">
        <v>46</v>
      </c>
      <c r="H89" t="s">
        <v>26</v>
      </c>
      <c r="I89" t="s">
        <v>27</v>
      </c>
      <c r="J89" s="6">
        <v>40762</v>
      </c>
      <c r="K89" s="16">
        <v>9965</v>
      </c>
      <c r="L89" s="16">
        <v>10020</v>
      </c>
      <c r="M89" s="16">
        <v>9850</v>
      </c>
      <c r="N89" s="16">
        <v>10040</v>
      </c>
      <c r="O89" s="16">
        <v>9945</v>
      </c>
      <c r="P89" s="16">
        <v>10310</v>
      </c>
      <c r="Q89" s="16">
        <v>9970</v>
      </c>
      <c r="R89" s="16">
        <v>9795</v>
      </c>
      <c r="S89" s="16">
        <v>10080</v>
      </c>
      <c r="T89" s="16">
        <v>9990</v>
      </c>
      <c r="U89" s="15">
        <v>9996.5</v>
      </c>
      <c r="V89" t="s">
        <v>19</v>
      </c>
      <c r="W89" t="s">
        <v>28</v>
      </c>
      <c r="X89">
        <v>845</v>
      </c>
      <c r="Y89" s="16">
        <f>VLOOKUP(Tabela1[[#This Row],[SKU]],SKU!A:D,4,0)</f>
        <v>10000</v>
      </c>
      <c r="Z89" s="18">
        <f>IFERROR((Tabela1[[#This Row],[Média]]-Tabela1[[#This Row],[Meta]])/Tabela1[[#This Row],[Meta]],"")</f>
        <v>-3.5E-4</v>
      </c>
      <c r="AA89" s="19">
        <f>Tabela1[[#This Row],[Média]]-Tabela1[[#This Row],[Meta]]</f>
        <v>-3.5</v>
      </c>
      <c r="AB89" t="str">
        <f>VLOOKUP(Tabela1[[#This Row],[SKU]],SKU!A:B,2,0)</f>
        <v>COXA SBCX LQ FG LP</v>
      </c>
      <c r="AC89" t="str">
        <f>VLOOKUP(Tabela1[[#This Row],[SKU]],SKU!A:C,3,0)</f>
        <v>PERNA</v>
      </c>
    </row>
    <row r="90" spans="1:29" x14ac:dyDescent="0.3">
      <c r="A90" s="2">
        <f>INT(Tabela1[[#This Row],[Data e Hora2]])</f>
        <v>46248</v>
      </c>
      <c r="B90" t="str">
        <f>UPPER(TEXT(Tabela1[[#This Row],[Data Corrigida]],"MMM"))</f>
        <v>AGO</v>
      </c>
      <c r="C90" t="s">
        <v>51</v>
      </c>
      <c r="D90" s="2" t="s">
        <v>52</v>
      </c>
      <c r="E90" s="1" t="s">
        <v>35</v>
      </c>
      <c r="F90" t="s">
        <v>24</v>
      </c>
      <c r="G90" s="2" t="s">
        <v>25</v>
      </c>
      <c r="H90" t="s">
        <v>26</v>
      </c>
      <c r="I90" t="s">
        <v>27</v>
      </c>
      <c r="J90" s="6">
        <v>15105</v>
      </c>
      <c r="K90" s="16">
        <v>1001</v>
      </c>
      <c r="L90" s="16">
        <v>1019</v>
      </c>
      <c r="M90" s="16">
        <v>1017</v>
      </c>
      <c r="N90" s="16">
        <v>1017</v>
      </c>
      <c r="O90" s="16">
        <v>1025</v>
      </c>
      <c r="P90" s="16">
        <v>1005</v>
      </c>
      <c r="Q90" s="16">
        <v>1045</v>
      </c>
      <c r="R90" s="16">
        <v>1025</v>
      </c>
      <c r="S90" s="16">
        <v>1037</v>
      </c>
      <c r="T90" s="16">
        <v>1060</v>
      </c>
      <c r="U90" s="15">
        <v>1025.0999999999999</v>
      </c>
      <c r="V90" t="s">
        <v>19</v>
      </c>
      <c r="W90" t="s">
        <v>28</v>
      </c>
      <c r="X90">
        <v>188</v>
      </c>
      <c r="Y90" s="16">
        <f>VLOOKUP(Tabela1[[#This Row],[SKU]],SKU!A:D,4,0)</f>
        <v>1000</v>
      </c>
      <c r="Z90" s="18">
        <f>IFERROR((Tabela1[[#This Row],[Média]]-Tabela1[[#This Row],[Meta]])/Tabela1[[#This Row],[Meta]],"")</f>
        <v>2.5099999999999911E-2</v>
      </c>
      <c r="AA90" s="19">
        <f>Tabela1[[#This Row],[Média]]-Tabela1[[#This Row],[Meta]]</f>
        <v>25.099999999999909</v>
      </c>
      <c r="AB90" t="str">
        <f>VLOOKUP(Tabela1[[#This Row],[SKU]],SKU!A:B,2,0)</f>
        <v>FILE PEITO MET CG BDJ SE</v>
      </c>
      <c r="AC90" t="str">
        <f>VLOOKUP(Tabela1[[#This Row],[SKU]],SKU!A:C,3,0)</f>
        <v>PEITO</v>
      </c>
    </row>
    <row r="91" spans="1:29" x14ac:dyDescent="0.3">
      <c r="A91" s="2">
        <f>INT(Tabela1[[#This Row],[Data e Hora2]])</f>
        <v>46248</v>
      </c>
      <c r="B91" t="str">
        <f>UPPER(TEXT(Tabela1[[#This Row],[Data Corrigida]],"MMM"))</f>
        <v>AGO</v>
      </c>
      <c r="C91" t="s">
        <v>49</v>
      </c>
      <c r="D91" s="2" t="s">
        <v>50</v>
      </c>
      <c r="E91" s="1" t="s">
        <v>35</v>
      </c>
      <c r="F91" t="s">
        <v>24</v>
      </c>
      <c r="G91" s="2" t="s">
        <v>25</v>
      </c>
      <c r="H91" t="s">
        <v>26</v>
      </c>
      <c r="I91" t="s">
        <v>27</v>
      </c>
      <c r="J91" s="6">
        <v>992093</v>
      </c>
      <c r="K91" s="16">
        <v>5033</v>
      </c>
      <c r="L91" s="16">
        <v>5052</v>
      </c>
      <c r="M91" s="16">
        <v>5037</v>
      </c>
      <c r="N91" s="16">
        <v>5017</v>
      </c>
      <c r="O91" s="16">
        <v>5016</v>
      </c>
      <c r="P91" s="16">
        <v>4999</v>
      </c>
      <c r="Q91" s="16">
        <v>5023</v>
      </c>
      <c r="R91" s="16">
        <v>5022</v>
      </c>
      <c r="S91" s="16">
        <v>5081</v>
      </c>
      <c r="T91" s="16">
        <v>5017</v>
      </c>
      <c r="U91" s="15">
        <v>5029.7</v>
      </c>
      <c r="V91" t="s">
        <v>19</v>
      </c>
      <c r="W91" t="s">
        <v>28</v>
      </c>
      <c r="X91">
        <v>690</v>
      </c>
      <c r="Y91" s="16">
        <f>VLOOKUP(Tabela1[[#This Row],[SKU]],SKU!A:D,4,0)</f>
        <v>5000</v>
      </c>
      <c r="Z91" s="18">
        <f>IFERROR((Tabela1[[#This Row],[Média]]-Tabela1[[#This Row],[Meta]])/Tabela1[[#This Row],[Meta]],"")</f>
        <v>5.9399999999999635E-3</v>
      </c>
      <c r="AA91" s="19">
        <f>Tabela1[[#This Row],[Média]]-Tabela1[[#This Row],[Meta]]</f>
        <v>29.699999999999818</v>
      </c>
      <c r="AB91" t="str">
        <f>VLOOKUP(Tabela1[[#This Row],[SKU]],SKU!A:B,2,0)</f>
        <v>PONTA ASA FG PB CG</v>
      </c>
      <c r="AC91" t="str">
        <f>VLOOKUP(Tabela1[[#This Row],[SKU]],SKU!A:C,3,0)</f>
        <v>ASA</v>
      </c>
    </row>
    <row r="92" spans="1:29" x14ac:dyDescent="0.3">
      <c r="A92" s="2">
        <f>INT(Tabela1[[#This Row],[Data e Hora2]])</f>
        <v>46248</v>
      </c>
      <c r="B92" t="str">
        <f>UPPER(TEXT(Tabela1[[#This Row],[Data Corrigida]],"MMM"))</f>
        <v>AGO</v>
      </c>
      <c r="C92" t="s">
        <v>47</v>
      </c>
      <c r="D92" s="2" t="s">
        <v>48</v>
      </c>
      <c r="E92" s="1" t="s">
        <v>35</v>
      </c>
      <c r="F92" t="s">
        <v>24</v>
      </c>
      <c r="G92" s="2" t="s">
        <v>25</v>
      </c>
      <c r="H92" t="s">
        <v>26</v>
      </c>
      <c r="I92" t="s">
        <v>27</v>
      </c>
      <c r="J92" s="6">
        <v>15229</v>
      </c>
      <c r="K92" s="16">
        <v>1078</v>
      </c>
      <c r="L92" s="16">
        <v>956</v>
      </c>
      <c r="M92" s="16">
        <v>1025</v>
      </c>
      <c r="N92" s="16">
        <v>1011</v>
      </c>
      <c r="O92" s="16">
        <v>1079</v>
      </c>
      <c r="P92" s="16">
        <v>992</v>
      </c>
      <c r="Q92" s="16">
        <v>983</v>
      </c>
      <c r="R92" s="16">
        <v>985</v>
      </c>
      <c r="S92" s="16">
        <v>927</v>
      </c>
      <c r="T92" s="16">
        <v>991</v>
      </c>
      <c r="U92" s="15">
        <v>1002.7</v>
      </c>
      <c r="V92" t="s">
        <v>19</v>
      </c>
      <c r="W92" t="s">
        <v>28</v>
      </c>
      <c r="X92">
        <v>312</v>
      </c>
      <c r="Y92" s="16">
        <f>VLOOKUP(Tabela1[[#This Row],[SKU]],SKU!A:D,4,0)</f>
        <v>1000</v>
      </c>
      <c r="Z92" s="18">
        <f>IFERROR((Tabela1[[#This Row],[Média]]-Tabela1[[#This Row],[Meta]])/Tabela1[[#This Row],[Meta]],"")</f>
        <v>2.7000000000000457E-3</v>
      </c>
      <c r="AA92" s="19">
        <f>Tabela1[[#This Row],[Média]]-Tabela1[[#This Row],[Meta]]</f>
        <v>2.7000000000000455</v>
      </c>
      <c r="AB92" t="str">
        <f>VLOOKUP(Tabela1[[#This Row],[SKU]],SKU!A:B,2,0)</f>
        <v>COXA CG BDJ SE</v>
      </c>
      <c r="AC92" t="str">
        <f>VLOOKUP(Tabela1[[#This Row],[SKU]],SKU!A:C,3,0)</f>
        <v>PERNA</v>
      </c>
    </row>
    <row r="93" spans="1:29" x14ac:dyDescent="0.3">
      <c r="A93" s="2">
        <f>INT(Tabela1[[#This Row],[Data e Hora2]])</f>
        <v>46247</v>
      </c>
      <c r="B93" t="str">
        <f>UPPER(TEXT(Tabela1[[#This Row],[Data Corrigida]],"MMM"))</f>
        <v>AGO</v>
      </c>
      <c r="C93" t="s">
        <v>44</v>
      </c>
      <c r="D93" s="2" t="s">
        <v>45</v>
      </c>
      <c r="E93" s="1" t="s">
        <v>35</v>
      </c>
      <c r="F93" t="s">
        <v>24</v>
      </c>
      <c r="G93" s="2" t="s">
        <v>46</v>
      </c>
      <c r="H93" t="s">
        <v>26</v>
      </c>
      <c r="I93" t="s">
        <v>27</v>
      </c>
      <c r="J93" s="6">
        <v>13188</v>
      </c>
      <c r="K93" s="16">
        <v>1020</v>
      </c>
      <c r="L93" s="16">
        <v>1025</v>
      </c>
      <c r="M93" s="16">
        <v>1023</v>
      </c>
      <c r="N93" s="16">
        <v>1024</v>
      </c>
      <c r="O93" s="16">
        <v>1008</v>
      </c>
      <c r="P93" s="16">
        <v>1021</v>
      </c>
      <c r="Q93" s="16">
        <v>1017</v>
      </c>
      <c r="R93" s="16">
        <v>1029</v>
      </c>
      <c r="S93" s="16">
        <v>1015</v>
      </c>
      <c r="T93" s="16">
        <v>1012</v>
      </c>
      <c r="U93" s="15">
        <v>1019.4</v>
      </c>
      <c r="V93" t="s">
        <v>19</v>
      </c>
      <c r="W93" t="s">
        <v>19</v>
      </c>
      <c r="X93">
        <v>271</v>
      </c>
      <c r="Y93" s="16">
        <f>VLOOKUP(Tabela1[[#This Row],[SKU]],SKU!A:D,4,0)</f>
        <v>1000</v>
      </c>
      <c r="Z93" s="18">
        <f>IFERROR((Tabela1[[#This Row],[Média]]-Tabela1[[#This Row],[Meta]])/Tabela1[[#This Row],[Meta]],"")</f>
        <v>1.9399999999999976E-2</v>
      </c>
      <c r="AA93" s="19">
        <f>Tabela1[[#This Row],[Média]]-Tabela1[[#This Row],[Meta]]</f>
        <v>19.399999999999977</v>
      </c>
      <c r="AB93" t="str">
        <f>VLOOKUP(Tabela1[[#This Row],[SKU]],SKU!A:B,2,0)</f>
        <v>SOBRECOXA CG BDJ SE</v>
      </c>
      <c r="AC93" t="str">
        <f>VLOOKUP(Tabela1[[#This Row],[SKU]],SKU!A:C,3,0)</f>
        <v>PERNA</v>
      </c>
    </row>
    <row r="94" spans="1:29" x14ac:dyDescent="0.3">
      <c r="A94" s="2">
        <f>INT(Tabela1[[#This Row],[Data e Hora2]])</f>
        <v>46248</v>
      </c>
      <c r="B94" t="str">
        <f>UPPER(TEXT(Tabela1[[#This Row],[Data Corrigida]],"MMM"))</f>
        <v>AGO</v>
      </c>
      <c r="C94" t="s">
        <v>42</v>
      </c>
      <c r="D94" s="2" t="s">
        <v>43</v>
      </c>
      <c r="E94" s="1" t="s">
        <v>35</v>
      </c>
      <c r="F94" t="s">
        <v>24</v>
      </c>
      <c r="G94" s="2" t="s">
        <v>25</v>
      </c>
      <c r="H94" t="s">
        <v>26</v>
      </c>
      <c r="I94" t="s">
        <v>27</v>
      </c>
      <c r="J94" s="6">
        <v>42862</v>
      </c>
      <c r="K94" s="16">
        <v>2009</v>
      </c>
      <c r="L94" s="16">
        <v>2011</v>
      </c>
      <c r="M94" s="16">
        <v>2010</v>
      </c>
      <c r="N94" s="16">
        <v>2071</v>
      </c>
      <c r="O94" s="16">
        <v>2006</v>
      </c>
      <c r="P94" s="16">
        <v>2003</v>
      </c>
      <c r="Q94" s="16">
        <v>2065</v>
      </c>
      <c r="R94" s="16">
        <v>2008</v>
      </c>
      <c r="S94" s="16">
        <v>1996</v>
      </c>
      <c r="T94" s="16">
        <v>2010</v>
      </c>
      <c r="U94" s="15">
        <v>2018.9</v>
      </c>
      <c r="V94" t="s">
        <v>19</v>
      </c>
      <c r="W94" t="s">
        <v>19</v>
      </c>
      <c r="X94">
        <v>294</v>
      </c>
      <c r="Y94" s="16">
        <f>VLOOKUP(Tabela1[[#This Row],[SKU]],SKU!A:D,4,0)</f>
        <v>2000</v>
      </c>
      <c r="Z94" s="18">
        <f>IFERROR((Tabela1[[#This Row],[Média]]-Tabela1[[#This Row],[Meta]])/Tabela1[[#This Row],[Meta]],"")</f>
        <v>9.4500000000000452E-3</v>
      </c>
      <c r="AA94" s="19">
        <f>Tabela1[[#This Row],[Média]]-Tabela1[[#This Row],[Meta]]</f>
        <v>18.900000000000091</v>
      </c>
      <c r="AB94" t="str">
        <f>VLOOKUP(Tabela1[[#This Row],[SKU]],SKU!A:B,2,0)</f>
        <v>COXA SBCX S/O FG 280-300g PB</v>
      </c>
      <c r="AC94" t="str">
        <f>VLOOKUP(Tabela1[[#This Row],[SKU]],SKU!A:C,3,0)</f>
        <v>PERNA</v>
      </c>
    </row>
    <row r="95" spans="1:29" x14ac:dyDescent="0.3">
      <c r="A95" s="2">
        <f>INT(Tabela1[[#This Row],[Data e Hora2]])</f>
        <v>46248</v>
      </c>
      <c r="B95" t="str">
        <f>UPPER(TEXT(Tabela1[[#This Row],[Data Corrigida]],"MMM"))</f>
        <v>AGO</v>
      </c>
      <c r="C95" t="s">
        <v>40</v>
      </c>
      <c r="D95" s="2" t="s">
        <v>41</v>
      </c>
      <c r="E95" s="1" t="s">
        <v>35</v>
      </c>
      <c r="F95" t="s">
        <v>24</v>
      </c>
      <c r="G95" s="2" t="s">
        <v>25</v>
      </c>
      <c r="H95" t="s">
        <v>26</v>
      </c>
      <c r="I95" t="s">
        <v>27</v>
      </c>
      <c r="J95" s="6">
        <v>42854</v>
      </c>
      <c r="K95" s="16">
        <v>2137</v>
      </c>
      <c r="L95" s="16">
        <v>2147</v>
      </c>
      <c r="M95" s="16">
        <v>2096</v>
      </c>
      <c r="N95" s="16">
        <v>2133</v>
      </c>
      <c r="O95" s="16">
        <v>2113</v>
      </c>
      <c r="P95" s="16">
        <v>2131</v>
      </c>
      <c r="Q95" s="16">
        <v>2108</v>
      </c>
      <c r="R95" s="16">
        <v>2073</v>
      </c>
      <c r="S95" s="16">
        <v>2125</v>
      </c>
      <c r="T95" s="16">
        <v>2074</v>
      </c>
      <c r="U95" s="15">
        <v>2113.6999999999998</v>
      </c>
      <c r="V95" t="s">
        <v>19</v>
      </c>
      <c r="W95" t="s">
        <v>19</v>
      </c>
      <c r="X95">
        <v>177</v>
      </c>
      <c r="Y95" s="16">
        <f>VLOOKUP(Tabela1[[#This Row],[SKU]],SKU!A:D,4,0)</f>
        <v>2080</v>
      </c>
      <c r="Z95" s="18">
        <f>IFERROR((Tabela1[[#This Row],[Média]]-Tabela1[[#This Row],[Meta]])/Tabela1[[#This Row],[Meta]],"")</f>
        <v>1.6201923076922989E-2</v>
      </c>
      <c r="AA95" s="19">
        <f>Tabela1[[#This Row],[Média]]-Tabela1[[#This Row],[Meta]]</f>
        <v>33.699999999999818</v>
      </c>
      <c r="AB95" t="str">
        <f>VLOOKUP(Tabela1[[#This Row],[SKU]],SKU!A:B,2,0)</f>
        <v>COXA SBCX S/O FG 260-280g PB</v>
      </c>
      <c r="AC95" t="str">
        <f>VLOOKUP(Tabela1[[#This Row],[SKU]],SKU!A:C,3,0)</f>
        <v>PERNA</v>
      </c>
    </row>
    <row r="96" spans="1:29" x14ac:dyDescent="0.3">
      <c r="A96" s="2">
        <f>INT(Tabela1[[#This Row],[Data e Hora2]])</f>
        <v>46248</v>
      </c>
      <c r="B96" t="str">
        <f>UPPER(TEXT(Tabela1[[#This Row],[Data Corrigida]],"MMM"))</f>
        <v>AGO</v>
      </c>
      <c r="C96" t="s">
        <v>38</v>
      </c>
      <c r="D96" s="2" t="s">
        <v>39</v>
      </c>
      <c r="E96" s="1" t="s">
        <v>35</v>
      </c>
      <c r="F96" t="s">
        <v>24</v>
      </c>
      <c r="G96" s="2" t="s">
        <v>25</v>
      </c>
      <c r="H96" t="s">
        <v>26</v>
      </c>
      <c r="I96" t="s">
        <v>27</v>
      </c>
      <c r="J96" s="6">
        <v>42846</v>
      </c>
      <c r="K96" s="16">
        <v>2000</v>
      </c>
      <c r="L96" s="16">
        <v>2010</v>
      </c>
      <c r="M96" s="16">
        <v>2012</v>
      </c>
      <c r="N96" s="16">
        <v>2014</v>
      </c>
      <c r="O96" s="16">
        <v>2018</v>
      </c>
      <c r="P96" s="16">
        <v>2012</v>
      </c>
      <c r="Q96" s="16">
        <v>2003</v>
      </c>
      <c r="R96" s="16">
        <v>2006</v>
      </c>
      <c r="S96" s="16">
        <v>2008</v>
      </c>
      <c r="T96" s="16">
        <v>2010</v>
      </c>
      <c r="U96" s="15">
        <v>2009.3</v>
      </c>
      <c r="V96" t="s">
        <v>19</v>
      </c>
      <c r="W96" t="s">
        <v>28</v>
      </c>
      <c r="X96">
        <v>177</v>
      </c>
      <c r="Y96" s="16">
        <f>VLOOKUP(Tabela1[[#This Row],[SKU]],SKU!A:D,4,0)</f>
        <v>2000</v>
      </c>
      <c r="Z96" s="18">
        <f>IFERROR((Tabela1[[#This Row],[Média]]-Tabela1[[#This Row],[Meta]])/Tabela1[[#This Row],[Meta]],"")</f>
        <v>4.6499999999999771E-3</v>
      </c>
      <c r="AA96" s="19">
        <f>Tabela1[[#This Row],[Média]]-Tabela1[[#This Row],[Meta]]</f>
        <v>9.2999999999999545</v>
      </c>
      <c r="AB96" t="str">
        <f>VLOOKUP(Tabela1[[#This Row],[SKU]],SKU!A:B,2,0)</f>
        <v>COXA SBCX S/O FG 240-260g PB</v>
      </c>
      <c r="AC96" t="str">
        <f>VLOOKUP(Tabela1[[#This Row],[SKU]],SKU!A:C,3,0)</f>
        <v>PERNA</v>
      </c>
    </row>
    <row r="97" spans="1:29" x14ac:dyDescent="0.3">
      <c r="A97" s="2">
        <f>INT(Tabela1[[#This Row],[Data e Hora2]])</f>
        <v>46248</v>
      </c>
      <c r="B97" t="str">
        <f>UPPER(TEXT(Tabela1[[#This Row],[Data Corrigida]],"MMM"))</f>
        <v>AGO</v>
      </c>
      <c r="C97" t="s">
        <v>36</v>
      </c>
      <c r="D97" s="2" t="s">
        <v>37</v>
      </c>
      <c r="E97" s="1" t="s">
        <v>35</v>
      </c>
      <c r="F97" t="s">
        <v>24</v>
      </c>
      <c r="G97" s="2" t="s">
        <v>25</v>
      </c>
      <c r="H97" t="s">
        <v>26</v>
      </c>
      <c r="I97" t="s">
        <v>27</v>
      </c>
      <c r="J97" s="6">
        <v>42820</v>
      </c>
      <c r="K97" s="16">
        <v>2162</v>
      </c>
      <c r="L97" s="16">
        <v>2027</v>
      </c>
      <c r="M97" s="16">
        <v>2014</v>
      </c>
      <c r="N97" s="16">
        <v>2008</v>
      </c>
      <c r="O97" s="16">
        <v>2009</v>
      </c>
      <c r="P97" s="16">
        <v>2018</v>
      </c>
      <c r="Q97" s="16">
        <v>2007</v>
      </c>
      <c r="R97" s="16">
        <v>2009</v>
      </c>
      <c r="S97" s="16">
        <v>2028</v>
      </c>
      <c r="T97" s="16">
        <v>2038</v>
      </c>
      <c r="U97" s="15">
        <v>2032</v>
      </c>
      <c r="V97" t="s">
        <v>19</v>
      </c>
      <c r="W97" t="s">
        <v>19</v>
      </c>
      <c r="X97">
        <v>322</v>
      </c>
      <c r="Y97" s="16">
        <f>VLOOKUP(Tabela1[[#This Row],[SKU]],SKU!A:D,4,0)</f>
        <v>2000</v>
      </c>
      <c r="Z97" s="18">
        <f>IFERROR((Tabela1[[#This Row],[Média]]-Tabela1[[#This Row],[Meta]])/Tabela1[[#This Row],[Meta]],"")</f>
        <v>1.6E-2</v>
      </c>
      <c r="AA97" s="19">
        <f>Tabela1[[#This Row],[Média]]-Tabela1[[#This Row],[Meta]]</f>
        <v>32</v>
      </c>
      <c r="AB97" t="str">
        <f>VLOOKUP(Tabela1[[#This Row],[SKU]],SKU!A:B,2,0)</f>
        <v>COXA SBCX S/O FG 200-220g PB</v>
      </c>
      <c r="AC97" t="str">
        <f>VLOOKUP(Tabela1[[#This Row],[SKU]],SKU!A:C,3,0)</f>
        <v>PERNA</v>
      </c>
    </row>
    <row r="98" spans="1:29" x14ac:dyDescent="0.3">
      <c r="A98" s="2">
        <f>INT(Tabela1[[#This Row],[Data e Hora2]])</f>
        <v>46248</v>
      </c>
      <c r="B98" t="str">
        <f>UPPER(TEXT(Tabela1[[#This Row],[Data Corrigida]],"MMM"))</f>
        <v>AGO</v>
      </c>
      <c r="C98" t="s">
        <v>33</v>
      </c>
      <c r="D98" s="2" t="s">
        <v>34</v>
      </c>
      <c r="E98" s="1" t="s">
        <v>35</v>
      </c>
      <c r="F98" t="s">
        <v>24</v>
      </c>
      <c r="G98" s="2" t="s">
        <v>25</v>
      </c>
      <c r="H98" t="s">
        <v>26</v>
      </c>
      <c r="I98" t="s">
        <v>27</v>
      </c>
      <c r="J98" s="6">
        <v>42838</v>
      </c>
      <c r="K98" s="16">
        <v>2077</v>
      </c>
      <c r="L98" s="16">
        <v>2052</v>
      </c>
      <c r="M98" s="16">
        <v>2035</v>
      </c>
      <c r="N98" s="16">
        <v>2078</v>
      </c>
      <c r="O98" s="16">
        <v>2047</v>
      </c>
      <c r="P98" s="16">
        <v>2082</v>
      </c>
      <c r="Q98" s="16">
        <v>2062</v>
      </c>
      <c r="R98" s="16">
        <v>2030</v>
      </c>
      <c r="S98" s="16">
        <v>2095</v>
      </c>
      <c r="T98" s="16">
        <v>2052</v>
      </c>
      <c r="U98" s="15">
        <v>2061</v>
      </c>
      <c r="V98" t="s">
        <v>19</v>
      </c>
      <c r="W98" t="s">
        <v>28</v>
      </c>
      <c r="X98">
        <v>155</v>
      </c>
      <c r="Y98" s="16">
        <f>VLOOKUP(Tabela1[[#This Row],[SKU]],SKU!A:D,4,0)</f>
        <v>2000</v>
      </c>
      <c r="Z98" s="18">
        <f>IFERROR((Tabela1[[#This Row],[Média]]-Tabela1[[#This Row],[Meta]])/Tabela1[[#This Row],[Meta]],"")</f>
        <v>3.0499999999999999E-2</v>
      </c>
      <c r="AA98" s="19">
        <f>Tabela1[[#This Row],[Média]]-Tabela1[[#This Row],[Meta]]</f>
        <v>61</v>
      </c>
      <c r="AB98" t="str">
        <f>VLOOKUP(Tabela1[[#This Row],[SKU]],SKU!A:B,2,0)</f>
        <v>COXA SBCX S/O FG 220-240g PB</v>
      </c>
      <c r="AC98" t="str">
        <f>VLOOKUP(Tabela1[[#This Row],[SKU]],SKU!A:C,3,0)</f>
        <v>PERNA</v>
      </c>
    </row>
    <row r="99" spans="1:29" x14ac:dyDescent="0.3">
      <c r="A99" s="2">
        <f>INT(Tabela1[[#This Row],[Data e Hora2]])</f>
        <v>46248</v>
      </c>
      <c r="B99" t="str">
        <f>UPPER(TEXT(Tabela1[[#This Row],[Data Corrigida]],"MMM"))</f>
        <v>AGO</v>
      </c>
      <c r="C99" t="s">
        <v>64</v>
      </c>
      <c r="D99" s="2" t="s">
        <v>65</v>
      </c>
      <c r="E99" s="1" t="s">
        <v>66</v>
      </c>
      <c r="F99" t="s">
        <v>56</v>
      </c>
      <c r="G99" s="2" t="s">
        <v>25</v>
      </c>
      <c r="H99" t="s">
        <v>26</v>
      </c>
      <c r="I99" t="s">
        <v>57</v>
      </c>
      <c r="J99" s="6">
        <v>31454</v>
      </c>
      <c r="K99" s="16">
        <v>2238</v>
      </c>
      <c r="L99" s="16">
        <v>2484</v>
      </c>
      <c r="M99" s="16">
        <v>2485</v>
      </c>
      <c r="N99" s="16">
        <v>2489</v>
      </c>
      <c r="O99" s="16">
        <v>2497</v>
      </c>
      <c r="P99" s="16">
        <v>2565</v>
      </c>
      <c r="Q99" s="16">
        <v>2502</v>
      </c>
      <c r="R99" s="16">
        <v>2169</v>
      </c>
      <c r="S99" s="16">
        <v>2567</v>
      </c>
      <c r="T99" s="16">
        <v>2532</v>
      </c>
      <c r="U99" s="15">
        <v>2452.8000000000002</v>
      </c>
      <c r="V99" t="s">
        <v>19</v>
      </c>
      <c r="W99" t="s">
        <v>28</v>
      </c>
      <c r="X99">
        <v>486</v>
      </c>
      <c r="Y99" s="16">
        <f>VLOOKUP(Tabela1[[#This Row],[SKU]],SKU!A:D,4,0)</f>
        <v>2500</v>
      </c>
      <c r="Z99" s="18">
        <f>IFERROR((Tabela1[[#This Row],[Média]]-Tabela1[[#This Row],[Meta]])/Tabela1[[#This Row],[Meta]],"")</f>
        <v>-1.8879999999999928E-2</v>
      </c>
      <c r="AA99" s="19">
        <f>Tabela1[[#This Row],[Média]]-Tabela1[[#This Row],[Meta]]</f>
        <v>-47.199999999999818</v>
      </c>
      <c r="AB99" t="str">
        <f>VLOOKUP(Tabela1[[#This Row],[SKU]],SKU!A:B,2,0)</f>
        <v>MEIO DE ASA 2,5KG  IQF</v>
      </c>
      <c r="AC99" t="str">
        <f>VLOOKUP(Tabela1[[#This Row],[SKU]],SKU!A:C,3,0)</f>
        <v>ASA</v>
      </c>
    </row>
    <row r="100" spans="1:29" x14ac:dyDescent="0.3">
      <c r="A100" s="2">
        <f>INT(Tabela1[[#This Row],[Data e Hora2]])</f>
        <v>46248</v>
      </c>
      <c r="B100" t="str">
        <f>UPPER(TEXT(Tabela1[[#This Row],[Data Corrigida]],"MMM"))</f>
        <v>AGO</v>
      </c>
      <c r="C100" t="s">
        <v>61</v>
      </c>
      <c r="D100" s="2" t="s">
        <v>62</v>
      </c>
      <c r="E100" s="1" t="s">
        <v>63</v>
      </c>
      <c r="F100" t="s">
        <v>56</v>
      </c>
      <c r="G100" s="2" t="s">
        <v>25</v>
      </c>
      <c r="H100" t="s">
        <v>26</v>
      </c>
      <c r="I100" t="s">
        <v>57</v>
      </c>
      <c r="J100" s="6">
        <v>18228</v>
      </c>
      <c r="K100" s="16">
        <v>994</v>
      </c>
      <c r="L100" s="16">
        <v>974</v>
      </c>
      <c r="M100" s="16">
        <v>997</v>
      </c>
      <c r="N100" s="16">
        <v>992</v>
      </c>
      <c r="O100" s="16">
        <v>1003</v>
      </c>
      <c r="P100" s="16">
        <v>987</v>
      </c>
      <c r="Q100" s="16">
        <v>998</v>
      </c>
      <c r="R100" s="16">
        <v>993</v>
      </c>
      <c r="S100" s="16">
        <v>1000</v>
      </c>
      <c r="T100" s="16">
        <v>1000</v>
      </c>
      <c r="U100" s="15">
        <v>993.8</v>
      </c>
      <c r="V100" t="s">
        <v>19</v>
      </c>
      <c r="W100" t="s">
        <v>28</v>
      </c>
      <c r="X100">
        <v>1098</v>
      </c>
      <c r="Y100" s="16">
        <f>VLOOKUP(Tabela1[[#This Row],[SKU]],SKU!A:D,4,0)</f>
        <v>1000</v>
      </c>
      <c r="Z100" s="18">
        <f>IFERROR((Tabela1[[#This Row],[Média]]-Tabela1[[#This Row],[Meta]])/Tabela1[[#This Row],[Meta]],"")</f>
        <v>-6.2000000000000458E-3</v>
      </c>
      <c r="AA100" s="19">
        <f>Tabela1[[#This Row],[Média]]-Tabela1[[#This Row],[Meta]]</f>
        <v>-6.2000000000000455</v>
      </c>
      <c r="AB100" t="str">
        <f>VLOOKUP(Tabela1[[#This Row],[SKU]],SKU!A:B,2,0)</f>
        <v>MOELA FRANGO CG ALM SE</v>
      </c>
      <c r="AC100" t="str">
        <f>VLOOKUP(Tabela1[[#This Row],[SKU]],SKU!A:C,3,0)</f>
        <v>MOELA</v>
      </c>
    </row>
    <row r="101" spans="1:29" x14ac:dyDescent="0.3">
      <c r="A101" s="2">
        <f>INT(Tabela1[[#This Row],[Data e Hora2]])</f>
        <v>46248</v>
      </c>
      <c r="B101" t="str">
        <f>UPPER(TEXT(Tabela1[[#This Row],[Data Corrigida]],"MMM"))</f>
        <v>AGO</v>
      </c>
      <c r="C101" t="s">
        <v>58</v>
      </c>
      <c r="D101" s="2" t="s">
        <v>59</v>
      </c>
      <c r="E101" s="1" t="s">
        <v>60</v>
      </c>
      <c r="F101" t="s">
        <v>56</v>
      </c>
      <c r="G101" s="2" t="s">
        <v>25</v>
      </c>
      <c r="H101" t="s">
        <v>26</v>
      </c>
      <c r="I101" t="s">
        <v>57</v>
      </c>
      <c r="J101" s="6">
        <v>197734</v>
      </c>
      <c r="K101" s="16">
        <v>1004</v>
      </c>
      <c r="L101" s="16">
        <v>1000</v>
      </c>
      <c r="M101" s="16">
        <v>1005</v>
      </c>
      <c r="N101" s="16">
        <v>1002</v>
      </c>
      <c r="O101" s="16">
        <v>1018</v>
      </c>
      <c r="P101" s="16">
        <v>1029</v>
      </c>
      <c r="Q101" s="16">
        <v>993</v>
      </c>
      <c r="R101" s="16">
        <v>1002</v>
      </c>
      <c r="S101" s="16">
        <v>998</v>
      </c>
      <c r="T101" s="16">
        <v>996</v>
      </c>
      <c r="U101" s="15">
        <v>1004.7</v>
      </c>
      <c r="V101" t="s">
        <v>19</v>
      </c>
      <c r="W101" t="s">
        <v>28</v>
      </c>
      <c r="X101">
        <v>203</v>
      </c>
      <c r="Y101" s="16">
        <f>VLOOKUP(Tabela1[[#This Row],[SKU]],SKU!A:D,4,0)</f>
        <v>1000</v>
      </c>
      <c r="Z101" s="18">
        <f>IFERROR((Tabela1[[#This Row],[Média]]-Tabela1[[#This Row],[Meta]])/Tabela1[[#This Row],[Meta]],"")</f>
        <v>4.7000000000000453E-3</v>
      </c>
      <c r="AA101" s="19">
        <f>Tabela1[[#This Row],[Média]]-Tabela1[[#This Row],[Meta]]</f>
        <v>4.7000000000000455</v>
      </c>
      <c r="AB101" t="str">
        <f>VLOOKUP(Tabela1[[#This Row],[SKU]],SKU!A:B,2,0)</f>
        <v>FILEZINHO FRANGO IQF ALM SE</v>
      </c>
      <c r="AC101" t="str">
        <f>VLOOKUP(Tabela1[[#This Row],[SKU]],SKU!A:C,3,0)</f>
        <v>SASSAMI</v>
      </c>
    </row>
    <row r="102" spans="1:29" x14ac:dyDescent="0.3">
      <c r="A102" s="2">
        <f>INT(Tabela1[[#This Row],[Data e Hora2]])</f>
        <v>46248</v>
      </c>
      <c r="B102" t="str">
        <f>UPPER(TEXT(Tabela1[[#This Row],[Data Corrigida]],"MMM"))</f>
        <v>AGO</v>
      </c>
      <c r="C102" t="s">
        <v>31</v>
      </c>
      <c r="D102" s="2" t="s">
        <v>32</v>
      </c>
      <c r="E102" s="1" t="s">
        <v>23</v>
      </c>
      <c r="F102" t="s">
        <v>24</v>
      </c>
      <c r="G102" s="2" t="s">
        <v>25</v>
      </c>
      <c r="H102" t="s">
        <v>26</v>
      </c>
      <c r="I102" t="s">
        <v>19</v>
      </c>
      <c r="J102" s="6">
        <v>15105</v>
      </c>
      <c r="K102" s="16">
        <v>1019</v>
      </c>
      <c r="L102" s="16">
        <v>1001</v>
      </c>
      <c r="M102" s="16">
        <v>1000</v>
      </c>
      <c r="N102" s="16">
        <v>1000</v>
      </c>
      <c r="O102" s="16">
        <v>1003</v>
      </c>
      <c r="P102" s="16">
        <v>997</v>
      </c>
      <c r="Q102" s="16">
        <v>1039</v>
      </c>
      <c r="R102" s="16">
        <v>1034</v>
      </c>
      <c r="S102" s="16">
        <v>1006</v>
      </c>
      <c r="T102" s="16">
        <v>1021</v>
      </c>
      <c r="U102" s="15">
        <v>1012</v>
      </c>
      <c r="V102" t="s">
        <v>19</v>
      </c>
      <c r="W102" t="s">
        <v>28</v>
      </c>
      <c r="X102">
        <v>1282</v>
      </c>
      <c r="Y102" s="16">
        <f>VLOOKUP(Tabela1[[#This Row],[SKU]],SKU!A:D,4,0)</f>
        <v>1000</v>
      </c>
      <c r="Z102" s="18">
        <f>IFERROR((Tabela1[[#This Row],[Média]]-Tabela1[[#This Row],[Meta]])/Tabela1[[#This Row],[Meta]],"")</f>
        <v>1.2E-2</v>
      </c>
      <c r="AA102" s="19">
        <f>Tabela1[[#This Row],[Média]]-Tabela1[[#This Row],[Meta]]</f>
        <v>12</v>
      </c>
      <c r="AB102" t="str">
        <f>VLOOKUP(Tabela1[[#This Row],[SKU]],SKU!A:B,2,0)</f>
        <v>FILE PEITO MET CG BDJ SE</v>
      </c>
      <c r="AC102" t="str">
        <f>VLOOKUP(Tabela1[[#This Row],[SKU]],SKU!A:C,3,0)</f>
        <v>PEITO</v>
      </c>
    </row>
    <row r="103" spans="1:29" x14ac:dyDescent="0.3">
      <c r="A103" s="2">
        <f>INT(Tabela1[[#This Row],[Data e Hora2]])</f>
        <v>46248</v>
      </c>
      <c r="B103" t="str">
        <f>UPPER(TEXT(Tabela1[[#This Row],[Data Corrigida]],"MMM"))</f>
        <v>AGO</v>
      </c>
      <c r="C103" t="s">
        <v>29</v>
      </c>
      <c r="D103" s="2" t="s">
        <v>30</v>
      </c>
      <c r="E103" s="1" t="s">
        <v>23</v>
      </c>
      <c r="F103" t="s">
        <v>24</v>
      </c>
      <c r="G103" s="2" t="s">
        <v>25</v>
      </c>
      <c r="H103" t="s">
        <v>26</v>
      </c>
      <c r="I103" t="s">
        <v>27</v>
      </c>
      <c r="J103" s="6">
        <v>40762</v>
      </c>
      <c r="K103" s="16">
        <v>9955</v>
      </c>
      <c r="L103" s="16">
        <v>10065</v>
      </c>
      <c r="M103" s="16">
        <v>9990</v>
      </c>
      <c r="N103" s="16">
        <v>9980</v>
      </c>
      <c r="O103" s="16">
        <v>10030</v>
      </c>
      <c r="P103" s="16">
        <v>10065</v>
      </c>
      <c r="Q103" s="16">
        <v>10110</v>
      </c>
      <c r="R103" s="16">
        <v>10050</v>
      </c>
      <c r="S103" s="16">
        <v>10025</v>
      </c>
      <c r="T103" s="16">
        <v>10115</v>
      </c>
      <c r="U103" s="15">
        <v>10038.5</v>
      </c>
      <c r="V103" t="s">
        <v>19</v>
      </c>
      <c r="W103" t="s">
        <v>28</v>
      </c>
      <c r="X103">
        <v>490</v>
      </c>
      <c r="Y103" s="16">
        <f>VLOOKUP(Tabela1[[#This Row],[SKU]],SKU!A:D,4,0)</f>
        <v>10000</v>
      </c>
      <c r="Z103" s="18">
        <f>IFERROR((Tabela1[[#This Row],[Média]]-Tabela1[[#This Row],[Meta]])/Tabela1[[#This Row],[Meta]],"")</f>
        <v>3.8500000000000001E-3</v>
      </c>
      <c r="AA103" s="19">
        <f>Tabela1[[#This Row],[Média]]-Tabela1[[#This Row],[Meta]]</f>
        <v>38.5</v>
      </c>
      <c r="AB103" t="str">
        <f>VLOOKUP(Tabela1[[#This Row],[SKU]],SKU!A:B,2,0)</f>
        <v>COXA SBCX LQ FG LP</v>
      </c>
      <c r="AC103" t="str">
        <f>VLOOKUP(Tabela1[[#This Row],[SKU]],SKU!A:C,3,0)</f>
        <v>PERNA</v>
      </c>
    </row>
    <row r="104" spans="1:29" x14ac:dyDescent="0.3">
      <c r="A104" s="2">
        <f>INT(Tabela1[[#This Row],[Data e Hora2]])</f>
        <v>46248</v>
      </c>
      <c r="B104" t="str">
        <f>UPPER(TEXT(Tabela1[[#This Row],[Data Corrigida]],"MMM"))</f>
        <v>AGO</v>
      </c>
      <c r="C104" t="s">
        <v>53</v>
      </c>
      <c r="D104" s="2" t="s">
        <v>54</v>
      </c>
      <c r="E104" s="1" t="s">
        <v>55</v>
      </c>
      <c r="F104" t="s">
        <v>56</v>
      </c>
      <c r="G104" s="2" t="s">
        <v>25</v>
      </c>
      <c r="H104" t="s">
        <v>26</v>
      </c>
      <c r="I104" t="s">
        <v>57</v>
      </c>
      <c r="J104" s="6">
        <v>15105</v>
      </c>
      <c r="K104" s="16">
        <v>1000</v>
      </c>
      <c r="L104" s="16">
        <v>1026</v>
      </c>
      <c r="M104" s="16">
        <v>1014</v>
      </c>
      <c r="N104" s="16">
        <v>994</v>
      </c>
      <c r="O104" s="16">
        <v>992</v>
      </c>
      <c r="P104" s="16">
        <v>1011</v>
      </c>
      <c r="Q104" s="16">
        <v>1129</v>
      </c>
      <c r="R104" s="16">
        <v>1031</v>
      </c>
      <c r="S104" s="16">
        <v>1047</v>
      </c>
      <c r="T104" s="16">
        <v>1026</v>
      </c>
      <c r="U104" s="15">
        <v>1027</v>
      </c>
      <c r="V104" t="s">
        <v>19</v>
      </c>
      <c r="W104" t="s">
        <v>28</v>
      </c>
      <c r="X104">
        <v>143</v>
      </c>
      <c r="Y104" s="16">
        <f>VLOOKUP(Tabela1[[#This Row],[SKU]],SKU!A:D,4,0)</f>
        <v>1000</v>
      </c>
      <c r="Z104" s="18">
        <f>IFERROR((Tabela1[[#This Row],[Média]]-Tabela1[[#This Row],[Meta]])/Tabela1[[#This Row],[Meta]],"")</f>
        <v>2.7E-2</v>
      </c>
      <c r="AA104" s="19">
        <f>Tabela1[[#This Row],[Média]]-Tabela1[[#This Row],[Meta]]</f>
        <v>27</v>
      </c>
      <c r="AB104" t="str">
        <f>VLOOKUP(Tabela1[[#This Row],[SKU]],SKU!A:B,2,0)</f>
        <v>FILE PEITO MET CG BDJ SE</v>
      </c>
      <c r="AC104" t="str">
        <f>VLOOKUP(Tabela1[[#This Row],[SKU]],SKU!A:C,3,0)</f>
        <v>PEITO</v>
      </c>
    </row>
    <row r="105" spans="1:29" x14ac:dyDescent="0.3">
      <c r="A105" s="2">
        <f>INT(Tabela1[[#This Row],[Data e Hora2]])</f>
        <v>46248</v>
      </c>
      <c r="B105" t="str">
        <f>UPPER(TEXT(Tabela1[[#This Row],[Data Corrigida]],"MMM"))</f>
        <v>AGO</v>
      </c>
      <c r="C105" t="s">
        <v>21</v>
      </c>
      <c r="D105" s="2" t="s">
        <v>22</v>
      </c>
      <c r="E105" s="1" t="s">
        <v>23</v>
      </c>
      <c r="F105" t="s">
        <v>24</v>
      </c>
      <c r="G105" s="2" t="s">
        <v>25</v>
      </c>
      <c r="H105" t="s">
        <v>26</v>
      </c>
      <c r="I105" t="s">
        <v>27</v>
      </c>
      <c r="J105" s="6">
        <v>792799</v>
      </c>
      <c r="K105" s="16">
        <v>15105</v>
      </c>
      <c r="L105" s="16">
        <v>15065</v>
      </c>
      <c r="M105" s="16">
        <v>15270</v>
      </c>
      <c r="N105" s="16">
        <v>14555</v>
      </c>
      <c r="O105" s="16">
        <v>15085</v>
      </c>
      <c r="P105" s="16">
        <v>15062</v>
      </c>
      <c r="Q105" s="16">
        <v>15075</v>
      </c>
      <c r="R105" s="16">
        <v>15005</v>
      </c>
      <c r="S105" s="16">
        <v>15035</v>
      </c>
      <c r="T105" s="16">
        <v>15055</v>
      </c>
      <c r="U105" s="15">
        <v>15031.2</v>
      </c>
      <c r="V105" t="s">
        <v>19</v>
      </c>
      <c r="W105" t="s">
        <v>28</v>
      </c>
      <c r="X105">
        <v>2695</v>
      </c>
      <c r="Y105" s="16">
        <f>VLOOKUP(Tabela1[[#This Row],[SKU]],SKU!A:D,4,0)</f>
        <v>15000</v>
      </c>
      <c r="Z105" s="18">
        <f>IFERROR((Tabela1[[#This Row],[Média]]-Tabela1[[#This Row],[Meta]])/Tabela1[[#This Row],[Meta]],"")</f>
        <v>2.0800000000000484E-3</v>
      </c>
      <c r="AA105" s="19">
        <f>Tabela1[[#This Row],[Média]]-Tabela1[[#This Row],[Meta]]</f>
        <v>31.200000000000728</v>
      </c>
      <c r="AB105" t="str">
        <f>VLOOKUP(Tabela1[[#This Row],[SKU]],SKU!A:B,2,0)</f>
        <v>ASAS FG 100g UP LP</v>
      </c>
      <c r="AC105" t="str">
        <f>VLOOKUP(Tabela1[[#This Row],[SKU]],SKU!A:C,3,0)</f>
        <v>ASA</v>
      </c>
    </row>
    <row r="106" spans="1:29" x14ac:dyDescent="0.3">
      <c r="A106" s="2">
        <f>INT(Tabela1[[#This Row],[Data e Hora2]])</f>
        <v>46251</v>
      </c>
      <c r="B106" s="6" t="str">
        <f>UPPER(TEXT(Tabela1[[#This Row],[Data Corrigida]],"MMM"))</f>
        <v>AGO</v>
      </c>
      <c r="C106" t="s">
        <v>455</v>
      </c>
      <c r="D106" s="2" t="s">
        <v>456</v>
      </c>
      <c r="E106" s="1" t="s">
        <v>457</v>
      </c>
      <c r="F106" t="s">
        <v>56</v>
      </c>
      <c r="G106" s="2" t="s">
        <v>414</v>
      </c>
      <c r="H106" t="s">
        <v>26</v>
      </c>
      <c r="I106" t="s">
        <v>57</v>
      </c>
      <c r="J106" s="6">
        <v>15105</v>
      </c>
      <c r="K106" s="16">
        <v>1018</v>
      </c>
      <c r="L106" s="16">
        <v>1010</v>
      </c>
      <c r="M106" s="16">
        <v>990</v>
      </c>
      <c r="N106" s="16">
        <v>1024</v>
      </c>
      <c r="O106" s="16">
        <v>999</v>
      </c>
      <c r="P106" s="16">
        <v>1026</v>
      </c>
      <c r="Q106" s="16">
        <v>1013</v>
      </c>
      <c r="R106" s="16">
        <v>1021</v>
      </c>
      <c r="S106" s="16">
        <v>989</v>
      </c>
      <c r="T106" s="16">
        <v>1001</v>
      </c>
      <c r="U106" s="15">
        <v>1009.1</v>
      </c>
      <c r="V106" t="s">
        <v>19</v>
      </c>
      <c r="W106" t="s">
        <v>28</v>
      </c>
      <c r="X106">
        <v>824</v>
      </c>
      <c r="Y106" s="16">
        <f>VLOOKUP(Tabela1[[#This Row],[SKU]],SKU!A:D,4,0)</f>
        <v>1000</v>
      </c>
      <c r="Z106" s="18">
        <f>IFERROR((Tabela1[[#This Row],[Média]]-Tabela1[[#This Row],[Meta]])/Tabela1[[#This Row],[Meta]],"")</f>
        <v>9.100000000000023E-3</v>
      </c>
      <c r="AA106" s="19">
        <f>Tabela1[[#This Row],[Média]]-Tabela1[[#This Row],[Meta]]</f>
        <v>9.1000000000000227</v>
      </c>
      <c r="AB106" s="6" t="str">
        <f>VLOOKUP(Tabela1[[#This Row],[SKU]],SKU!A:B,2,0)</f>
        <v>FILE PEITO MET CG BDJ SE</v>
      </c>
      <c r="AC106" s="6" t="str">
        <f>VLOOKUP(Tabela1[[#This Row],[SKU]],SKU!A:C,3,0)</f>
        <v>PEITO</v>
      </c>
    </row>
    <row r="107" spans="1:29" x14ac:dyDescent="0.3">
      <c r="A107" s="2">
        <f>INT(Tabela1[[#This Row],[Data e Hora2]])</f>
        <v>46251</v>
      </c>
      <c r="B107" s="6" t="str">
        <f>UPPER(TEXT(Tabela1[[#This Row],[Data Corrigida]],"MMM"))</f>
        <v>AGO</v>
      </c>
      <c r="C107" t="s">
        <v>452</v>
      </c>
      <c r="D107" s="2" t="s">
        <v>453</v>
      </c>
      <c r="E107" s="1" t="s">
        <v>454</v>
      </c>
      <c r="F107" t="s">
        <v>56</v>
      </c>
      <c r="G107" s="2" t="s">
        <v>414</v>
      </c>
      <c r="H107" t="s">
        <v>26</v>
      </c>
      <c r="I107" t="s">
        <v>57</v>
      </c>
      <c r="J107" s="6">
        <v>40762</v>
      </c>
      <c r="K107" s="16">
        <v>10045</v>
      </c>
      <c r="L107" s="16">
        <v>10040</v>
      </c>
      <c r="M107" s="16">
        <v>9995</v>
      </c>
      <c r="N107" s="16">
        <v>9895</v>
      </c>
      <c r="O107" s="16">
        <v>10085</v>
      </c>
      <c r="P107" s="16">
        <v>9570</v>
      </c>
      <c r="Q107" s="16">
        <v>10105</v>
      </c>
      <c r="R107" s="16">
        <v>10080</v>
      </c>
      <c r="S107" s="16">
        <v>10410</v>
      </c>
      <c r="T107" s="16">
        <v>10135</v>
      </c>
      <c r="U107" s="15">
        <v>10036</v>
      </c>
      <c r="V107" t="s">
        <v>19</v>
      </c>
      <c r="W107" t="s">
        <v>28</v>
      </c>
      <c r="X107">
        <v>612</v>
      </c>
      <c r="Y107" s="16">
        <f>VLOOKUP(Tabela1[[#This Row],[SKU]],SKU!A:D,4,0)</f>
        <v>10000</v>
      </c>
      <c r="Z107" s="18">
        <f>IFERROR((Tabela1[[#This Row],[Média]]-Tabela1[[#This Row],[Meta]])/Tabela1[[#This Row],[Meta]],"")</f>
        <v>3.5999999999999999E-3</v>
      </c>
      <c r="AA107" s="19">
        <f>Tabela1[[#This Row],[Média]]-Tabela1[[#This Row],[Meta]]</f>
        <v>36</v>
      </c>
      <c r="AB107" s="6" t="str">
        <f>VLOOKUP(Tabela1[[#This Row],[SKU]],SKU!A:B,2,0)</f>
        <v>COXA SBCX LQ FG LP</v>
      </c>
      <c r="AC107" s="6" t="str">
        <f>VLOOKUP(Tabela1[[#This Row],[SKU]],SKU!A:C,3,0)</f>
        <v>PERNA</v>
      </c>
    </row>
    <row r="108" spans="1:29" x14ac:dyDescent="0.3">
      <c r="A108" s="2">
        <f>INT(Tabela1[[#This Row],[Data e Hora2]])</f>
        <v>46251</v>
      </c>
      <c r="B108" s="6" t="str">
        <f>UPPER(TEXT(Tabela1[[#This Row],[Data Corrigida]],"MMM"))</f>
        <v>AGO</v>
      </c>
      <c r="C108" t="s">
        <v>449</v>
      </c>
      <c r="D108" s="2" t="s">
        <v>450</v>
      </c>
      <c r="E108" s="1" t="s">
        <v>451</v>
      </c>
      <c r="F108" t="s">
        <v>56</v>
      </c>
      <c r="G108" s="2" t="s">
        <v>414</v>
      </c>
      <c r="H108" t="s">
        <v>26</v>
      </c>
      <c r="I108" t="s">
        <v>19</v>
      </c>
      <c r="J108" s="6">
        <v>42862</v>
      </c>
      <c r="K108" s="16">
        <v>2006</v>
      </c>
      <c r="L108" s="16">
        <v>2000</v>
      </c>
      <c r="M108" s="16">
        <v>2014</v>
      </c>
      <c r="N108" s="16">
        <v>2010</v>
      </c>
      <c r="O108" s="16">
        <v>2024</v>
      </c>
      <c r="P108" s="16">
        <v>2005</v>
      </c>
      <c r="Q108" s="16">
        <v>2001</v>
      </c>
      <c r="R108" s="16">
        <v>2019</v>
      </c>
      <c r="S108" s="16">
        <v>2032</v>
      </c>
      <c r="T108" s="16">
        <v>1997</v>
      </c>
      <c r="U108" s="15">
        <v>2010.8</v>
      </c>
      <c r="V108" t="s">
        <v>19</v>
      </c>
      <c r="W108" t="s">
        <v>28</v>
      </c>
      <c r="X108">
        <v>1337</v>
      </c>
      <c r="Y108" s="16">
        <f>VLOOKUP(Tabela1[[#This Row],[SKU]],SKU!A:D,4,0)</f>
        <v>2000</v>
      </c>
      <c r="Z108" s="18">
        <f>IFERROR((Tabela1[[#This Row],[Média]]-Tabela1[[#This Row],[Meta]])/Tabela1[[#This Row],[Meta]],"")</f>
        <v>5.3999999999999769E-3</v>
      </c>
      <c r="AA108" s="19">
        <f>Tabela1[[#This Row],[Média]]-Tabela1[[#This Row],[Meta]]</f>
        <v>10.799999999999955</v>
      </c>
      <c r="AB108" s="6" t="str">
        <f>VLOOKUP(Tabela1[[#This Row],[SKU]],SKU!A:B,2,0)</f>
        <v>COXA SBCX S/O FG 280-300g PB</v>
      </c>
      <c r="AC108" s="6" t="str">
        <f>VLOOKUP(Tabela1[[#This Row],[SKU]],SKU!A:C,3,0)</f>
        <v>PERNA</v>
      </c>
    </row>
    <row r="109" spans="1:29" x14ac:dyDescent="0.3">
      <c r="A109" s="2">
        <f>INT(Tabela1[[#This Row],[Data e Hora2]])</f>
        <v>46251</v>
      </c>
      <c r="B109" s="6" t="str">
        <f>UPPER(TEXT(Tabela1[[#This Row],[Data Corrigida]],"MMM"))</f>
        <v>AGO</v>
      </c>
      <c r="C109" t="s">
        <v>446</v>
      </c>
      <c r="D109" s="2" t="s">
        <v>447</v>
      </c>
      <c r="E109" s="1" t="s">
        <v>448</v>
      </c>
      <c r="F109" t="s">
        <v>56</v>
      </c>
      <c r="G109" s="2" t="s">
        <v>414</v>
      </c>
      <c r="H109" t="s">
        <v>26</v>
      </c>
      <c r="I109" t="s">
        <v>57</v>
      </c>
      <c r="J109" s="6">
        <v>42854</v>
      </c>
      <c r="K109" s="16">
        <v>2086</v>
      </c>
      <c r="L109" s="16">
        <v>2125</v>
      </c>
      <c r="M109" s="16">
        <v>2107</v>
      </c>
      <c r="N109" s="16">
        <v>2077</v>
      </c>
      <c r="O109" s="16">
        <v>2092</v>
      </c>
      <c r="P109" s="16">
        <v>2073</v>
      </c>
      <c r="Q109" s="16">
        <v>2094</v>
      </c>
      <c r="R109" s="16">
        <v>2096</v>
      </c>
      <c r="S109" s="16">
        <v>2129</v>
      </c>
      <c r="T109" s="16">
        <v>2095</v>
      </c>
      <c r="U109" s="15">
        <v>2097.4</v>
      </c>
      <c r="V109" t="s">
        <v>19</v>
      </c>
      <c r="W109" t="s">
        <v>28</v>
      </c>
      <c r="X109">
        <v>322</v>
      </c>
      <c r="Y109" s="16">
        <f>VLOOKUP(Tabela1[[#This Row],[SKU]],SKU!A:D,4,0)</f>
        <v>2080</v>
      </c>
      <c r="Z109" s="18">
        <f>IFERROR((Tabela1[[#This Row],[Média]]-Tabela1[[#This Row],[Meta]])/Tabela1[[#This Row],[Meta]],"")</f>
        <v>8.3653846153846599E-3</v>
      </c>
      <c r="AA109" s="19">
        <f>Tabela1[[#This Row],[Média]]-Tabela1[[#This Row],[Meta]]</f>
        <v>17.400000000000091</v>
      </c>
      <c r="AB109" s="6" t="str">
        <f>VLOOKUP(Tabela1[[#This Row],[SKU]],SKU!A:B,2,0)</f>
        <v>COXA SBCX S/O FG 260-280g PB</v>
      </c>
      <c r="AC109" s="6" t="str">
        <f>VLOOKUP(Tabela1[[#This Row],[SKU]],SKU!A:C,3,0)</f>
        <v>PERNA</v>
      </c>
    </row>
    <row r="110" spans="1:29" x14ac:dyDescent="0.3">
      <c r="A110" s="2">
        <f>INT(Tabela1[[#This Row],[Data e Hora2]])</f>
        <v>46251</v>
      </c>
      <c r="B110" s="6" t="str">
        <f>UPPER(TEXT(Tabela1[[#This Row],[Data Corrigida]],"MMM"))</f>
        <v>AGO</v>
      </c>
      <c r="C110" t="s">
        <v>435</v>
      </c>
      <c r="D110" s="2" t="s">
        <v>436</v>
      </c>
      <c r="E110" s="1" t="s">
        <v>421</v>
      </c>
      <c r="F110" t="s">
        <v>24</v>
      </c>
      <c r="G110" s="2" t="s">
        <v>414</v>
      </c>
      <c r="H110" t="s">
        <v>26</v>
      </c>
      <c r="I110" t="s">
        <v>27</v>
      </c>
      <c r="J110" s="6">
        <v>15105</v>
      </c>
      <c r="K110" s="16">
        <v>1010</v>
      </c>
      <c r="L110" s="16">
        <v>1025</v>
      </c>
      <c r="M110" s="16">
        <v>1015</v>
      </c>
      <c r="N110" s="16">
        <v>1033</v>
      </c>
      <c r="O110" s="16">
        <v>1025</v>
      </c>
      <c r="P110" s="16">
        <v>971</v>
      </c>
      <c r="Q110" s="16">
        <v>1011</v>
      </c>
      <c r="R110" s="16">
        <v>993</v>
      </c>
      <c r="S110" s="16">
        <v>1008</v>
      </c>
      <c r="T110" s="16">
        <v>1041</v>
      </c>
      <c r="U110" s="15">
        <v>1013.2</v>
      </c>
      <c r="V110" t="s">
        <v>19</v>
      </c>
      <c r="W110" t="s">
        <v>28</v>
      </c>
      <c r="X110">
        <v>299</v>
      </c>
      <c r="Y110" s="16">
        <f>VLOOKUP(Tabela1[[#This Row],[SKU]],SKU!A:D,4,0)</f>
        <v>1000</v>
      </c>
      <c r="Z110" s="18">
        <f>IFERROR((Tabela1[[#This Row],[Média]]-Tabela1[[#This Row],[Meta]])/Tabela1[[#This Row],[Meta]],"")</f>
        <v>1.3200000000000045E-2</v>
      </c>
      <c r="AA110" s="19">
        <f>Tabela1[[#This Row],[Média]]-Tabela1[[#This Row],[Meta]]</f>
        <v>13.200000000000045</v>
      </c>
      <c r="AB110" s="6" t="str">
        <f>VLOOKUP(Tabela1[[#This Row],[SKU]],SKU!A:B,2,0)</f>
        <v>FILE PEITO MET CG BDJ SE</v>
      </c>
      <c r="AC110" s="6" t="str">
        <f>VLOOKUP(Tabela1[[#This Row],[SKU]],SKU!A:C,3,0)</f>
        <v>PEITO</v>
      </c>
    </row>
    <row r="111" spans="1:29" x14ac:dyDescent="0.3">
      <c r="A111" s="2">
        <f>INT(Tabela1[[#This Row],[Data e Hora2]])</f>
        <v>46251</v>
      </c>
      <c r="B111" s="6" t="str">
        <f>UPPER(TEXT(Tabela1[[#This Row],[Data Corrigida]],"MMM"))</f>
        <v>AGO</v>
      </c>
      <c r="C111" t="s">
        <v>443</v>
      </c>
      <c r="D111" s="2" t="s">
        <v>444</v>
      </c>
      <c r="E111" s="1" t="s">
        <v>445</v>
      </c>
      <c r="F111" t="s">
        <v>56</v>
      </c>
      <c r="G111" s="2" t="s">
        <v>414</v>
      </c>
      <c r="H111" t="s">
        <v>26</v>
      </c>
      <c r="I111" t="s">
        <v>57</v>
      </c>
      <c r="J111" s="6">
        <v>42846</v>
      </c>
      <c r="K111" s="16">
        <v>2014</v>
      </c>
      <c r="L111" s="16">
        <v>2010</v>
      </c>
      <c r="M111" s="16">
        <v>2024</v>
      </c>
      <c r="N111" s="16">
        <v>2020</v>
      </c>
      <c r="O111" s="16">
        <v>2011</v>
      </c>
      <c r="P111" s="16">
        <v>1979</v>
      </c>
      <c r="Q111" s="16">
        <v>2060</v>
      </c>
      <c r="R111" s="16">
        <v>2017</v>
      </c>
      <c r="S111" s="16">
        <v>2002</v>
      </c>
      <c r="T111" s="16">
        <v>2013</v>
      </c>
      <c r="U111" s="15">
        <v>2015</v>
      </c>
      <c r="V111" t="s">
        <v>19</v>
      </c>
      <c r="W111" t="s">
        <v>28</v>
      </c>
      <c r="X111">
        <v>336</v>
      </c>
      <c r="Y111" s="16">
        <f>VLOOKUP(Tabela1[[#This Row],[SKU]],SKU!A:D,4,0)</f>
        <v>2000</v>
      </c>
      <c r="Z111" s="18">
        <f>IFERROR((Tabela1[[#This Row],[Média]]-Tabela1[[#This Row],[Meta]])/Tabela1[[#This Row],[Meta]],"")</f>
        <v>7.4999999999999997E-3</v>
      </c>
      <c r="AA111" s="19">
        <f>Tabela1[[#This Row],[Média]]-Tabela1[[#This Row],[Meta]]</f>
        <v>15</v>
      </c>
      <c r="AB111" s="6" t="str">
        <f>VLOOKUP(Tabela1[[#This Row],[SKU]],SKU!A:B,2,0)</f>
        <v>COXA SBCX S/O FG 240-260g PB</v>
      </c>
      <c r="AC111" s="6" t="str">
        <f>VLOOKUP(Tabela1[[#This Row],[SKU]],SKU!A:C,3,0)</f>
        <v>PERNA</v>
      </c>
    </row>
    <row r="112" spans="1:29" x14ac:dyDescent="0.3">
      <c r="A112" s="2">
        <f>INT(Tabela1[[#This Row],[Data e Hora2]])</f>
        <v>46251</v>
      </c>
      <c r="B112" s="6" t="str">
        <f>UPPER(TEXT(Tabela1[[#This Row],[Data Corrigida]],"MMM"))</f>
        <v>AGO</v>
      </c>
      <c r="C112" t="s">
        <v>433</v>
      </c>
      <c r="D112" s="2" t="s">
        <v>434</v>
      </c>
      <c r="E112" s="1" t="s">
        <v>421</v>
      </c>
      <c r="F112" t="s">
        <v>24</v>
      </c>
      <c r="G112" s="2" t="s">
        <v>414</v>
      </c>
      <c r="H112" t="s">
        <v>26</v>
      </c>
      <c r="I112" t="s">
        <v>27</v>
      </c>
      <c r="J112" s="6">
        <v>992093</v>
      </c>
      <c r="K112" s="16">
        <v>5013</v>
      </c>
      <c r="L112" s="16">
        <v>5016</v>
      </c>
      <c r="M112" s="16">
        <v>5018</v>
      </c>
      <c r="N112" s="16">
        <v>5014</v>
      </c>
      <c r="O112" s="16">
        <v>5018</v>
      </c>
      <c r="P112" s="16">
        <v>5024</v>
      </c>
      <c r="Q112" s="16">
        <v>5022</v>
      </c>
      <c r="R112" s="16">
        <v>5022</v>
      </c>
      <c r="S112" s="16">
        <v>5018</v>
      </c>
      <c r="T112" s="16">
        <v>5011</v>
      </c>
      <c r="U112" s="15">
        <v>5017.6000000000004</v>
      </c>
      <c r="V112" t="s">
        <v>19</v>
      </c>
      <c r="W112" t="s">
        <v>28</v>
      </c>
      <c r="X112">
        <v>258</v>
      </c>
      <c r="Y112" s="16">
        <f>VLOOKUP(Tabela1[[#This Row],[SKU]],SKU!A:D,4,0)</f>
        <v>5000</v>
      </c>
      <c r="Z112" s="18">
        <f>IFERROR((Tabela1[[#This Row],[Média]]-Tabela1[[#This Row],[Meta]])/Tabela1[[#This Row],[Meta]],"")</f>
        <v>3.5200000000000726E-3</v>
      </c>
      <c r="AA112" s="19">
        <f>Tabela1[[#This Row],[Média]]-Tabela1[[#This Row],[Meta]]</f>
        <v>17.600000000000364</v>
      </c>
      <c r="AB112" s="6" t="str">
        <f>VLOOKUP(Tabela1[[#This Row],[SKU]],SKU!A:B,2,0)</f>
        <v>PONTA ASA FG PB CG</v>
      </c>
      <c r="AC112" s="6" t="str">
        <f>VLOOKUP(Tabela1[[#This Row],[SKU]],SKU!A:C,3,0)</f>
        <v>ASA</v>
      </c>
    </row>
    <row r="113" spans="1:29" x14ac:dyDescent="0.3">
      <c r="A113" s="2">
        <f>INT(Tabela1[[#This Row],[Data e Hora2]])</f>
        <v>46251</v>
      </c>
      <c r="B113" s="6" t="str">
        <f>UPPER(TEXT(Tabela1[[#This Row],[Data Corrigida]],"MMM"))</f>
        <v>AGO</v>
      </c>
      <c r="C113" t="s">
        <v>440</v>
      </c>
      <c r="D113" s="2" t="s">
        <v>441</v>
      </c>
      <c r="E113" s="1" t="s">
        <v>442</v>
      </c>
      <c r="F113" t="s">
        <v>56</v>
      </c>
      <c r="G113" s="2" t="s">
        <v>414</v>
      </c>
      <c r="H113" t="s">
        <v>26</v>
      </c>
      <c r="I113" t="s">
        <v>57</v>
      </c>
      <c r="J113" s="6">
        <v>15105</v>
      </c>
      <c r="K113" s="16">
        <v>1005</v>
      </c>
      <c r="L113" s="16">
        <v>1009</v>
      </c>
      <c r="M113" s="16">
        <v>998</v>
      </c>
      <c r="N113" s="16">
        <v>1019</v>
      </c>
      <c r="O113" s="16">
        <v>1011</v>
      </c>
      <c r="P113" s="16">
        <v>1014</v>
      </c>
      <c r="Q113" s="16">
        <v>1024</v>
      </c>
      <c r="R113" s="16">
        <v>1021</v>
      </c>
      <c r="S113" s="16">
        <v>1036</v>
      </c>
      <c r="T113" s="16">
        <v>1015</v>
      </c>
      <c r="U113" s="15">
        <v>1015.2</v>
      </c>
      <c r="V113" t="s">
        <v>19</v>
      </c>
      <c r="W113" t="s">
        <v>28</v>
      </c>
      <c r="X113">
        <v>299</v>
      </c>
      <c r="Y113" s="16">
        <f>VLOOKUP(Tabela1[[#This Row],[SKU]],SKU!A:D,4,0)</f>
        <v>1000</v>
      </c>
      <c r="Z113" s="18">
        <f>IFERROR((Tabela1[[#This Row],[Média]]-Tabela1[[#This Row],[Meta]])/Tabela1[[#This Row],[Meta]],"")</f>
        <v>1.5200000000000045E-2</v>
      </c>
      <c r="AA113" s="19">
        <f>Tabela1[[#This Row],[Média]]-Tabela1[[#This Row],[Meta]]</f>
        <v>15.200000000000045</v>
      </c>
      <c r="AB113" s="6" t="str">
        <f>VLOOKUP(Tabela1[[#This Row],[SKU]],SKU!A:B,2,0)</f>
        <v>FILE PEITO MET CG BDJ SE</v>
      </c>
      <c r="AC113" s="6" t="str">
        <f>VLOOKUP(Tabela1[[#This Row],[SKU]],SKU!A:C,3,0)</f>
        <v>PEITO</v>
      </c>
    </row>
    <row r="114" spans="1:29" x14ac:dyDescent="0.3">
      <c r="A114" s="2">
        <f>INT(Tabela1[[#This Row],[Data e Hora2]])</f>
        <v>46251</v>
      </c>
      <c r="B114" s="6" t="str">
        <f>UPPER(TEXT(Tabela1[[#This Row],[Data Corrigida]],"MMM"))</f>
        <v>AGO</v>
      </c>
      <c r="C114" t="s">
        <v>431</v>
      </c>
      <c r="D114" s="2" t="s">
        <v>432</v>
      </c>
      <c r="E114" s="1" t="s">
        <v>421</v>
      </c>
      <c r="F114" t="s">
        <v>24</v>
      </c>
      <c r="G114" s="2" t="s">
        <v>414</v>
      </c>
      <c r="H114" t="s">
        <v>26</v>
      </c>
      <c r="I114" t="s">
        <v>27</v>
      </c>
      <c r="J114" s="6">
        <v>13188</v>
      </c>
      <c r="K114" s="16">
        <v>1004</v>
      </c>
      <c r="L114" s="16">
        <v>1018</v>
      </c>
      <c r="M114" s="16">
        <v>1014</v>
      </c>
      <c r="N114" s="16">
        <v>1009</v>
      </c>
      <c r="O114" s="16">
        <v>1021</v>
      </c>
      <c r="P114" s="16">
        <v>992</v>
      </c>
      <c r="Q114" s="16">
        <v>1004</v>
      </c>
      <c r="R114" s="16">
        <v>996</v>
      </c>
      <c r="S114" s="16">
        <v>1003</v>
      </c>
      <c r="T114" s="16">
        <v>1004</v>
      </c>
      <c r="U114" s="15">
        <v>1006.5</v>
      </c>
      <c r="V114" t="s">
        <v>19</v>
      </c>
      <c r="W114" t="s">
        <v>28</v>
      </c>
      <c r="X114">
        <v>535</v>
      </c>
      <c r="Y114" s="16">
        <f>VLOOKUP(Tabela1[[#This Row],[SKU]],SKU!A:D,4,0)</f>
        <v>1000</v>
      </c>
      <c r="Z114" s="18">
        <f>IFERROR((Tabela1[[#This Row],[Média]]-Tabela1[[#This Row],[Meta]])/Tabela1[[#This Row],[Meta]],"")</f>
        <v>6.4999999999999997E-3</v>
      </c>
      <c r="AA114" s="19">
        <f>Tabela1[[#This Row],[Média]]-Tabela1[[#This Row],[Meta]]</f>
        <v>6.5</v>
      </c>
      <c r="AB114" s="6" t="str">
        <f>VLOOKUP(Tabela1[[#This Row],[SKU]],SKU!A:B,2,0)</f>
        <v>SOBRECOXA CG BDJ SE</v>
      </c>
      <c r="AC114" s="6" t="str">
        <f>VLOOKUP(Tabela1[[#This Row],[SKU]],SKU!A:C,3,0)</f>
        <v>PERNA</v>
      </c>
    </row>
    <row r="115" spans="1:29" x14ac:dyDescent="0.3">
      <c r="A115" s="2">
        <f>INT(Tabela1[[#This Row],[Data e Hora2]])</f>
        <v>46251</v>
      </c>
      <c r="B115" s="6" t="str">
        <f>UPPER(TEXT(Tabela1[[#This Row],[Data Corrigida]],"MMM"))</f>
        <v>AGO</v>
      </c>
      <c r="C115" t="s">
        <v>437</v>
      </c>
      <c r="D115" s="2" t="s">
        <v>438</v>
      </c>
      <c r="E115" s="1" t="s">
        <v>439</v>
      </c>
      <c r="F115" t="s">
        <v>56</v>
      </c>
      <c r="G115" s="2" t="s">
        <v>414</v>
      </c>
      <c r="H115" t="s">
        <v>26</v>
      </c>
      <c r="I115" t="s">
        <v>57</v>
      </c>
      <c r="J115" s="6">
        <v>13188</v>
      </c>
      <c r="K115" s="16">
        <v>1006</v>
      </c>
      <c r="L115" s="16">
        <v>996</v>
      </c>
      <c r="M115" s="16">
        <v>1001</v>
      </c>
      <c r="N115" s="16">
        <v>1002</v>
      </c>
      <c r="O115" s="16">
        <v>1005</v>
      </c>
      <c r="P115" s="16">
        <v>998</v>
      </c>
      <c r="Q115" s="16">
        <v>1006</v>
      </c>
      <c r="R115" s="16">
        <v>1008</v>
      </c>
      <c r="S115" s="16">
        <v>1015</v>
      </c>
      <c r="T115" s="16">
        <v>1008</v>
      </c>
      <c r="U115" s="15">
        <v>1004.5</v>
      </c>
      <c r="V115" t="s">
        <v>19</v>
      </c>
      <c r="W115" t="s">
        <v>28</v>
      </c>
      <c r="X115">
        <v>258</v>
      </c>
      <c r="Y115" s="16">
        <f>VLOOKUP(Tabela1[[#This Row],[SKU]],SKU!A:D,4,0)</f>
        <v>1000</v>
      </c>
      <c r="Z115" s="18">
        <f>IFERROR((Tabela1[[#This Row],[Média]]-Tabela1[[#This Row],[Meta]])/Tabela1[[#This Row],[Meta]],"")</f>
        <v>4.4999999999999997E-3</v>
      </c>
      <c r="AA115" s="19">
        <f>Tabela1[[#This Row],[Média]]-Tabela1[[#This Row],[Meta]]</f>
        <v>4.5</v>
      </c>
      <c r="AB115" s="6" t="str">
        <f>VLOOKUP(Tabela1[[#This Row],[SKU]],SKU!A:B,2,0)</f>
        <v>SOBRECOXA CG BDJ SE</v>
      </c>
      <c r="AC115" s="6" t="str">
        <f>VLOOKUP(Tabela1[[#This Row],[SKU]],SKU!A:C,3,0)</f>
        <v>PERNA</v>
      </c>
    </row>
    <row r="116" spans="1:29" x14ac:dyDescent="0.3">
      <c r="A116" s="2">
        <f>INT(Tabela1[[#This Row],[Data e Hora2]])</f>
        <v>46251</v>
      </c>
      <c r="B116" s="6" t="str">
        <f>UPPER(TEXT(Tabela1[[#This Row],[Data Corrigida]],"MMM"))</f>
        <v>AGO</v>
      </c>
      <c r="C116" t="s">
        <v>429</v>
      </c>
      <c r="D116" s="2" t="s">
        <v>430</v>
      </c>
      <c r="E116" s="1" t="s">
        <v>421</v>
      </c>
      <c r="F116" t="s">
        <v>24</v>
      </c>
      <c r="G116" s="2" t="s">
        <v>414</v>
      </c>
      <c r="H116" t="s">
        <v>26</v>
      </c>
      <c r="I116" t="s">
        <v>27</v>
      </c>
      <c r="J116" s="6">
        <v>15229</v>
      </c>
      <c r="K116" s="16">
        <v>1003</v>
      </c>
      <c r="L116" s="16">
        <v>984</v>
      </c>
      <c r="M116" s="16">
        <v>997</v>
      </c>
      <c r="N116" s="16">
        <v>1002</v>
      </c>
      <c r="O116" s="16">
        <v>1012</v>
      </c>
      <c r="P116" s="16">
        <v>1017</v>
      </c>
      <c r="Q116" s="16">
        <v>1002</v>
      </c>
      <c r="R116" s="16">
        <v>1002</v>
      </c>
      <c r="S116" s="16">
        <v>1016</v>
      </c>
      <c r="T116" s="16">
        <v>1007</v>
      </c>
      <c r="U116" s="15">
        <v>1004.2</v>
      </c>
      <c r="V116" t="s">
        <v>19</v>
      </c>
      <c r="W116" t="s">
        <v>19</v>
      </c>
      <c r="X116">
        <v>211</v>
      </c>
      <c r="Y116" s="16">
        <f>VLOOKUP(Tabela1[[#This Row],[SKU]],SKU!A:D,4,0)</f>
        <v>1000</v>
      </c>
      <c r="Z116" s="18">
        <f>IFERROR((Tabela1[[#This Row],[Média]]-Tabela1[[#This Row],[Meta]])/Tabela1[[#This Row],[Meta]],"")</f>
        <v>4.2000000000000457E-3</v>
      </c>
      <c r="AA116" s="19">
        <f>Tabela1[[#This Row],[Média]]-Tabela1[[#This Row],[Meta]]</f>
        <v>4.2000000000000455</v>
      </c>
      <c r="AB116" s="6" t="str">
        <f>VLOOKUP(Tabela1[[#This Row],[SKU]],SKU!A:B,2,0)</f>
        <v>COXA CG BDJ SE</v>
      </c>
      <c r="AC116" s="6" t="str">
        <f>VLOOKUP(Tabela1[[#This Row],[SKU]],SKU!A:C,3,0)</f>
        <v>PERNA</v>
      </c>
    </row>
    <row r="117" spans="1:29" x14ac:dyDescent="0.3">
      <c r="A117" s="2">
        <f>INT(Tabela1[[#This Row],[Data e Hora2]])</f>
        <v>46250</v>
      </c>
      <c r="B117" s="6" t="str">
        <f>UPPER(TEXT(Tabela1[[#This Row],[Data Corrigida]],"MMM"))</f>
        <v>AGO</v>
      </c>
      <c r="C117" t="s">
        <v>426</v>
      </c>
      <c r="D117" s="2" t="s">
        <v>427</v>
      </c>
      <c r="E117" s="1" t="s">
        <v>421</v>
      </c>
      <c r="F117" t="s">
        <v>24</v>
      </c>
      <c r="G117" s="2" t="s">
        <v>428</v>
      </c>
      <c r="H117" t="s">
        <v>26</v>
      </c>
      <c r="I117" t="s">
        <v>27</v>
      </c>
      <c r="J117" s="6">
        <v>42838</v>
      </c>
      <c r="K117" s="16">
        <v>2029</v>
      </c>
      <c r="L117" s="16">
        <v>2038</v>
      </c>
      <c r="M117" s="16">
        <v>2026</v>
      </c>
      <c r="N117" s="16">
        <v>2052</v>
      </c>
      <c r="O117" s="16">
        <v>2001</v>
      </c>
      <c r="P117" s="16">
        <v>2052</v>
      </c>
      <c r="Q117" s="16">
        <v>2020</v>
      </c>
      <c r="R117" s="16">
        <v>1994</v>
      </c>
      <c r="S117" s="16">
        <v>1997</v>
      </c>
      <c r="T117" s="16">
        <v>2039</v>
      </c>
      <c r="U117" s="15">
        <v>2024.8</v>
      </c>
      <c r="V117" t="s">
        <v>19</v>
      </c>
      <c r="W117" t="s">
        <v>28</v>
      </c>
      <c r="X117">
        <v>2858</v>
      </c>
      <c r="Y117" s="16">
        <f>VLOOKUP(Tabela1[[#This Row],[SKU]],SKU!A:D,4,0)</f>
        <v>2000</v>
      </c>
      <c r="Z117" s="18">
        <f>IFERROR((Tabela1[[#This Row],[Média]]-Tabela1[[#This Row],[Meta]])/Tabela1[[#This Row],[Meta]],"")</f>
        <v>1.2399999999999977E-2</v>
      </c>
      <c r="AA117" s="19">
        <f>Tabela1[[#This Row],[Média]]-Tabela1[[#This Row],[Meta]]</f>
        <v>24.799999999999955</v>
      </c>
      <c r="AB117" s="6" t="str">
        <f>VLOOKUP(Tabela1[[#This Row],[SKU]],SKU!A:B,2,0)</f>
        <v>COXA SBCX S/O FG 220-240g PB</v>
      </c>
      <c r="AC117" s="6" t="str">
        <f>VLOOKUP(Tabela1[[#This Row],[SKU]],SKU!A:C,3,0)</f>
        <v>PERNA</v>
      </c>
    </row>
    <row r="118" spans="1:29" x14ac:dyDescent="0.3">
      <c r="A118" s="2">
        <f>INT(Tabela1[[#This Row],[Data e Hora2]])</f>
        <v>46251</v>
      </c>
      <c r="B118" s="6" t="str">
        <f>UPPER(TEXT(Tabela1[[#This Row],[Data Corrigida]],"MMM"))</f>
        <v>AGO</v>
      </c>
      <c r="C118" t="s">
        <v>424</v>
      </c>
      <c r="D118" s="2" t="s">
        <v>425</v>
      </c>
      <c r="E118" s="1" t="s">
        <v>421</v>
      </c>
      <c r="F118" t="s">
        <v>24</v>
      </c>
      <c r="G118" s="2" t="s">
        <v>414</v>
      </c>
      <c r="H118" t="s">
        <v>26</v>
      </c>
      <c r="I118" t="s">
        <v>27</v>
      </c>
      <c r="J118" s="6">
        <v>42854</v>
      </c>
      <c r="K118" s="16">
        <v>2129</v>
      </c>
      <c r="L118" s="16">
        <v>2070</v>
      </c>
      <c r="M118" s="16">
        <v>2118</v>
      </c>
      <c r="N118" s="16">
        <v>2121</v>
      </c>
      <c r="O118" s="16">
        <v>2064</v>
      </c>
      <c r="P118" s="16">
        <v>2105</v>
      </c>
      <c r="Q118" s="16">
        <v>2093</v>
      </c>
      <c r="R118" s="16">
        <v>2059</v>
      </c>
      <c r="S118" s="16">
        <v>2113</v>
      </c>
      <c r="T118" s="16">
        <v>2117</v>
      </c>
      <c r="U118" s="15">
        <v>2098.9</v>
      </c>
      <c r="V118" t="s">
        <v>19</v>
      </c>
      <c r="W118" t="s">
        <v>19</v>
      </c>
      <c r="X118">
        <v>268</v>
      </c>
      <c r="Y118" s="16">
        <f>VLOOKUP(Tabela1[[#This Row],[SKU]],SKU!A:D,4,0)</f>
        <v>2080</v>
      </c>
      <c r="Z118" s="18">
        <f>IFERROR((Tabela1[[#This Row],[Média]]-Tabela1[[#This Row],[Meta]])/Tabela1[[#This Row],[Meta]],"")</f>
        <v>9.0865384615385052E-3</v>
      </c>
      <c r="AA118" s="19">
        <f>Tabela1[[#This Row],[Média]]-Tabela1[[#This Row],[Meta]]</f>
        <v>18.900000000000091</v>
      </c>
      <c r="AB118" s="6" t="str">
        <f>VLOOKUP(Tabela1[[#This Row],[SKU]],SKU!A:B,2,0)</f>
        <v>COXA SBCX S/O FG 260-280g PB</v>
      </c>
      <c r="AC118" s="6" t="str">
        <f>VLOOKUP(Tabela1[[#This Row],[SKU]],SKU!A:C,3,0)</f>
        <v>PERNA</v>
      </c>
    </row>
    <row r="119" spans="1:29" x14ac:dyDescent="0.3">
      <c r="A119" s="2">
        <f>INT(Tabela1[[#This Row],[Data e Hora2]])</f>
        <v>46251</v>
      </c>
      <c r="B119" s="6" t="str">
        <f>UPPER(TEXT(Tabela1[[#This Row],[Data Corrigida]],"MMM"))</f>
        <v>AGO</v>
      </c>
      <c r="C119" t="s">
        <v>422</v>
      </c>
      <c r="D119" s="2" t="s">
        <v>423</v>
      </c>
      <c r="E119" s="1" t="s">
        <v>421</v>
      </c>
      <c r="F119" t="s">
        <v>24</v>
      </c>
      <c r="G119" s="2" t="s">
        <v>414</v>
      </c>
      <c r="H119" t="s">
        <v>26</v>
      </c>
      <c r="I119" t="s">
        <v>27</v>
      </c>
      <c r="J119" s="6">
        <v>42846</v>
      </c>
      <c r="K119" s="16">
        <v>2007</v>
      </c>
      <c r="L119" s="16">
        <v>2012</v>
      </c>
      <c r="M119" s="16">
        <v>2008</v>
      </c>
      <c r="N119" s="16">
        <v>2017</v>
      </c>
      <c r="O119" s="16">
        <v>2022</v>
      </c>
      <c r="P119" s="16">
        <v>2010</v>
      </c>
      <c r="Q119" s="16">
        <v>2028</v>
      </c>
      <c r="R119" s="16">
        <v>2015</v>
      </c>
      <c r="S119" s="16">
        <v>2015</v>
      </c>
      <c r="T119" s="16">
        <v>2035</v>
      </c>
      <c r="U119" s="15">
        <v>2016.9</v>
      </c>
      <c r="V119" t="s">
        <v>19</v>
      </c>
      <c r="W119" t="s">
        <v>19</v>
      </c>
      <c r="X119">
        <v>222</v>
      </c>
      <c r="Y119" s="16">
        <f>VLOOKUP(Tabela1[[#This Row],[SKU]],SKU!A:D,4,0)</f>
        <v>2000</v>
      </c>
      <c r="Z119" s="18">
        <f>IFERROR((Tabela1[[#This Row],[Média]]-Tabela1[[#This Row],[Meta]])/Tabela1[[#This Row],[Meta]],"")</f>
        <v>8.450000000000046E-3</v>
      </c>
      <c r="AA119" s="19">
        <f>Tabela1[[#This Row],[Média]]-Tabela1[[#This Row],[Meta]]</f>
        <v>16.900000000000091</v>
      </c>
      <c r="AB119" s="6" t="str">
        <f>VLOOKUP(Tabela1[[#This Row],[SKU]],SKU!A:B,2,0)</f>
        <v>COXA SBCX S/O FG 240-260g PB</v>
      </c>
      <c r="AC119" s="6" t="str">
        <f>VLOOKUP(Tabela1[[#This Row],[SKU]],SKU!A:C,3,0)</f>
        <v>PERNA</v>
      </c>
    </row>
    <row r="120" spans="1:29" x14ac:dyDescent="0.3">
      <c r="A120" s="2">
        <f>INT(Tabela1[[#This Row],[Data e Hora2]])</f>
        <v>46251</v>
      </c>
      <c r="B120" s="6" t="str">
        <f>UPPER(TEXT(Tabela1[[#This Row],[Data Corrigida]],"MMM"))</f>
        <v>AGO</v>
      </c>
      <c r="C120" t="s">
        <v>419</v>
      </c>
      <c r="D120" s="2" t="s">
        <v>420</v>
      </c>
      <c r="E120" s="1" t="s">
        <v>421</v>
      </c>
      <c r="F120" t="s">
        <v>24</v>
      </c>
      <c r="G120" s="2" t="s">
        <v>414</v>
      </c>
      <c r="H120" t="s">
        <v>26</v>
      </c>
      <c r="I120" t="s">
        <v>27</v>
      </c>
      <c r="J120" s="6">
        <v>42820</v>
      </c>
      <c r="K120" s="16">
        <v>2016</v>
      </c>
      <c r="L120" s="16">
        <v>2014</v>
      </c>
      <c r="M120" s="16">
        <v>2028</v>
      </c>
      <c r="N120" s="16">
        <v>2011</v>
      </c>
      <c r="O120" s="16">
        <v>2017</v>
      </c>
      <c r="P120" s="16">
        <v>2012</v>
      </c>
      <c r="Q120" s="16">
        <v>1987</v>
      </c>
      <c r="R120" s="16">
        <v>2025</v>
      </c>
      <c r="S120" s="16">
        <v>2077</v>
      </c>
      <c r="T120" s="16">
        <v>2068</v>
      </c>
      <c r="U120" s="15">
        <v>2025.5</v>
      </c>
      <c r="V120" t="s">
        <v>19</v>
      </c>
      <c r="W120" t="s">
        <v>28</v>
      </c>
      <c r="X120">
        <v>343</v>
      </c>
      <c r="Y120" s="16">
        <f>VLOOKUP(Tabela1[[#This Row],[SKU]],SKU!A:D,4,0)</f>
        <v>2000</v>
      </c>
      <c r="Z120" s="18">
        <f>IFERROR((Tabela1[[#This Row],[Média]]-Tabela1[[#This Row],[Meta]])/Tabela1[[#This Row],[Meta]],"")</f>
        <v>1.2749999999999999E-2</v>
      </c>
      <c r="AA120" s="19">
        <f>Tabela1[[#This Row],[Média]]-Tabela1[[#This Row],[Meta]]</f>
        <v>25.5</v>
      </c>
      <c r="AB120" s="6" t="str">
        <f>VLOOKUP(Tabela1[[#This Row],[SKU]],SKU!A:B,2,0)</f>
        <v>COXA SBCX S/O FG 200-220g PB</v>
      </c>
      <c r="AC120" s="6" t="str">
        <f>VLOOKUP(Tabela1[[#This Row],[SKU]],SKU!A:C,3,0)</f>
        <v>PERNA</v>
      </c>
    </row>
    <row r="121" spans="1:29" x14ac:dyDescent="0.3">
      <c r="A121" s="2">
        <f>INT(Tabela1[[#This Row],[Data e Hora2]])</f>
        <v>46252</v>
      </c>
      <c r="B121" s="6" t="str">
        <f>UPPER(TEXT(Tabela1[[#This Row],[Data Corrigida]],"MMM"))</f>
        <v>AGO</v>
      </c>
      <c r="C121" t="s">
        <v>469</v>
      </c>
      <c r="D121" s="2" t="s">
        <v>470</v>
      </c>
      <c r="E121" s="1" t="s">
        <v>471</v>
      </c>
      <c r="F121" t="s">
        <v>24</v>
      </c>
      <c r="G121" s="2" t="s">
        <v>472</v>
      </c>
      <c r="H121" t="s">
        <v>26</v>
      </c>
      <c r="I121" t="s">
        <v>27</v>
      </c>
      <c r="J121" s="6">
        <v>15105</v>
      </c>
      <c r="K121" s="16">
        <v>996</v>
      </c>
      <c r="L121" s="16">
        <v>1006</v>
      </c>
      <c r="M121" s="16">
        <v>995</v>
      </c>
      <c r="N121" s="16">
        <v>999</v>
      </c>
      <c r="O121" s="16">
        <v>994</v>
      </c>
      <c r="P121" s="16">
        <v>1023</v>
      </c>
      <c r="Q121" s="16">
        <v>1000</v>
      </c>
      <c r="R121" s="16">
        <v>999</v>
      </c>
      <c r="S121" s="16">
        <v>1001</v>
      </c>
      <c r="T121" s="16">
        <v>1010</v>
      </c>
      <c r="U121" s="15">
        <v>1002.3</v>
      </c>
      <c r="V121" t="s">
        <v>19</v>
      </c>
      <c r="W121" t="s">
        <v>28</v>
      </c>
      <c r="X121">
        <v>1832</v>
      </c>
      <c r="Y121" s="16">
        <f>VLOOKUP(Tabela1[[#This Row],[SKU]],SKU!A:D,4,0)</f>
        <v>1000</v>
      </c>
      <c r="Z121" s="18">
        <f>IFERROR((Tabela1[[#This Row],[Média]]-Tabela1[[#This Row],[Meta]])/Tabela1[[#This Row],[Meta]],"")</f>
        <v>2.2999999999999544E-3</v>
      </c>
      <c r="AA121" s="19">
        <f>Tabela1[[#This Row],[Média]]-Tabela1[[#This Row],[Meta]]</f>
        <v>2.2999999999999545</v>
      </c>
      <c r="AB121" s="6" t="str">
        <f>VLOOKUP(Tabela1[[#This Row],[SKU]],SKU!A:B,2,0)</f>
        <v>FILE PEITO MET CG BDJ SE</v>
      </c>
      <c r="AC121" s="6" t="str">
        <f>VLOOKUP(Tabela1[[#This Row],[SKU]],SKU!A:C,3,0)</f>
        <v>PEITO</v>
      </c>
    </row>
    <row r="122" spans="1:29" x14ac:dyDescent="0.3">
      <c r="A122" s="2">
        <f>INT(Tabela1[[#This Row],[Data e Hora2]])</f>
        <v>46252</v>
      </c>
      <c r="B122" s="6" t="str">
        <f>UPPER(TEXT(Tabela1[[#This Row],[Data Corrigida]],"MMM"))</f>
        <v>AGO</v>
      </c>
      <c r="C122" t="s">
        <v>473</v>
      </c>
      <c r="D122" s="2" t="s">
        <v>474</v>
      </c>
      <c r="E122" s="1" t="s">
        <v>471</v>
      </c>
      <c r="F122" t="s">
        <v>24</v>
      </c>
      <c r="G122" s="2" t="s">
        <v>472</v>
      </c>
      <c r="H122" t="s">
        <v>26</v>
      </c>
      <c r="I122" t="s">
        <v>27</v>
      </c>
      <c r="J122" s="6">
        <v>40762</v>
      </c>
      <c r="K122" s="16">
        <v>10120</v>
      </c>
      <c r="L122" s="16">
        <v>10055</v>
      </c>
      <c r="M122" s="16">
        <v>10245</v>
      </c>
      <c r="N122" s="16">
        <v>10215</v>
      </c>
      <c r="O122" s="16">
        <v>10245</v>
      </c>
      <c r="P122" s="16">
        <v>10185</v>
      </c>
      <c r="Q122" s="16">
        <v>9950</v>
      </c>
      <c r="R122" s="16">
        <v>10235</v>
      </c>
      <c r="S122" s="16">
        <v>10020</v>
      </c>
      <c r="T122" s="16">
        <v>10065</v>
      </c>
      <c r="U122" s="15">
        <v>10133.5</v>
      </c>
      <c r="V122" t="s">
        <v>19</v>
      </c>
      <c r="W122" t="s">
        <v>28</v>
      </c>
      <c r="X122">
        <v>579</v>
      </c>
      <c r="Y122" s="16">
        <f>VLOOKUP(Tabela1[[#This Row],[SKU]],SKU!A:D,4,0)</f>
        <v>10000</v>
      </c>
      <c r="Z122" s="18">
        <f>IFERROR((Tabela1[[#This Row],[Média]]-Tabela1[[#This Row],[Meta]])/Tabela1[[#This Row],[Meta]],"")</f>
        <v>1.3350000000000001E-2</v>
      </c>
      <c r="AA122" s="19">
        <f>Tabela1[[#This Row],[Média]]-Tabela1[[#This Row],[Meta]]</f>
        <v>133.5</v>
      </c>
      <c r="AB122" s="6" t="str">
        <f>VLOOKUP(Tabela1[[#This Row],[SKU]],SKU!A:B,2,0)</f>
        <v>COXA SBCX LQ FG LP</v>
      </c>
      <c r="AC122" s="6" t="str">
        <f>VLOOKUP(Tabela1[[#This Row],[SKU]],SKU!A:C,3,0)</f>
        <v>PERNA</v>
      </c>
    </row>
    <row r="123" spans="1:29" x14ac:dyDescent="0.3">
      <c r="A123" s="2">
        <f>INT(Tabela1[[#This Row],[Data e Hora2]])</f>
        <v>46252</v>
      </c>
      <c r="B123" s="6" t="str">
        <f>UPPER(TEXT(Tabela1[[#This Row],[Data Corrigida]],"MMM"))</f>
        <v>AGO</v>
      </c>
      <c r="C123" t="s">
        <v>475</v>
      </c>
      <c r="D123" s="2" t="s">
        <v>476</v>
      </c>
      <c r="E123" s="1" t="s">
        <v>471</v>
      </c>
      <c r="F123" t="s">
        <v>24</v>
      </c>
      <c r="G123" s="2" t="s">
        <v>472</v>
      </c>
      <c r="H123" t="s">
        <v>26</v>
      </c>
      <c r="I123" t="s">
        <v>27</v>
      </c>
      <c r="J123" s="6">
        <v>15229</v>
      </c>
      <c r="K123" s="16">
        <v>987</v>
      </c>
      <c r="L123" s="16">
        <v>1005</v>
      </c>
      <c r="M123" s="16">
        <v>1018</v>
      </c>
      <c r="N123" s="16">
        <v>1009</v>
      </c>
      <c r="O123" s="16">
        <v>1003</v>
      </c>
      <c r="P123" s="16">
        <v>1022</v>
      </c>
      <c r="Q123" s="16">
        <v>1007</v>
      </c>
      <c r="R123" s="16">
        <v>1007</v>
      </c>
      <c r="S123" s="16">
        <v>1003</v>
      </c>
      <c r="T123" s="16">
        <v>1022</v>
      </c>
      <c r="U123" s="15">
        <v>1008.3</v>
      </c>
      <c r="V123" t="s">
        <v>19</v>
      </c>
      <c r="W123" t="s">
        <v>19</v>
      </c>
      <c r="X123">
        <v>299</v>
      </c>
      <c r="Y123" s="16">
        <f>VLOOKUP(Tabela1[[#This Row],[SKU]],SKU!A:D,4,0)</f>
        <v>1000</v>
      </c>
      <c r="Z123" s="18">
        <f>IFERROR((Tabela1[[#This Row],[Média]]-Tabela1[[#This Row],[Meta]])/Tabela1[[#This Row],[Meta]],"")</f>
        <v>8.299999999999955E-3</v>
      </c>
      <c r="AA123" s="19">
        <f>Tabela1[[#This Row],[Média]]-Tabela1[[#This Row],[Meta]]</f>
        <v>8.2999999999999545</v>
      </c>
      <c r="AB123" s="6" t="str">
        <f>VLOOKUP(Tabela1[[#This Row],[SKU]],SKU!A:B,2,0)</f>
        <v>COXA CG BDJ SE</v>
      </c>
      <c r="AC123" s="6" t="str">
        <f>VLOOKUP(Tabela1[[#This Row],[SKU]],SKU!A:C,3,0)</f>
        <v>PERNA</v>
      </c>
    </row>
    <row r="124" spans="1:29" x14ac:dyDescent="0.3">
      <c r="A124" s="2">
        <f>INT(Tabela1[[#This Row],[Data e Hora2]])</f>
        <v>46252</v>
      </c>
      <c r="B124" s="6" t="str">
        <f>UPPER(TEXT(Tabela1[[#This Row],[Data Corrigida]],"MMM"))</f>
        <v>AGO</v>
      </c>
      <c r="C124" t="s">
        <v>477</v>
      </c>
      <c r="D124" s="2" t="s">
        <v>478</v>
      </c>
      <c r="E124" s="1" t="s">
        <v>471</v>
      </c>
      <c r="F124" t="s">
        <v>24</v>
      </c>
      <c r="G124" s="2" t="s">
        <v>472</v>
      </c>
      <c r="H124" t="s">
        <v>26</v>
      </c>
      <c r="I124" t="s">
        <v>27</v>
      </c>
      <c r="J124" s="6">
        <v>13188</v>
      </c>
      <c r="K124" s="16">
        <v>1015</v>
      </c>
      <c r="L124" s="16">
        <v>1017</v>
      </c>
      <c r="M124" s="16">
        <v>1013</v>
      </c>
      <c r="N124" s="16">
        <v>1010</v>
      </c>
      <c r="O124" s="16">
        <v>1007</v>
      </c>
      <c r="P124" s="16">
        <v>1009</v>
      </c>
      <c r="Q124" s="16">
        <v>1015</v>
      </c>
      <c r="R124" s="16">
        <v>1021</v>
      </c>
      <c r="S124" s="16">
        <v>1012</v>
      </c>
      <c r="T124" s="16">
        <v>1017</v>
      </c>
      <c r="U124" s="15">
        <v>1013.6</v>
      </c>
      <c r="V124" t="s">
        <v>19</v>
      </c>
      <c r="W124" t="s">
        <v>28</v>
      </c>
      <c r="X124">
        <v>234</v>
      </c>
      <c r="Y124" s="16">
        <f>VLOOKUP(Tabela1[[#This Row],[SKU]],SKU!A:D,4,0)</f>
        <v>1000</v>
      </c>
      <c r="Z124" s="18">
        <f>IFERROR((Tabela1[[#This Row],[Média]]-Tabela1[[#This Row],[Meta]])/Tabela1[[#This Row],[Meta]],"")</f>
        <v>1.3600000000000024E-2</v>
      </c>
      <c r="AA124" s="19">
        <f>Tabela1[[#This Row],[Média]]-Tabela1[[#This Row],[Meta]]</f>
        <v>13.600000000000023</v>
      </c>
      <c r="AB124" s="6" t="str">
        <f>VLOOKUP(Tabela1[[#This Row],[SKU]],SKU!A:B,2,0)</f>
        <v>SOBRECOXA CG BDJ SE</v>
      </c>
      <c r="AC124" s="6" t="str">
        <f>VLOOKUP(Tabela1[[#This Row],[SKU]],SKU!A:C,3,0)</f>
        <v>PERNA</v>
      </c>
    </row>
    <row r="125" spans="1:29" x14ac:dyDescent="0.3">
      <c r="A125" s="2">
        <f>INT(Tabela1[[#This Row],[Data e Hora2]])</f>
        <v>46252</v>
      </c>
      <c r="B125" s="6" t="str">
        <f>UPPER(TEXT(Tabela1[[#This Row],[Data Corrigida]],"MMM"))</f>
        <v>AGO</v>
      </c>
      <c r="C125" t="s">
        <v>479</v>
      </c>
      <c r="D125" s="2" t="s">
        <v>480</v>
      </c>
      <c r="E125" s="1" t="s">
        <v>471</v>
      </c>
      <c r="F125" t="s">
        <v>24</v>
      </c>
      <c r="G125" s="2" t="s">
        <v>472</v>
      </c>
      <c r="H125" t="s">
        <v>26</v>
      </c>
      <c r="I125" t="s">
        <v>27</v>
      </c>
      <c r="J125" s="6">
        <v>42846</v>
      </c>
      <c r="K125" s="16">
        <v>2021</v>
      </c>
      <c r="L125" s="16">
        <v>2040</v>
      </c>
      <c r="M125" s="16">
        <v>2019</v>
      </c>
      <c r="N125" s="16">
        <v>2021</v>
      </c>
      <c r="O125" s="16">
        <v>2038</v>
      </c>
      <c r="P125" s="16">
        <v>2027</v>
      </c>
      <c r="Q125" s="16">
        <v>2014</v>
      </c>
      <c r="R125" s="16">
        <v>2062</v>
      </c>
      <c r="S125" s="16">
        <v>2009</v>
      </c>
      <c r="T125" s="16">
        <v>2030</v>
      </c>
      <c r="U125" s="15">
        <v>2028.1</v>
      </c>
      <c r="V125" t="s">
        <v>19</v>
      </c>
      <c r="W125" t="s">
        <v>28</v>
      </c>
      <c r="X125">
        <v>248</v>
      </c>
      <c r="Y125" s="16">
        <f>VLOOKUP(Tabela1[[#This Row],[SKU]],SKU!A:D,4,0)</f>
        <v>2000</v>
      </c>
      <c r="Z125" s="18">
        <f>IFERROR((Tabela1[[#This Row],[Média]]-Tabela1[[#This Row],[Meta]])/Tabela1[[#This Row],[Meta]],"")</f>
        <v>1.4049999999999955E-2</v>
      </c>
      <c r="AA125" s="19">
        <f>Tabela1[[#This Row],[Média]]-Tabela1[[#This Row],[Meta]]</f>
        <v>28.099999999999909</v>
      </c>
      <c r="AB125" s="6" t="str">
        <f>VLOOKUP(Tabela1[[#This Row],[SKU]],SKU!A:B,2,0)</f>
        <v>COXA SBCX S/O FG 240-260g PB</v>
      </c>
      <c r="AC125" s="6" t="str">
        <f>VLOOKUP(Tabela1[[#This Row],[SKU]],SKU!A:C,3,0)</f>
        <v>PERNA</v>
      </c>
    </row>
    <row r="126" spans="1:29" x14ac:dyDescent="0.3">
      <c r="A126" s="2">
        <f>INT(Tabela1[[#This Row],[Data e Hora2]])</f>
        <v>46252</v>
      </c>
      <c r="B126" s="6" t="str">
        <f>UPPER(TEXT(Tabela1[[#This Row],[Data Corrigida]],"MMM"))</f>
        <v>AGO</v>
      </c>
      <c r="C126" t="s">
        <v>481</v>
      </c>
      <c r="D126" s="2" t="s">
        <v>482</v>
      </c>
      <c r="E126" s="1" t="s">
        <v>471</v>
      </c>
      <c r="F126" t="s">
        <v>24</v>
      </c>
      <c r="G126" s="2" t="s">
        <v>472</v>
      </c>
      <c r="H126" t="s">
        <v>26</v>
      </c>
      <c r="I126" t="s">
        <v>27</v>
      </c>
      <c r="J126" s="6">
        <v>42862</v>
      </c>
      <c r="K126" s="16">
        <v>2036</v>
      </c>
      <c r="L126" s="16">
        <v>2023</v>
      </c>
      <c r="M126" s="16">
        <v>2061</v>
      </c>
      <c r="N126" s="16">
        <v>2031</v>
      </c>
      <c r="O126" s="16">
        <v>2146</v>
      </c>
      <c r="P126" s="16">
        <v>2024</v>
      </c>
      <c r="Q126" s="16">
        <v>2033</v>
      </c>
      <c r="R126" s="16">
        <v>2019</v>
      </c>
      <c r="S126" s="16">
        <v>2006</v>
      </c>
      <c r="T126" s="16">
        <v>2011</v>
      </c>
      <c r="U126" s="15">
        <v>2039</v>
      </c>
      <c r="V126" t="s">
        <v>19</v>
      </c>
      <c r="W126" t="s">
        <v>28</v>
      </c>
      <c r="X126">
        <v>173</v>
      </c>
      <c r="Y126" s="16">
        <f>VLOOKUP(Tabela1[[#This Row],[SKU]],SKU!A:D,4,0)</f>
        <v>2000</v>
      </c>
      <c r="Z126" s="18">
        <f>IFERROR((Tabela1[[#This Row],[Média]]-Tabela1[[#This Row],[Meta]])/Tabela1[[#This Row],[Meta]],"")</f>
        <v>1.95E-2</v>
      </c>
      <c r="AA126" s="19">
        <f>Tabela1[[#This Row],[Média]]-Tabela1[[#This Row],[Meta]]</f>
        <v>39</v>
      </c>
      <c r="AB126" s="6" t="str">
        <f>VLOOKUP(Tabela1[[#This Row],[SKU]],SKU!A:B,2,0)</f>
        <v>COXA SBCX S/O FG 280-300g PB</v>
      </c>
      <c r="AC126" s="6" t="str">
        <f>VLOOKUP(Tabela1[[#This Row],[SKU]],SKU!A:C,3,0)</f>
        <v>PERNA</v>
      </c>
    </row>
    <row r="127" spans="1:29" x14ac:dyDescent="0.3">
      <c r="A127" s="2">
        <f>INT(Tabela1[[#This Row],[Data e Hora2]])</f>
        <v>46252</v>
      </c>
      <c r="B127" s="6" t="str">
        <f>UPPER(TEXT(Tabela1[[#This Row],[Data Corrigida]],"MMM"))</f>
        <v>AGO</v>
      </c>
      <c r="C127" t="s">
        <v>483</v>
      </c>
      <c r="D127" s="2" t="s">
        <v>484</v>
      </c>
      <c r="E127" s="1" t="s">
        <v>471</v>
      </c>
      <c r="F127" t="s">
        <v>24</v>
      </c>
      <c r="G127" s="2" t="s">
        <v>472</v>
      </c>
      <c r="H127" t="s">
        <v>26</v>
      </c>
      <c r="I127" t="s">
        <v>27</v>
      </c>
      <c r="J127" s="6">
        <v>42854</v>
      </c>
      <c r="K127" s="16">
        <v>2109</v>
      </c>
      <c r="L127" s="16">
        <v>2119</v>
      </c>
      <c r="M127" s="16">
        <v>2124</v>
      </c>
      <c r="N127" s="16">
        <v>2128</v>
      </c>
      <c r="O127" s="16">
        <v>2055</v>
      </c>
      <c r="P127" s="16">
        <v>2102</v>
      </c>
      <c r="Q127" s="16">
        <v>2093</v>
      </c>
      <c r="R127" s="16">
        <v>2100</v>
      </c>
      <c r="S127" s="16">
        <v>2116</v>
      </c>
      <c r="T127" s="16">
        <v>2136</v>
      </c>
      <c r="U127" s="15">
        <v>2108.1999999999998</v>
      </c>
      <c r="V127" t="s">
        <v>19</v>
      </c>
      <c r="W127" t="s">
        <v>19</v>
      </c>
      <c r="X127">
        <v>128</v>
      </c>
      <c r="Y127" s="16">
        <f>VLOOKUP(Tabela1[[#This Row],[SKU]],SKU!A:D,4,0)</f>
        <v>2080</v>
      </c>
      <c r="Z127" s="18">
        <f>IFERROR((Tabela1[[#This Row],[Média]]-Tabela1[[#This Row],[Meta]])/Tabela1[[#This Row],[Meta]],"")</f>
        <v>1.355769230769222E-2</v>
      </c>
      <c r="AA127" s="19">
        <f>Tabela1[[#This Row],[Média]]-Tabela1[[#This Row],[Meta]]</f>
        <v>28.199999999999818</v>
      </c>
      <c r="AB127" s="6" t="str">
        <f>VLOOKUP(Tabela1[[#This Row],[SKU]],SKU!A:B,2,0)</f>
        <v>COXA SBCX S/O FG 260-280g PB</v>
      </c>
      <c r="AC127" s="6" t="str">
        <f>VLOOKUP(Tabela1[[#This Row],[SKU]],SKU!A:C,3,0)</f>
        <v>PERNA</v>
      </c>
    </row>
    <row r="128" spans="1:29" x14ac:dyDescent="0.3">
      <c r="A128" s="2">
        <f>INT(Tabela1[[#This Row],[Data e Hora2]])</f>
        <v>46252</v>
      </c>
      <c r="B128" s="6" t="str">
        <f>UPPER(TEXT(Tabela1[[#This Row],[Data Corrigida]],"MMM"))</f>
        <v>AGO</v>
      </c>
      <c r="C128" t="s">
        <v>485</v>
      </c>
      <c r="D128" s="2" t="s">
        <v>486</v>
      </c>
      <c r="E128" s="1" t="s">
        <v>487</v>
      </c>
      <c r="F128" t="s">
        <v>24</v>
      </c>
      <c r="G128" s="2" t="s">
        <v>472</v>
      </c>
      <c r="H128" t="s">
        <v>26</v>
      </c>
      <c r="I128" t="s">
        <v>27</v>
      </c>
      <c r="J128" s="6">
        <v>42838</v>
      </c>
      <c r="K128" s="16">
        <v>2054</v>
      </c>
      <c r="L128" s="16">
        <v>2072</v>
      </c>
      <c r="M128" s="16">
        <v>2021</v>
      </c>
      <c r="N128" s="16">
        <v>2043</v>
      </c>
      <c r="O128" s="16">
        <v>2021</v>
      </c>
      <c r="P128" s="16">
        <v>2096</v>
      </c>
      <c r="Q128" s="16">
        <v>2103</v>
      </c>
      <c r="R128" s="16">
        <v>2068</v>
      </c>
      <c r="S128" s="16">
        <v>2065</v>
      </c>
      <c r="T128" s="16">
        <v>2083</v>
      </c>
      <c r="U128" s="15">
        <v>2062.6</v>
      </c>
      <c r="V128" t="s">
        <v>19</v>
      </c>
      <c r="W128" t="s">
        <v>28</v>
      </c>
      <c r="X128">
        <v>670</v>
      </c>
      <c r="Y128" s="16">
        <f>VLOOKUP(Tabela1[[#This Row],[SKU]],SKU!A:D,4,0)</f>
        <v>2000</v>
      </c>
      <c r="Z128" s="18">
        <f>IFERROR((Tabela1[[#This Row],[Média]]-Tabela1[[#This Row],[Meta]])/Tabela1[[#This Row],[Meta]],"")</f>
        <v>3.1299999999999953E-2</v>
      </c>
      <c r="AA128" s="19">
        <f>Tabela1[[#This Row],[Média]]-Tabela1[[#This Row],[Meta]]</f>
        <v>62.599999999999909</v>
      </c>
      <c r="AB128" s="6" t="str">
        <f>VLOOKUP(Tabela1[[#This Row],[SKU]],SKU!A:B,2,0)</f>
        <v>COXA SBCX S/O FG 220-240g PB</v>
      </c>
      <c r="AC128" s="6" t="str">
        <f>VLOOKUP(Tabela1[[#This Row],[SKU]],SKU!A:C,3,0)</f>
        <v>PERNA</v>
      </c>
    </row>
    <row r="129" spans="1:29" x14ac:dyDescent="0.3">
      <c r="A129" s="2">
        <f>INT(Tabela1[[#This Row],[Data e Hora2]])</f>
        <v>46252</v>
      </c>
      <c r="B129" s="6" t="str">
        <f>UPPER(TEXT(Tabela1[[#This Row],[Data Corrigida]],"MMM"))</f>
        <v>AGO</v>
      </c>
      <c r="C129" t="s">
        <v>488</v>
      </c>
      <c r="D129" s="2" t="s">
        <v>489</v>
      </c>
      <c r="E129" s="1" t="s">
        <v>487</v>
      </c>
      <c r="F129" t="s">
        <v>24</v>
      </c>
      <c r="G129" s="2" t="s">
        <v>472</v>
      </c>
      <c r="H129" t="s">
        <v>26</v>
      </c>
      <c r="I129" t="s">
        <v>27</v>
      </c>
      <c r="J129" s="6">
        <v>792799</v>
      </c>
      <c r="K129" s="16">
        <v>15005</v>
      </c>
      <c r="L129" s="16">
        <v>15020</v>
      </c>
      <c r="M129" s="16">
        <v>15000</v>
      </c>
      <c r="N129" s="16">
        <v>15010</v>
      </c>
      <c r="O129" s="16">
        <v>15010</v>
      </c>
      <c r="P129" s="16">
        <v>15030</v>
      </c>
      <c r="Q129" s="16">
        <v>15025</v>
      </c>
      <c r="R129" s="16">
        <v>15055</v>
      </c>
      <c r="S129" s="16">
        <v>15025</v>
      </c>
      <c r="T129" s="16">
        <v>15025</v>
      </c>
      <c r="U129" s="15">
        <v>15020.5</v>
      </c>
      <c r="V129" t="s">
        <v>19</v>
      </c>
      <c r="W129" t="s">
        <v>28</v>
      </c>
      <c r="X129">
        <v>453</v>
      </c>
      <c r="Y129" s="16">
        <f>VLOOKUP(Tabela1[[#This Row],[SKU]],SKU!A:D,4,0)</f>
        <v>15000</v>
      </c>
      <c r="Z129" s="18">
        <f>IFERROR((Tabela1[[#This Row],[Média]]-Tabela1[[#This Row],[Meta]])/Tabela1[[#This Row],[Meta]],"")</f>
        <v>1.3666666666666666E-3</v>
      </c>
      <c r="AA129" s="19">
        <f>Tabela1[[#This Row],[Média]]-Tabela1[[#This Row],[Meta]]</f>
        <v>20.5</v>
      </c>
      <c r="AB129" s="6" t="str">
        <f>VLOOKUP(Tabela1[[#This Row],[SKU]],SKU!A:B,2,0)</f>
        <v>ASAS FG 100g UP LP</v>
      </c>
      <c r="AC129" s="6" t="str">
        <f>VLOOKUP(Tabela1[[#This Row],[SKU]],SKU!A:C,3,0)</f>
        <v>ASA</v>
      </c>
    </row>
    <row r="130" spans="1:29" x14ac:dyDescent="0.3">
      <c r="A130" s="2">
        <f>INT(Tabela1[[#This Row],[Data e Hora2]])</f>
        <v>46252</v>
      </c>
      <c r="B130" s="6" t="str">
        <f>UPPER(TEXT(Tabela1[[#This Row],[Data Corrigida]],"MMM"))</f>
        <v>AGO</v>
      </c>
      <c r="C130" t="s">
        <v>490</v>
      </c>
      <c r="D130" s="2" t="s">
        <v>491</v>
      </c>
      <c r="E130" s="1" t="s">
        <v>487</v>
      </c>
      <c r="F130" t="s">
        <v>24</v>
      </c>
      <c r="G130" s="2" t="s">
        <v>472</v>
      </c>
      <c r="H130" t="s">
        <v>26</v>
      </c>
      <c r="I130" t="s">
        <v>27</v>
      </c>
      <c r="J130" s="6">
        <v>992093</v>
      </c>
      <c r="K130" s="16">
        <v>5013</v>
      </c>
      <c r="L130" s="16">
        <v>5018</v>
      </c>
      <c r="M130" s="16">
        <v>5017</v>
      </c>
      <c r="N130" s="16">
        <v>5007</v>
      </c>
      <c r="O130" s="16">
        <v>5004</v>
      </c>
      <c r="P130" s="16">
        <v>5013</v>
      </c>
      <c r="Q130" s="16">
        <v>5018</v>
      </c>
      <c r="R130" s="16">
        <v>5017</v>
      </c>
      <c r="S130" s="16">
        <v>5018</v>
      </c>
      <c r="T130" s="16">
        <v>5018</v>
      </c>
      <c r="U130" s="15">
        <v>5014.3</v>
      </c>
      <c r="V130" t="s">
        <v>19</v>
      </c>
      <c r="W130" t="s">
        <v>28</v>
      </c>
      <c r="X130">
        <v>210</v>
      </c>
      <c r="Y130" s="16">
        <f>VLOOKUP(Tabela1[[#This Row],[SKU]],SKU!A:D,4,0)</f>
        <v>5000</v>
      </c>
      <c r="Z130" s="18">
        <f>IFERROR((Tabela1[[#This Row],[Média]]-Tabela1[[#This Row],[Meta]])/Tabela1[[#This Row],[Meta]],"")</f>
        <v>2.8600000000000366E-3</v>
      </c>
      <c r="AA130" s="19">
        <f>Tabela1[[#This Row],[Média]]-Tabela1[[#This Row],[Meta]]</f>
        <v>14.300000000000182</v>
      </c>
      <c r="AB130" s="6" t="str">
        <f>VLOOKUP(Tabela1[[#This Row],[SKU]],SKU!A:B,2,0)</f>
        <v>PONTA ASA FG PB CG</v>
      </c>
      <c r="AC130" s="6" t="str">
        <f>VLOOKUP(Tabela1[[#This Row],[SKU]],SKU!A:C,3,0)</f>
        <v>ASA</v>
      </c>
    </row>
    <row r="131" spans="1:29" x14ac:dyDescent="0.3">
      <c r="A131" s="2">
        <f>INT(Tabela1[[#This Row],[Data e Hora2]])</f>
        <v>46252</v>
      </c>
      <c r="B131" s="6" t="str">
        <f>UPPER(TEXT(Tabela1[[#This Row],[Data Corrigida]],"MMM"))</f>
        <v>AGO</v>
      </c>
      <c r="C131" t="s">
        <v>492</v>
      </c>
      <c r="D131" s="2" t="s">
        <v>493</v>
      </c>
      <c r="E131" s="1" t="s">
        <v>487</v>
      </c>
      <c r="F131" t="s">
        <v>24</v>
      </c>
      <c r="G131" s="2" t="s">
        <v>472</v>
      </c>
      <c r="H131" t="s">
        <v>26</v>
      </c>
      <c r="I131" t="s">
        <v>27</v>
      </c>
      <c r="J131" s="6">
        <v>15105</v>
      </c>
      <c r="K131" s="16">
        <v>1038</v>
      </c>
      <c r="L131" s="16">
        <v>992</v>
      </c>
      <c r="M131" s="16">
        <v>1024</v>
      </c>
      <c r="N131" s="16">
        <v>1018</v>
      </c>
      <c r="O131" s="16">
        <v>1044</v>
      </c>
      <c r="P131" s="16">
        <v>1020</v>
      </c>
      <c r="Q131" s="16">
        <v>1009</v>
      </c>
      <c r="R131" s="16">
        <v>1026</v>
      </c>
      <c r="S131" s="16">
        <v>1013</v>
      </c>
      <c r="T131" s="16">
        <v>1017</v>
      </c>
      <c r="U131" s="15">
        <v>1020.1</v>
      </c>
      <c r="V131" t="s">
        <v>19</v>
      </c>
      <c r="W131" t="s">
        <v>28</v>
      </c>
      <c r="X131">
        <v>246</v>
      </c>
      <c r="Y131" s="16">
        <f>VLOOKUP(Tabela1[[#This Row],[SKU]],SKU!A:D,4,0)</f>
        <v>1000</v>
      </c>
      <c r="Z131" s="18">
        <f>IFERROR((Tabela1[[#This Row],[Média]]-Tabela1[[#This Row],[Meta]])/Tabela1[[#This Row],[Meta]],"")</f>
        <v>2.0100000000000024E-2</v>
      </c>
      <c r="AA131" s="19">
        <f>Tabela1[[#This Row],[Média]]-Tabela1[[#This Row],[Meta]]</f>
        <v>20.100000000000023</v>
      </c>
      <c r="AB131" s="6" t="str">
        <f>VLOOKUP(Tabela1[[#This Row],[SKU]],SKU!A:B,2,0)</f>
        <v>FILE PEITO MET CG BDJ SE</v>
      </c>
      <c r="AC131" s="6" t="str">
        <f>VLOOKUP(Tabela1[[#This Row],[SKU]],SKU!A:C,3,0)</f>
        <v>PEITO</v>
      </c>
    </row>
    <row r="132" spans="1:29" x14ac:dyDescent="0.3">
      <c r="A132" s="2">
        <f>INT(Tabela1[[#This Row],[Data e Hora2]])</f>
        <v>46252</v>
      </c>
      <c r="B132" s="6" t="str">
        <f>UPPER(TEXT(Tabela1[[#This Row],[Data Corrigida]],"MMM"))</f>
        <v>AGO</v>
      </c>
      <c r="C132" t="s">
        <v>494</v>
      </c>
      <c r="D132" s="2" t="s">
        <v>495</v>
      </c>
      <c r="E132" s="1" t="s">
        <v>496</v>
      </c>
      <c r="F132" t="s">
        <v>56</v>
      </c>
      <c r="G132" s="2" t="s">
        <v>472</v>
      </c>
      <c r="H132" t="s">
        <v>26</v>
      </c>
      <c r="I132" t="s">
        <v>57</v>
      </c>
      <c r="J132" s="6">
        <v>15105</v>
      </c>
      <c r="K132" s="16">
        <v>994</v>
      </c>
      <c r="L132" s="16">
        <v>984</v>
      </c>
      <c r="M132" s="16">
        <v>1046</v>
      </c>
      <c r="N132" s="16">
        <v>1013</v>
      </c>
      <c r="O132" s="16">
        <v>1021</v>
      </c>
      <c r="P132" s="16">
        <v>1038</v>
      </c>
      <c r="Q132" s="16">
        <v>1003</v>
      </c>
      <c r="R132" s="16">
        <v>1015</v>
      </c>
      <c r="S132" s="16">
        <v>1002</v>
      </c>
      <c r="T132" s="16">
        <v>1014</v>
      </c>
      <c r="U132" s="15">
        <v>1013</v>
      </c>
      <c r="V132" t="s">
        <v>19</v>
      </c>
      <c r="W132" t="s">
        <v>28</v>
      </c>
      <c r="X132">
        <v>1520</v>
      </c>
      <c r="Y132" s="16">
        <f>VLOOKUP(Tabela1[[#This Row],[SKU]],SKU!A:D,4,0)</f>
        <v>1000</v>
      </c>
      <c r="Z132" s="18">
        <f>IFERROR((Tabela1[[#This Row],[Média]]-Tabela1[[#This Row],[Meta]])/Tabela1[[#This Row],[Meta]],"")</f>
        <v>1.2999999999999999E-2</v>
      </c>
      <c r="AA132" s="19">
        <f>Tabela1[[#This Row],[Média]]-Tabela1[[#This Row],[Meta]]</f>
        <v>13</v>
      </c>
      <c r="AB132" s="6" t="str">
        <f>VLOOKUP(Tabela1[[#This Row],[SKU]],SKU!A:B,2,0)</f>
        <v>FILE PEITO MET CG BDJ SE</v>
      </c>
      <c r="AC132" s="6" t="str">
        <f>VLOOKUP(Tabela1[[#This Row],[SKU]],SKU!A:C,3,0)</f>
        <v>PEITO</v>
      </c>
    </row>
    <row r="133" spans="1:29" x14ac:dyDescent="0.3">
      <c r="A133" s="2">
        <f>INT(Tabela1[[#This Row],[Data e Hora2]])</f>
        <v>46252</v>
      </c>
      <c r="B133" s="6" t="str">
        <f>UPPER(TEXT(Tabela1[[#This Row],[Data Corrigida]],"MMM"))</f>
        <v>AGO</v>
      </c>
      <c r="C133" t="s">
        <v>497</v>
      </c>
      <c r="D133" s="2" t="s">
        <v>498</v>
      </c>
      <c r="E133" s="1" t="s">
        <v>499</v>
      </c>
      <c r="F133" t="s">
        <v>56</v>
      </c>
      <c r="G133" s="2" t="s">
        <v>472</v>
      </c>
      <c r="H133" t="s">
        <v>26</v>
      </c>
      <c r="I133" t="s">
        <v>57</v>
      </c>
      <c r="J133" s="6">
        <v>40762</v>
      </c>
      <c r="K133" s="16">
        <v>10105</v>
      </c>
      <c r="L133" s="16">
        <v>9875</v>
      </c>
      <c r="M133" s="16">
        <v>9930</v>
      </c>
      <c r="N133" s="16">
        <v>9925</v>
      </c>
      <c r="O133" s="16">
        <v>9860</v>
      </c>
      <c r="P133" s="16">
        <v>10220</v>
      </c>
      <c r="Q133" s="16">
        <v>10005</v>
      </c>
      <c r="R133" s="16">
        <v>10030</v>
      </c>
      <c r="S133" s="16">
        <v>10045</v>
      </c>
      <c r="T133" s="16">
        <v>10195</v>
      </c>
      <c r="U133" s="15">
        <v>10019</v>
      </c>
      <c r="V133" t="s">
        <v>19</v>
      </c>
      <c r="W133" t="s">
        <v>28</v>
      </c>
      <c r="X133">
        <v>545</v>
      </c>
      <c r="Y133" s="16">
        <f>VLOOKUP(Tabela1[[#This Row],[SKU]],SKU!A:D,4,0)</f>
        <v>10000</v>
      </c>
      <c r="Z133" s="18">
        <f>IFERROR((Tabela1[[#This Row],[Média]]-Tabela1[[#This Row],[Meta]])/Tabela1[[#This Row],[Meta]],"")</f>
        <v>1.9E-3</v>
      </c>
      <c r="AA133" s="19">
        <f>Tabela1[[#This Row],[Média]]-Tabela1[[#This Row],[Meta]]</f>
        <v>19</v>
      </c>
      <c r="AB133" s="6" t="str">
        <f>VLOOKUP(Tabela1[[#This Row],[SKU]],SKU!A:B,2,0)</f>
        <v>COXA SBCX LQ FG LP</v>
      </c>
      <c r="AC133" s="6" t="str">
        <f>VLOOKUP(Tabela1[[#This Row],[SKU]],SKU!A:C,3,0)</f>
        <v>PERNA</v>
      </c>
    </row>
    <row r="134" spans="1:29" x14ac:dyDescent="0.3">
      <c r="A134" s="2">
        <f>INT(Tabela1[[#This Row],[Data e Hora2]])</f>
        <v>46251</v>
      </c>
      <c r="B134" s="6" t="str">
        <f>UPPER(TEXT(Tabela1[[#This Row],[Data Corrigida]],"MMM"))</f>
        <v>AGO</v>
      </c>
      <c r="C134" t="s">
        <v>411</v>
      </c>
      <c r="D134" s="2" t="s">
        <v>412</v>
      </c>
      <c r="E134" s="1" t="s">
        <v>413</v>
      </c>
      <c r="F134" t="s">
        <v>24</v>
      </c>
      <c r="G134" s="2" t="s">
        <v>414</v>
      </c>
      <c r="H134" t="s">
        <v>26</v>
      </c>
      <c r="I134" t="s">
        <v>27</v>
      </c>
      <c r="J134" s="6">
        <v>40762</v>
      </c>
      <c r="K134" s="16">
        <v>10140</v>
      </c>
      <c r="L134" s="16">
        <v>10225</v>
      </c>
      <c r="M134" s="16">
        <v>10055</v>
      </c>
      <c r="N134" s="16">
        <v>10165</v>
      </c>
      <c r="O134" s="16">
        <v>10100</v>
      </c>
      <c r="P134" s="16">
        <v>10180</v>
      </c>
      <c r="Q134" s="16">
        <v>10150</v>
      </c>
      <c r="R134" s="16">
        <v>10110</v>
      </c>
      <c r="S134" s="16">
        <v>10255</v>
      </c>
      <c r="T134" s="16">
        <v>10065</v>
      </c>
      <c r="U134" s="15">
        <v>10144.5</v>
      </c>
      <c r="V134" t="s">
        <v>19</v>
      </c>
      <c r="W134" t="s">
        <v>28</v>
      </c>
      <c r="X134">
        <v>3172</v>
      </c>
      <c r="Y134" s="16">
        <f>VLOOKUP(Tabela1[[#This Row],[SKU]],SKU!A:D,4,0)</f>
        <v>10000</v>
      </c>
      <c r="Z134" s="18">
        <f>IFERROR((Tabela1[[#This Row],[Média]]-Tabela1[[#This Row],[Meta]])/Tabela1[[#This Row],[Meta]],"")</f>
        <v>1.4449999999999999E-2</v>
      </c>
      <c r="AA134" s="19">
        <f>Tabela1[[#This Row],[Média]]-Tabela1[[#This Row],[Meta]]</f>
        <v>144.5</v>
      </c>
      <c r="AB134" s="6" t="str">
        <f>VLOOKUP(Tabela1[[#This Row],[SKU]],SKU!A:B,2,0)</f>
        <v>COXA SBCX LQ FG LP</v>
      </c>
      <c r="AC134" s="6" t="str">
        <f>VLOOKUP(Tabela1[[#This Row],[SKU]],SKU!A:C,3,0)</f>
        <v>PERNA</v>
      </c>
    </row>
    <row r="135" spans="1:29" x14ac:dyDescent="0.3">
      <c r="A135" s="2">
        <f>INT(Tabela1[[#This Row],[Data e Hora2]])</f>
        <v>46251</v>
      </c>
      <c r="B135" s="6" t="str">
        <f>UPPER(TEXT(Tabela1[[#This Row],[Data Corrigida]],"MMM"))</f>
        <v>AGO</v>
      </c>
      <c r="C135" t="s">
        <v>415</v>
      </c>
      <c r="D135" s="2" t="s">
        <v>416</v>
      </c>
      <c r="E135" s="1" t="s">
        <v>413</v>
      </c>
      <c r="F135" t="s">
        <v>24</v>
      </c>
      <c r="G135" s="2" t="s">
        <v>414</v>
      </c>
      <c r="H135" t="s">
        <v>26</v>
      </c>
      <c r="I135" t="s">
        <v>27</v>
      </c>
      <c r="J135" s="6">
        <v>995638</v>
      </c>
      <c r="K135" s="16">
        <v>15065</v>
      </c>
      <c r="L135" s="16">
        <v>15060</v>
      </c>
      <c r="M135" s="16">
        <v>15005</v>
      </c>
      <c r="N135" s="16">
        <v>15055</v>
      </c>
      <c r="O135" s="16">
        <v>15045</v>
      </c>
      <c r="P135" s="16">
        <v>15050</v>
      </c>
      <c r="Q135" s="16">
        <v>15025</v>
      </c>
      <c r="R135" s="16">
        <v>15060</v>
      </c>
      <c r="S135" s="16">
        <v>15000</v>
      </c>
      <c r="T135" s="16">
        <v>15035</v>
      </c>
      <c r="U135" s="15">
        <v>15040</v>
      </c>
      <c r="V135" t="s">
        <v>19</v>
      </c>
      <c r="W135" t="s">
        <v>28</v>
      </c>
      <c r="X135">
        <v>425</v>
      </c>
      <c r="Y135" s="16">
        <f>VLOOKUP(Tabela1[[#This Row],[SKU]],SKU!A:D,4,0)</f>
        <v>15000</v>
      </c>
      <c r="Z135" s="18">
        <f>IFERROR((Tabela1[[#This Row],[Média]]-Tabela1[[#This Row],[Meta]])/Tabela1[[#This Row],[Meta]],"")</f>
        <v>2.6666666666666666E-3</v>
      </c>
      <c r="AA135" s="19">
        <f>Tabela1[[#This Row],[Média]]-Tabela1[[#This Row],[Meta]]</f>
        <v>40</v>
      </c>
      <c r="AB135" s="6" t="str">
        <f>VLOOKUP(Tabela1[[#This Row],[SKU]],SKU!A:B,2,0)</f>
        <v>MEIO DA ASA 40-50G LP</v>
      </c>
      <c r="AC135" s="6" t="str">
        <f>VLOOKUP(Tabela1[[#This Row],[SKU]],SKU!A:C,3,0)</f>
        <v>ASA</v>
      </c>
    </row>
    <row r="136" spans="1:29" x14ac:dyDescent="0.3">
      <c r="A136" s="2">
        <f>INT(Tabela1[[#This Row],[Data e Hora2]])</f>
        <v>46251</v>
      </c>
      <c r="B136" s="6" t="str">
        <f>UPPER(TEXT(Tabela1[[#This Row],[Data Corrigida]],"MMM"))</f>
        <v>AGO</v>
      </c>
      <c r="C136" t="s">
        <v>417</v>
      </c>
      <c r="D136" s="2" t="s">
        <v>418</v>
      </c>
      <c r="E136" s="1" t="s">
        <v>413</v>
      </c>
      <c r="F136" t="s">
        <v>24</v>
      </c>
      <c r="G136" s="2" t="s">
        <v>414</v>
      </c>
      <c r="H136" t="s">
        <v>26</v>
      </c>
      <c r="I136" t="s">
        <v>27</v>
      </c>
      <c r="J136" s="6">
        <v>15105</v>
      </c>
      <c r="K136" s="16">
        <v>1002</v>
      </c>
      <c r="L136" s="16">
        <v>952</v>
      </c>
      <c r="M136" s="16">
        <v>999</v>
      </c>
      <c r="N136" s="16">
        <v>1000</v>
      </c>
      <c r="O136" s="16">
        <v>999</v>
      </c>
      <c r="P136" s="16">
        <v>1024</v>
      </c>
      <c r="Q136" s="16">
        <v>1016</v>
      </c>
      <c r="R136" s="16">
        <v>1007</v>
      </c>
      <c r="S136" s="16">
        <v>1001</v>
      </c>
      <c r="T136" s="16">
        <v>950</v>
      </c>
      <c r="U136" s="15">
        <v>995</v>
      </c>
      <c r="V136" t="s">
        <v>19</v>
      </c>
      <c r="W136" t="s">
        <v>28</v>
      </c>
      <c r="X136">
        <v>542</v>
      </c>
      <c r="Y136" s="16">
        <f>VLOOKUP(Tabela1[[#This Row],[SKU]],SKU!A:D,4,0)</f>
        <v>1000</v>
      </c>
      <c r="Z136" s="18">
        <f>IFERROR((Tabela1[[#This Row],[Média]]-Tabela1[[#This Row],[Meta]])/Tabela1[[#This Row],[Meta]],"")</f>
        <v>-5.0000000000000001E-3</v>
      </c>
      <c r="AA136" s="19">
        <f>Tabela1[[#This Row],[Média]]-Tabela1[[#This Row],[Meta]]</f>
        <v>-5</v>
      </c>
      <c r="AB136" s="6" t="str">
        <f>VLOOKUP(Tabela1[[#This Row],[SKU]],SKU!A:B,2,0)</f>
        <v>FILE PEITO MET CG BDJ SE</v>
      </c>
      <c r="AC136" s="6" t="str">
        <f>VLOOKUP(Tabela1[[#This Row],[SKU]],SKU!A:C,3,0)</f>
        <v>PEITO</v>
      </c>
    </row>
    <row r="137" spans="1:29" x14ac:dyDescent="0.3">
      <c r="A137" s="2">
        <f>INT(Tabela1[[#This Row],[Data e Hora2]])</f>
        <v>46253</v>
      </c>
      <c r="B137" s="6" t="str">
        <f>UPPER(TEXT(Tabela1[[#This Row],[Data Corrigida]],"MMM"))</f>
        <v>AGO</v>
      </c>
      <c r="C137" t="s">
        <v>500</v>
      </c>
      <c r="D137" s="2" t="s">
        <v>501</v>
      </c>
      <c r="E137" s="1" t="s">
        <v>502</v>
      </c>
      <c r="F137" t="s">
        <v>24</v>
      </c>
      <c r="G137" s="2" t="s">
        <v>461</v>
      </c>
      <c r="H137" t="s">
        <v>26</v>
      </c>
      <c r="I137" t="s">
        <v>27</v>
      </c>
      <c r="J137" s="6">
        <v>40762</v>
      </c>
      <c r="K137" s="16">
        <v>10090</v>
      </c>
      <c r="L137" s="16">
        <v>10085</v>
      </c>
      <c r="M137" s="16">
        <v>10080</v>
      </c>
      <c r="N137" s="16">
        <v>10035</v>
      </c>
      <c r="O137" s="16">
        <v>9985</v>
      </c>
      <c r="P137" s="16">
        <v>10075</v>
      </c>
      <c r="Q137" s="16">
        <v>9975</v>
      </c>
      <c r="R137" s="16">
        <v>10010</v>
      </c>
      <c r="S137" s="16">
        <v>10005</v>
      </c>
      <c r="T137" s="16">
        <v>9995</v>
      </c>
      <c r="U137" s="15">
        <v>10033.5</v>
      </c>
      <c r="V137" t="s">
        <v>19</v>
      </c>
      <c r="W137" t="s">
        <v>28</v>
      </c>
      <c r="X137">
        <v>1177</v>
      </c>
      <c r="Y137" s="16">
        <f>VLOOKUP(Tabela1[[#This Row],[SKU]],SKU!A:D,4,0)</f>
        <v>10000</v>
      </c>
      <c r="Z137" s="18">
        <f>IFERROR((Tabela1[[#This Row],[Média]]-Tabela1[[#This Row],[Meta]])/Tabela1[[#This Row],[Meta]],"")</f>
        <v>3.3500000000000001E-3</v>
      </c>
      <c r="AA137" s="19">
        <f>Tabela1[[#This Row],[Média]]-Tabela1[[#This Row],[Meta]]</f>
        <v>33.5</v>
      </c>
      <c r="AB137" s="6" t="str">
        <f>VLOOKUP(Tabela1[[#This Row],[SKU]],SKU!A:B,2,0)</f>
        <v>COXA SBCX LQ FG LP</v>
      </c>
      <c r="AC137" s="6" t="str">
        <f>VLOOKUP(Tabela1[[#This Row],[SKU]],SKU!A:C,3,0)</f>
        <v>PERNA</v>
      </c>
    </row>
    <row r="138" spans="1:29" x14ac:dyDescent="0.3">
      <c r="A138" s="2">
        <f>INT(Tabela1[[#This Row],[Data e Hora2]])</f>
        <v>46253</v>
      </c>
      <c r="B138" s="6" t="str">
        <f>UPPER(TEXT(Tabela1[[#This Row],[Data Corrigida]],"MMM"))</f>
        <v>AGO</v>
      </c>
      <c r="C138" t="s">
        <v>503</v>
      </c>
      <c r="D138" s="2" t="s">
        <v>504</v>
      </c>
      <c r="E138" s="1" t="s">
        <v>502</v>
      </c>
      <c r="F138" t="s">
        <v>24</v>
      </c>
      <c r="G138" s="2" t="s">
        <v>461</v>
      </c>
      <c r="H138" t="s">
        <v>26</v>
      </c>
      <c r="I138" t="s">
        <v>27</v>
      </c>
      <c r="J138" s="6">
        <v>15229</v>
      </c>
      <c r="K138" s="16">
        <v>1010</v>
      </c>
      <c r="L138" s="16">
        <v>994</v>
      </c>
      <c r="M138" s="16">
        <v>1013</v>
      </c>
      <c r="N138" s="16">
        <v>1010</v>
      </c>
      <c r="O138" s="16">
        <v>1007</v>
      </c>
      <c r="P138" s="16">
        <v>1016</v>
      </c>
      <c r="Q138" s="16">
        <v>998</v>
      </c>
      <c r="R138" s="16">
        <v>992</v>
      </c>
      <c r="S138" s="16">
        <v>1014</v>
      </c>
      <c r="T138" s="16">
        <v>1016</v>
      </c>
      <c r="U138" s="15">
        <v>1007</v>
      </c>
      <c r="V138" t="s">
        <v>19</v>
      </c>
      <c r="W138" t="s">
        <v>28</v>
      </c>
      <c r="X138">
        <v>455</v>
      </c>
      <c r="Y138" s="16">
        <f>VLOOKUP(Tabela1[[#This Row],[SKU]],SKU!A:D,4,0)</f>
        <v>1000</v>
      </c>
      <c r="Z138" s="18">
        <f>IFERROR((Tabela1[[#This Row],[Média]]-Tabela1[[#This Row],[Meta]])/Tabela1[[#This Row],[Meta]],"")</f>
        <v>7.0000000000000001E-3</v>
      </c>
      <c r="AA138" s="19">
        <f>Tabela1[[#This Row],[Média]]-Tabela1[[#This Row],[Meta]]</f>
        <v>7</v>
      </c>
      <c r="AB138" s="6" t="str">
        <f>VLOOKUP(Tabela1[[#This Row],[SKU]],SKU!A:B,2,0)</f>
        <v>COXA CG BDJ SE</v>
      </c>
      <c r="AC138" s="6" t="str">
        <f>VLOOKUP(Tabela1[[#This Row],[SKU]],SKU!A:C,3,0)</f>
        <v>PERNA</v>
      </c>
    </row>
    <row r="139" spans="1:29" x14ac:dyDescent="0.3">
      <c r="A139" s="2">
        <f>INT(Tabela1[[#This Row],[Data e Hora2]])</f>
        <v>46253</v>
      </c>
      <c r="B139" s="6" t="str">
        <f>UPPER(TEXT(Tabela1[[#This Row],[Data Corrigida]],"MMM"))</f>
        <v>AGO</v>
      </c>
      <c r="C139" t="s">
        <v>505</v>
      </c>
      <c r="D139" s="2" t="s">
        <v>506</v>
      </c>
      <c r="E139" s="1" t="s">
        <v>502</v>
      </c>
      <c r="F139" t="s">
        <v>24</v>
      </c>
      <c r="G139" s="2" t="s">
        <v>461</v>
      </c>
      <c r="H139" t="s">
        <v>26</v>
      </c>
      <c r="I139" t="s">
        <v>27</v>
      </c>
      <c r="J139" s="6">
        <v>15105</v>
      </c>
      <c r="K139" s="16">
        <v>1055</v>
      </c>
      <c r="L139" s="16">
        <v>1014</v>
      </c>
      <c r="M139" s="16">
        <v>1013</v>
      </c>
      <c r="N139" s="16">
        <v>1007</v>
      </c>
      <c r="O139" s="16">
        <v>1045</v>
      </c>
      <c r="P139" s="16">
        <v>1057</v>
      </c>
      <c r="Q139" s="16">
        <v>1040</v>
      </c>
      <c r="R139" s="16">
        <v>1034</v>
      </c>
      <c r="S139" s="16">
        <v>1050</v>
      </c>
      <c r="T139" s="16">
        <v>1028</v>
      </c>
      <c r="U139" s="15">
        <v>1034.3</v>
      </c>
      <c r="V139" t="s">
        <v>19</v>
      </c>
      <c r="W139" t="s">
        <v>28</v>
      </c>
      <c r="X139">
        <v>227</v>
      </c>
      <c r="Y139" s="16">
        <f>VLOOKUP(Tabela1[[#This Row],[SKU]],SKU!A:D,4,0)</f>
        <v>1000</v>
      </c>
      <c r="Z139" s="18">
        <f>IFERROR((Tabela1[[#This Row],[Média]]-Tabela1[[#This Row],[Meta]])/Tabela1[[#This Row],[Meta]],"")</f>
        <v>3.4299999999999956E-2</v>
      </c>
      <c r="AA139" s="19">
        <f>Tabela1[[#This Row],[Média]]-Tabela1[[#This Row],[Meta]]</f>
        <v>34.299999999999955</v>
      </c>
      <c r="AB139" s="6" t="str">
        <f>VLOOKUP(Tabela1[[#This Row],[SKU]],SKU!A:B,2,0)</f>
        <v>FILE PEITO MET CG BDJ SE</v>
      </c>
      <c r="AC139" s="6" t="str">
        <f>VLOOKUP(Tabela1[[#This Row],[SKU]],SKU!A:C,3,0)</f>
        <v>PEITO</v>
      </c>
    </row>
    <row r="140" spans="1:29" x14ac:dyDescent="0.3">
      <c r="A140" s="2">
        <f>INT(Tabela1[[#This Row],[Data e Hora2]])</f>
        <v>46253</v>
      </c>
      <c r="B140" s="6" t="str">
        <f>UPPER(TEXT(Tabela1[[#This Row],[Data Corrigida]],"MMM"))</f>
        <v>AGO</v>
      </c>
      <c r="C140" t="s">
        <v>507</v>
      </c>
      <c r="D140" s="2" t="s">
        <v>508</v>
      </c>
      <c r="E140" s="1" t="s">
        <v>509</v>
      </c>
      <c r="F140" t="s">
        <v>24</v>
      </c>
      <c r="G140" s="2" t="s">
        <v>461</v>
      </c>
      <c r="H140" t="s">
        <v>26</v>
      </c>
      <c r="I140" t="s">
        <v>27</v>
      </c>
      <c r="J140" s="6">
        <v>42838</v>
      </c>
      <c r="K140" s="16">
        <v>2027</v>
      </c>
      <c r="L140" s="16">
        <v>2080</v>
      </c>
      <c r="M140" s="16">
        <v>2007</v>
      </c>
      <c r="N140" s="16">
        <v>2128</v>
      </c>
      <c r="O140" s="16">
        <v>2033</v>
      </c>
      <c r="P140" s="16">
        <v>2027</v>
      </c>
      <c r="Q140" s="16">
        <v>1999</v>
      </c>
      <c r="R140" s="16">
        <v>2083</v>
      </c>
      <c r="S140" s="16">
        <v>2039</v>
      </c>
      <c r="T140" s="16">
        <v>2025</v>
      </c>
      <c r="U140" s="15">
        <v>2044.8</v>
      </c>
      <c r="V140" t="s">
        <v>19</v>
      </c>
      <c r="W140" t="s">
        <v>19</v>
      </c>
      <c r="X140">
        <v>1718</v>
      </c>
      <c r="Y140" s="16">
        <f>VLOOKUP(Tabela1[[#This Row],[SKU]],SKU!A:D,4,0)</f>
        <v>2000</v>
      </c>
      <c r="Z140" s="18">
        <f>IFERROR((Tabela1[[#This Row],[Média]]-Tabela1[[#This Row],[Meta]])/Tabela1[[#This Row],[Meta]],"")</f>
        <v>2.2399999999999979E-2</v>
      </c>
      <c r="AA140" s="19">
        <f>Tabela1[[#This Row],[Média]]-Tabela1[[#This Row],[Meta]]</f>
        <v>44.799999999999955</v>
      </c>
      <c r="AB140" s="6" t="str">
        <f>VLOOKUP(Tabela1[[#This Row],[SKU]],SKU!A:B,2,0)</f>
        <v>COXA SBCX S/O FG 220-240g PB</v>
      </c>
      <c r="AC140" s="6" t="str">
        <f>VLOOKUP(Tabela1[[#This Row],[SKU]],SKU!A:C,3,0)</f>
        <v>PERNA</v>
      </c>
    </row>
    <row r="141" spans="1:29" x14ac:dyDescent="0.3">
      <c r="A141" s="2">
        <f>INT(Tabela1[[#This Row],[Data e Hora2]])</f>
        <v>46253</v>
      </c>
      <c r="B141" s="6" t="str">
        <f>UPPER(TEXT(Tabela1[[#This Row],[Data Corrigida]],"MMM"))</f>
        <v>AGO</v>
      </c>
      <c r="C141" t="s">
        <v>510</v>
      </c>
      <c r="D141" s="2" t="s">
        <v>511</v>
      </c>
      <c r="E141" s="1" t="s">
        <v>509</v>
      </c>
      <c r="F141" t="s">
        <v>24</v>
      </c>
      <c r="G141" s="2" t="s">
        <v>461</v>
      </c>
      <c r="H141" t="s">
        <v>26</v>
      </c>
      <c r="I141" t="s">
        <v>27</v>
      </c>
      <c r="J141" s="6">
        <v>42862</v>
      </c>
      <c r="K141" s="16">
        <v>2051</v>
      </c>
      <c r="L141" s="16">
        <v>2019</v>
      </c>
      <c r="M141" s="16">
        <v>2032</v>
      </c>
      <c r="N141" s="16">
        <v>2002</v>
      </c>
      <c r="O141" s="16">
        <v>2021</v>
      </c>
      <c r="P141" s="16">
        <v>2044</v>
      </c>
      <c r="Q141" s="16">
        <v>2024</v>
      </c>
      <c r="R141" s="16">
        <v>2018</v>
      </c>
      <c r="S141" s="16">
        <v>2041</v>
      </c>
      <c r="T141" s="16">
        <v>2003</v>
      </c>
      <c r="U141" s="15">
        <v>2025.5</v>
      </c>
      <c r="V141" t="s">
        <v>19</v>
      </c>
      <c r="W141" t="s">
        <v>19</v>
      </c>
      <c r="X141">
        <v>141</v>
      </c>
      <c r="Y141" s="16">
        <f>VLOOKUP(Tabela1[[#This Row],[SKU]],SKU!A:D,4,0)</f>
        <v>2000</v>
      </c>
      <c r="Z141" s="18">
        <f>IFERROR((Tabela1[[#This Row],[Média]]-Tabela1[[#This Row],[Meta]])/Tabela1[[#This Row],[Meta]],"")</f>
        <v>1.2749999999999999E-2</v>
      </c>
      <c r="AA141" s="19">
        <f>Tabela1[[#This Row],[Média]]-Tabela1[[#This Row],[Meta]]</f>
        <v>25.5</v>
      </c>
      <c r="AB141" s="6" t="str">
        <f>VLOOKUP(Tabela1[[#This Row],[SKU]],SKU!A:B,2,0)</f>
        <v>COXA SBCX S/O FG 280-300g PB</v>
      </c>
      <c r="AC141" s="6" t="str">
        <f>VLOOKUP(Tabela1[[#This Row],[SKU]],SKU!A:C,3,0)</f>
        <v>PERNA</v>
      </c>
    </row>
    <row r="142" spans="1:29" x14ac:dyDescent="0.3">
      <c r="A142" s="2">
        <f>INT(Tabela1[[#This Row],[Data e Hora2]])</f>
        <v>46253</v>
      </c>
      <c r="B142" s="6" t="str">
        <f>UPPER(TEXT(Tabela1[[#This Row],[Data Corrigida]],"MMM"))</f>
        <v>AGO</v>
      </c>
      <c r="C142" t="s">
        <v>512</v>
      </c>
      <c r="D142" s="2" t="s">
        <v>513</v>
      </c>
      <c r="E142" s="1" t="s">
        <v>509</v>
      </c>
      <c r="F142" t="s">
        <v>24</v>
      </c>
      <c r="G142" s="2" t="s">
        <v>461</v>
      </c>
      <c r="H142" t="s">
        <v>26</v>
      </c>
      <c r="I142" t="s">
        <v>27</v>
      </c>
      <c r="J142" s="6">
        <v>42854</v>
      </c>
      <c r="K142" s="16">
        <v>2058</v>
      </c>
      <c r="L142" s="16">
        <v>2070</v>
      </c>
      <c r="M142" s="16">
        <v>2117</v>
      </c>
      <c r="N142" s="16">
        <v>2095</v>
      </c>
      <c r="O142" s="16">
        <v>2132</v>
      </c>
      <c r="P142" s="16">
        <v>2065</v>
      </c>
      <c r="Q142" s="16">
        <v>2033</v>
      </c>
      <c r="R142" s="16">
        <v>2097</v>
      </c>
      <c r="S142" s="16">
        <v>2100</v>
      </c>
      <c r="T142" s="16">
        <v>2102</v>
      </c>
      <c r="U142" s="15">
        <v>2086.9</v>
      </c>
      <c r="V142" t="s">
        <v>19</v>
      </c>
      <c r="W142" t="s">
        <v>28</v>
      </c>
      <c r="X142">
        <v>186</v>
      </c>
      <c r="Y142" s="16">
        <f>VLOOKUP(Tabela1[[#This Row],[SKU]],SKU!A:D,4,0)</f>
        <v>2080</v>
      </c>
      <c r="Z142" s="18">
        <f>IFERROR((Tabela1[[#This Row],[Média]]-Tabela1[[#This Row],[Meta]])/Tabela1[[#This Row],[Meta]],"")</f>
        <v>3.3173076923077361E-3</v>
      </c>
      <c r="AA142" s="19">
        <f>Tabela1[[#This Row],[Média]]-Tabela1[[#This Row],[Meta]]</f>
        <v>6.9000000000000909</v>
      </c>
      <c r="AB142" s="6" t="str">
        <f>VLOOKUP(Tabela1[[#This Row],[SKU]],SKU!A:B,2,0)</f>
        <v>COXA SBCX S/O FG 260-280g PB</v>
      </c>
      <c r="AC142" s="6" t="str">
        <f>VLOOKUP(Tabela1[[#This Row],[SKU]],SKU!A:C,3,0)</f>
        <v>PERNA</v>
      </c>
    </row>
    <row r="143" spans="1:29" x14ac:dyDescent="0.3">
      <c r="A143" s="2">
        <f>INT(Tabela1[[#This Row],[Data e Hora2]])</f>
        <v>46253</v>
      </c>
      <c r="B143" s="6" t="str">
        <f>UPPER(TEXT(Tabela1[[#This Row],[Data Corrigida]],"MMM"))</f>
        <v>AGO</v>
      </c>
      <c r="C143" t="s">
        <v>514</v>
      </c>
      <c r="D143" s="2" t="s">
        <v>515</v>
      </c>
      <c r="E143" s="1" t="s">
        <v>509</v>
      </c>
      <c r="F143" t="s">
        <v>24</v>
      </c>
      <c r="G143" s="2" t="s">
        <v>461</v>
      </c>
      <c r="H143" t="s">
        <v>26</v>
      </c>
      <c r="I143" t="s">
        <v>27</v>
      </c>
      <c r="J143" s="6">
        <v>42846</v>
      </c>
      <c r="K143" s="16">
        <v>2084</v>
      </c>
      <c r="L143" s="16">
        <v>2031</v>
      </c>
      <c r="M143" s="16">
        <v>2011</v>
      </c>
      <c r="N143" s="16">
        <v>2015</v>
      </c>
      <c r="O143" s="16">
        <v>2002</v>
      </c>
      <c r="P143" s="16">
        <v>2000</v>
      </c>
      <c r="Q143" s="16">
        <v>2077</v>
      </c>
      <c r="R143" s="16">
        <v>2010</v>
      </c>
      <c r="S143" s="16">
        <v>2015</v>
      </c>
      <c r="T143" s="16">
        <v>2055</v>
      </c>
      <c r="U143" s="15">
        <v>2030</v>
      </c>
      <c r="V143" t="s">
        <v>19</v>
      </c>
      <c r="W143" t="s">
        <v>19</v>
      </c>
      <c r="X143">
        <v>288</v>
      </c>
      <c r="Y143" s="16">
        <f>VLOOKUP(Tabela1[[#This Row],[SKU]],SKU!A:D,4,0)</f>
        <v>2000</v>
      </c>
      <c r="Z143" s="18">
        <f>IFERROR((Tabela1[[#This Row],[Média]]-Tabela1[[#This Row],[Meta]])/Tabela1[[#This Row],[Meta]],"")</f>
        <v>1.4999999999999999E-2</v>
      </c>
      <c r="AA143" s="19">
        <f>Tabela1[[#This Row],[Média]]-Tabela1[[#This Row],[Meta]]</f>
        <v>30</v>
      </c>
      <c r="AB143" s="6" t="str">
        <f>VLOOKUP(Tabela1[[#This Row],[SKU]],SKU!A:B,2,0)</f>
        <v>COXA SBCX S/O FG 240-260g PB</v>
      </c>
      <c r="AC143" s="6" t="str">
        <f>VLOOKUP(Tabela1[[#This Row],[SKU]],SKU!A:C,3,0)</f>
        <v>PERNA</v>
      </c>
    </row>
    <row r="144" spans="1:29" x14ac:dyDescent="0.3">
      <c r="A144" s="2">
        <f>INT(Tabela1[[#This Row],[Data e Hora2]])</f>
        <v>46253</v>
      </c>
      <c r="B144" s="6" t="str">
        <f>UPPER(TEXT(Tabela1[[#This Row],[Data Corrigida]],"MMM"))</f>
        <v>AGO</v>
      </c>
      <c r="C144" t="s">
        <v>516</v>
      </c>
      <c r="D144" s="2" t="s">
        <v>517</v>
      </c>
      <c r="E144" s="1" t="s">
        <v>509</v>
      </c>
      <c r="F144" t="s">
        <v>24</v>
      </c>
      <c r="G144" s="2" t="s">
        <v>461</v>
      </c>
      <c r="H144" t="s">
        <v>26</v>
      </c>
      <c r="I144" t="s">
        <v>27</v>
      </c>
      <c r="J144" s="6">
        <v>13188</v>
      </c>
      <c r="K144" s="16" t="s">
        <v>19</v>
      </c>
      <c r="L144" s="16" t="s">
        <v>19</v>
      </c>
      <c r="M144" s="16">
        <v>1001</v>
      </c>
      <c r="N144" s="16">
        <v>1022</v>
      </c>
      <c r="O144" s="16">
        <v>1008</v>
      </c>
      <c r="P144" s="16">
        <v>997</v>
      </c>
      <c r="Q144" s="16">
        <v>1025</v>
      </c>
      <c r="R144" s="16">
        <v>1016</v>
      </c>
      <c r="S144" s="16">
        <v>1001</v>
      </c>
      <c r="T144" s="16">
        <v>1008</v>
      </c>
      <c r="U144" s="15">
        <v>1009.75</v>
      </c>
      <c r="V144" t="s">
        <v>19</v>
      </c>
      <c r="W144" t="s">
        <v>28</v>
      </c>
      <c r="X144">
        <v>272</v>
      </c>
      <c r="Y144" s="16">
        <f>VLOOKUP(Tabela1[[#This Row],[SKU]],SKU!A:D,4,0)</f>
        <v>1000</v>
      </c>
      <c r="Z144" s="18">
        <f>IFERROR((Tabela1[[#This Row],[Média]]-Tabela1[[#This Row],[Meta]])/Tabela1[[#This Row],[Meta]],"")</f>
        <v>9.75E-3</v>
      </c>
      <c r="AA144" s="19">
        <f>Tabela1[[#This Row],[Média]]-Tabela1[[#This Row],[Meta]]</f>
        <v>9.75</v>
      </c>
      <c r="AB144" s="6" t="str">
        <f>VLOOKUP(Tabela1[[#This Row],[SKU]],SKU!A:B,2,0)</f>
        <v>SOBRECOXA CG BDJ SE</v>
      </c>
      <c r="AC144" s="6" t="str">
        <f>VLOOKUP(Tabela1[[#This Row],[SKU]],SKU!A:C,3,0)</f>
        <v>PERNA</v>
      </c>
    </row>
    <row r="145" spans="1:29" x14ac:dyDescent="0.3">
      <c r="A145" s="2">
        <f>INT(Tabela1[[#This Row],[Data e Hora2]])</f>
        <v>46253</v>
      </c>
      <c r="B145" s="6" t="str">
        <f>UPPER(TEXT(Tabela1[[#This Row],[Data Corrigida]],"MMM"))</f>
        <v>AGO</v>
      </c>
      <c r="C145" t="s">
        <v>518</v>
      </c>
      <c r="D145" s="2" t="s">
        <v>519</v>
      </c>
      <c r="E145" s="1" t="s">
        <v>509</v>
      </c>
      <c r="F145" t="s">
        <v>24</v>
      </c>
      <c r="G145" s="2" t="s">
        <v>461</v>
      </c>
      <c r="H145" t="s">
        <v>26</v>
      </c>
      <c r="I145" t="s">
        <v>27</v>
      </c>
      <c r="J145" s="6">
        <v>995638</v>
      </c>
      <c r="K145" s="16">
        <v>15060</v>
      </c>
      <c r="L145" s="16">
        <v>15035</v>
      </c>
      <c r="M145" s="16">
        <v>15015</v>
      </c>
      <c r="N145" s="16">
        <v>14995</v>
      </c>
      <c r="O145" s="16">
        <v>15080</v>
      </c>
      <c r="P145" s="16">
        <v>15075</v>
      </c>
      <c r="Q145" s="16">
        <v>15055</v>
      </c>
      <c r="R145" s="16">
        <v>15090</v>
      </c>
      <c r="S145" s="16">
        <v>15055</v>
      </c>
      <c r="T145" s="16">
        <v>15085</v>
      </c>
      <c r="U145" s="15">
        <v>15054.5</v>
      </c>
      <c r="V145" t="s">
        <v>19</v>
      </c>
      <c r="W145" t="s">
        <v>19</v>
      </c>
      <c r="X145">
        <v>471</v>
      </c>
      <c r="Y145" s="16">
        <f>VLOOKUP(Tabela1[[#This Row],[SKU]],SKU!A:D,4,0)</f>
        <v>15000</v>
      </c>
      <c r="Z145" s="18">
        <f>IFERROR((Tabela1[[#This Row],[Média]]-Tabela1[[#This Row],[Meta]])/Tabela1[[#This Row],[Meta]],"")</f>
        <v>3.6333333333333335E-3</v>
      </c>
      <c r="AA145" s="19">
        <f>Tabela1[[#This Row],[Média]]-Tabela1[[#This Row],[Meta]]</f>
        <v>54.5</v>
      </c>
      <c r="AB145" s="6" t="str">
        <f>VLOOKUP(Tabela1[[#This Row],[SKU]],SKU!A:B,2,0)</f>
        <v>MEIO DA ASA 40-50G LP</v>
      </c>
      <c r="AC145" s="6" t="str">
        <f>VLOOKUP(Tabela1[[#This Row],[SKU]],SKU!A:C,3,0)</f>
        <v>ASA</v>
      </c>
    </row>
    <row r="146" spans="1:29" x14ac:dyDescent="0.3">
      <c r="A146" s="2">
        <f>INT(Tabela1[[#This Row],[Data e Hora2]])</f>
        <v>46253</v>
      </c>
      <c r="B146" s="6" t="str">
        <f>UPPER(TEXT(Tabela1[[#This Row],[Data Corrigida]],"MMM"))</f>
        <v>AGO</v>
      </c>
      <c r="C146" t="s">
        <v>520</v>
      </c>
      <c r="D146" s="2" t="s">
        <v>521</v>
      </c>
      <c r="E146" s="1" t="s">
        <v>509</v>
      </c>
      <c r="F146" t="s">
        <v>24</v>
      </c>
      <c r="G146" s="2" t="s">
        <v>461</v>
      </c>
      <c r="H146" t="s">
        <v>26</v>
      </c>
      <c r="I146" t="s">
        <v>27</v>
      </c>
      <c r="J146" s="6">
        <v>995638</v>
      </c>
      <c r="K146" s="16">
        <v>15020</v>
      </c>
      <c r="L146" s="16">
        <v>15015</v>
      </c>
      <c r="M146" s="16">
        <v>15020</v>
      </c>
      <c r="N146" s="16">
        <v>15025</v>
      </c>
      <c r="O146" s="16">
        <v>15020</v>
      </c>
      <c r="P146" s="16">
        <v>15010</v>
      </c>
      <c r="Q146" s="16">
        <v>14995</v>
      </c>
      <c r="R146" s="16">
        <v>15020</v>
      </c>
      <c r="S146" s="16">
        <v>15010</v>
      </c>
      <c r="T146" s="16">
        <v>15035</v>
      </c>
      <c r="U146" s="15">
        <v>15017</v>
      </c>
      <c r="V146" t="s">
        <v>19</v>
      </c>
      <c r="W146" t="s">
        <v>28</v>
      </c>
      <c r="X146">
        <v>672</v>
      </c>
      <c r="Y146" s="16">
        <f>VLOOKUP(Tabela1[[#This Row],[SKU]],SKU!A:D,4,0)</f>
        <v>15000</v>
      </c>
      <c r="Z146" s="18">
        <f>IFERROR((Tabela1[[#This Row],[Média]]-Tabela1[[#This Row],[Meta]])/Tabela1[[#This Row],[Meta]],"")</f>
        <v>1.1333333333333334E-3</v>
      </c>
      <c r="AA146" s="19">
        <f>Tabela1[[#This Row],[Média]]-Tabela1[[#This Row],[Meta]]</f>
        <v>17</v>
      </c>
      <c r="AB146" s="6" t="str">
        <f>VLOOKUP(Tabela1[[#This Row],[SKU]],SKU!A:B,2,0)</f>
        <v>MEIO DA ASA 40-50G LP</v>
      </c>
      <c r="AC146" s="6" t="str">
        <f>VLOOKUP(Tabela1[[#This Row],[SKU]],SKU!A:C,3,0)</f>
        <v>ASA</v>
      </c>
    </row>
    <row r="147" spans="1:29" x14ac:dyDescent="0.3">
      <c r="A147" s="2">
        <f>INT(Tabela1[[#This Row],[Data e Hora2]])</f>
        <v>46253</v>
      </c>
      <c r="B147" s="6" t="str">
        <f>UPPER(TEXT(Tabela1[[#This Row],[Data Corrigida]],"MMM"))</f>
        <v>AGO</v>
      </c>
      <c r="C147" t="s">
        <v>522</v>
      </c>
      <c r="D147" s="2" t="s">
        <v>523</v>
      </c>
      <c r="E147" s="1" t="s">
        <v>509</v>
      </c>
      <c r="F147" t="s">
        <v>24</v>
      </c>
      <c r="G147" s="2" t="s">
        <v>461</v>
      </c>
      <c r="H147" t="s">
        <v>26</v>
      </c>
      <c r="I147" t="s">
        <v>27</v>
      </c>
      <c r="J147" s="6">
        <v>15105</v>
      </c>
      <c r="K147" s="16">
        <v>998</v>
      </c>
      <c r="L147" s="16">
        <v>1005</v>
      </c>
      <c r="M147" s="16">
        <v>1014</v>
      </c>
      <c r="N147" s="16">
        <v>1022</v>
      </c>
      <c r="O147" s="16">
        <v>1004</v>
      </c>
      <c r="P147" s="16">
        <v>1025</v>
      </c>
      <c r="Q147" s="16">
        <v>1031</v>
      </c>
      <c r="R147" s="16">
        <v>1001</v>
      </c>
      <c r="S147" s="16">
        <v>1035</v>
      </c>
      <c r="T147" s="16">
        <v>1059</v>
      </c>
      <c r="U147" s="15">
        <v>1019.4</v>
      </c>
      <c r="V147" t="s">
        <v>19</v>
      </c>
      <c r="W147" t="s">
        <v>28</v>
      </c>
      <c r="X147">
        <v>235</v>
      </c>
      <c r="Y147" s="16">
        <f>VLOOKUP(Tabela1[[#This Row],[SKU]],SKU!A:D,4,0)</f>
        <v>1000</v>
      </c>
      <c r="Z147" s="18">
        <f>IFERROR((Tabela1[[#This Row],[Média]]-Tabela1[[#This Row],[Meta]])/Tabela1[[#This Row],[Meta]],"")</f>
        <v>1.9399999999999976E-2</v>
      </c>
      <c r="AA147" s="19">
        <f>Tabela1[[#This Row],[Média]]-Tabela1[[#This Row],[Meta]]</f>
        <v>19.399999999999977</v>
      </c>
      <c r="AB147" s="6" t="str">
        <f>VLOOKUP(Tabela1[[#This Row],[SKU]],SKU!A:B,2,0)</f>
        <v>FILE PEITO MET CG BDJ SE</v>
      </c>
      <c r="AC147" s="6" t="str">
        <f>VLOOKUP(Tabela1[[#This Row],[SKU]],SKU!A:C,3,0)</f>
        <v>PEITO</v>
      </c>
    </row>
    <row r="148" spans="1:29" x14ac:dyDescent="0.3">
      <c r="A148" s="2">
        <f>INT(Tabela1[[#This Row],[Data e Hora2]])</f>
        <v>46245</v>
      </c>
      <c r="B148" t="str">
        <f>UPPER(TEXT(Tabela1[[#This Row],[Data Corrigida]],"MMM"))</f>
        <v>AGO</v>
      </c>
      <c r="C148" t="s">
        <v>139</v>
      </c>
      <c r="D148" s="2" t="s">
        <v>140</v>
      </c>
      <c r="E148" s="1" t="s">
        <v>141</v>
      </c>
      <c r="F148" t="s">
        <v>24</v>
      </c>
      <c r="G148" s="2" t="s">
        <v>117</v>
      </c>
      <c r="H148" t="s">
        <v>142</v>
      </c>
      <c r="I148" t="s">
        <v>143</v>
      </c>
      <c r="J148" s="6">
        <v>15105</v>
      </c>
      <c r="K148" s="16">
        <v>1003</v>
      </c>
      <c r="L148" s="16">
        <v>1007</v>
      </c>
      <c r="M148" s="16">
        <v>1018</v>
      </c>
      <c r="N148" s="16">
        <v>993</v>
      </c>
      <c r="O148" s="16">
        <v>995</v>
      </c>
      <c r="P148" s="16">
        <v>1051</v>
      </c>
      <c r="Q148" s="16">
        <v>1019</v>
      </c>
      <c r="R148" s="16">
        <v>1003</v>
      </c>
      <c r="S148" s="16">
        <v>994</v>
      </c>
      <c r="T148" s="16">
        <v>1026</v>
      </c>
      <c r="U148" s="15">
        <v>1010.9</v>
      </c>
      <c r="V148" t="s">
        <v>19</v>
      </c>
      <c r="W148" t="s">
        <v>28</v>
      </c>
      <c r="X148">
        <v>171</v>
      </c>
      <c r="Y148" s="16">
        <f>VLOOKUP(Tabela1[[#This Row],[SKU]],SKU!A:D,4,0)</f>
        <v>1000</v>
      </c>
      <c r="Z148" s="18">
        <f>IFERROR((Tabela1[[#This Row],[Média]]-Tabela1[[#This Row],[Meta]])/Tabela1[[#This Row],[Meta]],"")</f>
        <v>1.0899999999999977E-2</v>
      </c>
      <c r="AA148" s="19">
        <f>Tabela1[[#This Row],[Média]]-Tabela1[[#This Row],[Meta]]</f>
        <v>10.899999999999977</v>
      </c>
      <c r="AB148" t="str">
        <f>VLOOKUP(Tabela1[[#This Row],[SKU]],SKU!A:B,2,0)</f>
        <v>FILE PEITO MET CG BDJ SE</v>
      </c>
      <c r="AC148" t="str">
        <f>VLOOKUP(Tabela1[[#This Row],[SKU]],SKU!A:C,3,0)</f>
        <v>PEITO</v>
      </c>
    </row>
    <row r="149" spans="1:29" x14ac:dyDescent="0.3">
      <c r="A149" s="2">
        <f>INT(Tabela1[[#This Row],[Data e Hora2]])</f>
        <v>46253</v>
      </c>
      <c r="B149" s="6" t="str">
        <f>UPPER(TEXT(Tabela1[[#This Row],[Data Corrigida]],"MMM"))</f>
        <v>AGO</v>
      </c>
      <c r="C149" t="s">
        <v>529</v>
      </c>
      <c r="D149" s="2" t="s">
        <v>530</v>
      </c>
      <c r="E149" s="1" t="s">
        <v>526</v>
      </c>
      <c r="F149" t="s">
        <v>24</v>
      </c>
      <c r="G149" s="2" t="s">
        <v>461</v>
      </c>
      <c r="H149" t="s">
        <v>142</v>
      </c>
      <c r="I149" t="s">
        <v>462</v>
      </c>
      <c r="J149" s="6">
        <v>15105</v>
      </c>
      <c r="K149" s="16">
        <v>1044</v>
      </c>
      <c r="L149" s="16">
        <v>1048</v>
      </c>
      <c r="M149" s="16">
        <v>1048</v>
      </c>
      <c r="N149" s="16">
        <v>1039</v>
      </c>
      <c r="O149" s="16">
        <v>986</v>
      </c>
      <c r="P149" s="16">
        <v>1060</v>
      </c>
      <c r="Q149" s="16">
        <v>1021</v>
      </c>
      <c r="R149" s="16">
        <v>992</v>
      </c>
      <c r="S149" s="16">
        <v>1015</v>
      </c>
      <c r="T149" s="16">
        <v>1003</v>
      </c>
      <c r="U149" s="15">
        <v>1025.5999999999999</v>
      </c>
      <c r="V149" t="s">
        <v>19</v>
      </c>
      <c r="W149" t="s">
        <v>28</v>
      </c>
      <c r="X149">
        <v>268</v>
      </c>
      <c r="Y149" s="16">
        <f>VLOOKUP(Tabela1[[#This Row],[SKU]],SKU!A:D,4,0)</f>
        <v>1000</v>
      </c>
      <c r="Z149" s="18">
        <f>IFERROR((Tabela1[[#This Row],[Média]]-Tabela1[[#This Row],[Meta]])/Tabela1[[#This Row],[Meta]],"")</f>
        <v>2.5599999999999908E-2</v>
      </c>
      <c r="AA149" s="19">
        <f>Tabela1[[#This Row],[Média]]-Tabela1[[#This Row],[Meta]]</f>
        <v>25.599999999999909</v>
      </c>
      <c r="AB149" s="6" t="str">
        <f>VLOOKUP(Tabela1[[#This Row],[SKU]],SKU!A:B,2,0)</f>
        <v>FILE PEITO MET CG BDJ SE</v>
      </c>
      <c r="AC149" s="6" t="str">
        <f>VLOOKUP(Tabela1[[#This Row],[SKU]],SKU!A:C,3,0)</f>
        <v>PEITO</v>
      </c>
    </row>
    <row r="150" spans="1:29" x14ac:dyDescent="0.3">
      <c r="A150" s="2">
        <f>INT(Tabela1[[#This Row],[Data e Hora2]])</f>
        <v>46253</v>
      </c>
      <c r="B150" s="6" t="str">
        <f>UPPER(TEXT(Tabela1[[#This Row],[Data Corrigida]],"MMM"))</f>
        <v>AGO</v>
      </c>
      <c r="C150" t="s">
        <v>536</v>
      </c>
      <c r="D150" s="2" t="s">
        <v>537</v>
      </c>
      <c r="E150" s="1" t="s">
        <v>533</v>
      </c>
      <c r="F150" t="s">
        <v>24</v>
      </c>
      <c r="G150" s="2" t="s">
        <v>461</v>
      </c>
      <c r="H150" t="s">
        <v>142</v>
      </c>
      <c r="I150" t="s">
        <v>462</v>
      </c>
      <c r="J150" s="6">
        <v>15105</v>
      </c>
      <c r="K150" s="16">
        <v>1018</v>
      </c>
      <c r="L150" s="16">
        <v>998</v>
      </c>
      <c r="M150" s="16">
        <v>1000</v>
      </c>
      <c r="N150" s="16">
        <v>999</v>
      </c>
      <c r="O150" s="16">
        <v>995</v>
      </c>
      <c r="P150" s="16">
        <v>990</v>
      </c>
      <c r="Q150" s="16">
        <v>1019</v>
      </c>
      <c r="R150" s="16">
        <v>1024</v>
      </c>
      <c r="S150" s="16">
        <v>1055</v>
      </c>
      <c r="T150" s="16">
        <v>1011</v>
      </c>
      <c r="U150" s="15">
        <v>1010.9</v>
      </c>
      <c r="V150" t="s">
        <v>19</v>
      </c>
      <c r="W150" t="s">
        <v>28</v>
      </c>
      <c r="X150">
        <v>373</v>
      </c>
      <c r="Y150" s="16">
        <f>VLOOKUP(Tabela1[[#This Row],[SKU]],SKU!A:D,4,0)</f>
        <v>1000</v>
      </c>
      <c r="Z150" s="18">
        <f>IFERROR((Tabela1[[#This Row],[Média]]-Tabela1[[#This Row],[Meta]])/Tabela1[[#This Row],[Meta]],"")</f>
        <v>1.0899999999999977E-2</v>
      </c>
      <c r="AA150" s="19">
        <f>Tabela1[[#This Row],[Média]]-Tabela1[[#This Row],[Meta]]</f>
        <v>10.899999999999977</v>
      </c>
      <c r="AB150" s="6" t="str">
        <f>VLOOKUP(Tabela1[[#This Row],[SKU]],SKU!A:B,2,0)</f>
        <v>FILE PEITO MET CG BDJ SE</v>
      </c>
      <c r="AC150" s="6" t="str">
        <f>VLOOKUP(Tabela1[[#This Row],[SKU]],SKU!A:C,3,0)</f>
        <v>PEITO</v>
      </c>
    </row>
    <row r="151" spans="1:29" x14ac:dyDescent="0.3">
      <c r="A151" s="2">
        <f>INT(Tabela1[[#This Row],[Data e Hora2]])</f>
        <v>46253</v>
      </c>
      <c r="B151" s="6" t="str">
        <f>UPPER(TEXT(Tabela1[[#This Row],[Data Corrigida]],"MMM"))</f>
        <v>AGO</v>
      </c>
      <c r="C151" t="s">
        <v>467</v>
      </c>
      <c r="D151" s="2" t="s">
        <v>468</v>
      </c>
      <c r="E151" s="1" t="s">
        <v>460</v>
      </c>
      <c r="F151" t="s">
        <v>24</v>
      </c>
      <c r="G151" s="2" t="s">
        <v>461</v>
      </c>
      <c r="H151" t="s">
        <v>142</v>
      </c>
      <c r="I151" t="s">
        <v>462</v>
      </c>
      <c r="J151" s="6">
        <v>15105</v>
      </c>
      <c r="K151" s="16">
        <v>1139</v>
      </c>
      <c r="L151" s="16">
        <v>994</v>
      </c>
      <c r="M151" s="16">
        <v>1126</v>
      </c>
      <c r="N151" s="16">
        <v>1016</v>
      </c>
      <c r="O151" s="16">
        <v>1014</v>
      </c>
      <c r="P151" s="16">
        <v>997</v>
      </c>
      <c r="Q151" s="16">
        <v>1138</v>
      </c>
      <c r="R151" s="16">
        <v>1041</v>
      </c>
      <c r="S151" s="16">
        <v>1022</v>
      </c>
      <c r="T151" s="16">
        <v>1014</v>
      </c>
      <c r="U151" s="15">
        <v>1050.0999999999999</v>
      </c>
      <c r="V151" t="s">
        <v>19</v>
      </c>
      <c r="W151" t="s">
        <v>28</v>
      </c>
      <c r="X151">
        <v>507</v>
      </c>
      <c r="Y151" s="16">
        <f>VLOOKUP(Tabela1[[#This Row],[SKU]],SKU!A:D,4,0)</f>
        <v>1000</v>
      </c>
      <c r="Z151" s="18">
        <f>IFERROR((Tabela1[[#This Row],[Média]]-Tabela1[[#This Row],[Meta]])/Tabela1[[#This Row],[Meta]],"")</f>
        <v>5.0099999999999908E-2</v>
      </c>
      <c r="AA151" s="19">
        <f>Tabela1[[#This Row],[Média]]-Tabela1[[#This Row],[Meta]]</f>
        <v>50.099999999999909</v>
      </c>
      <c r="AB151" s="6" t="str">
        <f>VLOOKUP(Tabela1[[#This Row],[SKU]],SKU!A:B,2,0)</f>
        <v>FILE PEITO MET CG BDJ SE</v>
      </c>
      <c r="AC151" s="6" t="str">
        <f>VLOOKUP(Tabela1[[#This Row],[SKU]],SKU!A:C,3,0)</f>
        <v>PEITO</v>
      </c>
    </row>
    <row r="152" spans="1:29" x14ac:dyDescent="0.3">
      <c r="A152" s="2">
        <f>INT(Tabela1[[#This Row],[Data e Hora2]])</f>
        <v>46254</v>
      </c>
      <c r="B152" s="6" t="str">
        <f>UPPER(TEXT(Tabela1[[#This Row],[Data Corrigida]],"MMM"))</f>
        <v>AGO</v>
      </c>
      <c r="C152" t="s">
        <v>581</v>
      </c>
      <c r="D152" s="2" t="s">
        <v>582</v>
      </c>
      <c r="E152" s="1" t="s">
        <v>583</v>
      </c>
      <c r="F152" t="s">
        <v>24</v>
      </c>
      <c r="G152" s="2" t="s">
        <v>541</v>
      </c>
      <c r="H152" t="s">
        <v>142</v>
      </c>
      <c r="I152" t="s">
        <v>462</v>
      </c>
      <c r="J152" s="6">
        <v>15105</v>
      </c>
      <c r="K152" s="16">
        <v>1007</v>
      </c>
      <c r="L152" s="16">
        <v>998</v>
      </c>
      <c r="M152" s="16">
        <v>989</v>
      </c>
      <c r="N152" s="16">
        <v>1028</v>
      </c>
      <c r="O152" s="16">
        <v>1007</v>
      </c>
      <c r="P152" s="16">
        <v>999</v>
      </c>
      <c r="Q152" s="16">
        <v>984</v>
      </c>
      <c r="R152" s="16">
        <v>995</v>
      </c>
      <c r="S152" s="16">
        <v>1010</v>
      </c>
      <c r="T152" s="16">
        <v>992</v>
      </c>
      <c r="U152" s="15">
        <v>1000.9</v>
      </c>
      <c r="V152" t="s">
        <v>19</v>
      </c>
      <c r="W152" t="s">
        <v>28</v>
      </c>
      <c r="X152">
        <v>1022</v>
      </c>
      <c r="Y152" s="16">
        <f>VLOOKUP(Tabela1[[#This Row],[SKU]],SKU!A:D,4,0)</f>
        <v>1000</v>
      </c>
      <c r="Z152" s="18">
        <f>IFERROR((Tabela1[[#This Row],[Média]]-Tabela1[[#This Row],[Meta]])/Tabela1[[#This Row],[Meta]],"")</f>
        <v>8.9999999999997732E-4</v>
      </c>
      <c r="AA152" s="19">
        <f>Tabela1[[#This Row],[Média]]-Tabela1[[#This Row],[Meta]]</f>
        <v>0.89999999999997726</v>
      </c>
      <c r="AB152" s="6" t="str">
        <f>VLOOKUP(Tabela1[[#This Row],[SKU]],SKU!A:B,2,0)</f>
        <v>FILE PEITO MET CG BDJ SE</v>
      </c>
      <c r="AC152" s="6" t="str">
        <f>VLOOKUP(Tabela1[[#This Row],[SKU]],SKU!A:C,3,0)</f>
        <v>PEITO</v>
      </c>
    </row>
    <row r="153" spans="1:29" x14ac:dyDescent="0.3">
      <c r="A153" s="2">
        <f>INT(Tabela1[[#This Row],[Data e Hora2]])</f>
        <v>46254</v>
      </c>
      <c r="B153" s="6" t="str">
        <f>UPPER(TEXT(Tabela1[[#This Row],[Data Corrigida]],"MMM"))</f>
        <v>AGO</v>
      </c>
      <c r="C153" t="s">
        <v>588</v>
      </c>
      <c r="D153" s="2" t="s">
        <v>589</v>
      </c>
      <c r="E153" s="1" t="s">
        <v>583</v>
      </c>
      <c r="F153" t="s">
        <v>24</v>
      </c>
      <c r="G153" s="2" t="s">
        <v>541</v>
      </c>
      <c r="H153" t="s">
        <v>142</v>
      </c>
      <c r="I153" t="s">
        <v>462</v>
      </c>
      <c r="J153" s="6">
        <v>15105</v>
      </c>
      <c r="K153" s="16">
        <v>995</v>
      </c>
      <c r="L153" s="16">
        <v>1032</v>
      </c>
      <c r="M153" s="16">
        <v>1014</v>
      </c>
      <c r="N153" s="16">
        <v>1010</v>
      </c>
      <c r="O153" s="16">
        <v>1027</v>
      </c>
      <c r="P153" s="16">
        <v>1010</v>
      </c>
      <c r="Q153" s="16">
        <v>1174</v>
      </c>
      <c r="R153" s="16">
        <v>1086</v>
      </c>
      <c r="S153" s="16">
        <v>1013</v>
      </c>
      <c r="T153" s="16">
        <v>1050</v>
      </c>
      <c r="U153" s="15">
        <v>1041.0999999999999</v>
      </c>
      <c r="V153" t="s">
        <v>19</v>
      </c>
      <c r="W153" t="s">
        <v>28</v>
      </c>
      <c r="X153">
        <v>260</v>
      </c>
      <c r="Y153" s="16">
        <f>VLOOKUP(Tabela1[[#This Row],[SKU]],SKU!A:D,4,0)</f>
        <v>1000</v>
      </c>
      <c r="Z153" s="18">
        <f>IFERROR((Tabela1[[#This Row],[Média]]-Tabela1[[#This Row],[Meta]])/Tabela1[[#This Row],[Meta]],"")</f>
        <v>4.1099999999999907E-2</v>
      </c>
      <c r="AA153" s="19">
        <f>Tabela1[[#This Row],[Média]]-Tabela1[[#This Row],[Meta]]</f>
        <v>41.099999999999909</v>
      </c>
      <c r="AB153" s="6" t="str">
        <f>VLOOKUP(Tabela1[[#This Row],[SKU]],SKU!A:B,2,0)</f>
        <v>FILE PEITO MET CG BDJ SE</v>
      </c>
      <c r="AC153" s="6" t="str">
        <f>VLOOKUP(Tabela1[[#This Row],[SKU]],SKU!A:C,3,0)</f>
        <v>PEITO</v>
      </c>
    </row>
    <row r="154" spans="1:29" x14ac:dyDescent="0.3">
      <c r="A154" s="2">
        <f>INT(Tabela1[[#This Row],[Data e Hora2]])</f>
        <v>46255</v>
      </c>
      <c r="B154" s="6" t="str">
        <f>UPPER(TEXT(Tabela1[[#This Row],[Data Corrigida]],"MMM"))</f>
        <v>AGO</v>
      </c>
      <c r="C154" t="s">
        <v>631</v>
      </c>
      <c r="D154" s="2" t="s">
        <v>632</v>
      </c>
      <c r="E154" s="1" t="s">
        <v>630</v>
      </c>
      <c r="F154" t="s">
        <v>24</v>
      </c>
      <c r="G154" s="2" t="s">
        <v>597</v>
      </c>
      <c r="H154" t="s">
        <v>142</v>
      </c>
      <c r="I154" t="s">
        <v>462</v>
      </c>
      <c r="J154" s="6">
        <v>15105</v>
      </c>
      <c r="K154" s="16">
        <v>1066</v>
      </c>
      <c r="L154" s="16">
        <v>1002</v>
      </c>
      <c r="M154" s="16">
        <v>1044</v>
      </c>
      <c r="N154" s="16">
        <v>1030</v>
      </c>
      <c r="O154" s="16">
        <v>1003</v>
      </c>
      <c r="P154" s="16">
        <v>1017</v>
      </c>
      <c r="Q154" s="16">
        <v>1004</v>
      </c>
      <c r="R154" s="16">
        <v>1025</v>
      </c>
      <c r="S154" s="16">
        <v>1016</v>
      </c>
      <c r="T154" s="16">
        <v>1025</v>
      </c>
      <c r="U154" s="15">
        <v>1023.2</v>
      </c>
      <c r="V154" t="s">
        <v>19</v>
      </c>
      <c r="W154" t="s">
        <v>28</v>
      </c>
      <c r="X154">
        <v>244</v>
      </c>
      <c r="Y154" s="16">
        <f>VLOOKUP(Tabela1[[#This Row],[SKU]],SKU!A:D,4,0)</f>
        <v>1000</v>
      </c>
      <c r="Z154" s="18">
        <f>IFERROR((Tabela1[[#This Row],[Média]]-Tabela1[[#This Row],[Meta]])/Tabela1[[#This Row],[Meta]],"")</f>
        <v>2.3200000000000047E-2</v>
      </c>
      <c r="AA154" s="19">
        <f>Tabela1[[#This Row],[Média]]-Tabela1[[#This Row],[Meta]]</f>
        <v>23.200000000000045</v>
      </c>
      <c r="AB154" s="6" t="str">
        <f>VLOOKUP(Tabela1[[#This Row],[SKU]],SKU!A:B,2,0)</f>
        <v>FILE PEITO MET CG BDJ SE</v>
      </c>
      <c r="AC154" s="6" t="str">
        <f>VLOOKUP(Tabela1[[#This Row],[SKU]],SKU!A:C,3,0)</f>
        <v>PEITO</v>
      </c>
    </row>
    <row r="155" spans="1:29" x14ac:dyDescent="0.3">
      <c r="A155" s="2">
        <f>INT(Tabela1[[#This Row],[Data e Hora2]])</f>
        <v>46245</v>
      </c>
      <c r="B155" t="str">
        <f>UPPER(TEXT(Tabela1[[#This Row],[Data Corrigida]],"MMM"))</f>
        <v>AGO</v>
      </c>
      <c r="C155" t="s">
        <v>144</v>
      </c>
      <c r="D155" s="2" t="s">
        <v>145</v>
      </c>
      <c r="E155" s="1" t="s">
        <v>146</v>
      </c>
      <c r="F155" t="s">
        <v>24</v>
      </c>
      <c r="G155" s="2" t="s">
        <v>117</v>
      </c>
      <c r="H155" t="s">
        <v>142</v>
      </c>
      <c r="I155" t="s">
        <v>143</v>
      </c>
      <c r="J155" s="6">
        <v>40762</v>
      </c>
      <c r="K155" s="16">
        <v>9980</v>
      </c>
      <c r="L155" s="16">
        <v>10115</v>
      </c>
      <c r="M155" s="16">
        <v>10090</v>
      </c>
      <c r="N155" s="16">
        <v>10130</v>
      </c>
      <c r="O155" s="16">
        <v>10060</v>
      </c>
      <c r="P155" s="16">
        <v>9875</v>
      </c>
      <c r="Q155" s="16">
        <v>9980</v>
      </c>
      <c r="R155" s="16">
        <v>10070</v>
      </c>
      <c r="S155" s="16">
        <v>10110</v>
      </c>
      <c r="T155" s="16">
        <v>10040</v>
      </c>
      <c r="U155" s="15">
        <v>10045</v>
      </c>
      <c r="V155" t="s">
        <v>19</v>
      </c>
      <c r="W155" t="s">
        <v>28</v>
      </c>
      <c r="X155">
        <v>560</v>
      </c>
      <c r="Y155" s="16">
        <f>VLOOKUP(Tabela1[[#This Row],[SKU]],SKU!A:D,4,0)</f>
        <v>10000</v>
      </c>
      <c r="Z155" s="18">
        <f>IFERROR((Tabela1[[#This Row],[Média]]-Tabela1[[#This Row],[Meta]])/Tabela1[[#This Row],[Meta]],"")</f>
        <v>4.4999999999999997E-3</v>
      </c>
      <c r="AA155" s="19">
        <f>Tabela1[[#This Row],[Média]]-Tabela1[[#This Row],[Meta]]</f>
        <v>45</v>
      </c>
      <c r="AB155" t="str">
        <f>VLOOKUP(Tabela1[[#This Row],[SKU]],SKU!A:B,2,0)</f>
        <v>COXA SBCX LQ FG LP</v>
      </c>
      <c r="AC155" t="str">
        <f>VLOOKUP(Tabela1[[#This Row],[SKU]],SKU!A:C,3,0)</f>
        <v>PERNA</v>
      </c>
    </row>
    <row r="156" spans="1:29" x14ac:dyDescent="0.3">
      <c r="A156" s="2">
        <f>INT(Tabela1[[#This Row],[Data e Hora2]])</f>
        <v>46253</v>
      </c>
      <c r="B156" s="6" t="str">
        <f>UPPER(TEXT(Tabela1[[#This Row],[Data Corrigida]],"MMM"))</f>
        <v>AGO</v>
      </c>
      <c r="C156" t="s">
        <v>524</v>
      </c>
      <c r="D156" s="2" t="s">
        <v>525</v>
      </c>
      <c r="E156" s="1" t="s">
        <v>526</v>
      </c>
      <c r="F156" t="s">
        <v>24</v>
      </c>
      <c r="G156" s="2" t="s">
        <v>461</v>
      </c>
      <c r="H156" t="s">
        <v>142</v>
      </c>
      <c r="I156" t="s">
        <v>462</v>
      </c>
      <c r="J156" s="6">
        <v>54632</v>
      </c>
      <c r="K156" s="16">
        <v>1011</v>
      </c>
      <c r="L156" s="16">
        <v>991</v>
      </c>
      <c r="M156" s="16">
        <v>992</v>
      </c>
      <c r="N156" s="16">
        <v>1018</v>
      </c>
      <c r="O156" s="16">
        <v>1007</v>
      </c>
      <c r="P156" s="16">
        <v>1034</v>
      </c>
      <c r="Q156" s="16">
        <v>1003</v>
      </c>
      <c r="R156" s="16">
        <v>1006</v>
      </c>
      <c r="S156" s="16">
        <v>1018</v>
      </c>
      <c r="T156" s="16">
        <v>1014</v>
      </c>
      <c r="U156" s="15">
        <v>1009.4</v>
      </c>
      <c r="V156" t="s">
        <v>19</v>
      </c>
      <c r="W156" t="s">
        <v>28</v>
      </c>
      <c r="X156">
        <v>231</v>
      </c>
      <c r="Y156" s="16">
        <f>VLOOKUP(Tabela1[[#This Row],[SKU]],SKU!A:D,4,0)</f>
        <v>1000</v>
      </c>
      <c r="Z156" s="18">
        <f>IFERROR((Tabela1[[#This Row],[Média]]-Tabela1[[#This Row],[Meta]])/Tabela1[[#This Row],[Meta]],"")</f>
        <v>9.3999999999999778E-3</v>
      </c>
      <c r="AA156" s="19">
        <f>Tabela1[[#This Row],[Média]]-Tabela1[[#This Row],[Meta]]</f>
        <v>9.3999999999999773</v>
      </c>
      <c r="AB156" s="6" t="str">
        <f>VLOOKUP(Tabela1[[#This Row],[SKU]],SKU!A:B,2,0)</f>
        <v>COXA SBCX S/O BDJ CG</v>
      </c>
      <c r="AC156" s="6" t="str">
        <f>VLOOKUP(Tabela1[[#This Row],[SKU]],SKU!A:C,3,0)</f>
        <v>PERNA</v>
      </c>
    </row>
    <row r="157" spans="1:29" x14ac:dyDescent="0.3">
      <c r="A157" s="2">
        <f>INT(Tabela1[[#This Row],[Data e Hora2]])</f>
        <v>46253</v>
      </c>
      <c r="B157" s="6" t="str">
        <f>UPPER(TEXT(Tabela1[[#This Row],[Data Corrigida]],"MMM"))</f>
        <v>AGO</v>
      </c>
      <c r="C157" t="s">
        <v>527</v>
      </c>
      <c r="D157" s="2" t="s">
        <v>528</v>
      </c>
      <c r="E157" s="1" t="s">
        <v>526</v>
      </c>
      <c r="F157" t="s">
        <v>24</v>
      </c>
      <c r="G157" s="2" t="s">
        <v>461</v>
      </c>
      <c r="H157" t="s">
        <v>142</v>
      </c>
      <c r="I157" t="s">
        <v>462</v>
      </c>
      <c r="J157" s="6">
        <v>40762</v>
      </c>
      <c r="K157" s="16">
        <v>10079</v>
      </c>
      <c r="L157" s="16">
        <v>10050</v>
      </c>
      <c r="M157" s="16">
        <v>10120</v>
      </c>
      <c r="N157" s="16">
        <v>10030</v>
      </c>
      <c r="O157" s="16">
        <v>10075</v>
      </c>
      <c r="P157" s="16">
        <v>10085</v>
      </c>
      <c r="Q157" s="16">
        <v>10095</v>
      </c>
      <c r="R157" s="16">
        <v>10090</v>
      </c>
      <c r="S157" s="16">
        <v>10100</v>
      </c>
      <c r="T157" s="16">
        <v>10140</v>
      </c>
      <c r="U157" s="15">
        <v>10086.4</v>
      </c>
      <c r="V157" t="s">
        <v>19</v>
      </c>
      <c r="W157" t="s">
        <v>28</v>
      </c>
      <c r="X157">
        <v>749</v>
      </c>
      <c r="Y157" s="16">
        <f>VLOOKUP(Tabela1[[#This Row],[SKU]],SKU!A:D,4,0)</f>
        <v>10000</v>
      </c>
      <c r="Z157" s="18">
        <f>IFERROR((Tabela1[[#This Row],[Média]]-Tabela1[[#This Row],[Meta]])/Tabela1[[#This Row],[Meta]],"")</f>
        <v>8.6399999999999637E-3</v>
      </c>
      <c r="AA157" s="19">
        <f>Tabela1[[#This Row],[Média]]-Tabela1[[#This Row],[Meta]]</f>
        <v>86.399999999999636</v>
      </c>
      <c r="AB157" s="6" t="str">
        <f>VLOOKUP(Tabela1[[#This Row],[SKU]],SKU!A:B,2,0)</f>
        <v>COXA SBCX LQ FG LP</v>
      </c>
      <c r="AC157" s="6" t="str">
        <f>VLOOKUP(Tabela1[[#This Row],[SKU]],SKU!A:C,3,0)</f>
        <v>PERNA</v>
      </c>
    </row>
    <row r="158" spans="1:29" x14ac:dyDescent="0.3">
      <c r="A158" s="2">
        <f>INT(Tabela1[[#This Row],[Data e Hora2]])</f>
        <v>46254</v>
      </c>
      <c r="B158" s="6" t="str">
        <f>UPPER(TEXT(Tabela1[[#This Row],[Data Corrigida]],"MMM"))</f>
        <v>AGO</v>
      </c>
      <c r="C158" t="s">
        <v>538</v>
      </c>
      <c r="D158" s="2" t="s">
        <v>539</v>
      </c>
      <c r="E158" s="1" t="s">
        <v>540</v>
      </c>
      <c r="F158" t="s">
        <v>24</v>
      </c>
      <c r="G158" s="2" t="s">
        <v>541</v>
      </c>
      <c r="H158" t="s">
        <v>26</v>
      </c>
      <c r="I158" t="s">
        <v>27</v>
      </c>
      <c r="J158" s="6">
        <v>15105</v>
      </c>
      <c r="K158" s="16">
        <v>1017</v>
      </c>
      <c r="L158" s="16">
        <v>1012</v>
      </c>
      <c r="M158" s="16">
        <v>1063</v>
      </c>
      <c r="N158" s="16">
        <v>1002</v>
      </c>
      <c r="O158" s="16">
        <v>1026</v>
      </c>
      <c r="P158" s="16">
        <v>998</v>
      </c>
      <c r="Q158" s="16">
        <v>1006</v>
      </c>
      <c r="R158" s="16">
        <v>1042</v>
      </c>
      <c r="S158" s="16">
        <v>1000</v>
      </c>
      <c r="T158" s="16">
        <v>999</v>
      </c>
      <c r="U158" s="15">
        <v>1016.5</v>
      </c>
      <c r="V158" t="s">
        <v>19</v>
      </c>
      <c r="W158" t="s">
        <v>28</v>
      </c>
      <c r="X158">
        <v>1611</v>
      </c>
      <c r="Y158" s="16">
        <f>VLOOKUP(Tabela1[[#This Row],[SKU]],SKU!A:D,4,0)</f>
        <v>1000</v>
      </c>
      <c r="Z158" s="18">
        <f>IFERROR((Tabela1[[#This Row],[Média]]-Tabela1[[#This Row],[Meta]])/Tabela1[[#This Row],[Meta]],"")</f>
        <v>1.6500000000000001E-2</v>
      </c>
      <c r="AA158" s="19">
        <f>Tabela1[[#This Row],[Média]]-Tabela1[[#This Row],[Meta]]</f>
        <v>16.5</v>
      </c>
      <c r="AB158" s="6" t="str">
        <f>VLOOKUP(Tabela1[[#This Row],[SKU]],SKU!A:B,2,0)</f>
        <v>FILE PEITO MET CG BDJ SE</v>
      </c>
      <c r="AC158" s="6" t="str">
        <f>VLOOKUP(Tabela1[[#This Row],[SKU]],SKU!A:C,3,0)</f>
        <v>PEITO</v>
      </c>
    </row>
    <row r="159" spans="1:29" x14ac:dyDescent="0.3">
      <c r="A159" s="2">
        <f>INT(Tabela1[[#This Row],[Data e Hora2]])</f>
        <v>46254</v>
      </c>
      <c r="B159" s="6" t="str">
        <f>UPPER(TEXT(Tabela1[[#This Row],[Data Corrigida]],"MMM"))</f>
        <v>AGO</v>
      </c>
      <c r="C159" t="s">
        <v>542</v>
      </c>
      <c r="D159" s="2" t="s">
        <v>543</v>
      </c>
      <c r="E159" s="1" t="s">
        <v>540</v>
      </c>
      <c r="F159" t="s">
        <v>24</v>
      </c>
      <c r="G159" s="2" t="s">
        <v>541</v>
      </c>
      <c r="H159" t="s">
        <v>26</v>
      </c>
      <c r="I159" t="s">
        <v>27</v>
      </c>
      <c r="J159" s="6">
        <v>40762</v>
      </c>
      <c r="K159" s="16">
        <v>9950</v>
      </c>
      <c r="L159" s="16">
        <v>10010</v>
      </c>
      <c r="M159" s="16">
        <v>10015</v>
      </c>
      <c r="N159" s="16">
        <v>9960</v>
      </c>
      <c r="O159" s="16">
        <v>10105</v>
      </c>
      <c r="P159" s="16">
        <v>9855</v>
      </c>
      <c r="Q159" s="16">
        <v>10030</v>
      </c>
      <c r="R159" s="16">
        <v>10070</v>
      </c>
      <c r="S159" s="16">
        <v>10010</v>
      </c>
      <c r="T159" s="16">
        <v>9950</v>
      </c>
      <c r="U159" s="15">
        <v>9995.5</v>
      </c>
      <c r="V159" t="s">
        <v>19</v>
      </c>
      <c r="W159" t="s">
        <v>19</v>
      </c>
      <c r="X159">
        <v>361</v>
      </c>
      <c r="Y159" s="16">
        <f>VLOOKUP(Tabela1[[#This Row],[SKU]],SKU!A:D,4,0)</f>
        <v>10000</v>
      </c>
      <c r="Z159" s="18">
        <f>IFERROR((Tabela1[[#This Row],[Média]]-Tabela1[[#This Row],[Meta]])/Tabela1[[#This Row],[Meta]],"")</f>
        <v>-4.4999999999999999E-4</v>
      </c>
      <c r="AA159" s="19">
        <f>Tabela1[[#This Row],[Média]]-Tabela1[[#This Row],[Meta]]</f>
        <v>-4.5</v>
      </c>
      <c r="AB159" s="6" t="str">
        <f>VLOOKUP(Tabela1[[#This Row],[SKU]],SKU!A:B,2,0)</f>
        <v>COXA SBCX LQ FG LP</v>
      </c>
      <c r="AC159" s="6" t="str">
        <f>VLOOKUP(Tabela1[[#This Row],[SKU]],SKU!A:C,3,0)</f>
        <v>PERNA</v>
      </c>
    </row>
    <row r="160" spans="1:29" x14ac:dyDescent="0.3">
      <c r="A160" s="2">
        <f>INT(Tabela1[[#This Row],[Data e Hora2]])</f>
        <v>46254</v>
      </c>
      <c r="B160" s="6" t="str">
        <f>UPPER(TEXT(Tabela1[[#This Row],[Data Corrigida]],"MMM"))</f>
        <v>AGO</v>
      </c>
      <c r="C160" t="s">
        <v>544</v>
      </c>
      <c r="D160" s="2" t="s">
        <v>545</v>
      </c>
      <c r="E160" s="1" t="s">
        <v>540</v>
      </c>
      <c r="F160" t="s">
        <v>24</v>
      </c>
      <c r="G160" s="2" t="s">
        <v>541</v>
      </c>
      <c r="H160" t="s">
        <v>26</v>
      </c>
      <c r="I160" t="s">
        <v>27</v>
      </c>
      <c r="J160" s="6">
        <v>42854</v>
      </c>
      <c r="K160" s="16">
        <v>2087</v>
      </c>
      <c r="L160" s="16">
        <v>2114</v>
      </c>
      <c r="M160" s="16">
        <v>2093</v>
      </c>
      <c r="N160" s="16">
        <v>2070</v>
      </c>
      <c r="O160" s="16">
        <v>2115</v>
      </c>
      <c r="P160" s="16">
        <v>2105</v>
      </c>
      <c r="Q160" s="16">
        <v>2098</v>
      </c>
      <c r="R160" s="16">
        <v>2084</v>
      </c>
      <c r="S160" s="16">
        <v>2096</v>
      </c>
      <c r="T160" s="16">
        <v>2125</v>
      </c>
      <c r="U160" s="15">
        <v>2098.6999999999998</v>
      </c>
      <c r="V160" t="s">
        <v>19</v>
      </c>
      <c r="W160" t="s">
        <v>19</v>
      </c>
      <c r="X160">
        <v>176</v>
      </c>
      <c r="Y160" s="16">
        <f>VLOOKUP(Tabela1[[#This Row],[SKU]],SKU!A:D,4,0)</f>
        <v>2080</v>
      </c>
      <c r="Z160" s="18">
        <f>IFERROR((Tabela1[[#This Row],[Média]]-Tabela1[[#This Row],[Meta]])/Tabela1[[#This Row],[Meta]],"")</f>
        <v>8.9903846153845286E-3</v>
      </c>
      <c r="AA160" s="19">
        <f>Tabela1[[#This Row],[Média]]-Tabela1[[#This Row],[Meta]]</f>
        <v>18.699999999999818</v>
      </c>
      <c r="AB160" s="6" t="str">
        <f>VLOOKUP(Tabela1[[#This Row],[SKU]],SKU!A:B,2,0)</f>
        <v>COXA SBCX S/O FG 260-280g PB</v>
      </c>
      <c r="AC160" s="6" t="str">
        <f>VLOOKUP(Tabela1[[#This Row],[SKU]],SKU!A:C,3,0)</f>
        <v>PERNA</v>
      </c>
    </row>
    <row r="161" spans="1:29" x14ac:dyDescent="0.3">
      <c r="A161" s="2">
        <f>INT(Tabela1[[#This Row],[Data e Hora2]])</f>
        <v>46254</v>
      </c>
      <c r="B161" s="6" t="str">
        <f>UPPER(TEXT(Tabela1[[#This Row],[Data Corrigida]],"MMM"))</f>
        <v>AGO</v>
      </c>
      <c r="C161" t="s">
        <v>546</v>
      </c>
      <c r="D161" s="2" t="s">
        <v>547</v>
      </c>
      <c r="E161" s="1" t="s">
        <v>540</v>
      </c>
      <c r="F161" t="s">
        <v>24</v>
      </c>
      <c r="G161" s="2" t="s">
        <v>541</v>
      </c>
      <c r="H161" t="s">
        <v>26</v>
      </c>
      <c r="I161" t="s">
        <v>27</v>
      </c>
      <c r="J161" s="6">
        <v>42862</v>
      </c>
      <c r="K161" s="16">
        <v>2073</v>
      </c>
      <c r="L161" s="16">
        <v>2056</v>
      </c>
      <c r="M161" s="16">
        <v>2033</v>
      </c>
      <c r="N161" s="16">
        <v>2055</v>
      </c>
      <c r="O161" s="16">
        <v>2019</v>
      </c>
      <c r="P161" s="16">
        <v>1992</v>
      </c>
      <c r="Q161" s="16">
        <v>2009</v>
      </c>
      <c r="R161" s="16">
        <v>2035</v>
      </c>
      <c r="S161" s="16">
        <v>2026</v>
      </c>
      <c r="T161" s="16">
        <v>2010</v>
      </c>
      <c r="U161" s="15">
        <v>2030.8</v>
      </c>
      <c r="V161" t="s">
        <v>19</v>
      </c>
      <c r="W161" t="s">
        <v>28</v>
      </c>
      <c r="X161">
        <v>223</v>
      </c>
      <c r="Y161" s="16">
        <f>VLOOKUP(Tabela1[[#This Row],[SKU]],SKU!A:D,4,0)</f>
        <v>2000</v>
      </c>
      <c r="Z161" s="18">
        <f>IFERROR((Tabela1[[#This Row],[Média]]-Tabela1[[#This Row],[Meta]])/Tabela1[[#This Row],[Meta]],"")</f>
        <v>1.5399999999999978E-2</v>
      </c>
      <c r="AA161" s="19">
        <f>Tabela1[[#This Row],[Média]]-Tabela1[[#This Row],[Meta]]</f>
        <v>30.799999999999955</v>
      </c>
      <c r="AB161" s="6" t="str">
        <f>VLOOKUP(Tabela1[[#This Row],[SKU]],SKU!A:B,2,0)</f>
        <v>COXA SBCX S/O FG 280-300g PB</v>
      </c>
      <c r="AC161" s="6" t="str">
        <f>VLOOKUP(Tabela1[[#This Row],[SKU]],SKU!A:C,3,0)</f>
        <v>PERNA</v>
      </c>
    </row>
    <row r="162" spans="1:29" x14ac:dyDescent="0.3">
      <c r="A162" s="2">
        <f>INT(Tabela1[[#This Row],[Data e Hora2]])</f>
        <v>46254</v>
      </c>
      <c r="B162" s="6" t="str">
        <f>UPPER(TEXT(Tabela1[[#This Row],[Data Corrigida]],"MMM"))</f>
        <v>AGO</v>
      </c>
      <c r="C162" t="s">
        <v>548</v>
      </c>
      <c r="D162" s="2" t="s">
        <v>549</v>
      </c>
      <c r="E162" s="1" t="s">
        <v>540</v>
      </c>
      <c r="F162" t="s">
        <v>24</v>
      </c>
      <c r="G162" s="2" t="s">
        <v>541</v>
      </c>
      <c r="H162" t="s">
        <v>26</v>
      </c>
      <c r="I162" t="s">
        <v>27</v>
      </c>
      <c r="J162" s="6">
        <v>42846</v>
      </c>
      <c r="K162" s="16">
        <v>1983</v>
      </c>
      <c r="L162" s="16">
        <v>1998</v>
      </c>
      <c r="M162" s="16">
        <v>2014</v>
      </c>
      <c r="N162" s="16">
        <v>2007</v>
      </c>
      <c r="O162" s="16">
        <v>2010</v>
      </c>
      <c r="P162" s="16">
        <v>1997</v>
      </c>
      <c r="Q162" s="16">
        <v>2006</v>
      </c>
      <c r="R162" s="16">
        <v>2025</v>
      </c>
      <c r="S162" s="16">
        <v>2017</v>
      </c>
      <c r="T162" s="16">
        <v>2002</v>
      </c>
      <c r="U162" s="15">
        <v>2005.9</v>
      </c>
      <c r="V162" t="s">
        <v>19</v>
      </c>
      <c r="W162" t="s">
        <v>19</v>
      </c>
      <c r="X162">
        <v>126</v>
      </c>
      <c r="Y162" s="16">
        <f>VLOOKUP(Tabela1[[#This Row],[SKU]],SKU!A:D,4,0)</f>
        <v>2000</v>
      </c>
      <c r="Z162" s="18">
        <f>IFERROR((Tabela1[[#This Row],[Média]]-Tabela1[[#This Row],[Meta]])/Tabela1[[#This Row],[Meta]],"")</f>
        <v>2.9500000000000455E-3</v>
      </c>
      <c r="AA162" s="19">
        <f>Tabela1[[#This Row],[Média]]-Tabela1[[#This Row],[Meta]]</f>
        <v>5.9000000000000909</v>
      </c>
      <c r="AB162" s="6" t="str">
        <f>VLOOKUP(Tabela1[[#This Row],[SKU]],SKU!A:B,2,0)</f>
        <v>COXA SBCX S/O FG 240-260g PB</v>
      </c>
      <c r="AC162" s="6" t="str">
        <f>VLOOKUP(Tabela1[[#This Row],[SKU]],SKU!A:C,3,0)</f>
        <v>PERNA</v>
      </c>
    </row>
    <row r="163" spans="1:29" x14ac:dyDescent="0.3">
      <c r="A163" s="2">
        <f>INT(Tabela1[[#This Row],[Data e Hora2]])</f>
        <v>46254</v>
      </c>
      <c r="B163" s="6" t="str">
        <f>UPPER(TEXT(Tabela1[[#This Row],[Data Corrigida]],"MMM"))</f>
        <v>AGO</v>
      </c>
      <c r="C163" t="s">
        <v>550</v>
      </c>
      <c r="D163" s="2" t="s">
        <v>551</v>
      </c>
      <c r="E163" s="1" t="s">
        <v>540</v>
      </c>
      <c r="F163" t="s">
        <v>24</v>
      </c>
      <c r="G163" s="2" t="s">
        <v>541</v>
      </c>
      <c r="H163" t="s">
        <v>26</v>
      </c>
      <c r="I163" t="s">
        <v>27</v>
      </c>
      <c r="J163" s="6">
        <v>42838</v>
      </c>
      <c r="K163" s="16">
        <v>2069</v>
      </c>
      <c r="L163" s="16">
        <v>2054</v>
      </c>
      <c r="M163" s="16">
        <v>2012</v>
      </c>
      <c r="N163" s="16">
        <v>2069</v>
      </c>
      <c r="O163" s="16">
        <v>2035</v>
      </c>
      <c r="P163" s="16">
        <v>2061</v>
      </c>
      <c r="Q163" s="16">
        <v>2033</v>
      </c>
      <c r="R163" s="16">
        <v>2036</v>
      </c>
      <c r="S163" s="16">
        <v>2045</v>
      </c>
      <c r="T163" s="16">
        <v>2064</v>
      </c>
      <c r="U163" s="15">
        <v>2047.8</v>
      </c>
      <c r="V163" t="s">
        <v>19</v>
      </c>
      <c r="W163" t="s">
        <v>28</v>
      </c>
      <c r="X163">
        <v>256</v>
      </c>
      <c r="Y163" s="16">
        <f>VLOOKUP(Tabela1[[#This Row],[SKU]],SKU!A:D,4,0)</f>
        <v>2000</v>
      </c>
      <c r="Z163" s="18">
        <f>IFERROR((Tabela1[[#This Row],[Média]]-Tabela1[[#This Row],[Meta]])/Tabela1[[#This Row],[Meta]],"")</f>
        <v>2.3899999999999977E-2</v>
      </c>
      <c r="AA163" s="19">
        <f>Tabela1[[#This Row],[Média]]-Tabela1[[#This Row],[Meta]]</f>
        <v>47.799999999999955</v>
      </c>
      <c r="AB163" s="6" t="str">
        <f>VLOOKUP(Tabela1[[#This Row],[SKU]],SKU!A:B,2,0)</f>
        <v>COXA SBCX S/O FG 220-240g PB</v>
      </c>
      <c r="AC163" s="6" t="str">
        <f>VLOOKUP(Tabela1[[#This Row],[SKU]],SKU!A:C,3,0)</f>
        <v>PERNA</v>
      </c>
    </row>
    <row r="164" spans="1:29" x14ac:dyDescent="0.3">
      <c r="A164" s="2">
        <f>INT(Tabela1[[#This Row],[Data e Hora2]])</f>
        <v>46254</v>
      </c>
      <c r="B164" s="6" t="str">
        <f>UPPER(TEXT(Tabela1[[#This Row],[Data Corrigida]],"MMM"))</f>
        <v>AGO</v>
      </c>
      <c r="C164" t="s">
        <v>552</v>
      </c>
      <c r="D164" s="2" t="s">
        <v>553</v>
      </c>
      <c r="E164" s="1" t="s">
        <v>540</v>
      </c>
      <c r="F164" t="s">
        <v>24</v>
      </c>
      <c r="G164" s="2" t="s">
        <v>541</v>
      </c>
      <c r="H164" t="s">
        <v>26</v>
      </c>
      <c r="I164" t="s">
        <v>27</v>
      </c>
      <c r="J164" s="6">
        <v>40762</v>
      </c>
      <c r="K164" s="16">
        <v>10090</v>
      </c>
      <c r="L164" s="16">
        <v>10030</v>
      </c>
      <c r="M164" s="16">
        <v>10105</v>
      </c>
      <c r="N164" s="16">
        <v>9870</v>
      </c>
      <c r="O164" s="16">
        <v>10175</v>
      </c>
      <c r="P164" s="16">
        <v>10035</v>
      </c>
      <c r="Q164" s="16">
        <v>10660</v>
      </c>
      <c r="R164" s="16">
        <v>10010</v>
      </c>
      <c r="S164" s="16">
        <v>10120</v>
      </c>
      <c r="T164" s="16">
        <v>9925</v>
      </c>
      <c r="U164" s="15">
        <v>10102</v>
      </c>
      <c r="V164" t="s">
        <v>19</v>
      </c>
      <c r="W164" t="s">
        <v>28</v>
      </c>
      <c r="X164">
        <v>2592</v>
      </c>
      <c r="Y164" s="16">
        <f>VLOOKUP(Tabela1[[#This Row],[SKU]],SKU!A:D,4,0)</f>
        <v>10000</v>
      </c>
      <c r="Z164" s="18">
        <f>IFERROR((Tabela1[[#This Row],[Média]]-Tabela1[[#This Row],[Meta]])/Tabela1[[#This Row],[Meta]],"")</f>
        <v>1.0200000000000001E-2</v>
      </c>
      <c r="AA164" s="19">
        <f>Tabela1[[#This Row],[Média]]-Tabela1[[#This Row],[Meta]]</f>
        <v>102</v>
      </c>
      <c r="AB164" s="6" t="str">
        <f>VLOOKUP(Tabela1[[#This Row],[SKU]],SKU!A:B,2,0)</f>
        <v>COXA SBCX LQ FG LP</v>
      </c>
      <c r="AC164" s="6" t="str">
        <f>VLOOKUP(Tabela1[[#This Row],[SKU]],SKU!A:C,3,0)</f>
        <v>PERNA</v>
      </c>
    </row>
    <row r="165" spans="1:29" x14ac:dyDescent="0.3">
      <c r="A165" s="2">
        <f>INT(Tabela1[[#This Row],[Data e Hora2]])</f>
        <v>46254</v>
      </c>
      <c r="B165" s="6" t="str">
        <f>UPPER(TEXT(Tabela1[[#This Row],[Data Corrigida]],"MMM"))</f>
        <v>AGO</v>
      </c>
      <c r="C165" t="s">
        <v>554</v>
      </c>
      <c r="D165" s="2" t="s">
        <v>555</v>
      </c>
      <c r="E165" s="1" t="s">
        <v>540</v>
      </c>
      <c r="F165" t="s">
        <v>24</v>
      </c>
      <c r="G165" s="2" t="s">
        <v>541</v>
      </c>
      <c r="H165" t="s">
        <v>26</v>
      </c>
      <c r="I165" t="s">
        <v>27</v>
      </c>
      <c r="J165" s="6">
        <v>995638</v>
      </c>
      <c r="K165" s="16">
        <v>15020</v>
      </c>
      <c r="L165" s="16">
        <v>15000</v>
      </c>
      <c r="M165" s="16">
        <v>15030</v>
      </c>
      <c r="N165" s="16">
        <v>15000</v>
      </c>
      <c r="O165" s="16">
        <v>15035</v>
      </c>
      <c r="P165" s="16">
        <v>15035</v>
      </c>
      <c r="Q165" s="16">
        <v>15055</v>
      </c>
      <c r="R165" s="16">
        <v>15030</v>
      </c>
      <c r="S165" s="16">
        <v>15000</v>
      </c>
      <c r="T165" s="16">
        <v>15040</v>
      </c>
      <c r="U165" s="15">
        <v>15024.5</v>
      </c>
      <c r="V165" t="s">
        <v>19</v>
      </c>
      <c r="W165" t="s">
        <v>19</v>
      </c>
      <c r="X165">
        <v>436</v>
      </c>
      <c r="Y165" s="16">
        <f>VLOOKUP(Tabela1[[#This Row],[SKU]],SKU!A:D,4,0)</f>
        <v>15000</v>
      </c>
      <c r="Z165" s="18">
        <f>IFERROR((Tabela1[[#This Row],[Média]]-Tabela1[[#This Row],[Meta]])/Tabela1[[#This Row],[Meta]],"")</f>
        <v>1.6333333333333334E-3</v>
      </c>
      <c r="AA165" s="19">
        <f>Tabela1[[#This Row],[Média]]-Tabela1[[#This Row],[Meta]]</f>
        <v>24.5</v>
      </c>
      <c r="AB165" s="6" t="str">
        <f>VLOOKUP(Tabela1[[#This Row],[SKU]],SKU!A:B,2,0)</f>
        <v>MEIO DA ASA 40-50G LP</v>
      </c>
      <c r="AC165" s="6" t="str">
        <f>VLOOKUP(Tabela1[[#This Row],[SKU]],SKU!A:C,3,0)</f>
        <v>ASA</v>
      </c>
    </row>
    <row r="166" spans="1:29" x14ac:dyDescent="0.3">
      <c r="A166" s="2">
        <f>INT(Tabela1[[#This Row],[Data e Hora2]])</f>
        <v>46254</v>
      </c>
      <c r="B166" s="6" t="str">
        <f>UPPER(TEXT(Tabela1[[#This Row],[Data Corrigida]],"MMM"))</f>
        <v>AGO</v>
      </c>
      <c r="C166" t="s">
        <v>556</v>
      </c>
      <c r="D166" s="2" t="s">
        <v>557</v>
      </c>
      <c r="E166" s="1" t="s">
        <v>558</v>
      </c>
      <c r="F166" t="s">
        <v>24</v>
      </c>
      <c r="G166" s="2" t="s">
        <v>541</v>
      </c>
      <c r="H166" t="s">
        <v>26</v>
      </c>
      <c r="I166" t="s">
        <v>27</v>
      </c>
      <c r="J166" s="6">
        <v>992093</v>
      </c>
      <c r="K166" s="16">
        <v>5017</v>
      </c>
      <c r="L166" s="16">
        <v>5024</v>
      </c>
      <c r="M166" s="16">
        <v>5022</v>
      </c>
      <c r="N166" s="16">
        <v>5016</v>
      </c>
      <c r="O166" s="16">
        <v>5022</v>
      </c>
      <c r="P166" s="16">
        <v>5011</v>
      </c>
      <c r="Q166" s="16">
        <v>5014</v>
      </c>
      <c r="R166" s="16">
        <v>5010</v>
      </c>
      <c r="S166" s="16">
        <v>5016</v>
      </c>
      <c r="T166" s="16">
        <v>5015</v>
      </c>
      <c r="U166" s="15">
        <v>5016.7</v>
      </c>
      <c r="V166" t="s">
        <v>19</v>
      </c>
      <c r="W166" t="s">
        <v>28</v>
      </c>
      <c r="X166">
        <v>530</v>
      </c>
      <c r="Y166" s="16">
        <f>VLOOKUP(Tabela1[[#This Row],[SKU]],SKU!A:D,4,0)</f>
        <v>5000</v>
      </c>
      <c r="Z166" s="18">
        <f>IFERROR((Tabela1[[#This Row],[Média]]-Tabela1[[#This Row],[Meta]])/Tabela1[[#This Row],[Meta]],"")</f>
        <v>3.3399999999999637E-3</v>
      </c>
      <c r="AA166" s="19">
        <f>Tabela1[[#This Row],[Média]]-Tabela1[[#This Row],[Meta]]</f>
        <v>16.699999999999818</v>
      </c>
      <c r="AB166" s="6" t="str">
        <f>VLOOKUP(Tabela1[[#This Row],[SKU]],SKU!A:B,2,0)</f>
        <v>PONTA ASA FG PB CG</v>
      </c>
      <c r="AC166" s="6" t="str">
        <f>VLOOKUP(Tabela1[[#This Row],[SKU]],SKU!A:C,3,0)</f>
        <v>ASA</v>
      </c>
    </row>
    <row r="167" spans="1:29" x14ac:dyDescent="0.3">
      <c r="A167" s="2">
        <f>INT(Tabela1[[#This Row],[Data e Hora2]])</f>
        <v>46254</v>
      </c>
      <c r="B167" s="6" t="str">
        <f>UPPER(TEXT(Tabela1[[#This Row],[Data Corrigida]],"MMM"))</f>
        <v>AGO</v>
      </c>
      <c r="C167" t="s">
        <v>559</v>
      </c>
      <c r="D167" s="2" t="s">
        <v>560</v>
      </c>
      <c r="E167" s="1" t="s">
        <v>558</v>
      </c>
      <c r="F167" t="s">
        <v>24</v>
      </c>
      <c r="G167" s="2" t="s">
        <v>541</v>
      </c>
      <c r="H167" t="s">
        <v>26</v>
      </c>
      <c r="I167" t="s">
        <v>27</v>
      </c>
      <c r="J167" s="6">
        <v>15105</v>
      </c>
      <c r="K167" s="16">
        <v>1004</v>
      </c>
      <c r="L167" s="16">
        <v>1016</v>
      </c>
      <c r="M167" s="16">
        <v>1024</v>
      </c>
      <c r="N167" s="16">
        <v>1038</v>
      </c>
      <c r="O167" s="16">
        <v>1005</v>
      </c>
      <c r="P167" s="16">
        <v>1049</v>
      </c>
      <c r="Q167" s="16">
        <v>999</v>
      </c>
      <c r="R167" s="16">
        <v>1038</v>
      </c>
      <c r="S167" s="16">
        <v>1030</v>
      </c>
      <c r="T167" s="16">
        <v>1004</v>
      </c>
      <c r="U167" s="15">
        <v>1020.7</v>
      </c>
      <c r="V167" t="s">
        <v>19</v>
      </c>
      <c r="W167" t="s">
        <v>28</v>
      </c>
      <c r="X167">
        <v>276</v>
      </c>
      <c r="Y167" s="16">
        <f>VLOOKUP(Tabela1[[#This Row],[SKU]],SKU!A:D,4,0)</f>
        <v>1000</v>
      </c>
      <c r="Z167" s="18">
        <f>IFERROR((Tabela1[[#This Row],[Média]]-Tabela1[[#This Row],[Meta]])/Tabela1[[#This Row],[Meta]],"")</f>
        <v>2.0700000000000045E-2</v>
      </c>
      <c r="AA167" s="19">
        <f>Tabela1[[#This Row],[Média]]-Tabela1[[#This Row],[Meta]]</f>
        <v>20.700000000000045</v>
      </c>
      <c r="AB167" s="6" t="str">
        <f>VLOOKUP(Tabela1[[#This Row],[SKU]],SKU!A:B,2,0)</f>
        <v>FILE PEITO MET CG BDJ SE</v>
      </c>
      <c r="AC167" s="6" t="str">
        <f>VLOOKUP(Tabela1[[#This Row],[SKU]],SKU!A:C,3,0)</f>
        <v>PEITO</v>
      </c>
    </row>
    <row r="168" spans="1:29" x14ac:dyDescent="0.3">
      <c r="A168" s="2">
        <f>INT(Tabela1[[#This Row],[Data e Hora2]])</f>
        <v>46254</v>
      </c>
      <c r="B168" s="6" t="str">
        <f>UPPER(TEXT(Tabela1[[#This Row],[Data Corrigida]],"MMM"))</f>
        <v>AGO</v>
      </c>
      <c r="C168" t="s">
        <v>561</v>
      </c>
      <c r="D168" s="2" t="s">
        <v>562</v>
      </c>
      <c r="E168" s="1" t="s">
        <v>558</v>
      </c>
      <c r="F168" t="s">
        <v>24</v>
      </c>
      <c r="G168" s="2" t="s">
        <v>541</v>
      </c>
      <c r="H168" t="s">
        <v>26</v>
      </c>
      <c r="I168" t="s">
        <v>27</v>
      </c>
      <c r="J168" s="6">
        <v>15229</v>
      </c>
      <c r="K168" s="16">
        <v>1010</v>
      </c>
      <c r="L168" s="16">
        <v>1010</v>
      </c>
      <c r="M168" s="16">
        <v>1011</v>
      </c>
      <c r="N168" s="16">
        <v>1002</v>
      </c>
      <c r="O168" s="16">
        <v>1014</v>
      </c>
      <c r="P168" s="16">
        <v>1010</v>
      </c>
      <c r="Q168" s="16">
        <v>1002</v>
      </c>
      <c r="R168" s="16">
        <v>1009</v>
      </c>
      <c r="S168" s="16">
        <v>1014</v>
      </c>
      <c r="T168" s="16">
        <v>995</v>
      </c>
      <c r="U168" s="15">
        <v>1007.7</v>
      </c>
      <c r="V168" t="s">
        <v>19</v>
      </c>
      <c r="W168" t="s">
        <v>28</v>
      </c>
      <c r="X168">
        <v>463</v>
      </c>
      <c r="Y168" s="16">
        <f>VLOOKUP(Tabela1[[#This Row],[SKU]],SKU!A:D,4,0)</f>
        <v>1000</v>
      </c>
      <c r="Z168" s="18">
        <f>IFERROR((Tabela1[[#This Row],[Média]]-Tabela1[[#This Row],[Meta]])/Tabela1[[#This Row],[Meta]],"")</f>
        <v>7.7000000000000453E-3</v>
      </c>
      <c r="AA168" s="19">
        <f>Tabela1[[#This Row],[Média]]-Tabela1[[#This Row],[Meta]]</f>
        <v>7.7000000000000455</v>
      </c>
      <c r="AB168" s="6" t="str">
        <f>VLOOKUP(Tabela1[[#This Row],[SKU]],SKU!A:B,2,0)</f>
        <v>COXA CG BDJ SE</v>
      </c>
      <c r="AC168" s="6" t="str">
        <f>VLOOKUP(Tabela1[[#This Row],[SKU]],SKU!A:C,3,0)</f>
        <v>PERNA</v>
      </c>
    </row>
    <row r="169" spans="1:29" x14ac:dyDescent="0.3">
      <c r="A169" s="2">
        <f>INT(Tabela1[[#This Row],[Data e Hora2]])</f>
        <v>46254</v>
      </c>
      <c r="B169" s="6" t="str">
        <f>UPPER(TEXT(Tabela1[[#This Row],[Data Corrigida]],"MMM"))</f>
        <v>AGO</v>
      </c>
      <c r="C169" t="s">
        <v>563</v>
      </c>
      <c r="D169" s="2" t="s">
        <v>564</v>
      </c>
      <c r="E169" s="1" t="s">
        <v>558</v>
      </c>
      <c r="F169" t="s">
        <v>24</v>
      </c>
      <c r="G169" s="2" t="s">
        <v>541</v>
      </c>
      <c r="H169" t="s">
        <v>26</v>
      </c>
      <c r="I169" t="s">
        <v>27</v>
      </c>
      <c r="J169" s="6">
        <v>13188</v>
      </c>
      <c r="K169" s="16">
        <v>987</v>
      </c>
      <c r="L169" s="16">
        <v>1017</v>
      </c>
      <c r="M169" s="16">
        <v>1013</v>
      </c>
      <c r="N169" s="16">
        <v>1009</v>
      </c>
      <c r="O169" s="16">
        <v>995</v>
      </c>
      <c r="P169" s="16">
        <v>1001</v>
      </c>
      <c r="Q169" s="16">
        <v>990</v>
      </c>
      <c r="R169" s="16">
        <v>1008</v>
      </c>
      <c r="S169" s="16">
        <v>1013</v>
      </c>
      <c r="T169" s="16">
        <v>995</v>
      </c>
      <c r="U169" s="15">
        <v>1002.8</v>
      </c>
      <c r="V169" t="s">
        <v>19</v>
      </c>
      <c r="W169" t="s">
        <v>28</v>
      </c>
      <c r="X169">
        <v>490</v>
      </c>
      <c r="Y169" s="16">
        <f>VLOOKUP(Tabela1[[#This Row],[SKU]],SKU!A:D,4,0)</f>
        <v>1000</v>
      </c>
      <c r="Z169" s="18">
        <f>IFERROR((Tabela1[[#This Row],[Média]]-Tabela1[[#This Row],[Meta]])/Tabela1[[#This Row],[Meta]],"")</f>
        <v>2.7999999999999544E-3</v>
      </c>
      <c r="AA169" s="19">
        <f>Tabela1[[#This Row],[Média]]-Tabela1[[#This Row],[Meta]]</f>
        <v>2.7999999999999545</v>
      </c>
      <c r="AB169" s="6" t="str">
        <f>VLOOKUP(Tabela1[[#This Row],[SKU]],SKU!A:B,2,0)</f>
        <v>SOBRECOXA CG BDJ SE</v>
      </c>
      <c r="AC169" s="6" t="str">
        <f>VLOOKUP(Tabela1[[#This Row],[SKU]],SKU!A:C,3,0)</f>
        <v>PERNA</v>
      </c>
    </row>
    <row r="170" spans="1:29" x14ac:dyDescent="0.3">
      <c r="A170" s="2">
        <f>INT(Tabela1[[#This Row],[Data e Hora2]])</f>
        <v>46254</v>
      </c>
      <c r="B170" s="6" t="str">
        <f>UPPER(TEXT(Tabela1[[#This Row],[Data Corrigida]],"MMM"))</f>
        <v>AGO</v>
      </c>
      <c r="C170" t="s">
        <v>565</v>
      </c>
      <c r="D170" s="2" t="s">
        <v>566</v>
      </c>
      <c r="E170" s="1" t="s">
        <v>567</v>
      </c>
      <c r="F170" t="s">
        <v>56</v>
      </c>
      <c r="G170" s="2" t="s">
        <v>541</v>
      </c>
      <c r="H170" t="s">
        <v>26</v>
      </c>
      <c r="I170" t="s">
        <v>57</v>
      </c>
      <c r="J170" s="6">
        <v>15105</v>
      </c>
      <c r="K170" s="16">
        <v>1009</v>
      </c>
      <c r="L170" s="16">
        <v>1008</v>
      </c>
      <c r="M170" s="16">
        <v>1022</v>
      </c>
      <c r="N170" s="16">
        <v>1001</v>
      </c>
      <c r="O170" s="16">
        <v>1034</v>
      </c>
      <c r="P170" s="16">
        <v>1031</v>
      </c>
      <c r="Q170" s="16">
        <v>992</v>
      </c>
      <c r="R170" s="16">
        <v>1002</v>
      </c>
      <c r="S170" s="16">
        <v>1034</v>
      </c>
      <c r="T170" s="16">
        <v>992</v>
      </c>
      <c r="U170" s="15">
        <v>1012.5</v>
      </c>
      <c r="V170" t="s">
        <v>19</v>
      </c>
      <c r="W170" t="s">
        <v>28</v>
      </c>
      <c r="X170">
        <v>2150</v>
      </c>
      <c r="Y170" s="16">
        <f>VLOOKUP(Tabela1[[#This Row],[SKU]],SKU!A:D,4,0)</f>
        <v>1000</v>
      </c>
      <c r="Z170" s="18">
        <f>IFERROR((Tabela1[[#This Row],[Média]]-Tabela1[[#This Row],[Meta]])/Tabela1[[#This Row],[Meta]],"")</f>
        <v>1.2500000000000001E-2</v>
      </c>
      <c r="AA170" s="19">
        <f>Tabela1[[#This Row],[Média]]-Tabela1[[#This Row],[Meta]]</f>
        <v>12.5</v>
      </c>
      <c r="AB170" s="6" t="str">
        <f>VLOOKUP(Tabela1[[#This Row],[SKU]],SKU!A:B,2,0)</f>
        <v>FILE PEITO MET CG BDJ SE</v>
      </c>
      <c r="AC170" s="6" t="str">
        <f>VLOOKUP(Tabela1[[#This Row],[SKU]],SKU!A:C,3,0)</f>
        <v>PEITO</v>
      </c>
    </row>
    <row r="171" spans="1:29" x14ac:dyDescent="0.3">
      <c r="A171" s="2">
        <f>INT(Tabela1[[#This Row],[Data e Hora2]])</f>
        <v>46254</v>
      </c>
      <c r="B171" s="6" t="str">
        <f>UPPER(TEXT(Tabela1[[#This Row],[Data Corrigida]],"MMM"))</f>
        <v>AGO</v>
      </c>
      <c r="C171" t="s">
        <v>568</v>
      </c>
      <c r="D171" s="2" t="s">
        <v>569</v>
      </c>
      <c r="E171" s="1" t="s">
        <v>570</v>
      </c>
      <c r="F171" t="s">
        <v>56</v>
      </c>
      <c r="G171" s="2" t="s">
        <v>541</v>
      </c>
      <c r="H171" t="s">
        <v>26</v>
      </c>
      <c r="I171" t="s">
        <v>57</v>
      </c>
      <c r="J171" s="6">
        <v>40762</v>
      </c>
      <c r="K171" s="16">
        <v>9715</v>
      </c>
      <c r="L171" s="16">
        <v>10150</v>
      </c>
      <c r="M171" s="16">
        <v>10115</v>
      </c>
      <c r="N171" s="16">
        <v>9925</v>
      </c>
      <c r="O171" s="16">
        <v>10105</v>
      </c>
      <c r="P171" s="16">
        <v>9895</v>
      </c>
      <c r="Q171" s="16">
        <v>10150</v>
      </c>
      <c r="R171" s="16">
        <v>9930</v>
      </c>
      <c r="S171" s="16">
        <v>10095</v>
      </c>
      <c r="T171" s="16">
        <v>10015</v>
      </c>
      <c r="U171" s="15">
        <v>10009.5</v>
      </c>
      <c r="V171" t="s">
        <v>19</v>
      </c>
      <c r="W171" t="s">
        <v>28</v>
      </c>
      <c r="X171">
        <v>415</v>
      </c>
      <c r="Y171" s="16">
        <f>VLOOKUP(Tabela1[[#This Row],[SKU]],SKU!A:D,4,0)</f>
        <v>10000</v>
      </c>
      <c r="Z171" s="18">
        <f>IFERROR((Tabela1[[#This Row],[Média]]-Tabela1[[#This Row],[Meta]])/Tabela1[[#This Row],[Meta]],"")</f>
        <v>9.5E-4</v>
      </c>
      <c r="AA171" s="19">
        <f>Tabela1[[#This Row],[Média]]-Tabela1[[#This Row],[Meta]]</f>
        <v>9.5</v>
      </c>
      <c r="AB171" s="6" t="str">
        <f>VLOOKUP(Tabela1[[#This Row],[SKU]],SKU!A:B,2,0)</f>
        <v>COXA SBCX LQ FG LP</v>
      </c>
      <c r="AC171" s="6" t="str">
        <f>VLOOKUP(Tabela1[[#This Row],[SKU]],SKU!A:C,3,0)</f>
        <v>PERNA</v>
      </c>
    </row>
    <row r="172" spans="1:29" x14ac:dyDescent="0.3">
      <c r="A172" s="2">
        <f>INT(Tabela1[[#This Row],[Data e Hora2]])</f>
        <v>46253</v>
      </c>
      <c r="B172" s="6" t="str">
        <f>UPPER(TEXT(Tabela1[[#This Row],[Data Corrigida]],"MMM"))</f>
        <v>AGO</v>
      </c>
      <c r="C172" t="s">
        <v>531</v>
      </c>
      <c r="D172" s="2" t="s">
        <v>532</v>
      </c>
      <c r="E172" s="1" t="s">
        <v>533</v>
      </c>
      <c r="F172" t="s">
        <v>24</v>
      </c>
      <c r="G172" s="2" t="s">
        <v>461</v>
      </c>
      <c r="H172" t="s">
        <v>142</v>
      </c>
      <c r="I172" t="s">
        <v>462</v>
      </c>
      <c r="J172" s="6">
        <v>42854</v>
      </c>
      <c r="K172" s="16">
        <v>2083</v>
      </c>
      <c r="L172" s="16">
        <v>2126</v>
      </c>
      <c r="M172" s="16">
        <v>2161</v>
      </c>
      <c r="N172" s="16">
        <v>2061</v>
      </c>
      <c r="O172" s="16">
        <v>2075</v>
      </c>
      <c r="P172" s="16">
        <v>2132</v>
      </c>
      <c r="Q172" s="16">
        <v>2141</v>
      </c>
      <c r="R172" s="16">
        <v>2183</v>
      </c>
      <c r="S172" s="16">
        <v>2182</v>
      </c>
      <c r="T172" s="16">
        <v>2064</v>
      </c>
      <c r="U172" s="15">
        <v>2120.8000000000002</v>
      </c>
      <c r="V172" t="s">
        <v>19</v>
      </c>
      <c r="W172" t="s">
        <v>28</v>
      </c>
      <c r="X172">
        <v>380</v>
      </c>
      <c r="Y172" s="16">
        <f>VLOOKUP(Tabela1[[#This Row],[SKU]],SKU!A:D,4,0)</f>
        <v>2080</v>
      </c>
      <c r="Z172" s="18">
        <f>IFERROR((Tabela1[[#This Row],[Média]]-Tabela1[[#This Row],[Meta]])/Tabela1[[#This Row],[Meta]],"")</f>
        <v>1.9615384615384701E-2</v>
      </c>
      <c r="AA172" s="19">
        <f>Tabela1[[#This Row],[Média]]-Tabela1[[#This Row],[Meta]]</f>
        <v>40.800000000000182</v>
      </c>
      <c r="AB172" s="6" t="str">
        <f>VLOOKUP(Tabela1[[#This Row],[SKU]],SKU!A:B,2,0)</f>
        <v>COXA SBCX S/O FG 260-280g PB</v>
      </c>
      <c r="AC172" s="6" t="str">
        <f>VLOOKUP(Tabela1[[#This Row],[SKU]],SKU!A:C,3,0)</f>
        <v>PERNA</v>
      </c>
    </row>
    <row r="173" spans="1:29" x14ac:dyDescent="0.3">
      <c r="A173" s="2">
        <f>INT(Tabela1[[#This Row],[Data e Hora2]])</f>
        <v>46253</v>
      </c>
      <c r="B173" s="6" t="str">
        <f>UPPER(TEXT(Tabela1[[#This Row],[Data Corrigida]],"MMM"))</f>
        <v>AGO</v>
      </c>
      <c r="C173" t="s">
        <v>534</v>
      </c>
      <c r="D173" s="2" t="s">
        <v>535</v>
      </c>
      <c r="E173" s="1" t="s">
        <v>533</v>
      </c>
      <c r="F173" t="s">
        <v>24</v>
      </c>
      <c r="G173" s="2" t="s">
        <v>461</v>
      </c>
      <c r="H173" t="s">
        <v>142</v>
      </c>
      <c r="I173" t="s">
        <v>19</v>
      </c>
      <c r="J173" s="6">
        <v>42846</v>
      </c>
      <c r="K173" s="16">
        <v>2019</v>
      </c>
      <c r="L173" s="16">
        <v>2086</v>
      </c>
      <c r="M173" s="16">
        <v>2180</v>
      </c>
      <c r="N173" s="16">
        <v>2165</v>
      </c>
      <c r="O173" s="16">
        <v>2051</v>
      </c>
      <c r="P173" s="16">
        <v>2070</v>
      </c>
      <c r="Q173" s="16">
        <v>2032</v>
      </c>
      <c r="R173" s="16">
        <v>2188</v>
      </c>
      <c r="S173" s="16">
        <v>2090</v>
      </c>
      <c r="T173" s="16">
        <v>2155</v>
      </c>
      <c r="U173" s="15">
        <v>2103.6</v>
      </c>
      <c r="V173" t="s">
        <v>19</v>
      </c>
      <c r="W173" t="s">
        <v>28</v>
      </c>
      <c r="X173">
        <v>2796</v>
      </c>
      <c r="Y173" s="16">
        <f>VLOOKUP(Tabela1[[#This Row],[SKU]],SKU!A:D,4,0)</f>
        <v>2000</v>
      </c>
      <c r="Z173" s="18">
        <f>IFERROR((Tabela1[[#This Row],[Média]]-Tabela1[[#This Row],[Meta]])/Tabela1[[#This Row],[Meta]],"")</f>
        <v>5.1799999999999957E-2</v>
      </c>
      <c r="AA173" s="19">
        <f>Tabela1[[#This Row],[Média]]-Tabela1[[#This Row],[Meta]]</f>
        <v>103.59999999999991</v>
      </c>
      <c r="AB173" s="6" t="str">
        <f>VLOOKUP(Tabela1[[#This Row],[SKU]],SKU!A:B,2,0)</f>
        <v>COXA SBCX S/O FG 240-260g PB</v>
      </c>
      <c r="AC173" s="6" t="str">
        <f>VLOOKUP(Tabela1[[#This Row],[SKU]],SKU!A:C,3,0)</f>
        <v>PERNA</v>
      </c>
    </row>
    <row r="174" spans="1:29" x14ac:dyDescent="0.3">
      <c r="A174" s="2">
        <f>INT(Tabela1[[#This Row],[Data e Hora2]])</f>
        <v>46253</v>
      </c>
      <c r="B174" s="6" t="str">
        <f>UPPER(TEXT(Tabela1[[#This Row],[Data Corrigida]],"MMM"))</f>
        <v>AGO</v>
      </c>
      <c r="C174" t="s">
        <v>458</v>
      </c>
      <c r="D174" s="2" t="s">
        <v>459</v>
      </c>
      <c r="E174" s="1" t="s">
        <v>460</v>
      </c>
      <c r="F174" t="s">
        <v>24</v>
      </c>
      <c r="G174" s="2" t="s">
        <v>461</v>
      </c>
      <c r="H174" t="s">
        <v>142</v>
      </c>
      <c r="I174" t="s">
        <v>462</v>
      </c>
      <c r="J174" s="6">
        <v>40762</v>
      </c>
      <c r="K174" s="16">
        <v>10105</v>
      </c>
      <c r="L174" s="16">
        <v>10525</v>
      </c>
      <c r="M174" s="16">
        <v>10070</v>
      </c>
      <c r="N174" s="16">
        <v>9600</v>
      </c>
      <c r="O174" s="16">
        <v>10055</v>
      </c>
      <c r="P174" s="16">
        <v>10570</v>
      </c>
      <c r="Q174" s="16">
        <v>9925</v>
      </c>
      <c r="R174" s="16">
        <v>10395</v>
      </c>
      <c r="S174" s="16">
        <v>10115</v>
      </c>
      <c r="T174" s="16">
        <v>10125</v>
      </c>
      <c r="U174" s="15">
        <v>10148.5</v>
      </c>
      <c r="V174" t="s">
        <v>19</v>
      </c>
      <c r="W174" t="s">
        <v>28</v>
      </c>
      <c r="X174">
        <v>630</v>
      </c>
      <c r="Y174" s="16">
        <f>VLOOKUP(Tabela1[[#This Row],[SKU]],SKU!A:D,4,0)</f>
        <v>10000</v>
      </c>
      <c r="Z174" s="18">
        <f>IFERROR((Tabela1[[#This Row],[Média]]-Tabela1[[#This Row],[Meta]])/Tabela1[[#This Row],[Meta]],"")</f>
        <v>1.485E-2</v>
      </c>
      <c r="AA174" s="19">
        <f>Tabela1[[#This Row],[Média]]-Tabela1[[#This Row],[Meta]]</f>
        <v>148.5</v>
      </c>
      <c r="AB174" s="6" t="str">
        <f>VLOOKUP(Tabela1[[#This Row],[SKU]],SKU!A:B,2,0)</f>
        <v>COXA SBCX LQ FG LP</v>
      </c>
      <c r="AC174" s="6" t="str">
        <f>VLOOKUP(Tabela1[[#This Row],[SKU]],SKU!A:C,3,0)</f>
        <v>PERNA</v>
      </c>
    </row>
    <row r="175" spans="1:29" x14ac:dyDescent="0.3">
      <c r="A175" s="2">
        <f>INT(Tabela1[[#This Row],[Data e Hora2]])</f>
        <v>46253</v>
      </c>
      <c r="B175" s="6" t="str">
        <f>UPPER(TEXT(Tabela1[[#This Row],[Data Corrigida]],"MMM"))</f>
        <v>AGO</v>
      </c>
      <c r="C175" t="s">
        <v>463</v>
      </c>
      <c r="D175" s="2" t="s">
        <v>464</v>
      </c>
      <c r="E175" s="1" t="s">
        <v>460</v>
      </c>
      <c r="F175" t="s">
        <v>24</v>
      </c>
      <c r="G175" s="2" t="s">
        <v>461</v>
      </c>
      <c r="H175" t="s">
        <v>142</v>
      </c>
      <c r="I175" t="s">
        <v>462</v>
      </c>
      <c r="J175" s="6">
        <v>42862</v>
      </c>
      <c r="K175" s="16">
        <v>2053</v>
      </c>
      <c r="L175" s="16">
        <v>2175</v>
      </c>
      <c r="M175" s="16">
        <v>2066</v>
      </c>
      <c r="N175" s="16">
        <v>2094</v>
      </c>
      <c r="O175" s="16">
        <v>2002</v>
      </c>
      <c r="P175" s="16">
        <v>2035</v>
      </c>
      <c r="Q175" s="16">
        <v>2058</v>
      </c>
      <c r="R175" s="16">
        <v>2277</v>
      </c>
      <c r="S175" s="16">
        <v>2018</v>
      </c>
      <c r="T175" s="16">
        <v>2068</v>
      </c>
      <c r="U175" s="15">
        <v>2084.6</v>
      </c>
      <c r="V175" t="s">
        <v>19</v>
      </c>
      <c r="W175" t="s">
        <v>28</v>
      </c>
      <c r="X175">
        <v>433</v>
      </c>
      <c r="Y175" s="16">
        <f>VLOOKUP(Tabela1[[#This Row],[SKU]],SKU!A:D,4,0)</f>
        <v>2000</v>
      </c>
      <c r="Z175" s="18">
        <f>IFERROR((Tabela1[[#This Row],[Média]]-Tabela1[[#This Row],[Meta]])/Tabela1[[#This Row],[Meta]],"")</f>
        <v>4.2299999999999956E-2</v>
      </c>
      <c r="AA175" s="19">
        <f>Tabela1[[#This Row],[Média]]-Tabela1[[#This Row],[Meta]]</f>
        <v>84.599999999999909</v>
      </c>
      <c r="AB175" s="6" t="str">
        <f>VLOOKUP(Tabela1[[#This Row],[SKU]],SKU!A:B,2,0)</f>
        <v>COXA SBCX S/O FG 280-300g PB</v>
      </c>
      <c r="AC175" s="6" t="str">
        <f>VLOOKUP(Tabela1[[#This Row],[SKU]],SKU!A:C,3,0)</f>
        <v>PERNA</v>
      </c>
    </row>
    <row r="176" spans="1:29" x14ac:dyDescent="0.3">
      <c r="A176" s="2">
        <f>INT(Tabela1[[#This Row],[Data e Hora2]])</f>
        <v>46254</v>
      </c>
      <c r="B176" s="6" t="str">
        <f>UPPER(TEXT(Tabela1[[#This Row],[Data Corrigida]],"MMM"))</f>
        <v>AGO</v>
      </c>
      <c r="C176" t="s">
        <v>574</v>
      </c>
      <c r="D176" s="2" t="s">
        <v>575</v>
      </c>
      <c r="E176" s="1" t="s">
        <v>576</v>
      </c>
      <c r="F176" t="s">
        <v>24</v>
      </c>
      <c r="G176" s="2" t="s">
        <v>541</v>
      </c>
      <c r="H176" t="s">
        <v>142</v>
      </c>
      <c r="I176" t="s">
        <v>462</v>
      </c>
      <c r="J176" s="6">
        <v>42854</v>
      </c>
      <c r="K176" s="16">
        <v>2205</v>
      </c>
      <c r="L176" s="16">
        <v>2175</v>
      </c>
      <c r="M176" s="16">
        <v>2147</v>
      </c>
      <c r="N176" s="16">
        <v>2189</v>
      </c>
      <c r="O176" s="16">
        <v>2210</v>
      </c>
      <c r="P176" s="16">
        <v>2170</v>
      </c>
      <c r="Q176" s="16">
        <v>2168</v>
      </c>
      <c r="R176" s="16">
        <v>2150</v>
      </c>
      <c r="S176" s="16">
        <v>2134</v>
      </c>
      <c r="T176" s="16">
        <v>2152</v>
      </c>
      <c r="U176" s="15">
        <v>2170</v>
      </c>
      <c r="V176" t="s">
        <v>19</v>
      </c>
      <c r="W176" t="s">
        <v>28</v>
      </c>
      <c r="X176">
        <v>326</v>
      </c>
      <c r="Y176" s="16">
        <f>VLOOKUP(Tabela1[[#This Row],[SKU]],SKU!A:D,4,0)</f>
        <v>2080</v>
      </c>
      <c r="Z176" s="18">
        <f>IFERROR((Tabela1[[#This Row],[Média]]-Tabela1[[#This Row],[Meta]])/Tabela1[[#This Row],[Meta]],"")</f>
        <v>4.3269230769230768E-2</v>
      </c>
      <c r="AA176" s="19">
        <f>Tabela1[[#This Row],[Média]]-Tabela1[[#This Row],[Meta]]</f>
        <v>90</v>
      </c>
      <c r="AB176" s="6" t="str">
        <f>VLOOKUP(Tabela1[[#This Row],[SKU]],SKU!A:B,2,0)</f>
        <v>COXA SBCX S/O FG 260-280g PB</v>
      </c>
      <c r="AC176" s="6" t="str">
        <f>VLOOKUP(Tabela1[[#This Row],[SKU]],SKU!A:C,3,0)</f>
        <v>PERNA</v>
      </c>
    </row>
    <row r="177" spans="1:29" x14ac:dyDescent="0.3">
      <c r="A177" s="2">
        <f>INT(Tabela1[[#This Row],[Data e Hora2]])</f>
        <v>46254</v>
      </c>
      <c r="B177" s="6" t="str">
        <f>UPPER(TEXT(Tabela1[[#This Row],[Data Corrigida]],"MMM"))</f>
        <v>AGO</v>
      </c>
      <c r="C177" t="s">
        <v>577</v>
      </c>
      <c r="D177" s="2" t="s">
        <v>578</v>
      </c>
      <c r="E177" s="1" t="s">
        <v>576</v>
      </c>
      <c r="F177" t="s">
        <v>24</v>
      </c>
      <c r="G177" s="2" t="s">
        <v>541</v>
      </c>
      <c r="H177" t="s">
        <v>142</v>
      </c>
      <c r="I177" t="s">
        <v>462</v>
      </c>
      <c r="J177" s="6">
        <v>54632</v>
      </c>
      <c r="K177" s="16">
        <v>997</v>
      </c>
      <c r="L177" s="16">
        <v>1034</v>
      </c>
      <c r="M177" s="16">
        <v>1051</v>
      </c>
      <c r="N177" s="16">
        <v>1018</v>
      </c>
      <c r="O177" s="16">
        <v>995</v>
      </c>
      <c r="P177" s="16">
        <v>992</v>
      </c>
      <c r="Q177" s="16">
        <v>996</v>
      </c>
      <c r="R177" s="16">
        <v>1047</v>
      </c>
      <c r="S177" s="16">
        <v>999</v>
      </c>
      <c r="T177" s="16">
        <v>1021</v>
      </c>
      <c r="U177" s="15">
        <v>1015</v>
      </c>
      <c r="V177" t="s">
        <v>19</v>
      </c>
      <c r="W177" t="s">
        <v>28</v>
      </c>
      <c r="X177">
        <v>399</v>
      </c>
      <c r="Y177" s="16">
        <f>VLOOKUP(Tabela1[[#This Row],[SKU]],SKU!A:D,4,0)</f>
        <v>1000</v>
      </c>
      <c r="Z177" s="18">
        <f>IFERROR((Tabela1[[#This Row],[Média]]-Tabela1[[#This Row],[Meta]])/Tabela1[[#This Row],[Meta]],"")</f>
        <v>1.4999999999999999E-2</v>
      </c>
      <c r="AA177" s="19">
        <f>Tabela1[[#This Row],[Média]]-Tabela1[[#This Row],[Meta]]</f>
        <v>15</v>
      </c>
      <c r="AB177" s="6" t="str">
        <f>VLOOKUP(Tabela1[[#This Row],[SKU]],SKU!A:B,2,0)</f>
        <v>COXA SBCX S/O BDJ CG</v>
      </c>
      <c r="AC177" s="6" t="str">
        <f>VLOOKUP(Tabela1[[#This Row],[SKU]],SKU!A:C,3,0)</f>
        <v>PERNA</v>
      </c>
    </row>
    <row r="178" spans="1:29" x14ac:dyDescent="0.3">
      <c r="A178" s="2">
        <f>INT(Tabela1[[#This Row],[Data e Hora2]])</f>
        <v>46254</v>
      </c>
      <c r="B178" s="6" t="str">
        <f>UPPER(TEXT(Tabela1[[#This Row],[Data Corrigida]],"MMM"))</f>
        <v>AGO</v>
      </c>
      <c r="C178" t="s">
        <v>579</v>
      </c>
      <c r="D178" s="2" t="s">
        <v>580</v>
      </c>
      <c r="E178" s="1" t="s">
        <v>576</v>
      </c>
      <c r="F178" t="s">
        <v>24</v>
      </c>
      <c r="G178" s="2" t="s">
        <v>541</v>
      </c>
      <c r="H178" t="s">
        <v>142</v>
      </c>
      <c r="I178" t="s">
        <v>462</v>
      </c>
      <c r="J178" s="6">
        <v>42846</v>
      </c>
      <c r="K178" s="16">
        <v>2018</v>
      </c>
      <c r="L178" s="16">
        <v>2066</v>
      </c>
      <c r="M178" s="16">
        <v>2020</v>
      </c>
      <c r="N178" s="16">
        <v>2027</v>
      </c>
      <c r="O178" s="16">
        <v>2012</v>
      </c>
      <c r="P178" s="16">
        <v>2028</v>
      </c>
      <c r="Q178" s="16">
        <v>2004</v>
      </c>
      <c r="R178" s="16">
        <v>2051</v>
      </c>
      <c r="S178" s="16">
        <v>2020</v>
      </c>
      <c r="T178" s="16">
        <v>2063</v>
      </c>
      <c r="U178" s="15">
        <v>2030.9</v>
      </c>
      <c r="V178" t="s">
        <v>19</v>
      </c>
      <c r="W178" t="s">
        <v>28</v>
      </c>
      <c r="X178">
        <v>349</v>
      </c>
      <c r="Y178" s="16">
        <f>VLOOKUP(Tabela1[[#This Row],[SKU]],SKU!A:D,4,0)</f>
        <v>2000</v>
      </c>
      <c r="Z178" s="18">
        <f>IFERROR((Tabela1[[#This Row],[Média]]-Tabela1[[#This Row],[Meta]])/Tabela1[[#This Row],[Meta]],"")</f>
        <v>1.5450000000000045E-2</v>
      </c>
      <c r="AA178" s="19">
        <f>Tabela1[[#This Row],[Média]]-Tabela1[[#This Row],[Meta]]</f>
        <v>30.900000000000091</v>
      </c>
      <c r="AB178" s="6" t="str">
        <f>VLOOKUP(Tabela1[[#This Row],[SKU]],SKU!A:B,2,0)</f>
        <v>COXA SBCX S/O FG 240-260g PB</v>
      </c>
      <c r="AC178" s="6" t="str">
        <f>VLOOKUP(Tabela1[[#This Row],[SKU]],SKU!A:C,3,0)</f>
        <v>PERNA</v>
      </c>
    </row>
    <row r="179" spans="1:29" x14ac:dyDescent="0.3">
      <c r="A179" s="2">
        <f>INT(Tabela1[[#This Row],[Data e Hora2]])</f>
        <v>46254</v>
      </c>
      <c r="B179" s="6" t="str">
        <f>UPPER(TEXT(Tabela1[[#This Row],[Data Corrigida]],"MMM"))</f>
        <v>AGO</v>
      </c>
      <c r="C179" t="s">
        <v>586</v>
      </c>
      <c r="D179" s="2" t="s">
        <v>587</v>
      </c>
      <c r="E179" s="1" t="s">
        <v>583</v>
      </c>
      <c r="F179" t="s">
        <v>24</v>
      </c>
      <c r="G179" s="2" t="s">
        <v>541</v>
      </c>
      <c r="H179" t="s">
        <v>142</v>
      </c>
      <c r="I179" t="s">
        <v>462</v>
      </c>
      <c r="J179" s="6">
        <v>40762</v>
      </c>
      <c r="K179" s="16">
        <v>10075</v>
      </c>
      <c r="L179" s="16">
        <v>10055</v>
      </c>
      <c r="M179" s="16">
        <v>10040</v>
      </c>
      <c r="N179" s="16">
        <v>10165</v>
      </c>
      <c r="O179" s="16">
        <v>9960</v>
      </c>
      <c r="P179" s="16">
        <v>10195</v>
      </c>
      <c r="Q179" s="16">
        <v>10395</v>
      </c>
      <c r="R179" s="16">
        <v>10215</v>
      </c>
      <c r="S179" s="16">
        <v>10060</v>
      </c>
      <c r="T179" s="16">
        <v>9960</v>
      </c>
      <c r="U179" s="15">
        <v>10112</v>
      </c>
      <c r="V179" t="s">
        <v>19</v>
      </c>
      <c r="W179" t="s">
        <v>28</v>
      </c>
      <c r="X179">
        <v>2431</v>
      </c>
      <c r="Y179" s="16">
        <f>VLOOKUP(Tabela1[[#This Row],[SKU]],SKU!A:D,4,0)</f>
        <v>10000</v>
      </c>
      <c r="Z179" s="18">
        <f>IFERROR((Tabela1[[#This Row],[Média]]-Tabela1[[#This Row],[Meta]])/Tabela1[[#This Row],[Meta]],"")</f>
        <v>1.12E-2</v>
      </c>
      <c r="AA179" s="19">
        <f>Tabela1[[#This Row],[Média]]-Tabela1[[#This Row],[Meta]]</f>
        <v>112</v>
      </c>
      <c r="AB179" s="6" t="str">
        <f>VLOOKUP(Tabela1[[#This Row],[SKU]],SKU!A:B,2,0)</f>
        <v>COXA SBCX LQ FG LP</v>
      </c>
      <c r="AC179" s="6" t="str">
        <f>VLOOKUP(Tabela1[[#This Row],[SKU]],SKU!A:C,3,0)</f>
        <v>PERNA</v>
      </c>
    </row>
    <row r="180" spans="1:29" x14ac:dyDescent="0.3">
      <c r="A180" s="2">
        <f>INT(Tabela1[[#This Row],[Data e Hora2]])</f>
        <v>46254</v>
      </c>
      <c r="B180" s="6" t="str">
        <f>UPPER(TEXT(Tabela1[[#This Row],[Data Corrigida]],"MMM"))</f>
        <v>AGO</v>
      </c>
      <c r="C180" t="s">
        <v>590</v>
      </c>
      <c r="D180" s="2" t="s">
        <v>591</v>
      </c>
      <c r="E180" s="1" t="s">
        <v>583</v>
      </c>
      <c r="F180" t="s">
        <v>24</v>
      </c>
      <c r="G180" s="2" t="s">
        <v>541</v>
      </c>
      <c r="H180" t="s">
        <v>142</v>
      </c>
      <c r="I180" t="s">
        <v>462</v>
      </c>
      <c r="J180" s="6">
        <v>54632</v>
      </c>
      <c r="K180" s="16">
        <v>1004</v>
      </c>
      <c r="L180" s="16">
        <v>1009</v>
      </c>
      <c r="M180" s="16">
        <v>1004</v>
      </c>
      <c r="N180" s="16">
        <v>1018</v>
      </c>
      <c r="O180" s="16">
        <v>994</v>
      </c>
      <c r="P180" s="16">
        <v>1017</v>
      </c>
      <c r="Q180" s="16">
        <v>1008</v>
      </c>
      <c r="R180" s="16">
        <v>1029</v>
      </c>
      <c r="S180" s="16">
        <v>1020</v>
      </c>
      <c r="T180" s="16">
        <v>1014</v>
      </c>
      <c r="U180" s="15">
        <v>1011.7</v>
      </c>
      <c r="V180" t="s">
        <v>19</v>
      </c>
      <c r="W180" t="s">
        <v>28</v>
      </c>
      <c r="X180">
        <v>650</v>
      </c>
      <c r="Y180" s="16">
        <f>VLOOKUP(Tabela1[[#This Row],[SKU]],SKU!A:D,4,0)</f>
        <v>1000</v>
      </c>
      <c r="Z180" s="18">
        <f>IFERROR((Tabela1[[#This Row],[Média]]-Tabela1[[#This Row],[Meta]])/Tabela1[[#This Row],[Meta]],"")</f>
        <v>1.1700000000000045E-2</v>
      </c>
      <c r="AA180" s="19">
        <f>Tabela1[[#This Row],[Média]]-Tabela1[[#This Row],[Meta]]</f>
        <v>11.700000000000045</v>
      </c>
      <c r="AB180" s="6" t="str">
        <f>VLOOKUP(Tabela1[[#This Row],[SKU]],SKU!A:B,2,0)</f>
        <v>COXA SBCX S/O BDJ CG</v>
      </c>
      <c r="AC180" s="6" t="str">
        <f>VLOOKUP(Tabela1[[#This Row],[SKU]],SKU!A:C,3,0)</f>
        <v>PERNA</v>
      </c>
    </row>
    <row r="181" spans="1:29" x14ac:dyDescent="0.3">
      <c r="A181" s="2">
        <f>INT(Tabela1[[#This Row],[Data e Hora2]])</f>
        <v>46254</v>
      </c>
      <c r="B181" s="6" t="str">
        <f>UPPER(TEXT(Tabela1[[#This Row],[Data Corrigida]],"MMM"))</f>
        <v>AGO</v>
      </c>
      <c r="C181" t="s">
        <v>592</v>
      </c>
      <c r="D181" s="2" t="s">
        <v>593</v>
      </c>
      <c r="E181" s="1" t="s">
        <v>583</v>
      </c>
      <c r="F181" t="s">
        <v>24</v>
      </c>
      <c r="G181" s="2" t="s">
        <v>541</v>
      </c>
      <c r="H181" t="s">
        <v>142</v>
      </c>
      <c r="I181" t="s">
        <v>462</v>
      </c>
      <c r="J181" s="6">
        <v>42862</v>
      </c>
      <c r="K181" s="16">
        <v>2095</v>
      </c>
      <c r="L181" s="16">
        <v>2228</v>
      </c>
      <c r="M181" s="16">
        <v>2083</v>
      </c>
      <c r="N181" s="16">
        <v>2056</v>
      </c>
      <c r="O181" s="16">
        <v>2082</v>
      </c>
      <c r="P181" s="16">
        <v>2070</v>
      </c>
      <c r="Q181" s="16">
        <v>2074</v>
      </c>
      <c r="R181" s="16">
        <v>2099</v>
      </c>
      <c r="S181" s="16">
        <v>2114</v>
      </c>
      <c r="T181" s="16">
        <v>1995</v>
      </c>
      <c r="U181" s="15">
        <v>2089.6</v>
      </c>
      <c r="V181" t="s">
        <v>19</v>
      </c>
      <c r="W181" t="s">
        <v>28</v>
      </c>
      <c r="X181">
        <v>368</v>
      </c>
      <c r="Y181" s="16">
        <f>VLOOKUP(Tabela1[[#This Row],[SKU]],SKU!A:D,4,0)</f>
        <v>2000</v>
      </c>
      <c r="Z181" s="18">
        <f>IFERROR((Tabela1[[#This Row],[Média]]-Tabela1[[#This Row],[Meta]])/Tabela1[[#This Row],[Meta]],"")</f>
        <v>4.4799999999999958E-2</v>
      </c>
      <c r="AA181" s="19">
        <f>Tabela1[[#This Row],[Média]]-Tabela1[[#This Row],[Meta]]</f>
        <v>89.599999999999909</v>
      </c>
      <c r="AB181" s="6" t="str">
        <f>VLOOKUP(Tabela1[[#This Row],[SKU]],SKU!A:B,2,0)</f>
        <v>COXA SBCX S/O FG 280-300g PB</v>
      </c>
      <c r="AC181" s="6" t="str">
        <f>VLOOKUP(Tabela1[[#This Row],[SKU]],SKU!A:C,3,0)</f>
        <v>PERNA</v>
      </c>
    </row>
    <row r="182" spans="1:29" x14ac:dyDescent="0.3">
      <c r="A182" s="2">
        <f>INT(Tabela1[[#This Row],[Data e Hora2]])</f>
        <v>46255</v>
      </c>
      <c r="B182" s="6" t="str">
        <f>UPPER(TEXT(Tabela1[[#This Row],[Data Corrigida]],"MMM"))</f>
        <v>AGO</v>
      </c>
      <c r="C182" t="s">
        <v>594</v>
      </c>
      <c r="D182" s="2" t="s">
        <v>595</v>
      </c>
      <c r="E182" s="1" t="s">
        <v>596</v>
      </c>
      <c r="F182" t="s">
        <v>24</v>
      </c>
      <c r="G182" s="2" t="s">
        <v>597</v>
      </c>
      <c r="H182" t="s">
        <v>26</v>
      </c>
      <c r="I182" t="s">
        <v>27</v>
      </c>
      <c r="J182" s="6">
        <v>42854</v>
      </c>
      <c r="K182" s="16">
        <v>2096</v>
      </c>
      <c r="L182" s="16">
        <v>2129</v>
      </c>
      <c r="M182" s="16">
        <v>2103</v>
      </c>
      <c r="N182" s="16">
        <v>2107</v>
      </c>
      <c r="O182" s="16">
        <v>2093</v>
      </c>
      <c r="P182" s="16">
        <v>2101</v>
      </c>
      <c r="Q182" s="16">
        <v>2103</v>
      </c>
      <c r="R182" s="16">
        <v>2033</v>
      </c>
      <c r="S182" s="16">
        <v>2115</v>
      </c>
      <c r="T182" s="16">
        <v>2040</v>
      </c>
      <c r="U182" s="15">
        <v>2092</v>
      </c>
      <c r="V182" t="s">
        <v>19</v>
      </c>
      <c r="W182" t="s">
        <v>28</v>
      </c>
      <c r="X182">
        <v>8511</v>
      </c>
      <c r="Y182" s="16">
        <f>VLOOKUP(Tabela1[[#This Row],[SKU]],SKU!A:D,4,0)</f>
        <v>2080</v>
      </c>
      <c r="Z182" s="18">
        <f>IFERROR((Tabela1[[#This Row],[Média]]-Tabela1[[#This Row],[Meta]])/Tabela1[[#This Row],[Meta]],"")</f>
        <v>5.7692307692307696E-3</v>
      </c>
      <c r="AA182" s="19">
        <f>Tabela1[[#This Row],[Média]]-Tabela1[[#This Row],[Meta]]</f>
        <v>12</v>
      </c>
      <c r="AB182" s="6" t="str">
        <f>VLOOKUP(Tabela1[[#This Row],[SKU]],SKU!A:B,2,0)</f>
        <v>COXA SBCX S/O FG 260-280g PB</v>
      </c>
      <c r="AC182" s="6" t="str">
        <f>VLOOKUP(Tabela1[[#This Row],[SKU]],SKU!A:C,3,0)</f>
        <v>PERNA</v>
      </c>
    </row>
    <row r="183" spans="1:29" x14ac:dyDescent="0.3">
      <c r="A183" s="2">
        <f>INT(Tabela1[[#This Row],[Data e Hora2]])</f>
        <v>46255</v>
      </c>
      <c r="B183" s="6" t="str">
        <f>UPPER(TEXT(Tabela1[[#This Row],[Data Corrigida]],"MMM"))</f>
        <v>AGO</v>
      </c>
      <c r="C183" t="s">
        <v>598</v>
      </c>
      <c r="D183" s="2" t="s">
        <v>599</v>
      </c>
      <c r="E183" s="1" t="s">
        <v>596</v>
      </c>
      <c r="F183" t="s">
        <v>24</v>
      </c>
      <c r="G183" s="2" t="s">
        <v>597</v>
      </c>
      <c r="H183" t="s">
        <v>26</v>
      </c>
      <c r="I183" t="s">
        <v>27</v>
      </c>
      <c r="J183" s="6">
        <v>42846</v>
      </c>
      <c r="K183" s="16">
        <v>2011</v>
      </c>
      <c r="L183" s="16">
        <v>2009</v>
      </c>
      <c r="M183" s="16">
        <v>2011</v>
      </c>
      <c r="N183" s="16">
        <v>1999</v>
      </c>
      <c r="O183" s="16">
        <v>2015</v>
      </c>
      <c r="P183" s="16">
        <v>2009</v>
      </c>
      <c r="Q183" s="16">
        <v>2009</v>
      </c>
      <c r="R183" s="16">
        <v>1994</v>
      </c>
      <c r="S183" s="16">
        <v>1994</v>
      </c>
      <c r="T183" s="16">
        <v>1991</v>
      </c>
      <c r="U183" s="15">
        <v>2004.2</v>
      </c>
      <c r="V183" t="s">
        <v>19</v>
      </c>
      <c r="W183" t="s">
        <v>19</v>
      </c>
      <c r="X183">
        <v>197</v>
      </c>
      <c r="Y183" s="16">
        <f>VLOOKUP(Tabela1[[#This Row],[SKU]],SKU!A:D,4,0)</f>
        <v>2000</v>
      </c>
      <c r="Z183" s="18">
        <f>IFERROR((Tabela1[[#This Row],[Média]]-Tabela1[[#This Row],[Meta]])/Tabela1[[#This Row],[Meta]],"")</f>
        <v>2.1000000000000229E-3</v>
      </c>
      <c r="AA183" s="19">
        <f>Tabela1[[#This Row],[Média]]-Tabela1[[#This Row],[Meta]]</f>
        <v>4.2000000000000455</v>
      </c>
      <c r="AB183" s="6" t="str">
        <f>VLOOKUP(Tabela1[[#This Row],[SKU]],SKU!A:B,2,0)</f>
        <v>COXA SBCX S/O FG 240-260g PB</v>
      </c>
      <c r="AC183" s="6" t="str">
        <f>VLOOKUP(Tabela1[[#This Row],[SKU]],SKU!A:C,3,0)</f>
        <v>PERNA</v>
      </c>
    </row>
    <row r="184" spans="1:29" x14ac:dyDescent="0.3">
      <c r="A184" s="2">
        <f>INT(Tabela1[[#This Row],[Data e Hora2]])</f>
        <v>46255</v>
      </c>
      <c r="B184" s="6" t="str">
        <f>UPPER(TEXT(Tabela1[[#This Row],[Data Corrigida]],"MMM"))</f>
        <v>AGO</v>
      </c>
      <c r="C184" t="s">
        <v>600</v>
      </c>
      <c r="D184" s="2" t="s">
        <v>601</v>
      </c>
      <c r="E184" s="1" t="s">
        <v>596</v>
      </c>
      <c r="F184" t="s">
        <v>24</v>
      </c>
      <c r="G184" s="2" t="s">
        <v>597</v>
      </c>
      <c r="H184" t="s">
        <v>26</v>
      </c>
      <c r="I184" t="s">
        <v>27</v>
      </c>
      <c r="J184" s="6">
        <v>42862</v>
      </c>
      <c r="K184" s="16">
        <v>2175</v>
      </c>
      <c r="L184" s="16">
        <v>2008</v>
      </c>
      <c r="M184" s="16">
        <v>2158</v>
      </c>
      <c r="N184" s="16">
        <v>2128</v>
      </c>
      <c r="O184" s="16">
        <v>2123</v>
      </c>
      <c r="P184" s="16">
        <v>2001</v>
      </c>
      <c r="Q184" s="16">
        <v>2163</v>
      </c>
      <c r="R184" s="16">
        <v>2008</v>
      </c>
      <c r="S184" s="16">
        <v>2013</v>
      </c>
      <c r="T184" s="16">
        <v>2020</v>
      </c>
      <c r="U184" s="15">
        <v>2079.6999999999998</v>
      </c>
      <c r="V184" t="s">
        <v>19</v>
      </c>
      <c r="W184" t="s">
        <v>28</v>
      </c>
      <c r="X184">
        <v>648</v>
      </c>
      <c r="Y184" s="16">
        <f>VLOOKUP(Tabela1[[#This Row],[SKU]],SKU!A:D,4,0)</f>
        <v>2000</v>
      </c>
      <c r="Z184" s="18">
        <f>IFERROR((Tabela1[[#This Row],[Média]]-Tabela1[[#This Row],[Meta]])/Tabela1[[#This Row],[Meta]],"")</f>
        <v>3.9849999999999906E-2</v>
      </c>
      <c r="AA184" s="19">
        <f>Tabela1[[#This Row],[Média]]-Tabela1[[#This Row],[Meta]]</f>
        <v>79.699999999999818</v>
      </c>
      <c r="AB184" s="6" t="str">
        <f>VLOOKUP(Tabela1[[#This Row],[SKU]],SKU!A:B,2,0)</f>
        <v>COXA SBCX S/O FG 280-300g PB</v>
      </c>
      <c r="AC184" s="6" t="str">
        <f>VLOOKUP(Tabela1[[#This Row],[SKU]],SKU!A:C,3,0)</f>
        <v>PERNA</v>
      </c>
    </row>
    <row r="185" spans="1:29" x14ac:dyDescent="0.3">
      <c r="A185" s="2">
        <f>INT(Tabela1[[#This Row],[Data e Hora2]])</f>
        <v>46255</v>
      </c>
      <c r="B185" s="6" t="str">
        <f>UPPER(TEXT(Tabela1[[#This Row],[Data Corrigida]],"MMM"))</f>
        <v>AGO</v>
      </c>
      <c r="C185" t="s">
        <v>602</v>
      </c>
      <c r="D185" s="2" t="s">
        <v>603</v>
      </c>
      <c r="E185" s="1" t="s">
        <v>596</v>
      </c>
      <c r="F185" t="s">
        <v>24</v>
      </c>
      <c r="G185" s="2" t="s">
        <v>597</v>
      </c>
      <c r="H185" t="s">
        <v>26</v>
      </c>
      <c r="I185" t="s">
        <v>27</v>
      </c>
      <c r="J185" s="6">
        <v>42838</v>
      </c>
      <c r="K185" s="16">
        <v>2077</v>
      </c>
      <c r="L185" s="16">
        <v>2037</v>
      </c>
      <c r="M185" s="16">
        <v>2093</v>
      </c>
      <c r="N185" s="16">
        <v>2052</v>
      </c>
      <c r="O185" s="16">
        <v>2058</v>
      </c>
      <c r="P185" s="16">
        <v>2066</v>
      </c>
      <c r="Q185" s="16">
        <v>2097</v>
      </c>
      <c r="R185" s="16">
        <v>2063</v>
      </c>
      <c r="S185" s="16">
        <v>2053</v>
      </c>
      <c r="T185" s="16">
        <v>2073</v>
      </c>
      <c r="U185" s="15">
        <v>2066.9</v>
      </c>
      <c r="V185" t="s">
        <v>19</v>
      </c>
      <c r="W185" t="s">
        <v>19</v>
      </c>
      <c r="X185">
        <v>308</v>
      </c>
      <c r="Y185" s="16">
        <f>VLOOKUP(Tabela1[[#This Row],[SKU]],SKU!A:D,4,0)</f>
        <v>2000</v>
      </c>
      <c r="Z185" s="18">
        <f>IFERROR((Tabela1[[#This Row],[Média]]-Tabela1[[#This Row],[Meta]])/Tabela1[[#This Row],[Meta]],"")</f>
        <v>3.3450000000000042E-2</v>
      </c>
      <c r="AA185" s="19">
        <f>Tabela1[[#This Row],[Média]]-Tabela1[[#This Row],[Meta]]</f>
        <v>66.900000000000091</v>
      </c>
      <c r="AB185" s="6" t="str">
        <f>VLOOKUP(Tabela1[[#This Row],[SKU]],SKU!A:B,2,0)</f>
        <v>COXA SBCX S/O FG 220-240g PB</v>
      </c>
      <c r="AC185" s="6" t="str">
        <f>VLOOKUP(Tabela1[[#This Row],[SKU]],SKU!A:C,3,0)</f>
        <v>PERNA</v>
      </c>
    </row>
    <row r="186" spans="1:29" x14ac:dyDescent="0.3">
      <c r="A186" s="2">
        <f>INT(Tabela1[[#This Row],[Data e Hora2]])</f>
        <v>46255</v>
      </c>
      <c r="B186" s="6" t="str">
        <f>UPPER(TEXT(Tabela1[[#This Row],[Data Corrigida]],"MMM"))</f>
        <v>AGO</v>
      </c>
      <c r="C186" t="s">
        <v>604</v>
      </c>
      <c r="D186" s="2" t="s">
        <v>605</v>
      </c>
      <c r="E186" s="1" t="s">
        <v>596</v>
      </c>
      <c r="F186" t="s">
        <v>24</v>
      </c>
      <c r="G186" s="2" t="s">
        <v>597</v>
      </c>
      <c r="H186" t="s">
        <v>26</v>
      </c>
      <c r="I186" t="s">
        <v>27</v>
      </c>
      <c r="J186" s="6">
        <v>40762</v>
      </c>
      <c r="K186" s="16">
        <v>10090</v>
      </c>
      <c r="L186" s="16">
        <v>10060</v>
      </c>
      <c r="M186" s="16">
        <v>10105</v>
      </c>
      <c r="N186" s="16">
        <v>10155</v>
      </c>
      <c r="O186" s="16">
        <v>10090</v>
      </c>
      <c r="P186" s="16">
        <v>10045</v>
      </c>
      <c r="Q186" s="16">
        <v>10070</v>
      </c>
      <c r="R186" s="16">
        <v>10085</v>
      </c>
      <c r="S186" s="16">
        <v>10065</v>
      </c>
      <c r="T186" s="16">
        <v>10125</v>
      </c>
      <c r="U186" s="15">
        <v>10089</v>
      </c>
      <c r="V186" t="s">
        <v>19</v>
      </c>
      <c r="W186" t="s">
        <v>28</v>
      </c>
      <c r="X186">
        <v>412</v>
      </c>
      <c r="Y186" s="16">
        <f>VLOOKUP(Tabela1[[#This Row],[SKU]],SKU!A:D,4,0)</f>
        <v>10000</v>
      </c>
      <c r="Z186" s="18">
        <f>IFERROR((Tabela1[[#This Row],[Média]]-Tabela1[[#This Row],[Meta]])/Tabela1[[#This Row],[Meta]],"")</f>
        <v>8.8999999999999999E-3</v>
      </c>
      <c r="AA186" s="19">
        <f>Tabela1[[#This Row],[Média]]-Tabela1[[#This Row],[Meta]]</f>
        <v>89</v>
      </c>
      <c r="AB186" s="6" t="str">
        <f>VLOOKUP(Tabela1[[#This Row],[SKU]],SKU!A:B,2,0)</f>
        <v>COXA SBCX LQ FG LP</v>
      </c>
      <c r="AC186" s="6" t="str">
        <f>VLOOKUP(Tabela1[[#This Row],[SKU]],SKU!A:C,3,0)</f>
        <v>PERNA</v>
      </c>
    </row>
    <row r="187" spans="1:29" x14ac:dyDescent="0.3">
      <c r="A187" s="2">
        <f>INT(Tabela1[[#This Row],[Data e Hora2]])</f>
        <v>46255</v>
      </c>
      <c r="B187" s="6" t="str">
        <f>UPPER(TEXT(Tabela1[[#This Row],[Data Corrigida]],"MMM"))</f>
        <v>AGO</v>
      </c>
      <c r="C187" t="s">
        <v>606</v>
      </c>
      <c r="D187" s="2" t="s">
        <v>607</v>
      </c>
      <c r="E187" s="1" t="s">
        <v>596</v>
      </c>
      <c r="F187" t="s">
        <v>24</v>
      </c>
      <c r="G187" s="2" t="s">
        <v>597</v>
      </c>
      <c r="H187" t="s">
        <v>26</v>
      </c>
      <c r="I187" t="s">
        <v>27</v>
      </c>
      <c r="J187" s="6">
        <v>15105</v>
      </c>
      <c r="K187" s="16">
        <v>1023</v>
      </c>
      <c r="L187" s="16">
        <v>1032</v>
      </c>
      <c r="M187" s="16">
        <v>1015</v>
      </c>
      <c r="N187" s="16">
        <v>998</v>
      </c>
      <c r="O187" s="16">
        <v>1029</v>
      </c>
      <c r="P187" s="16">
        <v>989</v>
      </c>
      <c r="Q187" s="16">
        <v>1026</v>
      </c>
      <c r="R187" s="16">
        <v>1021</v>
      </c>
      <c r="S187" s="16">
        <v>1040</v>
      </c>
      <c r="T187" s="16">
        <v>1031</v>
      </c>
      <c r="U187" s="15">
        <v>1020.4</v>
      </c>
      <c r="V187" t="s">
        <v>19</v>
      </c>
      <c r="W187" t="s">
        <v>28</v>
      </c>
      <c r="X187">
        <v>260</v>
      </c>
      <c r="Y187" s="16">
        <f>VLOOKUP(Tabela1[[#This Row],[SKU]],SKU!A:D,4,0)</f>
        <v>1000</v>
      </c>
      <c r="Z187" s="18">
        <f>IFERROR((Tabela1[[#This Row],[Média]]-Tabela1[[#This Row],[Meta]])/Tabela1[[#This Row],[Meta]],"")</f>
        <v>2.0399999999999977E-2</v>
      </c>
      <c r="AA187" s="19">
        <f>Tabela1[[#This Row],[Média]]-Tabela1[[#This Row],[Meta]]</f>
        <v>20.399999999999977</v>
      </c>
      <c r="AB187" s="6" t="str">
        <f>VLOOKUP(Tabela1[[#This Row],[SKU]],SKU!A:B,2,0)</f>
        <v>FILE PEITO MET CG BDJ SE</v>
      </c>
      <c r="AC187" s="6" t="str">
        <f>VLOOKUP(Tabela1[[#This Row],[SKU]],SKU!A:C,3,0)</f>
        <v>PEITO</v>
      </c>
    </row>
    <row r="188" spans="1:29" x14ac:dyDescent="0.3">
      <c r="A188" s="2">
        <f>INT(Tabela1[[#This Row],[Data e Hora2]])</f>
        <v>46255</v>
      </c>
      <c r="B188" s="6" t="str">
        <f>UPPER(TEXT(Tabela1[[#This Row],[Data Corrigida]],"MMM"))</f>
        <v>AGO</v>
      </c>
      <c r="C188" t="s">
        <v>608</v>
      </c>
      <c r="D188" s="2" t="s">
        <v>609</v>
      </c>
      <c r="E188" s="1" t="s">
        <v>596</v>
      </c>
      <c r="F188" t="s">
        <v>24</v>
      </c>
      <c r="G188" s="2" t="s">
        <v>597</v>
      </c>
      <c r="H188" t="s">
        <v>26</v>
      </c>
      <c r="I188" t="s">
        <v>27</v>
      </c>
      <c r="J188" s="6">
        <v>992093</v>
      </c>
      <c r="K188" s="16">
        <v>5013</v>
      </c>
      <c r="L188" s="16">
        <v>5005</v>
      </c>
      <c r="M188" s="16">
        <v>5004</v>
      </c>
      <c r="N188" s="16">
        <v>5015</v>
      </c>
      <c r="O188" s="16">
        <v>5013</v>
      </c>
      <c r="P188" s="16">
        <v>5011</v>
      </c>
      <c r="Q188" s="16">
        <v>5013</v>
      </c>
      <c r="R188" s="16">
        <v>5011</v>
      </c>
      <c r="S188" s="16">
        <v>5009</v>
      </c>
      <c r="T188" s="16">
        <v>5005</v>
      </c>
      <c r="U188" s="15">
        <v>5009.8999999999996</v>
      </c>
      <c r="V188" t="s">
        <v>19</v>
      </c>
      <c r="W188" t="s">
        <v>28</v>
      </c>
      <c r="X188">
        <v>1987</v>
      </c>
      <c r="Y188" s="16">
        <f>VLOOKUP(Tabela1[[#This Row],[SKU]],SKU!A:D,4,0)</f>
        <v>5000</v>
      </c>
      <c r="Z188" s="18">
        <f>IFERROR((Tabela1[[#This Row],[Média]]-Tabela1[[#This Row],[Meta]])/Tabela1[[#This Row],[Meta]],"")</f>
        <v>1.9799999999999271E-3</v>
      </c>
      <c r="AA188" s="19">
        <f>Tabela1[[#This Row],[Média]]-Tabela1[[#This Row],[Meta]]</f>
        <v>9.8999999999996362</v>
      </c>
      <c r="AB188" s="6" t="str">
        <f>VLOOKUP(Tabela1[[#This Row],[SKU]],SKU!A:B,2,0)</f>
        <v>PONTA ASA FG PB CG</v>
      </c>
      <c r="AC188" s="6" t="str">
        <f>VLOOKUP(Tabela1[[#This Row],[SKU]],SKU!A:C,3,0)</f>
        <v>ASA</v>
      </c>
    </row>
    <row r="189" spans="1:29" x14ac:dyDescent="0.3">
      <c r="A189" s="2">
        <f>INT(Tabela1[[#This Row],[Data e Hora2]])</f>
        <v>46255</v>
      </c>
      <c r="B189" s="6" t="str">
        <f>UPPER(TEXT(Tabela1[[#This Row],[Data Corrigida]],"MMM"))</f>
        <v>AGO</v>
      </c>
      <c r="C189" t="s">
        <v>610</v>
      </c>
      <c r="D189" s="2" t="s">
        <v>611</v>
      </c>
      <c r="E189" s="1" t="s">
        <v>596</v>
      </c>
      <c r="F189" t="s">
        <v>24</v>
      </c>
      <c r="G189" s="2" t="s">
        <v>597</v>
      </c>
      <c r="H189" t="s">
        <v>26</v>
      </c>
      <c r="I189" t="s">
        <v>27</v>
      </c>
      <c r="J189" s="6">
        <v>15105</v>
      </c>
      <c r="K189" s="16">
        <v>992</v>
      </c>
      <c r="L189" s="16">
        <v>1009</v>
      </c>
      <c r="M189" s="16">
        <v>1009</v>
      </c>
      <c r="N189" s="16">
        <v>1047</v>
      </c>
      <c r="O189" s="16">
        <v>976</v>
      </c>
      <c r="P189" s="16">
        <v>1012</v>
      </c>
      <c r="Q189" s="16">
        <v>1015</v>
      </c>
      <c r="R189" s="16">
        <v>998</v>
      </c>
      <c r="S189" s="16">
        <v>979</v>
      </c>
      <c r="T189" s="16">
        <v>1055</v>
      </c>
      <c r="U189" s="15">
        <v>1009.2</v>
      </c>
      <c r="V189" t="s">
        <v>19</v>
      </c>
      <c r="W189" t="s">
        <v>28</v>
      </c>
      <c r="X189">
        <v>307</v>
      </c>
      <c r="Y189" s="16">
        <f>VLOOKUP(Tabela1[[#This Row],[SKU]],SKU!A:D,4,0)</f>
        <v>1000</v>
      </c>
      <c r="Z189" s="18">
        <f>IFERROR((Tabela1[[#This Row],[Média]]-Tabela1[[#This Row],[Meta]])/Tabela1[[#This Row],[Meta]],"")</f>
        <v>9.2000000000000449E-3</v>
      </c>
      <c r="AA189" s="19">
        <f>Tabela1[[#This Row],[Média]]-Tabela1[[#This Row],[Meta]]</f>
        <v>9.2000000000000455</v>
      </c>
      <c r="AB189" s="6" t="str">
        <f>VLOOKUP(Tabela1[[#This Row],[SKU]],SKU!A:B,2,0)</f>
        <v>FILE PEITO MET CG BDJ SE</v>
      </c>
      <c r="AC189" s="6" t="str">
        <f>VLOOKUP(Tabela1[[#This Row],[SKU]],SKU!A:C,3,0)</f>
        <v>PEITO</v>
      </c>
    </row>
    <row r="190" spans="1:29" x14ac:dyDescent="0.3">
      <c r="A190" s="2">
        <f>INT(Tabela1[[#This Row],[Data e Hora2]])</f>
        <v>46255</v>
      </c>
      <c r="B190" s="6" t="str">
        <f>UPPER(TEXT(Tabela1[[#This Row],[Data Corrigida]],"MMM"))</f>
        <v>AGO</v>
      </c>
      <c r="C190" t="s">
        <v>612</v>
      </c>
      <c r="D190" s="2" t="s">
        <v>613</v>
      </c>
      <c r="E190" s="1" t="s">
        <v>596</v>
      </c>
      <c r="F190" t="s">
        <v>24</v>
      </c>
      <c r="G190" s="2" t="s">
        <v>597</v>
      </c>
      <c r="H190" t="s">
        <v>26</v>
      </c>
      <c r="I190" t="s">
        <v>27</v>
      </c>
      <c r="J190" s="6">
        <v>13188</v>
      </c>
      <c r="K190" s="16">
        <v>1008</v>
      </c>
      <c r="L190" s="16">
        <v>1006</v>
      </c>
      <c r="M190" s="16">
        <v>991</v>
      </c>
      <c r="N190" s="16">
        <v>999</v>
      </c>
      <c r="O190" s="16">
        <v>1002</v>
      </c>
      <c r="P190" s="16">
        <v>1012</v>
      </c>
      <c r="Q190" s="16">
        <v>1007</v>
      </c>
      <c r="R190" s="16">
        <v>1014</v>
      </c>
      <c r="S190" s="16">
        <v>996</v>
      </c>
      <c r="T190" s="16">
        <v>1005</v>
      </c>
      <c r="U190" s="15">
        <v>1004</v>
      </c>
      <c r="V190" t="s">
        <v>19</v>
      </c>
      <c r="W190" t="s">
        <v>28</v>
      </c>
      <c r="X190">
        <v>292</v>
      </c>
      <c r="Y190" s="16">
        <f>VLOOKUP(Tabela1[[#This Row],[SKU]],SKU!A:D,4,0)</f>
        <v>1000</v>
      </c>
      <c r="Z190" s="18">
        <f>IFERROR((Tabela1[[#This Row],[Média]]-Tabela1[[#This Row],[Meta]])/Tabela1[[#This Row],[Meta]],"")</f>
        <v>4.0000000000000001E-3</v>
      </c>
      <c r="AA190" s="19">
        <f>Tabela1[[#This Row],[Média]]-Tabela1[[#This Row],[Meta]]</f>
        <v>4</v>
      </c>
      <c r="AB190" s="6" t="str">
        <f>VLOOKUP(Tabela1[[#This Row],[SKU]],SKU!A:B,2,0)</f>
        <v>SOBRECOXA CG BDJ SE</v>
      </c>
      <c r="AC190" s="6" t="str">
        <f>VLOOKUP(Tabela1[[#This Row],[SKU]],SKU!A:C,3,0)</f>
        <v>PERNA</v>
      </c>
    </row>
    <row r="191" spans="1:29" x14ac:dyDescent="0.3">
      <c r="A191" s="2">
        <f>INT(Tabela1[[#This Row],[Data e Hora2]])</f>
        <v>46255</v>
      </c>
      <c r="B191" s="6" t="str">
        <f>UPPER(TEXT(Tabela1[[#This Row],[Data Corrigida]],"MMM"))</f>
        <v>AGO</v>
      </c>
      <c r="C191" t="s">
        <v>614</v>
      </c>
      <c r="D191" s="2" t="s">
        <v>615</v>
      </c>
      <c r="E191" s="1" t="s">
        <v>596</v>
      </c>
      <c r="F191" t="s">
        <v>24</v>
      </c>
      <c r="G191" s="2" t="s">
        <v>597</v>
      </c>
      <c r="H191" t="s">
        <v>26</v>
      </c>
      <c r="I191" t="s">
        <v>27</v>
      </c>
      <c r="J191" s="6">
        <v>15229</v>
      </c>
      <c r="K191" s="16">
        <v>1005</v>
      </c>
      <c r="L191" s="16">
        <v>999</v>
      </c>
      <c r="M191" s="16">
        <v>1004</v>
      </c>
      <c r="N191" s="16">
        <v>997</v>
      </c>
      <c r="O191" s="16">
        <v>1000</v>
      </c>
      <c r="P191" s="16">
        <v>992</v>
      </c>
      <c r="Q191" s="16">
        <v>1006</v>
      </c>
      <c r="R191" s="16">
        <v>1023</v>
      </c>
      <c r="S191" s="16">
        <v>1011</v>
      </c>
      <c r="T191" s="16">
        <v>1005</v>
      </c>
      <c r="U191" s="15">
        <v>1004.2</v>
      </c>
      <c r="V191" t="s">
        <v>19</v>
      </c>
      <c r="W191" t="s">
        <v>19</v>
      </c>
      <c r="X191">
        <v>234</v>
      </c>
      <c r="Y191" s="16">
        <f>VLOOKUP(Tabela1[[#This Row],[SKU]],SKU!A:D,4,0)</f>
        <v>1000</v>
      </c>
      <c r="Z191" s="18">
        <f>IFERROR((Tabela1[[#This Row],[Média]]-Tabela1[[#This Row],[Meta]])/Tabela1[[#This Row],[Meta]],"")</f>
        <v>4.2000000000000457E-3</v>
      </c>
      <c r="AA191" s="19">
        <f>Tabela1[[#This Row],[Média]]-Tabela1[[#This Row],[Meta]]</f>
        <v>4.2000000000000455</v>
      </c>
      <c r="AB191" s="6" t="str">
        <f>VLOOKUP(Tabela1[[#This Row],[SKU]],SKU!A:B,2,0)</f>
        <v>COXA CG BDJ SE</v>
      </c>
      <c r="AC191" s="6" t="str">
        <f>VLOOKUP(Tabela1[[#This Row],[SKU]],SKU!A:C,3,0)</f>
        <v>PERNA</v>
      </c>
    </row>
    <row r="192" spans="1:29" x14ac:dyDescent="0.3">
      <c r="A192" s="2">
        <f>INT(Tabela1[[#This Row],[Data e Hora2]])</f>
        <v>46255</v>
      </c>
      <c r="B192" s="6" t="str">
        <f>UPPER(TEXT(Tabela1[[#This Row],[Data Corrigida]],"MMM"))</f>
        <v>AGO</v>
      </c>
      <c r="C192" t="s">
        <v>616</v>
      </c>
      <c r="D192" s="2" t="s">
        <v>617</v>
      </c>
      <c r="E192" s="1" t="s">
        <v>596</v>
      </c>
      <c r="F192" t="s">
        <v>24</v>
      </c>
      <c r="G192" s="2" t="s">
        <v>597</v>
      </c>
      <c r="H192" t="s">
        <v>26</v>
      </c>
      <c r="I192" t="s">
        <v>27</v>
      </c>
      <c r="J192" s="6">
        <v>54632</v>
      </c>
      <c r="K192" s="16">
        <v>1026</v>
      </c>
      <c r="L192" s="16">
        <v>1031</v>
      </c>
      <c r="M192" s="16">
        <v>1037</v>
      </c>
      <c r="N192" s="16">
        <v>1010</v>
      </c>
      <c r="O192" s="16">
        <v>1031</v>
      </c>
      <c r="P192" s="16">
        <v>1028</v>
      </c>
      <c r="Q192" s="16">
        <v>1036</v>
      </c>
      <c r="R192" s="16">
        <v>1015</v>
      </c>
      <c r="S192" s="16">
        <v>1025</v>
      </c>
      <c r="T192" s="16">
        <v>1015</v>
      </c>
      <c r="U192" s="15">
        <v>1025.4000000000001</v>
      </c>
      <c r="V192" t="s">
        <v>19</v>
      </c>
      <c r="W192" t="s">
        <v>28</v>
      </c>
      <c r="X192">
        <v>338</v>
      </c>
      <c r="Y192" s="16">
        <f>VLOOKUP(Tabela1[[#This Row],[SKU]],SKU!A:D,4,0)</f>
        <v>1000</v>
      </c>
      <c r="Z192" s="18">
        <f>IFERROR((Tabela1[[#This Row],[Média]]-Tabela1[[#This Row],[Meta]])/Tabela1[[#This Row],[Meta]],"")</f>
        <v>2.5400000000000093E-2</v>
      </c>
      <c r="AA192" s="19">
        <f>Tabela1[[#This Row],[Média]]-Tabela1[[#This Row],[Meta]]</f>
        <v>25.400000000000091</v>
      </c>
      <c r="AB192" s="6" t="str">
        <f>VLOOKUP(Tabela1[[#This Row],[SKU]],SKU!A:B,2,0)</f>
        <v>COXA SBCX S/O BDJ CG</v>
      </c>
      <c r="AC192" s="6" t="str">
        <f>VLOOKUP(Tabela1[[#This Row],[SKU]],SKU!A:C,3,0)</f>
        <v>PERNA</v>
      </c>
    </row>
    <row r="193" spans="1:29" x14ac:dyDescent="0.3">
      <c r="A193" s="2">
        <f>INT(Tabela1[[#This Row],[Data e Hora2]])</f>
        <v>46255</v>
      </c>
      <c r="B193" s="6" t="str">
        <f>UPPER(TEXT(Tabela1[[#This Row],[Data Corrigida]],"MMM"))</f>
        <v>AGO</v>
      </c>
      <c r="C193" t="s">
        <v>618</v>
      </c>
      <c r="D193" s="2" t="s">
        <v>619</v>
      </c>
      <c r="E193" s="1" t="s">
        <v>596</v>
      </c>
      <c r="F193" t="s">
        <v>24</v>
      </c>
      <c r="G193" s="2" t="s">
        <v>597</v>
      </c>
      <c r="H193" t="s">
        <v>26</v>
      </c>
      <c r="I193" t="s">
        <v>27</v>
      </c>
      <c r="J193" s="6">
        <v>42862</v>
      </c>
      <c r="K193" s="16">
        <v>2025</v>
      </c>
      <c r="L193" s="16">
        <v>2019</v>
      </c>
      <c r="M193" s="16">
        <v>2022</v>
      </c>
      <c r="N193" s="16">
        <v>2012</v>
      </c>
      <c r="O193" s="16">
        <v>2045</v>
      </c>
      <c r="P193" s="16">
        <v>2009</v>
      </c>
      <c r="Q193" s="16">
        <v>2045</v>
      </c>
      <c r="R193" s="16">
        <v>2015</v>
      </c>
      <c r="S193" s="16">
        <v>2023</v>
      </c>
      <c r="T193" s="16">
        <v>2200</v>
      </c>
      <c r="U193" s="15">
        <v>2041.5</v>
      </c>
      <c r="V193" t="s">
        <v>19</v>
      </c>
      <c r="W193" t="s">
        <v>28</v>
      </c>
      <c r="X193">
        <v>323</v>
      </c>
      <c r="Y193" s="16">
        <f>VLOOKUP(Tabela1[[#This Row],[SKU]],SKU!A:D,4,0)</f>
        <v>2000</v>
      </c>
      <c r="Z193" s="18">
        <f>IFERROR((Tabela1[[#This Row],[Média]]-Tabela1[[#This Row],[Meta]])/Tabela1[[#This Row],[Meta]],"")</f>
        <v>2.0750000000000001E-2</v>
      </c>
      <c r="AA193" s="19">
        <f>Tabela1[[#This Row],[Média]]-Tabela1[[#This Row],[Meta]]</f>
        <v>41.5</v>
      </c>
      <c r="AB193" s="6" t="str">
        <f>VLOOKUP(Tabela1[[#This Row],[SKU]],SKU!A:B,2,0)</f>
        <v>COXA SBCX S/O FG 280-300g PB</v>
      </c>
      <c r="AC193" s="6" t="str">
        <f>VLOOKUP(Tabela1[[#This Row],[SKU]],SKU!A:C,3,0)</f>
        <v>PERNA</v>
      </c>
    </row>
    <row r="194" spans="1:29" x14ac:dyDescent="0.3">
      <c r="A194" s="2">
        <f>INT(Tabela1[[#This Row],[Data e Hora2]])</f>
        <v>46255</v>
      </c>
      <c r="B194" s="6" t="str">
        <f>UPPER(TEXT(Tabela1[[#This Row],[Data Corrigida]],"MMM"))</f>
        <v>AGO</v>
      </c>
      <c r="C194" t="s">
        <v>620</v>
      </c>
      <c r="D194" s="2" t="s">
        <v>621</v>
      </c>
      <c r="E194" s="1" t="s">
        <v>596</v>
      </c>
      <c r="F194" t="s">
        <v>24</v>
      </c>
      <c r="G194" s="2" t="s">
        <v>597</v>
      </c>
      <c r="H194" t="s">
        <v>26</v>
      </c>
      <c r="I194" t="s">
        <v>27</v>
      </c>
      <c r="J194" s="6">
        <v>42838</v>
      </c>
      <c r="K194" s="16">
        <v>2054</v>
      </c>
      <c r="L194" s="16">
        <v>2018</v>
      </c>
      <c r="M194" s="16">
        <v>2053</v>
      </c>
      <c r="N194" s="16">
        <v>2046</v>
      </c>
      <c r="O194" s="16">
        <v>2033</v>
      </c>
      <c r="P194" s="16">
        <v>2068</v>
      </c>
      <c r="Q194" s="16">
        <v>2064</v>
      </c>
      <c r="R194" s="16">
        <v>2041</v>
      </c>
      <c r="S194" s="16">
        <v>2031</v>
      </c>
      <c r="T194" s="16">
        <v>2039</v>
      </c>
      <c r="U194" s="15">
        <v>2044.7</v>
      </c>
      <c r="V194" t="s">
        <v>19</v>
      </c>
      <c r="W194" t="s">
        <v>28</v>
      </c>
      <c r="X194">
        <v>327</v>
      </c>
      <c r="Y194" s="16">
        <f>VLOOKUP(Tabela1[[#This Row],[SKU]],SKU!A:D,4,0)</f>
        <v>2000</v>
      </c>
      <c r="Z194" s="18">
        <f>IFERROR((Tabela1[[#This Row],[Média]]-Tabela1[[#This Row],[Meta]])/Tabela1[[#This Row],[Meta]],"")</f>
        <v>2.2350000000000023E-2</v>
      </c>
      <c r="AA194" s="19">
        <f>Tabela1[[#This Row],[Média]]-Tabela1[[#This Row],[Meta]]</f>
        <v>44.700000000000045</v>
      </c>
      <c r="AB194" s="6" t="str">
        <f>VLOOKUP(Tabela1[[#This Row],[SKU]],SKU!A:B,2,0)</f>
        <v>COXA SBCX S/O FG 220-240g PB</v>
      </c>
      <c r="AC194" s="6" t="str">
        <f>VLOOKUP(Tabela1[[#This Row],[SKU]],SKU!A:C,3,0)</f>
        <v>PERNA</v>
      </c>
    </row>
    <row r="195" spans="1:29" x14ac:dyDescent="0.3">
      <c r="A195" s="2">
        <f>INT(Tabela1[[#This Row],[Data e Hora2]])</f>
        <v>46255</v>
      </c>
      <c r="B195" s="6" t="str">
        <f>UPPER(TEXT(Tabela1[[#This Row],[Data Corrigida]],"MMM"))</f>
        <v>AGO</v>
      </c>
      <c r="C195" t="s">
        <v>622</v>
      </c>
      <c r="D195" s="2" t="s">
        <v>623</v>
      </c>
      <c r="E195" s="1" t="s">
        <v>624</v>
      </c>
      <c r="F195" t="s">
        <v>56</v>
      </c>
      <c r="G195" s="2" t="s">
        <v>597</v>
      </c>
      <c r="H195" t="s">
        <v>26</v>
      </c>
      <c r="I195" t="s">
        <v>57</v>
      </c>
      <c r="J195" s="6">
        <v>15105</v>
      </c>
      <c r="K195" s="16">
        <v>1001</v>
      </c>
      <c r="L195" s="16">
        <v>1002</v>
      </c>
      <c r="M195" s="16">
        <v>1018</v>
      </c>
      <c r="N195" s="16">
        <v>1011</v>
      </c>
      <c r="O195" s="16">
        <v>1023</v>
      </c>
      <c r="P195" s="16">
        <v>1034</v>
      </c>
      <c r="Q195" s="16">
        <v>1022</v>
      </c>
      <c r="R195" s="16">
        <v>1045</v>
      </c>
      <c r="S195" s="16">
        <v>1035</v>
      </c>
      <c r="T195" s="16">
        <v>1016</v>
      </c>
      <c r="U195" s="15">
        <v>1020.7</v>
      </c>
      <c r="V195" t="s">
        <v>19</v>
      </c>
      <c r="W195" t="s">
        <v>28</v>
      </c>
      <c r="X195">
        <v>358</v>
      </c>
      <c r="Y195" s="16">
        <f>VLOOKUP(Tabela1[[#This Row],[SKU]],SKU!A:D,4,0)</f>
        <v>1000</v>
      </c>
      <c r="Z195" s="18">
        <f>IFERROR((Tabela1[[#This Row],[Média]]-Tabela1[[#This Row],[Meta]])/Tabela1[[#This Row],[Meta]],"")</f>
        <v>2.0700000000000045E-2</v>
      </c>
      <c r="AA195" s="19">
        <f>Tabela1[[#This Row],[Média]]-Tabela1[[#This Row],[Meta]]</f>
        <v>20.700000000000045</v>
      </c>
      <c r="AB195" s="6" t="str">
        <f>VLOOKUP(Tabela1[[#This Row],[SKU]],SKU!A:B,2,0)</f>
        <v>FILE PEITO MET CG BDJ SE</v>
      </c>
      <c r="AC195" s="6" t="str">
        <f>VLOOKUP(Tabela1[[#This Row],[SKU]],SKU!A:C,3,0)</f>
        <v>PEITO</v>
      </c>
    </row>
    <row r="196" spans="1:29" x14ac:dyDescent="0.3">
      <c r="A196" s="2">
        <f>INT(Tabela1[[#This Row],[Data e Hora2]])</f>
        <v>46255</v>
      </c>
      <c r="B196" s="6" t="str">
        <f>UPPER(TEXT(Tabela1[[#This Row],[Data Corrigida]],"MMM"))</f>
        <v>AGO</v>
      </c>
      <c r="C196" t="s">
        <v>625</v>
      </c>
      <c r="D196" s="2" t="s">
        <v>626</v>
      </c>
      <c r="E196" s="1" t="s">
        <v>627</v>
      </c>
      <c r="F196" t="s">
        <v>56</v>
      </c>
      <c r="G196" s="2" t="s">
        <v>597</v>
      </c>
      <c r="H196" t="s">
        <v>26</v>
      </c>
      <c r="I196" t="s">
        <v>57</v>
      </c>
      <c r="J196" s="6">
        <v>40762</v>
      </c>
      <c r="K196" s="16">
        <v>10000</v>
      </c>
      <c r="L196" s="16">
        <v>10065</v>
      </c>
      <c r="M196" s="16">
        <v>10085</v>
      </c>
      <c r="N196" s="16">
        <v>10080</v>
      </c>
      <c r="O196" s="16">
        <v>10075</v>
      </c>
      <c r="P196" s="16">
        <v>10040</v>
      </c>
      <c r="Q196" s="16">
        <v>10045</v>
      </c>
      <c r="R196" s="16">
        <v>10100</v>
      </c>
      <c r="S196" s="16">
        <v>10065</v>
      </c>
      <c r="T196" s="16">
        <v>10060</v>
      </c>
      <c r="U196" s="15">
        <v>10061.5</v>
      </c>
      <c r="V196" t="s">
        <v>19</v>
      </c>
      <c r="W196" t="s">
        <v>28</v>
      </c>
      <c r="X196">
        <v>624</v>
      </c>
      <c r="Y196" s="16">
        <f>VLOOKUP(Tabela1[[#This Row],[SKU]],SKU!A:D,4,0)</f>
        <v>10000</v>
      </c>
      <c r="Z196" s="18">
        <f>IFERROR((Tabela1[[#This Row],[Média]]-Tabela1[[#This Row],[Meta]])/Tabela1[[#This Row],[Meta]],"")</f>
        <v>6.1500000000000001E-3</v>
      </c>
      <c r="AA196" s="19">
        <f>Tabela1[[#This Row],[Média]]-Tabela1[[#This Row],[Meta]]</f>
        <v>61.5</v>
      </c>
      <c r="AB196" s="6" t="str">
        <f>VLOOKUP(Tabela1[[#This Row],[SKU]],SKU!A:B,2,0)</f>
        <v>COXA SBCX LQ FG LP</v>
      </c>
      <c r="AC196" s="6" t="str">
        <f>VLOOKUP(Tabela1[[#This Row],[SKU]],SKU!A:C,3,0)</f>
        <v>PERNA</v>
      </c>
    </row>
    <row r="197" spans="1:29" x14ac:dyDescent="0.3">
      <c r="A197" s="2">
        <f>INT(Tabela1[[#This Row],[Data e Hora2]])</f>
        <v>46255</v>
      </c>
      <c r="B197" s="6" t="str">
        <f>UPPER(TEXT(Tabela1[[#This Row],[Data Corrigida]],"MMM"))</f>
        <v>AGO</v>
      </c>
      <c r="C197" t="s">
        <v>628</v>
      </c>
      <c r="D197" s="2" t="s">
        <v>629</v>
      </c>
      <c r="E197" s="1" t="s">
        <v>630</v>
      </c>
      <c r="F197" t="s">
        <v>24</v>
      </c>
      <c r="G197" s="2" t="s">
        <v>597</v>
      </c>
      <c r="H197" t="s">
        <v>142</v>
      </c>
      <c r="I197" t="s">
        <v>462</v>
      </c>
      <c r="J197" s="6">
        <v>54632</v>
      </c>
      <c r="K197" s="16">
        <v>993</v>
      </c>
      <c r="L197" s="16">
        <v>1038</v>
      </c>
      <c r="M197" s="16">
        <v>963</v>
      </c>
      <c r="N197" s="16">
        <v>1026</v>
      </c>
      <c r="O197" s="16">
        <v>1030</v>
      </c>
      <c r="P197" s="16">
        <v>1006</v>
      </c>
      <c r="Q197" s="16">
        <v>1057</v>
      </c>
      <c r="R197" s="16">
        <v>985</v>
      </c>
      <c r="S197" s="16">
        <v>990</v>
      </c>
      <c r="T197" s="16">
        <v>988</v>
      </c>
      <c r="U197" s="15">
        <v>1007.6</v>
      </c>
      <c r="V197" t="s">
        <v>19</v>
      </c>
      <c r="W197" t="s">
        <v>28</v>
      </c>
      <c r="X197">
        <v>288</v>
      </c>
      <c r="Y197" s="16">
        <f>VLOOKUP(Tabela1[[#This Row],[SKU]],SKU!A:D,4,0)</f>
        <v>1000</v>
      </c>
      <c r="Z197" s="18">
        <f>IFERROR((Tabela1[[#This Row],[Média]]-Tabela1[[#This Row],[Meta]])/Tabela1[[#This Row],[Meta]],"")</f>
        <v>7.6000000000000225E-3</v>
      </c>
      <c r="AA197" s="19">
        <f>Tabela1[[#This Row],[Média]]-Tabela1[[#This Row],[Meta]]</f>
        <v>7.6000000000000227</v>
      </c>
      <c r="AB197" s="6" t="str">
        <f>VLOOKUP(Tabela1[[#This Row],[SKU]],SKU!A:B,2,0)</f>
        <v>COXA SBCX S/O BDJ CG</v>
      </c>
      <c r="AC197" s="6" t="str">
        <f>VLOOKUP(Tabela1[[#This Row],[SKU]],SKU!A:C,3,0)</f>
        <v>PERNA</v>
      </c>
    </row>
    <row r="198" spans="1:29" x14ac:dyDescent="0.3">
      <c r="A198" s="2">
        <f>INT(Tabela1[[#This Row],[Data e Hora2]])</f>
        <v>46254</v>
      </c>
      <c r="B198" s="6" t="str">
        <f>UPPER(TEXT(Tabela1[[#This Row],[Data Corrigida]],"MMM"))</f>
        <v>AGO</v>
      </c>
      <c r="C198" t="s">
        <v>571</v>
      </c>
      <c r="D198" s="2" t="s">
        <v>572</v>
      </c>
      <c r="E198" s="1" t="s">
        <v>573</v>
      </c>
      <c r="F198" t="s">
        <v>24</v>
      </c>
      <c r="G198" s="2" t="s">
        <v>541</v>
      </c>
      <c r="H198" t="s">
        <v>142</v>
      </c>
      <c r="I198" t="s">
        <v>462</v>
      </c>
      <c r="J198" s="6">
        <v>197734</v>
      </c>
      <c r="K198" s="16">
        <v>1047</v>
      </c>
      <c r="L198" s="16">
        <v>1005</v>
      </c>
      <c r="M198" s="16">
        <v>992</v>
      </c>
      <c r="N198" s="16">
        <v>1004</v>
      </c>
      <c r="O198" s="16">
        <v>1066</v>
      </c>
      <c r="P198" s="16">
        <v>993</v>
      </c>
      <c r="Q198" s="16">
        <v>998</v>
      </c>
      <c r="R198" s="16">
        <v>1001</v>
      </c>
      <c r="S198" s="16">
        <v>1062</v>
      </c>
      <c r="T198" s="16">
        <v>1031</v>
      </c>
      <c r="U198" s="15">
        <v>1019.9</v>
      </c>
      <c r="V198" t="s">
        <v>19</v>
      </c>
      <c r="W198" t="s">
        <v>19</v>
      </c>
      <c r="X198">
        <v>724</v>
      </c>
      <c r="Y198" s="16">
        <f>VLOOKUP(Tabela1[[#This Row],[SKU]],SKU!A:D,4,0)</f>
        <v>1000</v>
      </c>
      <c r="Z198" s="18">
        <f>IFERROR((Tabela1[[#This Row],[Média]]-Tabela1[[#This Row],[Meta]])/Tabela1[[#This Row],[Meta]],"")</f>
        <v>1.9899999999999977E-2</v>
      </c>
      <c r="AA198" s="19">
        <f>Tabela1[[#This Row],[Média]]-Tabela1[[#This Row],[Meta]]</f>
        <v>19.899999999999977</v>
      </c>
      <c r="AB198" s="6" t="str">
        <f>VLOOKUP(Tabela1[[#This Row],[SKU]],SKU!A:B,2,0)</f>
        <v>FILEZINHO FRANGO IQF ALM SE</v>
      </c>
      <c r="AC198" s="6" t="str">
        <f>VLOOKUP(Tabela1[[#This Row],[SKU]],SKU!A:C,3,0)</f>
        <v>SASSAMI</v>
      </c>
    </row>
    <row r="199" spans="1:29" x14ac:dyDescent="0.3">
      <c r="A199" s="2">
        <f>INT(Tabela1[[#This Row],[Data e Hora2]])</f>
        <v>46258</v>
      </c>
      <c r="B199" s="6" t="str">
        <f>UPPER(TEXT(Tabela1[[#This Row],[Data Corrigida]],"MMM"))</f>
        <v>AGO</v>
      </c>
      <c r="C199" t="s">
        <v>633</v>
      </c>
      <c r="D199" s="2" t="s">
        <v>634</v>
      </c>
      <c r="E199" s="1" t="s">
        <v>635</v>
      </c>
      <c r="F199" t="s">
        <v>24</v>
      </c>
      <c r="G199" s="2" t="s">
        <v>636</v>
      </c>
      <c r="H199" t="s">
        <v>26</v>
      </c>
      <c r="I199" t="s">
        <v>27</v>
      </c>
      <c r="J199" s="6">
        <v>40762</v>
      </c>
      <c r="K199" s="16">
        <v>10015</v>
      </c>
      <c r="L199" s="16">
        <v>9995</v>
      </c>
      <c r="M199" s="16">
        <v>9960</v>
      </c>
      <c r="N199" s="16">
        <v>9995</v>
      </c>
      <c r="O199" s="16">
        <v>10110</v>
      </c>
      <c r="P199" s="16">
        <v>9980</v>
      </c>
      <c r="Q199" s="16">
        <v>9910</v>
      </c>
      <c r="R199" s="16">
        <v>10025</v>
      </c>
      <c r="S199" s="16">
        <v>10040</v>
      </c>
      <c r="T199" s="16">
        <v>9965</v>
      </c>
      <c r="U199" s="15">
        <v>9999.5</v>
      </c>
      <c r="V199" t="s">
        <v>19</v>
      </c>
      <c r="W199" t="s">
        <v>28</v>
      </c>
      <c r="X199">
        <v>3006</v>
      </c>
      <c r="Y199" s="16">
        <f>VLOOKUP(Tabela1[[#This Row],[SKU]],SKU!A:D,4,0)</f>
        <v>10000</v>
      </c>
      <c r="Z199" s="18">
        <f>IFERROR((Tabela1[[#This Row],[Média]]-Tabela1[[#This Row],[Meta]])/Tabela1[[#This Row],[Meta]],"")</f>
        <v>-5.0000000000000002E-5</v>
      </c>
      <c r="AA199" s="19">
        <f>Tabela1[[#This Row],[Média]]-Tabela1[[#This Row],[Meta]]</f>
        <v>-0.5</v>
      </c>
      <c r="AB199" s="6" t="str">
        <f>VLOOKUP(Tabela1[[#This Row],[SKU]],SKU!A:B,2,0)</f>
        <v>COXA SBCX LQ FG LP</v>
      </c>
      <c r="AC199" s="6" t="str">
        <f>VLOOKUP(Tabela1[[#This Row],[SKU]],SKU!A:C,3,0)</f>
        <v>PERNA</v>
      </c>
    </row>
    <row r="200" spans="1:29" x14ac:dyDescent="0.3">
      <c r="A200" s="2">
        <f>INT(Tabela1[[#This Row],[Data e Hora2]])</f>
        <v>46258</v>
      </c>
      <c r="B200" s="6" t="str">
        <f>UPPER(TEXT(Tabela1[[#This Row],[Data Corrigida]],"MMM"))</f>
        <v>AGO</v>
      </c>
      <c r="C200" t="s">
        <v>637</v>
      </c>
      <c r="D200" s="2" t="s">
        <v>638</v>
      </c>
      <c r="E200" s="1" t="s">
        <v>635</v>
      </c>
      <c r="F200" t="s">
        <v>24</v>
      </c>
      <c r="G200" s="2" t="s">
        <v>636</v>
      </c>
      <c r="H200" t="s">
        <v>26</v>
      </c>
      <c r="I200" t="s">
        <v>27</v>
      </c>
      <c r="J200" s="6">
        <v>42838</v>
      </c>
      <c r="K200" s="16">
        <v>2004</v>
      </c>
      <c r="L200" s="16">
        <v>2025</v>
      </c>
      <c r="M200" s="16">
        <v>2001</v>
      </c>
      <c r="N200" s="16">
        <v>2032</v>
      </c>
      <c r="O200" s="16">
        <v>2013</v>
      </c>
      <c r="P200" s="16">
        <v>2031</v>
      </c>
      <c r="Q200" s="16">
        <v>2036</v>
      </c>
      <c r="R200" s="16">
        <v>2036</v>
      </c>
      <c r="S200" s="16">
        <v>2059</v>
      </c>
      <c r="T200" s="16">
        <v>2032</v>
      </c>
      <c r="U200" s="15">
        <v>2026.9</v>
      </c>
      <c r="V200" t="s">
        <v>19</v>
      </c>
      <c r="W200" t="s">
        <v>19</v>
      </c>
      <c r="X200">
        <v>351</v>
      </c>
      <c r="Y200" s="16">
        <f>VLOOKUP(Tabela1[[#This Row],[SKU]],SKU!A:D,4,0)</f>
        <v>2000</v>
      </c>
      <c r="Z200" s="18">
        <f>IFERROR((Tabela1[[#This Row],[Média]]-Tabela1[[#This Row],[Meta]])/Tabela1[[#This Row],[Meta]],"")</f>
        <v>1.3450000000000045E-2</v>
      </c>
      <c r="AA200" s="19">
        <f>Tabela1[[#This Row],[Média]]-Tabela1[[#This Row],[Meta]]</f>
        <v>26.900000000000091</v>
      </c>
      <c r="AB200" s="6" t="str">
        <f>VLOOKUP(Tabela1[[#This Row],[SKU]],SKU!A:B,2,0)</f>
        <v>COXA SBCX S/O FG 220-240g PB</v>
      </c>
      <c r="AC200" s="6" t="str">
        <f>VLOOKUP(Tabela1[[#This Row],[SKU]],SKU!A:C,3,0)</f>
        <v>PERNA</v>
      </c>
    </row>
    <row r="201" spans="1:29" x14ac:dyDescent="0.3">
      <c r="A201" s="2">
        <f>INT(Tabela1[[#This Row],[Data e Hora2]])</f>
        <v>46258</v>
      </c>
      <c r="B201" s="6" t="str">
        <f>UPPER(TEXT(Tabela1[[#This Row],[Data Corrigida]],"MMM"))</f>
        <v>AGO</v>
      </c>
      <c r="C201" t="s">
        <v>639</v>
      </c>
      <c r="D201" s="2" t="s">
        <v>640</v>
      </c>
      <c r="E201" s="1" t="s">
        <v>635</v>
      </c>
      <c r="F201" t="s">
        <v>24</v>
      </c>
      <c r="G201" s="2" t="s">
        <v>636</v>
      </c>
      <c r="H201" t="s">
        <v>26</v>
      </c>
      <c r="I201" t="s">
        <v>27</v>
      </c>
      <c r="J201" s="6">
        <v>54632</v>
      </c>
      <c r="K201" s="16">
        <v>1002</v>
      </c>
      <c r="L201" s="16">
        <v>1000</v>
      </c>
      <c r="M201" s="16">
        <v>1005</v>
      </c>
      <c r="N201" s="16">
        <v>1014</v>
      </c>
      <c r="O201" s="16">
        <v>1007</v>
      </c>
      <c r="P201" s="16">
        <v>998</v>
      </c>
      <c r="Q201" s="16">
        <v>1001</v>
      </c>
      <c r="R201" s="16">
        <v>1006</v>
      </c>
      <c r="S201" s="16">
        <v>1008</v>
      </c>
      <c r="T201" s="16">
        <v>1002</v>
      </c>
      <c r="U201" s="15">
        <v>1004.3</v>
      </c>
      <c r="V201" t="s">
        <v>19</v>
      </c>
      <c r="W201" t="s">
        <v>28</v>
      </c>
      <c r="X201">
        <v>322</v>
      </c>
      <c r="Y201" s="16">
        <f>VLOOKUP(Tabela1[[#This Row],[SKU]],SKU!A:D,4,0)</f>
        <v>1000</v>
      </c>
      <c r="Z201" s="18">
        <f>IFERROR((Tabela1[[#This Row],[Média]]-Tabela1[[#This Row],[Meta]])/Tabela1[[#This Row],[Meta]],"")</f>
        <v>4.2999999999999549E-3</v>
      </c>
      <c r="AA201" s="19">
        <f>Tabela1[[#This Row],[Média]]-Tabela1[[#This Row],[Meta]]</f>
        <v>4.2999999999999545</v>
      </c>
      <c r="AB201" s="6" t="str">
        <f>VLOOKUP(Tabela1[[#This Row],[SKU]],SKU!A:B,2,0)</f>
        <v>COXA SBCX S/O BDJ CG</v>
      </c>
      <c r="AC201" s="6" t="str">
        <f>VLOOKUP(Tabela1[[#This Row],[SKU]],SKU!A:C,3,0)</f>
        <v>PERNA</v>
      </c>
    </row>
    <row r="202" spans="1:29" x14ac:dyDescent="0.3">
      <c r="A202" s="2">
        <f>INT(Tabela1[[#This Row],[Data e Hora2]])</f>
        <v>46258</v>
      </c>
      <c r="B202" s="6" t="str">
        <f>UPPER(TEXT(Tabela1[[#This Row],[Data Corrigida]],"MMM"))</f>
        <v>AGO</v>
      </c>
      <c r="C202" t="s">
        <v>641</v>
      </c>
      <c r="D202" s="2" t="s">
        <v>642</v>
      </c>
      <c r="E202" s="1" t="s">
        <v>635</v>
      </c>
      <c r="F202" t="s">
        <v>24</v>
      </c>
      <c r="G202" s="2" t="s">
        <v>636</v>
      </c>
      <c r="H202" t="s">
        <v>26</v>
      </c>
      <c r="I202" t="s">
        <v>27</v>
      </c>
      <c r="J202" s="6">
        <v>995638</v>
      </c>
      <c r="K202" s="16">
        <v>15025</v>
      </c>
      <c r="L202" s="16">
        <v>15035</v>
      </c>
      <c r="M202" s="16">
        <v>15010</v>
      </c>
      <c r="N202" s="16">
        <v>15060</v>
      </c>
      <c r="O202" s="16">
        <v>15075</v>
      </c>
      <c r="P202" s="16">
        <v>15070</v>
      </c>
      <c r="Q202" s="16">
        <v>15030</v>
      </c>
      <c r="R202" s="16">
        <v>15030</v>
      </c>
      <c r="S202" s="16">
        <v>15025</v>
      </c>
      <c r="T202" s="16">
        <v>15035</v>
      </c>
      <c r="U202" s="15">
        <v>15039.5</v>
      </c>
      <c r="V202" t="s">
        <v>19</v>
      </c>
      <c r="W202" t="s">
        <v>28</v>
      </c>
      <c r="X202">
        <v>445</v>
      </c>
      <c r="Y202" s="16">
        <f>VLOOKUP(Tabela1[[#This Row],[SKU]],SKU!A:D,4,0)</f>
        <v>15000</v>
      </c>
      <c r="Z202" s="18">
        <f>IFERROR((Tabela1[[#This Row],[Média]]-Tabela1[[#This Row],[Meta]])/Tabela1[[#This Row],[Meta]],"")</f>
        <v>2.6333333333333334E-3</v>
      </c>
      <c r="AA202" s="19">
        <f>Tabela1[[#This Row],[Média]]-Tabela1[[#This Row],[Meta]]</f>
        <v>39.5</v>
      </c>
      <c r="AB202" s="6" t="str">
        <f>VLOOKUP(Tabela1[[#This Row],[SKU]],SKU!A:B,2,0)</f>
        <v>MEIO DA ASA 40-50G LP</v>
      </c>
      <c r="AC202" s="6" t="str">
        <f>VLOOKUP(Tabela1[[#This Row],[SKU]],SKU!A:C,3,0)</f>
        <v>ASA</v>
      </c>
    </row>
    <row r="203" spans="1:29" x14ac:dyDescent="0.3">
      <c r="A203" s="2">
        <f>INT(Tabela1[[#This Row],[Data e Hora2]])</f>
        <v>46258</v>
      </c>
      <c r="B203" s="6" t="str">
        <f>UPPER(TEXT(Tabela1[[#This Row],[Data Corrigida]],"MMM"))</f>
        <v>AGO</v>
      </c>
      <c r="C203" t="s">
        <v>643</v>
      </c>
      <c r="D203" s="2" t="s">
        <v>644</v>
      </c>
      <c r="E203" s="1" t="s">
        <v>635</v>
      </c>
      <c r="F203" t="s">
        <v>24</v>
      </c>
      <c r="G203" s="2" t="s">
        <v>636</v>
      </c>
      <c r="H203" t="s">
        <v>26</v>
      </c>
      <c r="I203" t="s">
        <v>27</v>
      </c>
      <c r="J203" s="6">
        <v>992093</v>
      </c>
      <c r="K203" s="16">
        <v>5011</v>
      </c>
      <c r="L203" s="16">
        <v>5020</v>
      </c>
      <c r="M203" s="16">
        <v>5011</v>
      </c>
      <c r="N203" s="16">
        <v>5010</v>
      </c>
      <c r="O203" s="16">
        <v>5009</v>
      </c>
      <c r="P203" s="16">
        <v>5013</v>
      </c>
      <c r="Q203" s="16">
        <v>5019</v>
      </c>
      <c r="R203" s="16">
        <v>5003</v>
      </c>
      <c r="S203" s="16">
        <v>5009</v>
      </c>
      <c r="T203" s="16">
        <v>5022</v>
      </c>
      <c r="U203" s="15">
        <v>5012.7</v>
      </c>
      <c r="V203" t="s">
        <v>19</v>
      </c>
      <c r="W203" t="s">
        <v>28</v>
      </c>
      <c r="X203">
        <v>349</v>
      </c>
      <c r="Y203" s="16">
        <f>VLOOKUP(Tabela1[[#This Row],[SKU]],SKU!A:D,4,0)</f>
        <v>5000</v>
      </c>
      <c r="Z203" s="18">
        <f>IFERROR((Tabela1[[#This Row],[Média]]-Tabela1[[#This Row],[Meta]])/Tabela1[[#This Row],[Meta]],"")</f>
        <v>2.5399999999999637E-3</v>
      </c>
      <c r="AA203" s="19">
        <f>Tabela1[[#This Row],[Média]]-Tabela1[[#This Row],[Meta]]</f>
        <v>12.699999999999818</v>
      </c>
      <c r="AB203" s="6" t="str">
        <f>VLOOKUP(Tabela1[[#This Row],[SKU]],SKU!A:B,2,0)</f>
        <v>PONTA ASA FG PB CG</v>
      </c>
      <c r="AC203" s="6" t="str">
        <f>VLOOKUP(Tabela1[[#This Row],[SKU]],SKU!A:C,3,0)</f>
        <v>ASA</v>
      </c>
    </row>
    <row r="204" spans="1:29" x14ac:dyDescent="0.3">
      <c r="A204" s="2">
        <f>INT(Tabela1[[#This Row],[Data e Hora2]])</f>
        <v>46258</v>
      </c>
      <c r="B204" s="6" t="str">
        <f>UPPER(TEXT(Tabela1[[#This Row],[Data Corrigida]],"MMM"))</f>
        <v>AGO</v>
      </c>
      <c r="C204" t="s">
        <v>645</v>
      </c>
      <c r="D204" s="2" t="s">
        <v>646</v>
      </c>
      <c r="E204" s="1" t="s">
        <v>635</v>
      </c>
      <c r="F204" t="s">
        <v>24</v>
      </c>
      <c r="G204" s="2" t="s">
        <v>636</v>
      </c>
      <c r="H204" t="s">
        <v>26</v>
      </c>
      <c r="I204" t="s">
        <v>27</v>
      </c>
      <c r="J204" s="6">
        <v>15105</v>
      </c>
      <c r="K204" s="16">
        <v>1017</v>
      </c>
      <c r="L204" s="16">
        <v>1018</v>
      </c>
      <c r="M204" s="16">
        <v>1036</v>
      </c>
      <c r="N204" s="16">
        <v>1006</v>
      </c>
      <c r="O204" s="16">
        <v>1023</v>
      </c>
      <c r="P204" s="16">
        <v>1004</v>
      </c>
      <c r="Q204" s="16">
        <v>1002</v>
      </c>
      <c r="R204" s="16">
        <v>1001</v>
      </c>
      <c r="S204" s="16">
        <v>1019</v>
      </c>
      <c r="T204" s="16">
        <v>1003</v>
      </c>
      <c r="U204" s="15">
        <v>1012.9</v>
      </c>
      <c r="V204" t="s">
        <v>19</v>
      </c>
      <c r="W204" t="s">
        <v>28</v>
      </c>
      <c r="X204">
        <v>1367</v>
      </c>
      <c r="Y204" s="16">
        <f>VLOOKUP(Tabela1[[#This Row],[SKU]],SKU!A:D,4,0)</f>
        <v>1000</v>
      </c>
      <c r="Z204" s="18">
        <f>IFERROR((Tabela1[[#This Row],[Média]]-Tabela1[[#This Row],[Meta]])/Tabela1[[#This Row],[Meta]],"")</f>
        <v>1.2899999999999977E-2</v>
      </c>
      <c r="AA204" s="19">
        <f>Tabela1[[#This Row],[Média]]-Tabela1[[#This Row],[Meta]]</f>
        <v>12.899999999999977</v>
      </c>
      <c r="AB204" s="6" t="str">
        <f>VLOOKUP(Tabela1[[#This Row],[SKU]],SKU!A:B,2,0)</f>
        <v>FILE PEITO MET CG BDJ SE</v>
      </c>
      <c r="AC204" s="6" t="str">
        <f>VLOOKUP(Tabela1[[#This Row],[SKU]],SKU!A:C,3,0)</f>
        <v>PEITO</v>
      </c>
    </row>
    <row r="205" spans="1:29" x14ac:dyDescent="0.3">
      <c r="A205" s="2">
        <f>INT(Tabela1[[#This Row],[Data e Hora2]])</f>
        <v>46258</v>
      </c>
      <c r="B205" s="6" t="str">
        <f>UPPER(TEXT(Tabela1[[#This Row],[Data Corrigida]],"MMM"))</f>
        <v>AGO</v>
      </c>
      <c r="C205" t="s">
        <v>647</v>
      </c>
      <c r="D205" s="2" t="s">
        <v>648</v>
      </c>
      <c r="E205" s="1" t="s">
        <v>635</v>
      </c>
      <c r="F205" t="s">
        <v>24</v>
      </c>
      <c r="G205" s="2" t="s">
        <v>636</v>
      </c>
      <c r="H205" t="s">
        <v>26</v>
      </c>
      <c r="I205" t="s">
        <v>27</v>
      </c>
      <c r="J205" s="6">
        <v>15229</v>
      </c>
      <c r="K205" s="16">
        <v>997</v>
      </c>
      <c r="L205" s="16">
        <v>1011</v>
      </c>
      <c r="M205" s="16">
        <v>1016</v>
      </c>
      <c r="N205" s="16">
        <v>1006</v>
      </c>
      <c r="O205" s="16">
        <v>1006</v>
      </c>
      <c r="P205" s="16">
        <v>1014</v>
      </c>
      <c r="Q205" s="16">
        <v>1002</v>
      </c>
      <c r="R205" s="16">
        <v>997</v>
      </c>
      <c r="S205" s="16">
        <v>1004</v>
      </c>
      <c r="T205" s="16">
        <v>1015</v>
      </c>
      <c r="U205" s="15">
        <v>1006.8</v>
      </c>
      <c r="V205" t="s">
        <v>19</v>
      </c>
      <c r="W205" t="s">
        <v>28</v>
      </c>
      <c r="X205">
        <v>299</v>
      </c>
      <c r="Y205" s="16">
        <f>VLOOKUP(Tabela1[[#This Row],[SKU]],SKU!A:D,4,0)</f>
        <v>1000</v>
      </c>
      <c r="Z205" s="18">
        <f>IFERROR((Tabela1[[#This Row],[Média]]-Tabela1[[#This Row],[Meta]])/Tabela1[[#This Row],[Meta]],"")</f>
        <v>6.7999999999999545E-3</v>
      </c>
      <c r="AA205" s="19">
        <f>Tabela1[[#This Row],[Média]]-Tabela1[[#This Row],[Meta]]</f>
        <v>6.7999999999999545</v>
      </c>
      <c r="AB205" s="6" t="str">
        <f>VLOOKUP(Tabela1[[#This Row],[SKU]],SKU!A:B,2,0)</f>
        <v>COXA CG BDJ SE</v>
      </c>
      <c r="AC205" s="6" t="str">
        <f>VLOOKUP(Tabela1[[#This Row],[SKU]],SKU!A:C,3,0)</f>
        <v>PERNA</v>
      </c>
    </row>
    <row r="206" spans="1:29" x14ac:dyDescent="0.3">
      <c r="A206" s="2">
        <f>INT(Tabela1[[#This Row],[Data e Hora2]])</f>
        <v>46258</v>
      </c>
      <c r="B206" s="6" t="str">
        <f>UPPER(TEXT(Tabela1[[#This Row],[Data Corrigida]],"MMM"))</f>
        <v>AGO</v>
      </c>
      <c r="C206" t="s">
        <v>649</v>
      </c>
      <c r="D206" s="2" t="s">
        <v>650</v>
      </c>
      <c r="E206" s="1" t="s">
        <v>635</v>
      </c>
      <c r="F206" t="s">
        <v>24</v>
      </c>
      <c r="G206" s="2" t="s">
        <v>636</v>
      </c>
      <c r="H206" t="s">
        <v>26</v>
      </c>
      <c r="I206" t="s">
        <v>27</v>
      </c>
      <c r="J206" s="6">
        <v>13188</v>
      </c>
      <c r="K206" s="16">
        <v>1014</v>
      </c>
      <c r="L206" s="16">
        <v>1007</v>
      </c>
      <c r="M206" s="16">
        <v>1011</v>
      </c>
      <c r="N206" s="16">
        <v>1014</v>
      </c>
      <c r="O206" s="16">
        <v>1015</v>
      </c>
      <c r="P206" s="16">
        <v>994</v>
      </c>
      <c r="Q206" s="16">
        <v>1020</v>
      </c>
      <c r="R206" s="16">
        <v>1015</v>
      </c>
      <c r="S206" s="16">
        <v>1005</v>
      </c>
      <c r="T206" s="16">
        <v>1011</v>
      </c>
      <c r="U206" s="15">
        <v>1010.6</v>
      </c>
      <c r="V206" t="s">
        <v>19</v>
      </c>
      <c r="W206" t="s">
        <v>19</v>
      </c>
      <c r="X206">
        <v>185</v>
      </c>
      <c r="Y206" s="16">
        <f>VLOOKUP(Tabela1[[#This Row],[SKU]],SKU!A:D,4,0)</f>
        <v>1000</v>
      </c>
      <c r="Z206" s="18">
        <f>IFERROR((Tabela1[[#This Row],[Média]]-Tabela1[[#This Row],[Meta]])/Tabela1[[#This Row],[Meta]],"")</f>
        <v>1.0600000000000023E-2</v>
      </c>
      <c r="AA206" s="19">
        <f>Tabela1[[#This Row],[Média]]-Tabela1[[#This Row],[Meta]]</f>
        <v>10.600000000000023</v>
      </c>
      <c r="AB206" s="6" t="str">
        <f>VLOOKUP(Tabela1[[#This Row],[SKU]],SKU!A:B,2,0)</f>
        <v>SOBRECOXA CG BDJ SE</v>
      </c>
      <c r="AC206" s="6" t="str">
        <f>VLOOKUP(Tabela1[[#This Row],[SKU]],SKU!A:C,3,0)</f>
        <v>PERNA</v>
      </c>
    </row>
    <row r="207" spans="1:29" x14ac:dyDescent="0.3">
      <c r="A207" s="2">
        <f>INT(Tabela1[[#This Row],[Data e Hora2]])</f>
        <v>46258</v>
      </c>
      <c r="B207" s="6" t="str">
        <f>UPPER(TEXT(Tabela1[[#This Row],[Data Corrigida]],"MMM"))</f>
        <v>AGO</v>
      </c>
      <c r="C207" t="s">
        <v>651</v>
      </c>
      <c r="D207" s="2" t="s">
        <v>652</v>
      </c>
      <c r="E207" s="1" t="s">
        <v>635</v>
      </c>
      <c r="F207" t="s">
        <v>24</v>
      </c>
      <c r="G207" s="2" t="s">
        <v>636</v>
      </c>
      <c r="H207" t="s">
        <v>26</v>
      </c>
      <c r="I207" t="s">
        <v>27</v>
      </c>
      <c r="J207" s="6">
        <v>42846</v>
      </c>
      <c r="K207" s="16">
        <v>1997</v>
      </c>
      <c r="L207" s="16">
        <v>2030</v>
      </c>
      <c r="M207" s="16">
        <v>1964</v>
      </c>
      <c r="N207" s="16">
        <v>1964</v>
      </c>
      <c r="O207" s="16">
        <v>2001</v>
      </c>
      <c r="P207" s="16">
        <v>2006</v>
      </c>
      <c r="Q207" s="16">
        <v>1935</v>
      </c>
      <c r="R207" s="16">
        <v>1986</v>
      </c>
      <c r="S207" s="16">
        <v>2009</v>
      </c>
      <c r="T207" s="16">
        <v>2008</v>
      </c>
      <c r="U207" s="15">
        <v>1990</v>
      </c>
      <c r="V207" t="s">
        <v>19</v>
      </c>
      <c r="W207" t="s">
        <v>28</v>
      </c>
      <c r="X207">
        <v>408</v>
      </c>
      <c r="Y207" s="16">
        <f>VLOOKUP(Tabela1[[#This Row],[SKU]],SKU!A:D,4,0)</f>
        <v>2000</v>
      </c>
      <c r="Z207" s="18">
        <f>IFERROR((Tabela1[[#This Row],[Média]]-Tabela1[[#This Row],[Meta]])/Tabela1[[#This Row],[Meta]],"")</f>
        <v>-5.0000000000000001E-3</v>
      </c>
      <c r="AA207" s="19">
        <f>Tabela1[[#This Row],[Média]]-Tabela1[[#This Row],[Meta]]</f>
        <v>-10</v>
      </c>
      <c r="AB207" s="6" t="str">
        <f>VLOOKUP(Tabela1[[#This Row],[SKU]],SKU!A:B,2,0)</f>
        <v>COXA SBCX S/O FG 240-260g PB</v>
      </c>
      <c r="AC207" s="6" t="str">
        <f>VLOOKUP(Tabela1[[#This Row],[SKU]],SKU!A:C,3,0)</f>
        <v>PERNA</v>
      </c>
    </row>
    <row r="208" spans="1:29" x14ac:dyDescent="0.3">
      <c r="A208" s="2">
        <f>INT(Tabela1[[#This Row],[Data e Hora2]])</f>
        <v>46258</v>
      </c>
      <c r="B208" s="6" t="str">
        <f>UPPER(TEXT(Tabela1[[#This Row],[Data Corrigida]],"MMM"))</f>
        <v>AGO</v>
      </c>
      <c r="C208" t="s">
        <v>653</v>
      </c>
      <c r="D208" s="2" t="s">
        <v>654</v>
      </c>
      <c r="E208" s="1" t="s">
        <v>635</v>
      </c>
      <c r="F208" t="s">
        <v>24</v>
      </c>
      <c r="G208" s="2" t="s">
        <v>636</v>
      </c>
      <c r="H208" t="s">
        <v>26</v>
      </c>
      <c r="I208" t="s">
        <v>27</v>
      </c>
      <c r="J208" s="6">
        <v>42862</v>
      </c>
      <c r="K208" s="16">
        <v>2013</v>
      </c>
      <c r="L208" s="16">
        <v>2011</v>
      </c>
      <c r="M208" s="16">
        <v>2004</v>
      </c>
      <c r="N208" s="16">
        <v>1967</v>
      </c>
      <c r="O208" s="16">
        <v>2020</v>
      </c>
      <c r="P208" s="16">
        <v>2024</v>
      </c>
      <c r="Q208" s="16">
        <v>2014</v>
      </c>
      <c r="R208" s="16">
        <v>1998</v>
      </c>
      <c r="S208" s="16">
        <v>2012</v>
      </c>
      <c r="T208" s="16">
        <v>2052</v>
      </c>
      <c r="U208" s="15">
        <v>2011.5</v>
      </c>
      <c r="V208" t="s">
        <v>19</v>
      </c>
      <c r="W208" t="s">
        <v>19</v>
      </c>
      <c r="X208">
        <v>141</v>
      </c>
      <c r="Y208" s="16">
        <f>VLOOKUP(Tabela1[[#This Row],[SKU]],SKU!A:D,4,0)</f>
        <v>2000</v>
      </c>
      <c r="Z208" s="18">
        <f>IFERROR((Tabela1[[#This Row],[Média]]-Tabela1[[#This Row],[Meta]])/Tabela1[[#This Row],[Meta]],"")</f>
        <v>5.7499999999999999E-3</v>
      </c>
      <c r="AA208" s="19">
        <f>Tabela1[[#This Row],[Média]]-Tabela1[[#This Row],[Meta]]</f>
        <v>11.5</v>
      </c>
      <c r="AB208" s="6" t="str">
        <f>VLOOKUP(Tabela1[[#This Row],[SKU]],SKU!A:B,2,0)</f>
        <v>COXA SBCX S/O FG 280-300g PB</v>
      </c>
      <c r="AC208" s="6" t="str">
        <f>VLOOKUP(Tabela1[[#This Row],[SKU]],SKU!A:C,3,0)</f>
        <v>PERNA</v>
      </c>
    </row>
    <row r="209" spans="1:29" x14ac:dyDescent="0.3">
      <c r="A209" s="2">
        <f>INT(Tabela1[[#This Row],[Data e Hora2]])</f>
        <v>46258</v>
      </c>
      <c r="B209" s="6" t="str">
        <f>UPPER(TEXT(Tabela1[[#This Row],[Data Corrigida]],"MMM"))</f>
        <v>AGO</v>
      </c>
      <c r="C209" t="s">
        <v>655</v>
      </c>
      <c r="D209" s="2" t="s">
        <v>656</v>
      </c>
      <c r="E209" s="1" t="s">
        <v>635</v>
      </c>
      <c r="F209" t="s">
        <v>24</v>
      </c>
      <c r="G209" s="2" t="s">
        <v>636</v>
      </c>
      <c r="H209" t="s">
        <v>26</v>
      </c>
      <c r="I209" t="s">
        <v>27</v>
      </c>
      <c r="J209" s="6">
        <v>42854</v>
      </c>
      <c r="K209" s="16">
        <v>2095</v>
      </c>
      <c r="L209" s="16">
        <v>2103</v>
      </c>
      <c r="M209" s="16">
        <v>2108</v>
      </c>
      <c r="N209" s="16">
        <v>2107</v>
      </c>
      <c r="O209" s="16">
        <v>2105</v>
      </c>
      <c r="P209" s="16">
        <v>2094</v>
      </c>
      <c r="Q209" s="16">
        <v>2080</v>
      </c>
      <c r="R209" s="16">
        <v>2075</v>
      </c>
      <c r="S209" s="16">
        <v>2103</v>
      </c>
      <c r="T209" s="16">
        <v>2110</v>
      </c>
      <c r="U209" s="15">
        <v>2098</v>
      </c>
      <c r="V209" t="s">
        <v>19</v>
      </c>
      <c r="W209" t="s">
        <v>28</v>
      </c>
      <c r="X209">
        <v>219</v>
      </c>
      <c r="Y209" s="16">
        <f>VLOOKUP(Tabela1[[#This Row],[SKU]],SKU!A:D,4,0)</f>
        <v>2080</v>
      </c>
      <c r="Z209" s="18">
        <f>IFERROR((Tabela1[[#This Row],[Média]]-Tabela1[[#This Row],[Meta]])/Tabela1[[#This Row],[Meta]],"")</f>
        <v>8.6538461538461543E-3</v>
      </c>
      <c r="AA209" s="19">
        <f>Tabela1[[#This Row],[Média]]-Tabela1[[#This Row],[Meta]]</f>
        <v>18</v>
      </c>
      <c r="AB209" s="6" t="str">
        <f>VLOOKUP(Tabela1[[#This Row],[SKU]],SKU!A:B,2,0)</f>
        <v>COXA SBCX S/O FG 260-280g PB</v>
      </c>
      <c r="AC209" s="6" t="str">
        <f>VLOOKUP(Tabela1[[#This Row],[SKU]],SKU!A:C,3,0)</f>
        <v>PERNA</v>
      </c>
    </row>
    <row r="210" spans="1:29" x14ac:dyDescent="0.3">
      <c r="A210" s="2">
        <f>INT(Tabela1[[#This Row],[Data e Hora2]])</f>
        <v>46258</v>
      </c>
      <c r="B210" s="6" t="str">
        <f>UPPER(TEXT(Tabela1[[#This Row],[Data Corrigida]],"MMM"))</f>
        <v>AGO</v>
      </c>
      <c r="C210" t="s">
        <v>657</v>
      </c>
      <c r="D210" s="2" t="s">
        <v>658</v>
      </c>
      <c r="E210" s="1" t="s">
        <v>659</v>
      </c>
      <c r="F210" t="s">
        <v>56</v>
      </c>
      <c r="G210" s="2" t="s">
        <v>636</v>
      </c>
      <c r="H210" t="s">
        <v>26</v>
      </c>
      <c r="I210" t="s">
        <v>57</v>
      </c>
      <c r="J210" s="6">
        <v>197734</v>
      </c>
      <c r="K210" s="16">
        <v>1000</v>
      </c>
      <c r="L210" s="16">
        <v>997</v>
      </c>
      <c r="M210" s="16">
        <v>1005</v>
      </c>
      <c r="N210" s="16">
        <v>998</v>
      </c>
      <c r="O210" s="16">
        <v>1003</v>
      </c>
      <c r="P210" s="16">
        <v>998</v>
      </c>
      <c r="Q210" s="16">
        <v>1019</v>
      </c>
      <c r="R210" s="16">
        <v>1004</v>
      </c>
      <c r="S210" s="16">
        <v>997</v>
      </c>
      <c r="T210" s="16">
        <v>994</v>
      </c>
      <c r="U210" s="15">
        <v>1001.5</v>
      </c>
      <c r="V210" t="s">
        <v>19</v>
      </c>
      <c r="W210" t="s">
        <v>28</v>
      </c>
      <c r="X210">
        <v>191</v>
      </c>
      <c r="Y210" s="16">
        <f>VLOOKUP(Tabela1[[#This Row],[SKU]],SKU!A:D,4,0)</f>
        <v>1000</v>
      </c>
      <c r="Z210" s="18">
        <f>IFERROR((Tabela1[[#This Row],[Média]]-Tabela1[[#This Row],[Meta]])/Tabela1[[#This Row],[Meta]],"")</f>
        <v>1.5E-3</v>
      </c>
      <c r="AA210" s="19">
        <f>Tabela1[[#This Row],[Média]]-Tabela1[[#This Row],[Meta]]</f>
        <v>1.5</v>
      </c>
      <c r="AB210" s="6" t="str">
        <f>VLOOKUP(Tabela1[[#This Row],[SKU]],SKU!A:B,2,0)</f>
        <v>FILEZINHO FRANGO IQF ALM SE</v>
      </c>
      <c r="AC210" s="6" t="str">
        <f>VLOOKUP(Tabela1[[#This Row],[SKU]],SKU!A:C,3,0)</f>
        <v>SASSAMI</v>
      </c>
    </row>
    <row r="211" spans="1:29" x14ac:dyDescent="0.3">
      <c r="A211" s="2">
        <f>INT(Tabela1[[#This Row],[Data e Hora2]])</f>
        <v>46258</v>
      </c>
      <c r="B211" s="6" t="str">
        <f>UPPER(TEXT(Tabela1[[#This Row],[Data Corrigida]],"MMM"))</f>
        <v>AGO</v>
      </c>
      <c r="C211" t="s">
        <v>660</v>
      </c>
      <c r="D211" s="2" t="s">
        <v>661</v>
      </c>
      <c r="E211" s="1" t="s">
        <v>662</v>
      </c>
      <c r="F211" t="s">
        <v>56</v>
      </c>
      <c r="G211" s="2" t="s">
        <v>636</v>
      </c>
      <c r="H211" t="s">
        <v>26</v>
      </c>
      <c r="I211" t="s">
        <v>57</v>
      </c>
      <c r="J211" s="6">
        <v>15105</v>
      </c>
      <c r="K211" s="16">
        <v>1004</v>
      </c>
      <c r="L211" s="16">
        <v>990</v>
      </c>
      <c r="M211" s="16">
        <v>1041</v>
      </c>
      <c r="N211" s="16">
        <v>1014</v>
      </c>
      <c r="O211" s="16">
        <v>1010</v>
      </c>
      <c r="P211" s="16">
        <v>1069</v>
      </c>
      <c r="Q211" s="16">
        <v>999</v>
      </c>
      <c r="R211" s="16">
        <v>1003</v>
      </c>
      <c r="S211" s="16">
        <v>1002</v>
      </c>
      <c r="T211" s="16">
        <v>955</v>
      </c>
      <c r="U211" s="15">
        <v>1008.7</v>
      </c>
      <c r="V211" t="s">
        <v>19</v>
      </c>
      <c r="W211" t="s">
        <v>28</v>
      </c>
      <c r="X211">
        <v>359</v>
      </c>
      <c r="Y211" s="16">
        <f>VLOOKUP(Tabela1[[#This Row],[SKU]],SKU!A:D,4,0)</f>
        <v>1000</v>
      </c>
      <c r="Z211" s="18">
        <f>IFERROR((Tabela1[[#This Row],[Média]]-Tabela1[[#This Row],[Meta]])/Tabela1[[#This Row],[Meta]],"")</f>
        <v>8.7000000000000462E-3</v>
      </c>
      <c r="AA211" s="19">
        <f>Tabela1[[#This Row],[Média]]-Tabela1[[#This Row],[Meta]]</f>
        <v>8.7000000000000455</v>
      </c>
      <c r="AB211" s="6" t="str">
        <f>VLOOKUP(Tabela1[[#This Row],[SKU]],SKU!A:B,2,0)</f>
        <v>FILE PEITO MET CG BDJ SE</v>
      </c>
      <c r="AC211" s="6" t="str">
        <f>VLOOKUP(Tabela1[[#This Row],[SKU]],SKU!A:C,3,0)</f>
        <v>PEITO</v>
      </c>
    </row>
    <row r="212" spans="1:29" x14ac:dyDescent="0.3">
      <c r="A212" s="2">
        <f>INT(Tabela1[[#This Row],[Data e Hora2]])</f>
        <v>46258</v>
      </c>
      <c r="B212" s="6" t="str">
        <f>UPPER(TEXT(Tabela1[[#This Row],[Data Corrigida]],"MMM"))</f>
        <v>AGO</v>
      </c>
      <c r="C212" t="s">
        <v>663</v>
      </c>
      <c r="D212" s="2" t="s">
        <v>664</v>
      </c>
      <c r="E212" s="1" t="s">
        <v>665</v>
      </c>
      <c r="F212" t="s">
        <v>56</v>
      </c>
      <c r="G212" s="2" t="s">
        <v>636</v>
      </c>
      <c r="H212" t="s">
        <v>26</v>
      </c>
      <c r="I212" t="s">
        <v>57</v>
      </c>
      <c r="J212" s="6">
        <v>40762</v>
      </c>
      <c r="K212" s="16">
        <v>9995</v>
      </c>
      <c r="L212" s="16">
        <v>10055</v>
      </c>
      <c r="M212" s="16">
        <v>10085</v>
      </c>
      <c r="N212" s="16">
        <v>9960</v>
      </c>
      <c r="O212" s="16">
        <v>10020</v>
      </c>
      <c r="P212" s="16">
        <v>10050</v>
      </c>
      <c r="Q212" s="16">
        <v>10015</v>
      </c>
      <c r="R212" s="16">
        <v>10025</v>
      </c>
      <c r="S212" s="16">
        <v>9885</v>
      </c>
      <c r="T212" s="16">
        <v>9995</v>
      </c>
      <c r="U212" s="15">
        <v>10008.5</v>
      </c>
      <c r="V212" t="s">
        <v>19</v>
      </c>
      <c r="W212" t="s">
        <v>28</v>
      </c>
      <c r="X212">
        <v>562</v>
      </c>
      <c r="Y212" s="16">
        <f>VLOOKUP(Tabela1[[#This Row],[SKU]],SKU!A:D,4,0)</f>
        <v>10000</v>
      </c>
      <c r="Z212" s="18">
        <f>IFERROR((Tabela1[[#This Row],[Média]]-Tabela1[[#This Row],[Meta]])/Tabela1[[#This Row],[Meta]],"")</f>
        <v>8.4999999999999995E-4</v>
      </c>
      <c r="AA212" s="19">
        <f>Tabela1[[#This Row],[Média]]-Tabela1[[#This Row],[Meta]]</f>
        <v>8.5</v>
      </c>
      <c r="AB212" s="6" t="str">
        <f>VLOOKUP(Tabela1[[#This Row],[SKU]],SKU!A:B,2,0)</f>
        <v>COXA SBCX LQ FG LP</v>
      </c>
      <c r="AC212" s="6" t="str">
        <f>VLOOKUP(Tabela1[[#This Row],[SKU]],SKU!A:C,3,0)</f>
        <v>PERNA</v>
      </c>
    </row>
    <row r="213" spans="1:29" x14ac:dyDescent="0.3">
      <c r="A213" s="2">
        <f>INT(Tabela1[[#This Row],[Data e Hora2]])</f>
        <v>46258</v>
      </c>
      <c r="B213" s="6" t="str">
        <f>UPPER(TEXT(Tabela1[[#This Row],[Data Corrigida]],"MMM"))</f>
        <v>AGO</v>
      </c>
      <c r="C213" t="s">
        <v>666</v>
      </c>
      <c r="D213" s="2" t="s">
        <v>667</v>
      </c>
      <c r="E213" s="1" t="s">
        <v>668</v>
      </c>
      <c r="F213" t="s">
        <v>56</v>
      </c>
      <c r="G213" s="2" t="s">
        <v>636</v>
      </c>
      <c r="H213" t="s">
        <v>26</v>
      </c>
      <c r="I213" t="s">
        <v>57</v>
      </c>
      <c r="J213" s="6">
        <v>13188</v>
      </c>
      <c r="K213" s="16">
        <v>1031</v>
      </c>
      <c r="L213" s="16">
        <v>1036</v>
      </c>
      <c r="M213" s="16">
        <v>1019</v>
      </c>
      <c r="N213" s="16">
        <v>1037</v>
      </c>
      <c r="O213" s="16">
        <v>985</v>
      </c>
      <c r="P213" s="16">
        <v>1020</v>
      </c>
      <c r="Q213" s="16">
        <v>1028</v>
      </c>
      <c r="R213" s="16">
        <v>1010</v>
      </c>
      <c r="S213" s="16">
        <v>986</v>
      </c>
      <c r="T213" s="16">
        <v>1008</v>
      </c>
      <c r="U213" s="15">
        <v>1016</v>
      </c>
      <c r="V213" t="s">
        <v>19</v>
      </c>
      <c r="W213" t="s">
        <v>28</v>
      </c>
      <c r="X213">
        <v>1158</v>
      </c>
      <c r="Y213" s="16">
        <f>VLOOKUP(Tabela1[[#This Row],[SKU]],SKU!A:D,4,0)</f>
        <v>1000</v>
      </c>
      <c r="Z213" s="18">
        <f>IFERROR((Tabela1[[#This Row],[Média]]-Tabela1[[#This Row],[Meta]])/Tabela1[[#This Row],[Meta]],"")</f>
        <v>1.6E-2</v>
      </c>
      <c r="AA213" s="19">
        <f>Tabela1[[#This Row],[Média]]-Tabela1[[#This Row],[Meta]]</f>
        <v>16</v>
      </c>
      <c r="AB213" s="6" t="str">
        <f>VLOOKUP(Tabela1[[#This Row],[SKU]],SKU!A:B,2,0)</f>
        <v>SOBRECOXA CG BDJ SE</v>
      </c>
      <c r="AC213" s="6" t="str">
        <f>VLOOKUP(Tabela1[[#This Row],[SKU]],SKU!A:C,3,0)</f>
        <v>PERNA</v>
      </c>
    </row>
    <row r="214" spans="1:29" x14ac:dyDescent="0.3">
      <c r="A214" s="2">
        <f>INT(Tabela1[[#This Row],[Data e Hora2]])</f>
        <v>46258</v>
      </c>
      <c r="B214" s="6" t="str">
        <f>UPPER(TEXT(Tabela1[[#This Row],[Data Corrigida]],"MMM"))</f>
        <v>AGO</v>
      </c>
      <c r="C214" t="s">
        <v>669</v>
      </c>
      <c r="D214" s="2" t="s">
        <v>670</v>
      </c>
      <c r="E214" s="1" t="s">
        <v>671</v>
      </c>
      <c r="F214" t="s">
        <v>56</v>
      </c>
      <c r="G214" s="2" t="s">
        <v>636</v>
      </c>
      <c r="H214" t="s">
        <v>26</v>
      </c>
      <c r="I214" t="s">
        <v>57</v>
      </c>
      <c r="J214" s="6">
        <v>15229</v>
      </c>
      <c r="K214" s="16">
        <v>1012</v>
      </c>
      <c r="L214" s="16">
        <v>1011</v>
      </c>
      <c r="M214" s="16">
        <v>1015</v>
      </c>
      <c r="N214" s="16">
        <v>1017</v>
      </c>
      <c r="O214" s="16">
        <v>1009</v>
      </c>
      <c r="P214" s="16">
        <v>1002</v>
      </c>
      <c r="Q214" s="16">
        <v>1016</v>
      </c>
      <c r="R214" s="16">
        <v>1002</v>
      </c>
      <c r="S214" s="16">
        <v>1014</v>
      </c>
      <c r="T214" s="16">
        <v>1016</v>
      </c>
      <c r="U214" s="15">
        <v>1011.4</v>
      </c>
      <c r="V214" t="s">
        <v>19</v>
      </c>
      <c r="W214" t="s">
        <v>28</v>
      </c>
      <c r="X214">
        <v>403</v>
      </c>
      <c r="Y214" s="16">
        <f>VLOOKUP(Tabela1[[#This Row],[SKU]],SKU!A:D,4,0)</f>
        <v>1000</v>
      </c>
      <c r="Z214" s="18">
        <f>IFERROR((Tabela1[[#This Row],[Média]]-Tabela1[[#This Row],[Meta]])/Tabela1[[#This Row],[Meta]],"")</f>
        <v>1.1399999999999978E-2</v>
      </c>
      <c r="AA214" s="19">
        <f>Tabela1[[#This Row],[Média]]-Tabela1[[#This Row],[Meta]]</f>
        <v>11.399999999999977</v>
      </c>
      <c r="AB214" s="6" t="str">
        <f>VLOOKUP(Tabela1[[#This Row],[SKU]],SKU!A:B,2,0)</f>
        <v>COXA CG BDJ SE</v>
      </c>
      <c r="AC214" s="6" t="str">
        <f>VLOOKUP(Tabela1[[#This Row],[SKU]],SKU!A:C,3,0)</f>
        <v>PERNA</v>
      </c>
    </row>
    <row r="215" spans="1:29" x14ac:dyDescent="0.3">
      <c r="A215" s="2">
        <f>INT(Tabela1[[#This Row],[Data e Hora2]])</f>
        <v>46258</v>
      </c>
      <c r="B215" s="6" t="str">
        <f>UPPER(TEXT(Tabela1[[#This Row],[Data Corrigida]],"MMM"))</f>
        <v>AGO</v>
      </c>
      <c r="C215" t="s">
        <v>672</v>
      </c>
      <c r="D215" s="2" t="s">
        <v>673</v>
      </c>
      <c r="E215" s="1" t="s">
        <v>674</v>
      </c>
      <c r="F215" t="s">
        <v>56</v>
      </c>
      <c r="G215" s="2" t="s">
        <v>636</v>
      </c>
      <c r="H215" t="s">
        <v>26</v>
      </c>
      <c r="I215" t="s">
        <v>57</v>
      </c>
      <c r="J215" s="6">
        <v>15105</v>
      </c>
      <c r="K215" s="16">
        <v>1028</v>
      </c>
      <c r="L215" s="16">
        <v>943</v>
      </c>
      <c r="M215" s="16">
        <v>1005</v>
      </c>
      <c r="N215" s="16">
        <v>1032</v>
      </c>
      <c r="O215" s="16">
        <v>1007</v>
      </c>
      <c r="P215" s="16">
        <v>1016</v>
      </c>
      <c r="Q215" s="16">
        <v>991</v>
      </c>
      <c r="R215" s="16">
        <v>999</v>
      </c>
      <c r="S215" s="16">
        <v>1014</v>
      </c>
      <c r="T215" s="16">
        <v>1009</v>
      </c>
      <c r="U215" s="15">
        <v>1004.4</v>
      </c>
      <c r="V215" t="s">
        <v>19</v>
      </c>
      <c r="W215" t="s">
        <v>28</v>
      </c>
      <c r="X215">
        <v>510</v>
      </c>
      <c r="Y215" s="16">
        <f>VLOOKUP(Tabela1[[#This Row],[SKU]],SKU!A:D,4,0)</f>
        <v>1000</v>
      </c>
      <c r="Z215" s="18">
        <f>IFERROR((Tabela1[[#This Row],[Média]]-Tabela1[[#This Row],[Meta]])/Tabela1[[#This Row],[Meta]],"")</f>
        <v>4.3999999999999768E-3</v>
      </c>
      <c r="AA215" s="19">
        <f>Tabela1[[#This Row],[Média]]-Tabela1[[#This Row],[Meta]]</f>
        <v>4.3999999999999773</v>
      </c>
      <c r="AB215" s="6" t="str">
        <f>VLOOKUP(Tabela1[[#This Row],[SKU]],SKU!A:B,2,0)</f>
        <v>FILE PEITO MET CG BDJ SE</v>
      </c>
      <c r="AC215" s="6" t="str">
        <f>VLOOKUP(Tabela1[[#This Row],[SKU]],SKU!A:C,3,0)</f>
        <v>PEITO</v>
      </c>
    </row>
    <row r="216" spans="1:29" x14ac:dyDescent="0.3">
      <c r="A216" s="2">
        <f>INT(Tabela1[[#This Row],[Data e Hora2]])</f>
        <v>46258</v>
      </c>
      <c r="B216" s="6" t="str">
        <f>UPPER(TEXT(Tabela1[[#This Row],[Data Corrigida]],"MMM"))</f>
        <v>AGO</v>
      </c>
      <c r="C216" t="s">
        <v>675</v>
      </c>
      <c r="D216" s="2" t="s">
        <v>676</v>
      </c>
      <c r="E216" s="1" t="s">
        <v>677</v>
      </c>
      <c r="F216" t="s">
        <v>56</v>
      </c>
      <c r="G216" s="2" t="s">
        <v>636</v>
      </c>
      <c r="H216" t="s">
        <v>26</v>
      </c>
      <c r="I216" t="s">
        <v>57</v>
      </c>
      <c r="J216" s="6">
        <v>40762</v>
      </c>
      <c r="K216" s="16">
        <v>10015</v>
      </c>
      <c r="L216" s="16">
        <v>10010</v>
      </c>
      <c r="M216" s="16">
        <v>10010</v>
      </c>
      <c r="N216" s="16">
        <v>10060</v>
      </c>
      <c r="O216" s="16">
        <v>10070</v>
      </c>
      <c r="P216" s="16">
        <v>10010</v>
      </c>
      <c r="Q216" s="16">
        <v>10015</v>
      </c>
      <c r="R216" s="16">
        <v>10085</v>
      </c>
      <c r="S216" s="16">
        <v>10045</v>
      </c>
      <c r="T216" s="16">
        <v>10780</v>
      </c>
      <c r="U216" s="15">
        <v>10110</v>
      </c>
      <c r="V216" t="s">
        <v>19</v>
      </c>
      <c r="W216" t="s">
        <v>28</v>
      </c>
      <c r="X216">
        <v>588</v>
      </c>
      <c r="Y216" s="16">
        <f>VLOOKUP(Tabela1[[#This Row],[SKU]],SKU!A:D,4,0)</f>
        <v>10000</v>
      </c>
      <c r="Z216" s="18">
        <f>IFERROR((Tabela1[[#This Row],[Média]]-Tabela1[[#This Row],[Meta]])/Tabela1[[#This Row],[Meta]],"")</f>
        <v>1.0999999999999999E-2</v>
      </c>
      <c r="AA216" s="19">
        <f>Tabela1[[#This Row],[Média]]-Tabela1[[#This Row],[Meta]]</f>
        <v>110</v>
      </c>
      <c r="AB216" s="6" t="str">
        <f>VLOOKUP(Tabela1[[#This Row],[SKU]],SKU!A:B,2,0)</f>
        <v>COXA SBCX LQ FG LP</v>
      </c>
      <c r="AC216" s="6" t="str">
        <f>VLOOKUP(Tabela1[[#This Row],[SKU]],SKU!A:C,3,0)</f>
        <v>PERNA</v>
      </c>
    </row>
    <row r="217" spans="1:29" x14ac:dyDescent="0.3">
      <c r="A217" s="2">
        <f>INT(Tabela1[[#This Row],[Data e Hora2]])</f>
        <v>46258</v>
      </c>
      <c r="B217" s="6" t="str">
        <f>UPPER(TEXT(Tabela1[[#This Row],[Data Corrigida]],"MMM"))</f>
        <v>AGO</v>
      </c>
      <c r="C217" t="s">
        <v>678</v>
      </c>
      <c r="D217" s="2" t="s">
        <v>679</v>
      </c>
      <c r="E217" s="1" t="s">
        <v>680</v>
      </c>
      <c r="F217" t="s">
        <v>56</v>
      </c>
      <c r="G217" s="2" t="s">
        <v>636</v>
      </c>
      <c r="H217" t="s">
        <v>26</v>
      </c>
      <c r="I217" t="s">
        <v>57</v>
      </c>
      <c r="J217" s="6">
        <v>15105</v>
      </c>
      <c r="K217" s="16">
        <v>1017</v>
      </c>
      <c r="L217" s="16">
        <v>1023</v>
      </c>
      <c r="M217" s="16">
        <v>1007</v>
      </c>
      <c r="N217" s="16">
        <v>1044</v>
      </c>
      <c r="O217" s="16">
        <v>1036</v>
      </c>
      <c r="P217" s="16">
        <v>1016</v>
      </c>
      <c r="Q217" s="16">
        <v>1025</v>
      </c>
      <c r="R217" s="16">
        <v>996</v>
      </c>
      <c r="S217" s="16">
        <v>1010</v>
      </c>
      <c r="T217" s="16">
        <v>1024</v>
      </c>
      <c r="U217" s="15">
        <v>1019.8</v>
      </c>
      <c r="V217" t="s">
        <v>19</v>
      </c>
      <c r="W217" t="s">
        <v>28</v>
      </c>
      <c r="X217">
        <v>553</v>
      </c>
      <c r="Y217" s="16">
        <f>VLOOKUP(Tabela1[[#This Row],[SKU]],SKU!A:D,4,0)</f>
        <v>1000</v>
      </c>
      <c r="Z217" s="18">
        <f>IFERROR((Tabela1[[#This Row],[Média]]-Tabela1[[#This Row],[Meta]])/Tabela1[[#This Row],[Meta]],"")</f>
        <v>1.9799999999999953E-2</v>
      </c>
      <c r="AA217" s="19">
        <f>Tabela1[[#This Row],[Média]]-Tabela1[[#This Row],[Meta]]</f>
        <v>19.799999999999955</v>
      </c>
      <c r="AB217" s="6" t="str">
        <f>VLOOKUP(Tabela1[[#This Row],[SKU]],SKU!A:B,2,0)</f>
        <v>FILE PEITO MET CG BDJ SE</v>
      </c>
      <c r="AC217" s="6" t="str">
        <f>VLOOKUP(Tabela1[[#This Row],[SKU]],SKU!A:C,3,0)</f>
        <v>PEITO</v>
      </c>
    </row>
    <row r="218" spans="1:29" x14ac:dyDescent="0.3">
      <c r="A218" s="2">
        <f>INT(Tabela1[[#This Row],[Data e Hora2]])</f>
        <v>46258</v>
      </c>
      <c r="B218" s="6" t="str">
        <f>UPPER(TEXT(Tabela1[[#This Row],[Data Corrigida]],"MMM"))</f>
        <v>AGO</v>
      </c>
      <c r="C218" t="s">
        <v>681</v>
      </c>
      <c r="D218" s="2" t="s">
        <v>682</v>
      </c>
      <c r="E218" s="1" t="s">
        <v>683</v>
      </c>
      <c r="F218" t="s">
        <v>24</v>
      </c>
      <c r="G218" s="2" t="s">
        <v>636</v>
      </c>
      <c r="H218" t="s">
        <v>142</v>
      </c>
      <c r="I218" t="s">
        <v>143</v>
      </c>
      <c r="J218" s="6">
        <v>40762</v>
      </c>
      <c r="K218" s="16">
        <v>10135</v>
      </c>
      <c r="L218" s="16">
        <v>9995</v>
      </c>
      <c r="M218" s="16">
        <v>10035</v>
      </c>
      <c r="N218" s="16">
        <v>9925</v>
      </c>
      <c r="O218" s="16">
        <v>10115</v>
      </c>
      <c r="P218" s="16">
        <v>10120</v>
      </c>
      <c r="Q218" s="16">
        <v>9940</v>
      </c>
      <c r="R218" s="16">
        <v>10140</v>
      </c>
      <c r="S218" s="16">
        <v>9980</v>
      </c>
      <c r="T218" s="16">
        <v>10310</v>
      </c>
      <c r="U218" s="15">
        <v>10069.5</v>
      </c>
      <c r="V218" t="s">
        <v>19</v>
      </c>
      <c r="W218" t="s">
        <v>28</v>
      </c>
      <c r="X218">
        <v>992</v>
      </c>
      <c r="Y218" s="16">
        <f>VLOOKUP(Tabela1[[#This Row],[SKU]],SKU!A:D,4,0)</f>
        <v>10000</v>
      </c>
      <c r="Z218" s="18">
        <f>IFERROR((Tabela1[[#This Row],[Média]]-Tabela1[[#This Row],[Meta]])/Tabela1[[#This Row],[Meta]],"")</f>
        <v>6.9499999999999996E-3</v>
      </c>
      <c r="AA218" s="19">
        <f>Tabela1[[#This Row],[Média]]-Tabela1[[#This Row],[Meta]]</f>
        <v>69.5</v>
      </c>
      <c r="AB218" s="6" t="str">
        <f>VLOOKUP(Tabela1[[#This Row],[SKU]],SKU!A:B,2,0)</f>
        <v>COXA SBCX LQ FG LP</v>
      </c>
      <c r="AC218" s="6" t="str">
        <f>VLOOKUP(Tabela1[[#This Row],[SKU]],SKU!A:C,3,0)</f>
        <v>PERNA</v>
      </c>
    </row>
    <row r="219" spans="1:29" x14ac:dyDescent="0.3">
      <c r="A219" s="2">
        <f>INT(Tabela1[[#This Row],[Data e Hora2]])</f>
        <v>46258</v>
      </c>
      <c r="B219" s="6" t="str">
        <f>UPPER(TEXT(Tabela1[[#This Row],[Data Corrigida]],"MMM"))</f>
        <v>AGO</v>
      </c>
      <c r="C219" t="s">
        <v>684</v>
      </c>
      <c r="D219" s="2" t="s">
        <v>685</v>
      </c>
      <c r="E219" s="1" t="s">
        <v>686</v>
      </c>
      <c r="F219" t="s">
        <v>24</v>
      </c>
      <c r="G219" s="2" t="s">
        <v>636</v>
      </c>
      <c r="H219" t="s">
        <v>142</v>
      </c>
      <c r="I219" t="s">
        <v>462</v>
      </c>
      <c r="J219" s="6">
        <v>54632</v>
      </c>
      <c r="K219" s="16">
        <v>1010</v>
      </c>
      <c r="L219" s="16">
        <v>1020</v>
      </c>
      <c r="M219" s="16">
        <v>1005</v>
      </c>
      <c r="N219" s="16">
        <v>1018</v>
      </c>
      <c r="O219" s="16">
        <v>1026</v>
      </c>
      <c r="P219" s="16">
        <v>1008</v>
      </c>
      <c r="Q219" s="16">
        <v>1012</v>
      </c>
      <c r="R219" s="16">
        <v>1004</v>
      </c>
      <c r="S219" s="16">
        <v>1016</v>
      </c>
      <c r="T219" s="16">
        <v>1016</v>
      </c>
      <c r="U219" s="15">
        <v>1013.5</v>
      </c>
      <c r="V219" t="s">
        <v>19</v>
      </c>
      <c r="W219" t="s">
        <v>28</v>
      </c>
      <c r="X219">
        <v>196</v>
      </c>
      <c r="Y219" s="16">
        <f>VLOOKUP(Tabela1[[#This Row],[SKU]],SKU!A:D,4,0)</f>
        <v>1000</v>
      </c>
      <c r="Z219" s="18">
        <f>IFERROR((Tabela1[[#This Row],[Média]]-Tabela1[[#This Row],[Meta]])/Tabela1[[#This Row],[Meta]],"")</f>
        <v>1.35E-2</v>
      </c>
      <c r="AA219" s="19">
        <f>Tabela1[[#This Row],[Média]]-Tabela1[[#This Row],[Meta]]</f>
        <v>13.5</v>
      </c>
      <c r="AB219" s="6" t="str">
        <f>VLOOKUP(Tabela1[[#This Row],[SKU]],SKU!A:B,2,0)</f>
        <v>COXA SBCX S/O BDJ CG</v>
      </c>
      <c r="AC219" s="6" t="str">
        <f>VLOOKUP(Tabela1[[#This Row],[SKU]],SKU!A:C,3,0)</f>
        <v>PERNA</v>
      </c>
    </row>
    <row r="220" spans="1:29" x14ac:dyDescent="0.3">
      <c r="A220" s="2">
        <f>INT(Tabela1[[#This Row],[Data e Hora2]])</f>
        <v>46258</v>
      </c>
      <c r="B220" s="6" t="str">
        <f>UPPER(TEXT(Tabela1[[#This Row],[Data Corrigida]],"MMM"))</f>
        <v>AGO</v>
      </c>
      <c r="C220" t="s">
        <v>687</v>
      </c>
      <c r="D220" s="2" t="s">
        <v>688</v>
      </c>
      <c r="E220" s="1" t="s">
        <v>686</v>
      </c>
      <c r="F220" t="s">
        <v>24</v>
      </c>
      <c r="G220" s="2" t="s">
        <v>636</v>
      </c>
      <c r="H220" t="s">
        <v>142</v>
      </c>
      <c r="I220" t="s">
        <v>143</v>
      </c>
      <c r="J220" s="6">
        <v>15105</v>
      </c>
      <c r="K220" s="16">
        <v>1050</v>
      </c>
      <c r="L220" s="16">
        <v>1030</v>
      </c>
      <c r="M220" s="16">
        <v>1020</v>
      </c>
      <c r="N220" s="16">
        <v>1013</v>
      </c>
      <c r="O220" s="16">
        <v>1086</v>
      </c>
      <c r="P220" s="16">
        <v>1009</v>
      </c>
      <c r="Q220" s="16">
        <v>1003</v>
      </c>
      <c r="R220" s="16">
        <v>1055</v>
      </c>
      <c r="S220" s="16">
        <v>1022</v>
      </c>
      <c r="T220" s="16">
        <v>1031</v>
      </c>
      <c r="U220" s="15">
        <v>1031.9000000000001</v>
      </c>
      <c r="V220" t="s">
        <v>19</v>
      </c>
      <c r="W220" t="s">
        <v>28</v>
      </c>
      <c r="X220">
        <v>268</v>
      </c>
      <c r="Y220" s="16">
        <f>VLOOKUP(Tabela1[[#This Row],[SKU]],SKU!A:D,4,0)</f>
        <v>1000</v>
      </c>
      <c r="Z220" s="18">
        <f>IFERROR((Tabela1[[#This Row],[Média]]-Tabela1[[#This Row],[Meta]])/Tabela1[[#This Row],[Meta]],"")</f>
        <v>3.1900000000000088E-2</v>
      </c>
      <c r="AA220" s="19">
        <f>Tabela1[[#This Row],[Média]]-Tabela1[[#This Row],[Meta]]</f>
        <v>31.900000000000091</v>
      </c>
      <c r="AB220" s="6" t="str">
        <f>VLOOKUP(Tabela1[[#This Row],[SKU]],SKU!A:B,2,0)</f>
        <v>FILE PEITO MET CG BDJ SE</v>
      </c>
      <c r="AC220" s="6" t="str">
        <f>VLOOKUP(Tabela1[[#This Row],[SKU]],SKU!A:C,3,0)</f>
        <v>PEITO</v>
      </c>
    </row>
    <row r="221" spans="1:29" x14ac:dyDescent="0.3">
      <c r="A221" s="2">
        <f>INT(Tabela1[[#This Row],[Data e Hora2]])</f>
        <v>46258</v>
      </c>
      <c r="B221" s="6" t="str">
        <f>UPPER(TEXT(Tabela1[[#This Row],[Data Corrigida]],"MMM"))</f>
        <v>AGO</v>
      </c>
      <c r="C221" t="s">
        <v>689</v>
      </c>
      <c r="D221" s="2" t="s">
        <v>690</v>
      </c>
      <c r="E221" s="1" t="s">
        <v>686</v>
      </c>
      <c r="F221" t="s">
        <v>24</v>
      </c>
      <c r="G221" s="2" t="s">
        <v>636</v>
      </c>
      <c r="H221" t="s">
        <v>142</v>
      </c>
      <c r="I221" t="s">
        <v>143</v>
      </c>
      <c r="J221" s="6">
        <v>997939</v>
      </c>
      <c r="K221" s="16">
        <v>10030</v>
      </c>
      <c r="L221" s="16">
        <v>10060</v>
      </c>
      <c r="M221" s="16">
        <v>10015</v>
      </c>
      <c r="N221" s="16">
        <v>10045</v>
      </c>
      <c r="O221" s="16">
        <v>10020</v>
      </c>
      <c r="P221" s="16">
        <v>10005</v>
      </c>
      <c r="Q221" s="16">
        <v>10050</v>
      </c>
      <c r="R221" s="16">
        <v>10055</v>
      </c>
      <c r="S221" s="16">
        <v>10055</v>
      </c>
      <c r="T221" s="16">
        <v>10090</v>
      </c>
      <c r="U221" s="15">
        <v>10042.5</v>
      </c>
      <c r="V221" t="s">
        <v>19</v>
      </c>
      <c r="W221" t="s">
        <v>28</v>
      </c>
      <c r="X221">
        <v>745</v>
      </c>
      <c r="Y221" s="16">
        <f>VLOOKUP(Tabela1[[#This Row],[SKU]],SKU!A:D,4,0)</f>
        <v>10000</v>
      </c>
      <c r="Z221" s="18">
        <f>IFERROR((Tabela1[[#This Row],[Média]]-Tabela1[[#This Row],[Meta]])/Tabela1[[#This Row],[Meta]],"")</f>
        <v>4.2500000000000003E-3</v>
      </c>
      <c r="AA221" s="19">
        <f>Tabela1[[#This Row],[Média]]-Tabela1[[#This Row],[Meta]]</f>
        <v>42.5</v>
      </c>
      <c r="AB221" s="6" t="str">
        <f>VLOOKUP(Tabela1[[#This Row],[SKU]],SKU!A:B,2,0)</f>
        <v>DORSO DE FRANGO BACK</v>
      </c>
      <c r="AC221" s="6" t="str">
        <f>VLOOKUP(Tabela1[[#This Row],[SKU]],SKU!A:C,3,0)</f>
        <v>DORSO</v>
      </c>
    </row>
    <row r="222" spans="1:29" x14ac:dyDescent="0.3">
      <c r="A222" s="2">
        <f>INT(Tabela1[[#This Row],[Data e Hora2]])</f>
        <v>46258</v>
      </c>
      <c r="B222" s="6" t="str">
        <f>UPPER(TEXT(Tabela1[[#This Row],[Data Corrigida]],"MMM"))</f>
        <v>AGO</v>
      </c>
      <c r="C222" t="s">
        <v>691</v>
      </c>
      <c r="D222" s="2" t="s">
        <v>692</v>
      </c>
      <c r="E222" s="1" t="s">
        <v>686</v>
      </c>
      <c r="F222" t="s">
        <v>24</v>
      </c>
      <c r="G222" s="2" t="s">
        <v>636</v>
      </c>
      <c r="H222" t="s">
        <v>142</v>
      </c>
      <c r="I222" t="s">
        <v>143</v>
      </c>
      <c r="J222" s="6">
        <v>40762</v>
      </c>
      <c r="K222" s="16">
        <v>10050</v>
      </c>
      <c r="L222" s="16">
        <v>10065</v>
      </c>
      <c r="M222" s="16">
        <v>9985</v>
      </c>
      <c r="N222" s="16">
        <v>10100</v>
      </c>
      <c r="O222" s="16">
        <v>9990</v>
      </c>
      <c r="P222" s="16">
        <v>9990</v>
      </c>
      <c r="Q222" s="16">
        <v>10055</v>
      </c>
      <c r="R222" s="16">
        <v>10025</v>
      </c>
      <c r="S222" s="16">
        <v>9970</v>
      </c>
      <c r="T222" s="16">
        <v>10005</v>
      </c>
      <c r="U222" s="15">
        <v>10023.5</v>
      </c>
      <c r="V222" t="s">
        <v>19</v>
      </c>
      <c r="W222" t="s">
        <v>28</v>
      </c>
      <c r="X222">
        <v>327</v>
      </c>
      <c r="Y222" s="16">
        <f>VLOOKUP(Tabela1[[#This Row],[SKU]],SKU!A:D,4,0)</f>
        <v>10000</v>
      </c>
      <c r="Z222" s="18">
        <f>IFERROR((Tabela1[[#This Row],[Média]]-Tabela1[[#This Row],[Meta]])/Tabela1[[#This Row],[Meta]],"")</f>
        <v>2.3500000000000001E-3</v>
      </c>
      <c r="AA222" s="19">
        <f>Tabela1[[#This Row],[Média]]-Tabela1[[#This Row],[Meta]]</f>
        <v>23.5</v>
      </c>
      <c r="AB222" s="6" t="str">
        <f>VLOOKUP(Tabela1[[#This Row],[SKU]],SKU!A:B,2,0)</f>
        <v>COXA SBCX LQ FG LP</v>
      </c>
      <c r="AC222" s="6" t="str">
        <f>VLOOKUP(Tabela1[[#This Row],[SKU]],SKU!A:C,3,0)</f>
        <v>PERNA</v>
      </c>
    </row>
    <row r="223" spans="1:29" x14ac:dyDescent="0.3">
      <c r="A223" s="2">
        <f>INT(Tabela1[[#This Row],[Data e Hora2]])</f>
        <v>46258</v>
      </c>
      <c r="B223" s="6" t="str">
        <f>UPPER(TEXT(Tabela1[[#This Row],[Data Corrigida]],"MMM"))</f>
        <v>AGO</v>
      </c>
      <c r="C223" t="s">
        <v>693</v>
      </c>
      <c r="D223" s="2" t="s">
        <v>694</v>
      </c>
      <c r="E223" s="1" t="s">
        <v>695</v>
      </c>
      <c r="F223" t="s">
        <v>24</v>
      </c>
      <c r="G223" s="2" t="s">
        <v>636</v>
      </c>
      <c r="H223" t="s">
        <v>142</v>
      </c>
      <c r="I223" t="s">
        <v>462</v>
      </c>
      <c r="J223" s="6">
        <v>15105</v>
      </c>
      <c r="K223" s="16">
        <v>1009</v>
      </c>
      <c r="L223" s="16">
        <v>1058</v>
      </c>
      <c r="M223" s="16">
        <v>1011</v>
      </c>
      <c r="N223" s="16">
        <v>987</v>
      </c>
      <c r="O223" s="16">
        <v>995</v>
      </c>
      <c r="P223" s="16">
        <v>996</v>
      </c>
      <c r="Q223" s="16">
        <v>1011</v>
      </c>
      <c r="R223" s="16">
        <v>1055</v>
      </c>
      <c r="S223" s="16">
        <v>1019</v>
      </c>
      <c r="T223" s="16">
        <v>1009</v>
      </c>
      <c r="U223" s="15">
        <v>1015</v>
      </c>
      <c r="V223" t="s">
        <v>19</v>
      </c>
      <c r="W223" t="s">
        <v>28</v>
      </c>
      <c r="X223">
        <v>303</v>
      </c>
      <c r="Y223" s="16">
        <f>VLOOKUP(Tabela1[[#This Row],[SKU]],SKU!A:D,4,0)</f>
        <v>1000</v>
      </c>
      <c r="Z223" s="18">
        <f>IFERROR((Tabela1[[#This Row],[Média]]-Tabela1[[#This Row],[Meta]])/Tabela1[[#This Row],[Meta]],"")</f>
        <v>1.4999999999999999E-2</v>
      </c>
      <c r="AA223" s="19">
        <f>Tabela1[[#This Row],[Média]]-Tabela1[[#This Row],[Meta]]</f>
        <v>15</v>
      </c>
      <c r="AB223" s="6" t="str">
        <f>VLOOKUP(Tabela1[[#This Row],[SKU]],SKU!A:B,2,0)</f>
        <v>FILE PEITO MET CG BDJ SE</v>
      </c>
      <c r="AC223" s="6" t="str">
        <f>VLOOKUP(Tabela1[[#This Row],[SKU]],SKU!A:C,3,0)</f>
        <v>PEITO</v>
      </c>
    </row>
    <row r="224" spans="1:29" x14ac:dyDescent="0.3">
      <c r="A224" s="2">
        <f>INT(Tabela1[[#This Row],[Data e Hora2]])</f>
        <v>46258</v>
      </c>
      <c r="B224" s="6" t="str">
        <f>UPPER(TEXT(Tabela1[[#This Row],[Data Corrigida]],"MMM"))</f>
        <v>AGO</v>
      </c>
      <c r="C224" t="s">
        <v>696</v>
      </c>
      <c r="D224" s="2" t="s">
        <v>697</v>
      </c>
      <c r="E224" s="1" t="s">
        <v>695</v>
      </c>
      <c r="F224" t="s">
        <v>24</v>
      </c>
      <c r="G224" s="2" t="s">
        <v>636</v>
      </c>
      <c r="H224" t="s">
        <v>142</v>
      </c>
      <c r="I224" t="s">
        <v>462</v>
      </c>
      <c r="J224" s="6">
        <v>42846</v>
      </c>
      <c r="K224" s="16">
        <v>2033</v>
      </c>
      <c r="L224" s="16">
        <v>2191</v>
      </c>
      <c r="M224" s="16">
        <v>2006</v>
      </c>
      <c r="N224" s="16">
        <v>2053</v>
      </c>
      <c r="O224" s="16">
        <v>2024</v>
      </c>
      <c r="P224" s="16">
        <v>2074</v>
      </c>
      <c r="Q224" s="16">
        <v>2006</v>
      </c>
      <c r="R224" s="16">
        <v>2026</v>
      </c>
      <c r="S224" s="16">
        <v>2024</v>
      </c>
      <c r="T224" s="16">
        <v>2030</v>
      </c>
      <c r="U224" s="15">
        <v>2046.7</v>
      </c>
      <c r="V224" t="s">
        <v>19</v>
      </c>
      <c r="W224" t="s">
        <v>28</v>
      </c>
      <c r="X224">
        <v>434</v>
      </c>
      <c r="Y224" s="16">
        <f>VLOOKUP(Tabela1[[#This Row],[SKU]],SKU!A:D,4,0)</f>
        <v>2000</v>
      </c>
      <c r="Z224" s="18">
        <f>IFERROR((Tabela1[[#This Row],[Média]]-Tabela1[[#This Row],[Meta]])/Tabela1[[#This Row],[Meta]],"")</f>
        <v>2.3350000000000024E-2</v>
      </c>
      <c r="AA224" s="19">
        <f>Tabela1[[#This Row],[Média]]-Tabela1[[#This Row],[Meta]]</f>
        <v>46.700000000000045</v>
      </c>
      <c r="AB224" s="6" t="str">
        <f>VLOOKUP(Tabela1[[#This Row],[SKU]],SKU!A:B,2,0)</f>
        <v>COXA SBCX S/O FG 240-260g PB</v>
      </c>
      <c r="AC224" s="6" t="str">
        <f>VLOOKUP(Tabela1[[#This Row],[SKU]],SKU!A:C,3,0)</f>
        <v>PERNA</v>
      </c>
    </row>
    <row r="225" spans="1:29" x14ac:dyDescent="0.3">
      <c r="A225" s="2">
        <f>INT(Tabela1[[#This Row],[Data e Hora2]])</f>
        <v>46258</v>
      </c>
      <c r="B225" s="6" t="str">
        <f>UPPER(TEXT(Tabela1[[#This Row],[Data Corrigida]],"MMM"))</f>
        <v>AGO</v>
      </c>
      <c r="C225" t="s">
        <v>698</v>
      </c>
      <c r="D225" s="2" t="s">
        <v>699</v>
      </c>
      <c r="E225" s="1" t="s">
        <v>695</v>
      </c>
      <c r="F225" t="s">
        <v>24</v>
      </c>
      <c r="G225" s="2" t="s">
        <v>636</v>
      </c>
      <c r="H225" t="s">
        <v>142</v>
      </c>
      <c r="I225" t="s">
        <v>462</v>
      </c>
      <c r="J225" s="6">
        <v>54632</v>
      </c>
      <c r="K225" s="16">
        <v>1005</v>
      </c>
      <c r="L225" s="16">
        <v>1011</v>
      </c>
      <c r="M225" s="16">
        <v>1008</v>
      </c>
      <c r="N225" s="16">
        <v>1009</v>
      </c>
      <c r="O225" s="16">
        <v>1011</v>
      </c>
      <c r="P225" s="16">
        <v>1004</v>
      </c>
      <c r="Q225" s="16">
        <v>1006</v>
      </c>
      <c r="R225" s="16">
        <v>1001</v>
      </c>
      <c r="S225" s="16">
        <v>999</v>
      </c>
      <c r="T225" s="16">
        <v>1010</v>
      </c>
      <c r="U225" s="15">
        <v>1006.4</v>
      </c>
      <c r="V225" t="s">
        <v>19</v>
      </c>
      <c r="W225" t="s">
        <v>28</v>
      </c>
      <c r="X225">
        <v>296</v>
      </c>
      <c r="Y225" s="16">
        <f>VLOOKUP(Tabela1[[#This Row],[SKU]],SKU!A:D,4,0)</f>
        <v>1000</v>
      </c>
      <c r="Z225" s="18">
        <f>IFERROR((Tabela1[[#This Row],[Média]]-Tabela1[[#This Row],[Meta]])/Tabela1[[#This Row],[Meta]],"")</f>
        <v>6.3999999999999769E-3</v>
      </c>
      <c r="AA225" s="19">
        <f>Tabela1[[#This Row],[Média]]-Tabela1[[#This Row],[Meta]]</f>
        <v>6.3999999999999773</v>
      </c>
      <c r="AB225" s="6" t="str">
        <f>VLOOKUP(Tabela1[[#This Row],[SKU]],SKU!A:B,2,0)</f>
        <v>COXA SBCX S/O BDJ CG</v>
      </c>
      <c r="AC225" s="6" t="str">
        <f>VLOOKUP(Tabela1[[#This Row],[SKU]],SKU!A:C,3,0)</f>
        <v>PERNA</v>
      </c>
    </row>
    <row r="226" spans="1:29" x14ac:dyDescent="0.3">
      <c r="A226" s="2">
        <f>INT(Tabela1[[#This Row],[Data e Hora2]])</f>
        <v>46258</v>
      </c>
      <c r="B226" s="6" t="str">
        <f>UPPER(TEXT(Tabela1[[#This Row],[Data Corrigida]],"MMM"))</f>
        <v>AGO</v>
      </c>
      <c r="C226" t="s">
        <v>700</v>
      </c>
      <c r="D226" s="2" t="s">
        <v>701</v>
      </c>
      <c r="E226" s="1" t="s">
        <v>695</v>
      </c>
      <c r="F226" t="s">
        <v>24</v>
      </c>
      <c r="G226" s="2" t="s">
        <v>636</v>
      </c>
      <c r="H226" t="s">
        <v>142</v>
      </c>
      <c r="I226" t="s">
        <v>462</v>
      </c>
      <c r="J226" s="6">
        <v>15105</v>
      </c>
      <c r="K226" s="16">
        <v>1004</v>
      </c>
      <c r="L226" s="16">
        <v>1014</v>
      </c>
      <c r="M226" s="16">
        <v>1020</v>
      </c>
      <c r="N226" s="16">
        <v>1002</v>
      </c>
      <c r="O226" s="16">
        <v>1003</v>
      </c>
      <c r="P226" s="16">
        <v>1020</v>
      </c>
      <c r="Q226" s="16">
        <v>991</v>
      </c>
      <c r="R226" s="16">
        <v>1017</v>
      </c>
      <c r="S226" s="16">
        <v>1006</v>
      </c>
      <c r="T226" s="16">
        <v>1001</v>
      </c>
      <c r="U226" s="15">
        <v>1007.8</v>
      </c>
      <c r="V226" t="s">
        <v>19</v>
      </c>
      <c r="W226" t="s">
        <v>28</v>
      </c>
      <c r="X226">
        <v>311</v>
      </c>
      <c r="Y226" s="16">
        <f>VLOOKUP(Tabela1[[#This Row],[SKU]],SKU!A:D,4,0)</f>
        <v>1000</v>
      </c>
      <c r="Z226" s="18">
        <f>IFERROR((Tabela1[[#This Row],[Média]]-Tabela1[[#This Row],[Meta]])/Tabela1[[#This Row],[Meta]],"")</f>
        <v>7.7999999999999545E-3</v>
      </c>
      <c r="AA226" s="19">
        <f>Tabela1[[#This Row],[Média]]-Tabela1[[#This Row],[Meta]]</f>
        <v>7.7999999999999545</v>
      </c>
      <c r="AB226" s="6" t="str">
        <f>VLOOKUP(Tabela1[[#This Row],[SKU]],SKU!A:B,2,0)</f>
        <v>FILE PEITO MET CG BDJ SE</v>
      </c>
      <c r="AC226" s="6" t="str">
        <f>VLOOKUP(Tabela1[[#This Row],[SKU]],SKU!A:C,3,0)</f>
        <v>PEITO</v>
      </c>
    </row>
    <row r="227" spans="1:29" x14ac:dyDescent="0.3">
      <c r="A227" s="2">
        <f>INT(Tabela1[[#This Row],[Data e Hora2]])</f>
        <v>46259</v>
      </c>
      <c r="B227" s="6" t="str">
        <f>UPPER(TEXT(Tabela1[[#This Row],[Data Corrigida]],"MMM"))</f>
        <v>AGO</v>
      </c>
      <c r="C227" t="s">
        <v>702</v>
      </c>
      <c r="D227" s="2" t="s">
        <v>703</v>
      </c>
      <c r="E227" s="1" t="s">
        <v>704</v>
      </c>
      <c r="F227" t="s">
        <v>24</v>
      </c>
      <c r="G227" s="2" t="s">
        <v>705</v>
      </c>
      <c r="H227" t="s">
        <v>26</v>
      </c>
      <c r="I227" t="s">
        <v>27</v>
      </c>
      <c r="J227" s="6">
        <v>197734</v>
      </c>
      <c r="K227" s="16">
        <v>999</v>
      </c>
      <c r="L227" s="16">
        <v>1006</v>
      </c>
      <c r="M227" s="16">
        <v>1000</v>
      </c>
      <c r="N227" s="16">
        <v>1013</v>
      </c>
      <c r="O227" s="16">
        <v>1002</v>
      </c>
      <c r="P227" s="16">
        <v>997</v>
      </c>
      <c r="Q227" s="16">
        <v>1062</v>
      </c>
      <c r="R227" s="16">
        <v>990</v>
      </c>
      <c r="S227" s="16">
        <v>995</v>
      </c>
      <c r="T227" s="16">
        <v>1001</v>
      </c>
      <c r="U227" s="15">
        <v>1006.5</v>
      </c>
      <c r="V227" t="s">
        <v>19</v>
      </c>
      <c r="W227" t="s">
        <v>28</v>
      </c>
      <c r="X227">
        <v>252</v>
      </c>
      <c r="Y227" s="16">
        <f>VLOOKUP(Tabela1[[#This Row],[SKU]],SKU!A:D,4,0)</f>
        <v>1000</v>
      </c>
      <c r="Z227" s="18">
        <f>IFERROR((Tabela1[[#This Row],[Média]]-Tabela1[[#This Row],[Meta]])/Tabela1[[#This Row],[Meta]],"")</f>
        <v>6.4999999999999997E-3</v>
      </c>
      <c r="AA227" s="19">
        <f>Tabela1[[#This Row],[Média]]-Tabela1[[#This Row],[Meta]]</f>
        <v>6.5</v>
      </c>
      <c r="AB227" s="6" t="str">
        <f>VLOOKUP(Tabela1[[#This Row],[SKU]],SKU!A:B,2,0)</f>
        <v>FILEZINHO FRANGO IQF ALM SE</v>
      </c>
      <c r="AC227" s="6" t="str">
        <f>VLOOKUP(Tabela1[[#This Row],[SKU]],SKU!A:C,3,0)</f>
        <v>SASSAMI</v>
      </c>
    </row>
    <row r="228" spans="1:29" x14ac:dyDescent="0.3">
      <c r="A228" s="2">
        <f>INT(Tabela1[[#This Row],[Data e Hora2]])</f>
        <v>46259</v>
      </c>
      <c r="B228" s="6" t="str">
        <f>UPPER(TEXT(Tabela1[[#This Row],[Data Corrigida]],"MMM"))</f>
        <v>AGO</v>
      </c>
      <c r="C228" t="s">
        <v>706</v>
      </c>
      <c r="D228" s="2" t="s">
        <v>707</v>
      </c>
      <c r="E228" s="1" t="s">
        <v>704</v>
      </c>
      <c r="F228" t="s">
        <v>24</v>
      </c>
      <c r="G228" s="2" t="s">
        <v>705</v>
      </c>
      <c r="H228" t="s">
        <v>26</v>
      </c>
      <c r="I228" t="s">
        <v>27</v>
      </c>
      <c r="J228" s="6">
        <v>54632</v>
      </c>
      <c r="K228" s="16">
        <v>1003</v>
      </c>
      <c r="L228" s="16">
        <v>1001</v>
      </c>
      <c r="M228" s="16">
        <v>1000</v>
      </c>
      <c r="N228" s="16">
        <v>1005</v>
      </c>
      <c r="O228" s="16">
        <v>1002</v>
      </c>
      <c r="P228" s="16">
        <v>1012</v>
      </c>
      <c r="Q228" s="16">
        <v>1014</v>
      </c>
      <c r="R228" s="16">
        <v>1011</v>
      </c>
      <c r="S228" s="16">
        <v>1019</v>
      </c>
      <c r="T228" s="16">
        <v>1011</v>
      </c>
      <c r="U228" s="15">
        <v>1007.8</v>
      </c>
      <c r="V228" t="s">
        <v>19</v>
      </c>
      <c r="W228" t="s">
        <v>28</v>
      </c>
      <c r="X228">
        <v>2428</v>
      </c>
      <c r="Y228" s="16">
        <f>VLOOKUP(Tabela1[[#This Row],[SKU]],SKU!A:D,4,0)</f>
        <v>1000</v>
      </c>
      <c r="Z228" s="18">
        <f>IFERROR((Tabela1[[#This Row],[Média]]-Tabela1[[#This Row],[Meta]])/Tabela1[[#This Row],[Meta]],"")</f>
        <v>7.7999999999999545E-3</v>
      </c>
      <c r="AA228" s="19">
        <f>Tabela1[[#This Row],[Média]]-Tabela1[[#This Row],[Meta]]</f>
        <v>7.7999999999999545</v>
      </c>
      <c r="AB228" s="6" t="str">
        <f>VLOOKUP(Tabela1[[#This Row],[SKU]],SKU!A:B,2,0)</f>
        <v>COXA SBCX S/O BDJ CG</v>
      </c>
      <c r="AC228" s="6" t="str">
        <f>VLOOKUP(Tabela1[[#This Row],[SKU]],SKU!A:C,3,0)</f>
        <v>PERNA</v>
      </c>
    </row>
    <row r="229" spans="1:29" x14ac:dyDescent="0.3">
      <c r="A229" s="2">
        <f>INT(Tabela1[[#This Row],[Data e Hora2]])</f>
        <v>46259</v>
      </c>
      <c r="B229" s="6" t="str">
        <f>UPPER(TEXT(Tabela1[[#This Row],[Data Corrigida]],"MMM"))</f>
        <v>AGO</v>
      </c>
      <c r="C229" t="s">
        <v>708</v>
      </c>
      <c r="D229" s="2" t="s">
        <v>709</v>
      </c>
      <c r="E229" s="1" t="s">
        <v>704</v>
      </c>
      <c r="F229" t="s">
        <v>24</v>
      </c>
      <c r="G229" s="2" t="s">
        <v>705</v>
      </c>
      <c r="H229" t="s">
        <v>26</v>
      </c>
      <c r="I229" t="s">
        <v>27</v>
      </c>
      <c r="J229" s="6">
        <v>15229</v>
      </c>
      <c r="K229" s="16">
        <v>993</v>
      </c>
      <c r="L229" s="16">
        <v>1001</v>
      </c>
      <c r="M229" s="16">
        <v>1009</v>
      </c>
      <c r="N229" s="16">
        <v>1015</v>
      </c>
      <c r="O229" s="16">
        <v>1000</v>
      </c>
      <c r="P229" s="16">
        <v>1011</v>
      </c>
      <c r="Q229" s="16">
        <v>998</v>
      </c>
      <c r="R229" s="16">
        <v>1007</v>
      </c>
      <c r="S229" s="16">
        <v>997</v>
      </c>
      <c r="T229" s="16">
        <v>999</v>
      </c>
      <c r="U229" s="15">
        <v>1003</v>
      </c>
      <c r="V229" t="s">
        <v>19</v>
      </c>
      <c r="W229" t="s">
        <v>19</v>
      </c>
      <c r="X229">
        <v>132</v>
      </c>
      <c r="Y229" s="16">
        <f>VLOOKUP(Tabela1[[#This Row],[SKU]],SKU!A:D,4,0)</f>
        <v>1000</v>
      </c>
      <c r="Z229" s="18">
        <f>IFERROR((Tabela1[[#This Row],[Média]]-Tabela1[[#This Row],[Meta]])/Tabela1[[#This Row],[Meta]],"")</f>
        <v>3.0000000000000001E-3</v>
      </c>
      <c r="AA229" s="19">
        <f>Tabela1[[#This Row],[Média]]-Tabela1[[#This Row],[Meta]]</f>
        <v>3</v>
      </c>
      <c r="AB229" s="6" t="str">
        <f>VLOOKUP(Tabela1[[#This Row],[SKU]],SKU!A:B,2,0)</f>
        <v>COXA CG BDJ SE</v>
      </c>
      <c r="AC229" s="6" t="str">
        <f>VLOOKUP(Tabela1[[#This Row],[SKU]],SKU!A:C,3,0)</f>
        <v>PERNA</v>
      </c>
    </row>
    <row r="230" spans="1:29" x14ac:dyDescent="0.3">
      <c r="A230" s="2">
        <f>INT(Tabela1[[#This Row],[Data e Hora2]])</f>
        <v>46259</v>
      </c>
      <c r="B230" s="6" t="str">
        <f>UPPER(TEXT(Tabela1[[#This Row],[Data Corrigida]],"MMM"))</f>
        <v>AGO</v>
      </c>
      <c r="C230" t="s">
        <v>710</v>
      </c>
      <c r="D230" s="2" t="s">
        <v>711</v>
      </c>
      <c r="E230" s="1" t="s">
        <v>704</v>
      </c>
      <c r="F230" t="s">
        <v>24</v>
      </c>
      <c r="G230" s="2" t="s">
        <v>705</v>
      </c>
      <c r="H230" t="s">
        <v>26</v>
      </c>
      <c r="I230" t="s">
        <v>27</v>
      </c>
      <c r="J230" s="6">
        <v>54632</v>
      </c>
      <c r="K230" s="16">
        <v>1001</v>
      </c>
      <c r="L230" s="16">
        <v>1004</v>
      </c>
      <c r="M230" s="16">
        <v>992</v>
      </c>
      <c r="N230" s="16">
        <v>1005</v>
      </c>
      <c r="O230" s="16">
        <v>1005</v>
      </c>
      <c r="P230" s="16">
        <v>1003</v>
      </c>
      <c r="Q230" s="16">
        <v>1009</v>
      </c>
      <c r="R230" s="16">
        <v>993</v>
      </c>
      <c r="S230" s="16">
        <v>1009</v>
      </c>
      <c r="T230" s="16">
        <v>1006</v>
      </c>
      <c r="U230" s="15">
        <v>1002.7</v>
      </c>
      <c r="V230" t="s">
        <v>19</v>
      </c>
      <c r="W230" t="s">
        <v>28</v>
      </c>
      <c r="X230">
        <v>194</v>
      </c>
      <c r="Y230" s="16">
        <f>VLOOKUP(Tabela1[[#This Row],[SKU]],SKU!A:D,4,0)</f>
        <v>1000</v>
      </c>
      <c r="Z230" s="18">
        <f>IFERROR((Tabela1[[#This Row],[Média]]-Tabela1[[#This Row],[Meta]])/Tabela1[[#This Row],[Meta]],"")</f>
        <v>2.7000000000000457E-3</v>
      </c>
      <c r="AA230" s="19">
        <f>Tabela1[[#This Row],[Média]]-Tabela1[[#This Row],[Meta]]</f>
        <v>2.7000000000000455</v>
      </c>
      <c r="AB230" s="6" t="str">
        <f>VLOOKUP(Tabela1[[#This Row],[SKU]],SKU!A:B,2,0)</f>
        <v>COXA SBCX S/O BDJ CG</v>
      </c>
      <c r="AC230" s="6" t="str">
        <f>VLOOKUP(Tabela1[[#This Row],[SKU]],SKU!A:C,3,0)</f>
        <v>PERNA</v>
      </c>
    </row>
    <row r="231" spans="1:29" x14ac:dyDescent="0.3">
      <c r="A231" s="2">
        <f>INT(Tabela1[[#This Row],[Data e Hora2]])</f>
        <v>46259</v>
      </c>
      <c r="B231" s="6" t="str">
        <f>UPPER(TEXT(Tabela1[[#This Row],[Data Corrigida]],"MMM"))</f>
        <v>AGO</v>
      </c>
      <c r="C231" t="s">
        <v>712</v>
      </c>
      <c r="D231" s="2" t="s">
        <v>713</v>
      </c>
      <c r="E231" s="1" t="s">
        <v>704</v>
      </c>
      <c r="F231" t="s">
        <v>24</v>
      </c>
      <c r="G231" s="2" t="s">
        <v>705</v>
      </c>
      <c r="H231" t="s">
        <v>26</v>
      </c>
      <c r="I231" t="s">
        <v>27</v>
      </c>
      <c r="J231" s="6">
        <v>40762</v>
      </c>
      <c r="K231" s="16">
        <v>10065</v>
      </c>
      <c r="L231" s="16">
        <v>9985</v>
      </c>
      <c r="M231" s="16">
        <v>10070</v>
      </c>
      <c r="N231" s="16">
        <v>10000</v>
      </c>
      <c r="O231" s="16">
        <v>9995</v>
      </c>
      <c r="P231" s="16">
        <v>10080</v>
      </c>
      <c r="Q231" s="16">
        <v>10090</v>
      </c>
      <c r="R231" s="16">
        <v>10055</v>
      </c>
      <c r="S231" s="16">
        <v>10075</v>
      </c>
      <c r="T231" s="16">
        <v>10045</v>
      </c>
      <c r="U231" s="15">
        <v>10046</v>
      </c>
      <c r="V231" t="s">
        <v>19</v>
      </c>
      <c r="W231" t="s">
        <v>28</v>
      </c>
      <c r="X231">
        <v>417</v>
      </c>
      <c r="Y231" s="16">
        <f>VLOOKUP(Tabela1[[#This Row],[SKU]],SKU!A:D,4,0)</f>
        <v>10000</v>
      </c>
      <c r="Z231" s="18">
        <f>IFERROR((Tabela1[[#This Row],[Média]]-Tabela1[[#This Row],[Meta]])/Tabela1[[#This Row],[Meta]],"")</f>
        <v>4.5999999999999999E-3</v>
      </c>
      <c r="AA231" s="19">
        <f>Tabela1[[#This Row],[Média]]-Tabela1[[#This Row],[Meta]]</f>
        <v>46</v>
      </c>
      <c r="AB231" s="6" t="str">
        <f>VLOOKUP(Tabela1[[#This Row],[SKU]],SKU!A:B,2,0)</f>
        <v>COXA SBCX LQ FG LP</v>
      </c>
      <c r="AC231" s="6" t="str">
        <f>VLOOKUP(Tabela1[[#This Row],[SKU]],SKU!A:C,3,0)</f>
        <v>PERNA</v>
      </c>
    </row>
    <row r="232" spans="1:29" x14ac:dyDescent="0.3">
      <c r="A232" s="2">
        <f>INT(Tabela1[[#This Row],[Data e Hora2]])</f>
        <v>46259</v>
      </c>
      <c r="B232" s="6" t="str">
        <f>UPPER(TEXT(Tabela1[[#This Row],[Data Corrigida]],"MMM"))</f>
        <v>AGO</v>
      </c>
      <c r="C232" t="s">
        <v>714</v>
      </c>
      <c r="D232" s="2" t="s">
        <v>715</v>
      </c>
      <c r="E232" s="1" t="s">
        <v>704</v>
      </c>
      <c r="F232" t="s">
        <v>24</v>
      </c>
      <c r="G232" s="2" t="s">
        <v>705</v>
      </c>
      <c r="H232" t="s">
        <v>26</v>
      </c>
      <c r="I232" t="s">
        <v>27</v>
      </c>
      <c r="J232" s="6">
        <v>15105</v>
      </c>
      <c r="K232" s="16">
        <v>1006</v>
      </c>
      <c r="L232" s="16">
        <v>1020</v>
      </c>
      <c r="M232" s="16">
        <v>999</v>
      </c>
      <c r="N232" s="16">
        <v>1006</v>
      </c>
      <c r="O232" s="16">
        <v>997</v>
      </c>
      <c r="P232" s="16">
        <v>1038</v>
      </c>
      <c r="Q232" s="16">
        <v>1007</v>
      </c>
      <c r="R232" s="16">
        <v>1028</v>
      </c>
      <c r="S232" s="16">
        <v>1001</v>
      </c>
      <c r="T232" s="16">
        <v>1011</v>
      </c>
      <c r="U232" s="15">
        <v>1011.3</v>
      </c>
      <c r="V232" t="s">
        <v>19</v>
      </c>
      <c r="W232" t="s">
        <v>28</v>
      </c>
      <c r="X232">
        <v>243</v>
      </c>
      <c r="Y232" s="16">
        <f>VLOOKUP(Tabela1[[#This Row],[SKU]],SKU!A:D,4,0)</f>
        <v>1000</v>
      </c>
      <c r="Z232" s="18">
        <f>IFERROR((Tabela1[[#This Row],[Média]]-Tabela1[[#This Row],[Meta]])/Tabela1[[#This Row],[Meta]],"")</f>
        <v>1.1299999999999954E-2</v>
      </c>
      <c r="AA232" s="19">
        <f>Tabela1[[#This Row],[Média]]-Tabela1[[#This Row],[Meta]]</f>
        <v>11.299999999999955</v>
      </c>
      <c r="AB232" s="6" t="str">
        <f>VLOOKUP(Tabela1[[#This Row],[SKU]],SKU!A:B,2,0)</f>
        <v>FILE PEITO MET CG BDJ SE</v>
      </c>
      <c r="AC232" s="6" t="str">
        <f>VLOOKUP(Tabela1[[#This Row],[SKU]],SKU!A:C,3,0)</f>
        <v>PEITO</v>
      </c>
    </row>
    <row r="233" spans="1:29" x14ac:dyDescent="0.3">
      <c r="A233" s="2">
        <f>INT(Tabela1[[#This Row],[Data e Hora2]])</f>
        <v>46259</v>
      </c>
      <c r="B233" s="6" t="str">
        <f>UPPER(TEXT(Tabela1[[#This Row],[Data Corrigida]],"MMM"))</f>
        <v>AGO</v>
      </c>
      <c r="C233" t="s">
        <v>716</v>
      </c>
      <c r="D233" s="2" t="s">
        <v>717</v>
      </c>
      <c r="E233" s="1" t="s">
        <v>704</v>
      </c>
      <c r="F233" t="s">
        <v>24</v>
      </c>
      <c r="G233" s="2" t="s">
        <v>705</v>
      </c>
      <c r="H233" t="s">
        <v>26</v>
      </c>
      <c r="I233" t="s">
        <v>27</v>
      </c>
      <c r="J233" s="6">
        <v>992093</v>
      </c>
      <c r="K233" s="16">
        <v>5010</v>
      </c>
      <c r="L233" s="16">
        <v>5015</v>
      </c>
      <c r="M233" s="16">
        <v>5014</v>
      </c>
      <c r="N233" s="16">
        <v>5010</v>
      </c>
      <c r="O233" s="16">
        <v>5007</v>
      </c>
      <c r="P233" s="16">
        <v>5005</v>
      </c>
      <c r="Q233" s="16">
        <v>5018</v>
      </c>
      <c r="R233" s="16">
        <v>5010</v>
      </c>
      <c r="S233" s="16">
        <v>5003</v>
      </c>
      <c r="T233" s="16">
        <v>5009</v>
      </c>
      <c r="U233" s="15">
        <v>5010.1000000000004</v>
      </c>
      <c r="V233" t="s">
        <v>19</v>
      </c>
      <c r="W233" t="s">
        <v>28</v>
      </c>
      <c r="X233">
        <v>432</v>
      </c>
      <c r="Y233" s="16">
        <f>VLOOKUP(Tabela1[[#This Row],[SKU]],SKU!A:D,4,0)</f>
        <v>5000</v>
      </c>
      <c r="Z233" s="18">
        <f>IFERROR((Tabela1[[#This Row],[Média]]-Tabela1[[#This Row],[Meta]])/Tabela1[[#This Row],[Meta]],"")</f>
        <v>2.020000000000073E-3</v>
      </c>
      <c r="AA233" s="19">
        <f>Tabela1[[#This Row],[Média]]-Tabela1[[#This Row],[Meta]]</f>
        <v>10.100000000000364</v>
      </c>
      <c r="AB233" s="6" t="str">
        <f>VLOOKUP(Tabela1[[#This Row],[SKU]],SKU!A:B,2,0)</f>
        <v>PONTA ASA FG PB CG</v>
      </c>
      <c r="AC233" s="6" t="str">
        <f>VLOOKUP(Tabela1[[#This Row],[SKU]],SKU!A:C,3,0)</f>
        <v>ASA</v>
      </c>
    </row>
    <row r="234" spans="1:29" x14ac:dyDescent="0.3">
      <c r="A234" s="2">
        <f>INT(Tabela1[[#This Row],[Data e Hora2]])</f>
        <v>46259</v>
      </c>
      <c r="B234" s="6" t="str">
        <f>UPPER(TEXT(Tabela1[[#This Row],[Data Corrigida]],"MMM"))</f>
        <v>AGO</v>
      </c>
      <c r="C234" t="s">
        <v>718</v>
      </c>
      <c r="D234" s="2" t="s">
        <v>719</v>
      </c>
      <c r="E234" s="1" t="s">
        <v>704</v>
      </c>
      <c r="F234" t="s">
        <v>24</v>
      </c>
      <c r="G234" s="2" t="s">
        <v>705</v>
      </c>
      <c r="H234" t="s">
        <v>26</v>
      </c>
      <c r="I234" t="s">
        <v>27</v>
      </c>
      <c r="J234" s="6">
        <v>995638</v>
      </c>
      <c r="K234" s="16">
        <v>15055</v>
      </c>
      <c r="L234" s="16">
        <v>15050</v>
      </c>
      <c r="M234" s="16">
        <v>15040</v>
      </c>
      <c r="N234" s="16">
        <v>15020</v>
      </c>
      <c r="O234" s="16">
        <v>15015</v>
      </c>
      <c r="P234" s="16">
        <v>15040</v>
      </c>
      <c r="Q234" s="16">
        <v>15045</v>
      </c>
      <c r="R234" s="16">
        <v>15025</v>
      </c>
      <c r="S234" s="16">
        <v>15015</v>
      </c>
      <c r="T234" s="16">
        <v>15010</v>
      </c>
      <c r="U234" s="15">
        <v>15031.5</v>
      </c>
      <c r="V234" t="s">
        <v>19</v>
      </c>
      <c r="W234" t="s">
        <v>19</v>
      </c>
      <c r="X234">
        <v>225</v>
      </c>
      <c r="Y234" s="16">
        <f>VLOOKUP(Tabela1[[#This Row],[SKU]],SKU!A:D,4,0)</f>
        <v>15000</v>
      </c>
      <c r="Z234" s="18">
        <f>IFERROR((Tabela1[[#This Row],[Média]]-Tabela1[[#This Row],[Meta]])/Tabela1[[#This Row],[Meta]],"")</f>
        <v>2.0999999999999999E-3</v>
      </c>
      <c r="AA234" s="19">
        <f>Tabela1[[#This Row],[Média]]-Tabela1[[#This Row],[Meta]]</f>
        <v>31.5</v>
      </c>
      <c r="AB234" s="6" t="str">
        <f>VLOOKUP(Tabela1[[#This Row],[SKU]],SKU!A:B,2,0)</f>
        <v>MEIO DA ASA 40-50G LP</v>
      </c>
      <c r="AC234" s="6" t="str">
        <f>VLOOKUP(Tabela1[[#This Row],[SKU]],SKU!A:C,3,0)</f>
        <v>ASA</v>
      </c>
    </row>
    <row r="235" spans="1:29" x14ac:dyDescent="0.3">
      <c r="A235" s="2">
        <f>INT(Tabela1[[#This Row],[Data e Hora2]])</f>
        <v>46259</v>
      </c>
      <c r="B235" s="6" t="str">
        <f>UPPER(TEXT(Tabela1[[#This Row],[Data Corrigida]],"MMM"))</f>
        <v>AGO</v>
      </c>
      <c r="C235" t="s">
        <v>720</v>
      </c>
      <c r="D235" s="2" t="s">
        <v>721</v>
      </c>
      <c r="E235" s="1" t="s">
        <v>704</v>
      </c>
      <c r="F235" t="s">
        <v>24</v>
      </c>
      <c r="G235" s="2" t="s">
        <v>705</v>
      </c>
      <c r="H235" t="s">
        <v>26</v>
      </c>
      <c r="I235" t="s">
        <v>27</v>
      </c>
      <c r="J235" s="6">
        <v>42862</v>
      </c>
      <c r="K235" s="16">
        <v>2022</v>
      </c>
      <c r="L235" s="16">
        <v>2005</v>
      </c>
      <c r="M235" s="16">
        <v>2016</v>
      </c>
      <c r="N235" s="16">
        <v>2011</v>
      </c>
      <c r="O235" s="16">
        <v>2007</v>
      </c>
      <c r="P235" s="16">
        <v>2009</v>
      </c>
      <c r="Q235" s="16">
        <v>2020</v>
      </c>
      <c r="R235" s="16">
        <v>2049</v>
      </c>
      <c r="S235" s="16">
        <v>1996</v>
      </c>
      <c r="T235" s="16">
        <v>2027</v>
      </c>
      <c r="U235" s="15">
        <v>2016.2</v>
      </c>
      <c r="V235" t="s">
        <v>19</v>
      </c>
      <c r="W235" t="s">
        <v>28</v>
      </c>
      <c r="X235">
        <v>130</v>
      </c>
      <c r="Y235" s="16">
        <f>VLOOKUP(Tabela1[[#This Row],[SKU]],SKU!A:D,4,0)</f>
        <v>2000</v>
      </c>
      <c r="Z235" s="18">
        <f>IFERROR((Tabela1[[#This Row],[Média]]-Tabela1[[#This Row],[Meta]])/Tabela1[[#This Row],[Meta]],"")</f>
        <v>8.1000000000000221E-3</v>
      </c>
      <c r="AA235" s="19">
        <f>Tabela1[[#This Row],[Média]]-Tabela1[[#This Row],[Meta]]</f>
        <v>16.200000000000045</v>
      </c>
      <c r="AB235" s="6" t="str">
        <f>VLOOKUP(Tabela1[[#This Row],[SKU]],SKU!A:B,2,0)</f>
        <v>COXA SBCX S/O FG 280-300g PB</v>
      </c>
      <c r="AC235" s="6" t="str">
        <f>VLOOKUP(Tabela1[[#This Row],[SKU]],SKU!A:C,3,0)</f>
        <v>PERNA</v>
      </c>
    </row>
    <row r="236" spans="1:29" x14ac:dyDescent="0.3">
      <c r="A236" s="2">
        <f>INT(Tabela1[[#This Row],[Data e Hora2]])</f>
        <v>46259</v>
      </c>
      <c r="B236" s="6" t="str">
        <f>UPPER(TEXT(Tabela1[[#This Row],[Data Corrigida]],"MMM"))</f>
        <v>AGO</v>
      </c>
      <c r="C236" t="s">
        <v>722</v>
      </c>
      <c r="D236" s="2" t="s">
        <v>723</v>
      </c>
      <c r="E236" s="1" t="s">
        <v>704</v>
      </c>
      <c r="F236" t="s">
        <v>24</v>
      </c>
      <c r="G236" s="2" t="s">
        <v>705</v>
      </c>
      <c r="H236" t="s">
        <v>26</v>
      </c>
      <c r="I236" t="s">
        <v>27</v>
      </c>
      <c r="J236" s="6">
        <v>42854</v>
      </c>
      <c r="K236" s="16">
        <v>2110</v>
      </c>
      <c r="L236" s="16">
        <v>2100</v>
      </c>
      <c r="M236" s="16">
        <v>2124</v>
      </c>
      <c r="N236" s="16">
        <v>2120</v>
      </c>
      <c r="O236" s="16">
        <v>2106</v>
      </c>
      <c r="P236" s="16">
        <v>2108</v>
      </c>
      <c r="Q236" s="16">
        <v>2111</v>
      </c>
      <c r="R236" s="16">
        <v>2114</v>
      </c>
      <c r="S236" s="16">
        <v>2096</v>
      </c>
      <c r="T236" s="16">
        <v>2091</v>
      </c>
      <c r="U236" s="15">
        <v>2108</v>
      </c>
      <c r="V236" t="s">
        <v>19</v>
      </c>
      <c r="W236" t="s">
        <v>19</v>
      </c>
      <c r="X236">
        <v>120</v>
      </c>
      <c r="Y236" s="16">
        <f>VLOOKUP(Tabela1[[#This Row],[SKU]],SKU!A:D,4,0)</f>
        <v>2080</v>
      </c>
      <c r="Z236" s="18">
        <f>IFERROR((Tabela1[[#This Row],[Média]]-Tabela1[[#This Row],[Meta]])/Tabela1[[#This Row],[Meta]],"")</f>
        <v>1.3461538461538462E-2</v>
      </c>
      <c r="AA236" s="19">
        <f>Tabela1[[#This Row],[Média]]-Tabela1[[#This Row],[Meta]]</f>
        <v>28</v>
      </c>
      <c r="AB236" s="6" t="str">
        <f>VLOOKUP(Tabela1[[#This Row],[SKU]],SKU!A:B,2,0)</f>
        <v>COXA SBCX S/O FG 260-280g PB</v>
      </c>
      <c r="AC236" s="6" t="str">
        <f>VLOOKUP(Tabela1[[#This Row],[SKU]],SKU!A:C,3,0)</f>
        <v>PERNA</v>
      </c>
    </row>
    <row r="237" spans="1:29" x14ac:dyDescent="0.3">
      <c r="A237" s="2">
        <f>INT(Tabela1[[#This Row],[Data e Hora2]])</f>
        <v>46259</v>
      </c>
      <c r="B237" s="6" t="str">
        <f>UPPER(TEXT(Tabela1[[#This Row],[Data Corrigida]],"MMM"))</f>
        <v>AGO</v>
      </c>
      <c r="C237" t="s">
        <v>724</v>
      </c>
      <c r="D237" s="2" t="s">
        <v>725</v>
      </c>
      <c r="E237" s="1" t="s">
        <v>704</v>
      </c>
      <c r="F237" t="s">
        <v>24</v>
      </c>
      <c r="G237" s="2" t="s">
        <v>705</v>
      </c>
      <c r="H237" t="s">
        <v>26</v>
      </c>
      <c r="I237" t="s">
        <v>27</v>
      </c>
      <c r="J237" s="6">
        <v>42846</v>
      </c>
      <c r="K237" s="16">
        <v>2018</v>
      </c>
      <c r="L237" s="16">
        <v>2002</v>
      </c>
      <c r="M237" s="16">
        <v>2005</v>
      </c>
      <c r="N237" s="16">
        <v>2003</v>
      </c>
      <c r="O237" s="16">
        <v>1999</v>
      </c>
      <c r="P237" s="16">
        <v>2008</v>
      </c>
      <c r="Q237" s="16">
        <v>2013</v>
      </c>
      <c r="R237" s="16">
        <v>2002</v>
      </c>
      <c r="S237" s="16">
        <v>2010</v>
      </c>
      <c r="T237" s="16">
        <v>2005</v>
      </c>
      <c r="U237" s="15">
        <v>2006.5</v>
      </c>
      <c r="V237" t="s">
        <v>19</v>
      </c>
      <c r="W237" t="s">
        <v>28</v>
      </c>
      <c r="X237">
        <v>622</v>
      </c>
      <c r="Y237" s="16">
        <f>VLOOKUP(Tabela1[[#This Row],[SKU]],SKU!A:D,4,0)</f>
        <v>2000</v>
      </c>
      <c r="Z237" s="18">
        <f>IFERROR((Tabela1[[#This Row],[Média]]-Tabela1[[#This Row],[Meta]])/Tabela1[[#This Row],[Meta]],"")</f>
        <v>3.2499999999999999E-3</v>
      </c>
      <c r="AA237" s="19">
        <f>Tabela1[[#This Row],[Média]]-Tabela1[[#This Row],[Meta]]</f>
        <v>6.5</v>
      </c>
      <c r="AB237" s="6" t="str">
        <f>VLOOKUP(Tabela1[[#This Row],[SKU]],SKU!A:B,2,0)</f>
        <v>COXA SBCX S/O FG 240-260g PB</v>
      </c>
      <c r="AC237" s="6" t="str">
        <f>VLOOKUP(Tabela1[[#This Row],[SKU]],SKU!A:C,3,0)</f>
        <v>PERNA</v>
      </c>
    </row>
    <row r="238" spans="1:29" x14ac:dyDescent="0.3">
      <c r="A238" s="2">
        <f>INT(Tabela1[[#This Row],[Data e Hora2]])</f>
        <v>46259</v>
      </c>
      <c r="B238" s="6" t="str">
        <f>UPPER(TEXT(Tabela1[[#This Row],[Data Corrigida]],"MMM"))</f>
        <v>AGO</v>
      </c>
      <c r="C238" t="s">
        <v>726</v>
      </c>
      <c r="D238" s="2" t="s">
        <v>727</v>
      </c>
      <c r="E238" s="1" t="s">
        <v>704</v>
      </c>
      <c r="F238" t="s">
        <v>24</v>
      </c>
      <c r="G238" s="2" t="s">
        <v>705</v>
      </c>
      <c r="H238" t="s">
        <v>26</v>
      </c>
      <c r="I238" t="s">
        <v>27</v>
      </c>
      <c r="J238" s="6">
        <v>15105</v>
      </c>
      <c r="K238" s="16">
        <v>982</v>
      </c>
      <c r="L238" s="16">
        <v>1006</v>
      </c>
      <c r="M238" s="16">
        <v>1006</v>
      </c>
      <c r="N238" s="16">
        <v>1009</v>
      </c>
      <c r="O238" s="16">
        <v>1016</v>
      </c>
      <c r="P238" s="16">
        <v>1009</v>
      </c>
      <c r="Q238" s="16">
        <v>1030</v>
      </c>
      <c r="R238" s="16">
        <v>1026</v>
      </c>
      <c r="S238" s="16">
        <v>985</v>
      </c>
      <c r="T238" s="16">
        <v>1010</v>
      </c>
      <c r="U238" s="15">
        <v>1007.9</v>
      </c>
      <c r="V238" t="s">
        <v>19</v>
      </c>
      <c r="W238" t="s">
        <v>28</v>
      </c>
      <c r="X238">
        <v>987</v>
      </c>
      <c r="Y238" s="16">
        <f>VLOOKUP(Tabela1[[#This Row],[SKU]],SKU!A:D,4,0)</f>
        <v>1000</v>
      </c>
      <c r="Z238" s="18">
        <f>IFERROR((Tabela1[[#This Row],[Média]]-Tabela1[[#This Row],[Meta]])/Tabela1[[#This Row],[Meta]],"")</f>
        <v>7.8999999999999765E-3</v>
      </c>
      <c r="AA238" s="19">
        <f>Tabela1[[#This Row],[Média]]-Tabela1[[#This Row],[Meta]]</f>
        <v>7.8999999999999773</v>
      </c>
      <c r="AB238" s="6" t="str">
        <f>VLOOKUP(Tabela1[[#This Row],[SKU]],SKU!A:B,2,0)</f>
        <v>FILE PEITO MET CG BDJ SE</v>
      </c>
      <c r="AC238" s="6" t="str">
        <f>VLOOKUP(Tabela1[[#This Row],[SKU]],SKU!A:C,3,0)</f>
        <v>PEITO</v>
      </c>
    </row>
    <row r="239" spans="1:29" x14ac:dyDescent="0.3">
      <c r="A239" s="2">
        <f>INT(Tabela1[[#This Row],[Data e Hora2]])</f>
        <v>46259</v>
      </c>
      <c r="B239" s="6" t="str">
        <f>UPPER(TEXT(Tabela1[[#This Row],[Data Corrigida]],"MMM"))</f>
        <v>AGO</v>
      </c>
      <c r="C239" t="s">
        <v>728</v>
      </c>
      <c r="D239" s="2" t="s">
        <v>729</v>
      </c>
      <c r="E239" s="1" t="s">
        <v>730</v>
      </c>
      <c r="F239" t="s">
        <v>56</v>
      </c>
      <c r="G239" s="2" t="s">
        <v>705</v>
      </c>
      <c r="H239" t="s">
        <v>26</v>
      </c>
      <c r="I239" t="s">
        <v>57</v>
      </c>
      <c r="J239" s="6">
        <v>15105</v>
      </c>
      <c r="K239" s="16">
        <v>1007</v>
      </c>
      <c r="L239" s="16">
        <v>1023</v>
      </c>
      <c r="M239" s="16">
        <v>1024</v>
      </c>
      <c r="N239" s="16">
        <v>1038</v>
      </c>
      <c r="O239" s="16">
        <v>1018</v>
      </c>
      <c r="P239" s="16">
        <v>1012</v>
      </c>
      <c r="Q239" s="16">
        <v>1049</v>
      </c>
      <c r="R239" s="16">
        <v>1008</v>
      </c>
      <c r="S239" s="16">
        <v>1009</v>
      </c>
      <c r="T239" s="16">
        <v>997</v>
      </c>
      <c r="U239" s="15">
        <v>1018.5</v>
      </c>
      <c r="V239" t="s">
        <v>19</v>
      </c>
      <c r="W239" t="s">
        <v>28</v>
      </c>
      <c r="X239">
        <v>2845</v>
      </c>
      <c r="Y239" s="16">
        <f>VLOOKUP(Tabela1[[#This Row],[SKU]],SKU!A:D,4,0)</f>
        <v>1000</v>
      </c>
      <c r="Z239" s="18">
        <f>IFERROR((Tabela1[[#This Row],[Média]]-Tabela1[[#This Row],[Meta]])/Tabela1[[#This Row],[Meta]],"")</f>
        <v>1.8499999999999999E-2</v>
      </c>
      <c r="AA239" s="19">
        <f>Tabela1[[#This Row],[Média]]-Tabela1[[#This Row],[Meta]]</f>
        <v>18.5</v>
      </c>
      <c r="AB239" s="6" t="str">
        <f>VLOOKUP(Tabela1[[#This Row],[SKU]],SKU!A:B,2,0)</f>
        <v>FILE PEITO MET CG BDJ SE</v>
      </c>
      <c r="AC239" s="6" t="str">
        <f>VLOOKUP(Tabela1[[#This Row],[SKU]],SKU!A:C,3,0)</f>
        <v>PEITO</v>
      </c>
    </row>
    <row r="240" spans="1:29" x14ac:dyDescent="0.3">
      <c r="A240" s="2">
        <f>INT(Tabela1[[#This Row],[Data e Hora2]])</f>
        <v>46259</v>
      </c>
      <c r="B240" s="6" t="str">
        <f>UPPER(TEXT(Tabela1[[#This Row],[Data Corrigida]],"MMM"))</f>
        <v>AGO</v>
      </c>
      <c r="C240" t="s">
        <v>731</v>
      </c>
      <c r="D240" s="2" t="s">
        <v>732</v>
      </c>
      <c r="E240" s="1" t="s">
        <v>733</v>
      </c>
      <c r="F240" t="s">
        <v>56</v>
      </c>
      <c r="G240" s="2" t="s">
        <v>705</v>
      </c>
      <c r="H240" t="s">
        <v>26</v>
      </c>
      <c r="I240" t="s">
        <v>57</v>
      </c>
      <c r="J240" s="6">
        <v>197742</v>
      </c>
      <c r="K240" s="16">
        <v>1008</v>
      </c>
      <c r="L240" s="16">
        <v>1009</v>
      </c>
      <c r="M240" s="16">
        <v>1012</v>
      </c>
      <c r="N240" s="16">
        <v>1006</v>
      </c>
      <c r="O240" s="16">
        <v>1004</v>
      </c>
      <c r="P240" s="16">
        <v>1006</v>
      </c>
      <c r="Q240" s="16">
        <v>999</v>
      </c>
      <c r="R240" s="16">
        <v>1004</v>
      </c>
      <c r="S240" s="16">
        <v>1000</v>
      </c>
      <c r="T240" s="16">
        <v>1007</v>
      </c>
      <c r="U240" s="15">
        <v>1005.5</v>
      </c>
      <c r="V240" t="s">
        <v>19</v>
      </c>
      <c r="W240" t="s">
        <v>28</v>
      </c>
      <c r="X240">
        <v>232</v>
      </c>
      <c r="Y240" s="16">
        <f>VLOOKUP(Tabela1[[#This Row],[SKU]],SKU!A:D,4,0)</f>
        <v>1000</v>
      </c>
      <c r="Z240" s="18">
        <f>IFERROR((Tabela1[[#This Row],[Média]]-Tabela1[[#This Row],[Meta]])/Tabela1[[#This Row],[Meta]],"")</f>
        <v>5.4999999999999997E-3</v>
      </c>
      <c r="AA240" s="19">
        <f>Tabela1[[#This Row],[Média]]-Tabela1[[#This Row],[Meta]]</f>
        <v>5.5</v>
      </c>
      <c r="AB240" s="6" t="str">
        <f>VLOOKUP(Tabela1[[#This Row],[SKU]],SKU!A:B,2,0)</f>
        <v>COXINHA ASA IQF ALM SE</v>
      </c>
      <c r="AC240" s="6" t="str">
        <f>VLOOKUP(Tabela1[[#This Row],[SKU]],SKU!A:C,3,0)</f>
        <v>ASA</v>
      </c>
    </row>
    <row r="241" spans="1:29" x14ac:dyDescent="0.3">
      <c r="A241" s="2">
        <f>INT(Tabela1[[#This Row],[Data e Hora2]])</f>
        <v>46259</v>
      </c>
      <c r="B241" s="6" t="str">
        <f>UPPER(TEXT(Tabela1[[#This Row],[Data Corrigida]],"MMM"))</f>
        <v>AGO</v>
      </c>
      <c r="C241" t="s">
        <v>734</v>
      </c>
      <c r="D241" s="2" t="s">
        <v>735</v>
      </c>
      <c r="E241" s="1" t="s">
        <v>736</v>
      </c>
      <c r="F241" t="s">
        <v>56</v>
      </c>
      <c r="G241" s="2" t="s">
        <v>705</v>
      </c>
      <c r="H241" t="s">
        <v>26</v>
      </c>
      <c r="I241" t="s">
        <v>57</v>
      </c>
      <c r="J241" s="6">
        <v>40762</v>
      </c>
      <c r="K241" s="16">
        <v>10040</v>
      </c>
      <c r="L241" s="16">
        <v>10025</v>
      </c>
      <c r="M241" s="16">
        <v>10005</v>
      </c>
      <c r="N241" s="16">
        <v>10000</v>
      </c>
      <c r="O241" s="16">
        <v>9955</v>
      </c>
      <c r="P241" s="16">
        <v>9995</v>
      </c>
      <c r="Q241" s="16">
        <v>10035</v>
      </c>
      <c r="R241" s="16">
        <v>10050</v>
      </c>
      <c r="S241" s="16">
        <v>10080</v>
      </c>
      <c r="T241" s="16">
        <v>10080</v>
      </c>
      <c r="U241" s="15">
        <v>10026.5</v>
      </c>
      <c r="V241" t="s">
        <v>19</v>
      </c>
      <c r="W241" t="s">
        <v>28</v>
      </c>
      <c r="X241">
        <v>509</v>
      </c>
      <c r="Y241" s="16">
        <f>VLOOKUP(Tabela1[[#This Row],[SKU]],SKU!A:D,4,0)</f>
        <v>10000</v>
      </c>
      <c r="Z241" s="18">
        <f>IFERROR((Tabela1[[#This Row],[Média]]-Tabela1[[#This Row],[Meta]])/Tabela1[[#This Row],[Meta]],"")</f>
        <v>2.65E-3</v>
      </c>
      <c r="AA241" s="19">
        <f>Tabela1[[#This Row],[Média]]-Tabela1[[#This Row],[Meta]]</f>
        <v>26.5</v>
      </c>
      <c r="AB241" s="6" t="str">
        <f>VLOOKUP(Tabela1[[#This Row],[SKU]],SKU!A:B,2,0)</f>
        <v>COXA SBCX LQ FG LP</v>
      </c>
      <c r="AC241" s="6" t="str">
        <f>VLOOKUP(Tabela1[[#This Row],[SKU]],SKU!A:C,3,0)</f>
        <v>PERNA</v>
      </c>
    </row>
    <row r="242" spans="1:29" x14ac:dyDescent="0.3">
      <c r="A242" s="2">
        <f>INT(Tabela1[[#This Row],[Data e Hora2]])</f>
        <v>46259</v>
      </c>
      <c r="B242" s="6" t="str">
        <f>UPPER(TEXT(Tabela1[[#This Row],[Data Corrigida]],"MMM"))</f>
        <v>AGO</v>
      </c>
      <c r="C242" t="s">
        <v>737</v>
      </c>
      <c r="D242" s="2" t="s">
        <v>738</v>
      </c>
      <c r="E242" s="1" t="s">
        <v>739</v>
      </c>
      <c r="F242" t="s">
        <v>56</v>
      </c>
      <c r="G242" s="2" t="s">
        <v>705</v>
      </c>
      <c r="H242" t="s">
        <v>26</v>
      </c>
      <c r="I242" t="s">
        <v>57</v>
      </c>
      <c r="J242" s="6">
        <v>15105</v>
      </c>
      <c r="K242" s="16">
        <v>1007</v>
      </c>
      <c r="L242" s="16">
        <v>1014</v>
      </c>
      <c r="M242" s="16">
        <v>1006</v>
      </c>
      <c r="N242" s="16">
        <v>1016</v>
      </c>
      <c r="O242" s="16">
        <v>1057</v>
      </c>
      <c r="P242" s="16">
        <v>1018</v>
      </c>
      <c r="Q242" s="16">
        <v>1008</v>
      </c>
      <c r="R242" s="16">
        <v>1020</v>
      </c>
      <c r="S242" s="16">
        <v>1024</v>
      </c>
      <c r="T242" s="16">
        <v>1034</v>
      </c>
      <c r="U242" s="15">
        <v>1020.4</v>
      </c>
      <c r="V242" t="s">
        <v>19</v>
      </c>
      <c r="W242" t="s">
        <v>28</v>
      </c>
      <c r="X242">
        <v>757</v>
      </c>
      <c r="Y242" s="16">
        <f>VLOOKUP(Tabela1[[#This Row],[SKU]],SKU!A:D,4,0)</f>
        <v>1000</v>
      </c>
      <c r="Z242" s="18">
        <f>IFERROR((Tabela1[[#This Row],[Média]]-Tabela1[[#This Row],[Meta]])/Tabela1[[#This Row],[Meta]],"")</f>
        <v>2.0399999999999977E-2</v>
      </c>
      <c r="AA242" s="19">
        <f>Tabela1[[#This Row],[Média]]-Tabela1[[#This Row],[Meta]]</f>
        <v>20.399999999999977</v>
      </c>
      <c r="AB242" s="6" t="str">
        <f>VLOOKUP(Tabela1[[#This Row],[SKU]],SKU!A:B,2,0)</f>
        <v>FILE PEITO MET CG BDJ SE</v>
      </c>
      <c r="AC242" s="6" t="str">
        <f>VLOOKUP(Tabela1[[#This Row],[SKU]],SKU!A:C,3,0)</f>
        <v>PEITO</v>
      </c>
    </row>
    <row r="243" spans="1:29" x14ac:dyDescent="0.3">
      <c r="A243" s="2">
        <f>INT(Tabela1[[#This Row],[Data e Hora2]])</f>
        <v>46259</v>
      </c>
      <c r="B243" s="6" t="str">
        <f>UPPER(TEXT(Tabela1[[#This Row],[Data Corrigida]],"MMM"))</f>
        <v>AGO</v>
      </c>
      <c r="C243" t="s">
        <v>740</v>
      </c>
      <c r="D243" s="2" t="s">
        <v>741</v>
      </c>
      <c r="E243" s="1" t="s">
        <v>742</v>
      </c>
      <c r="F243" t="s">
        <v>56</v>
      </c>
      <c r="G243" s="2" t="s">
        <v>705</v>
      </c>
      <c r="H243" t="s">
        <v>26</v>
      </c>
      <c r="I243" t="s">
        <v>57</v>
      </c>
      <c r="J243" s="6">
        <v>40762</v>
      </c>
      <c r="K243" s="16">
        <v>10085</v>
      </c>
      <c r="L243" s="16">
        <v>10045</v>
      </c>
      <c r="M243" s="16">
        <v>10000</v>
      </c>
      <c r="N243" s="16">
        <v>10040</v>
      </c>
      <c r="O243" s="16">
        <v>10080</v>
      </c>
      <c r="P243" s="16">
        <v>10080</v>
      </c>
      <c r="Q243" s="16">
        <v>10010</v>
      </c>
      <c r="R243" s="16">
        <v>10035</v>
      </c>
      <c r="S243" s="16">
        <v>10165</v>
      </c>
      <c r="T243" s="16">
        <v>10180</v>
      </c>
      <c r="U243" s="15">
        <v>10072</v>
      </c>
      <c r="V243" t="s">
        <v>19</v>
      </c>
      <c r="W243" t="s">
        <v>28</v>
      </c>
      <c r="X243">
        <v>1352</v>
      </c>
      <c r="Y243" s="16">
        <f>VLOOKUP(Tabela1[[#This Row],[SKU]],SKU!A:D,4,0)</f>
        <v>10000</v>
      </c>
      <c r="Z243" s="18">
        <f>IFERROR((Tabela1[[#This Row],[Média]]-Tabela1[[#This Row],[Meta]])/Tabela1[[#This Row],[Meta]],"")</f>
        <v>7.1999999999999998E-3</v>
      </c>
      <c r="AA243" s="19">
        <f>Tabela1[[#This Row],[Média]]-Tabela1[[#This Row],[Meta]]</f>
        <v>72</v>
      </c>
      <c r="AB243" s="6" t="str">
        <f>VLOOKUP(Tabela1[[#This Row],[SKU]],SKU!A:B,2,0)</f>
        <v>COXA SBCX LQ FG LP</v>
      </c>
      <c r="AC243" s="6" t="str">
        <f>VLOOKUP(Tabela1[[#This Row],[SKU]],SKU!A:C,3,0)</f>
        <v>PERNA</v>
      </c>
    </row>
    <row r="244" spans="1:29" x14ac:dyDescent="0.3">
      <c r="A244" s="2">
        <f>INT(Tabela1[[#This Row],[Data e Hora2]])</f>
        <v>46259</v>
      </c>
      <c r="B244" s="6" t="str">
        <f>UPPER(TEXT(Tabela1[[#This Row],[Data Corrigida]],"MMM"))</f>
        <v>AGO</v>
      </c>
      <c r="C244" t="s">
        <v>743</v>
      </c>
      <c r="D244" s="2" t="s">
        <v>744</v>
      </c>
      <c r="E244" s="1" t="s">
        <v>745</v>
      </c>
      <c r="F244" t="s">
        <v>56</v>
      </c>
      <c r="G244" s="2" t="s">
        <v>705</v>
      </c>
      <c r="H244" t="s">
        <v>26</v>
      </c>
      <c r="I244" t="s">
        <v>57</v>
      </c>
      <c r="J244" s="6">
        <v>15105</v>
      </c>
      <c r="K244" s="16">
        <v>1022</v>
      </c>
      <c r="L244" s="16">
        <v>1004</v>
      </c>
      <c r="M244" s="16">
        <v>1044</v>
      </c>
      <c r="N244" s="16">
        <v>1001</v>
      </c>
      <c r="O244" s="16">
        <v>1000</v>
      </c>
      <c r="P244" s="16">
        <v>1184</v>
      </c>
      <c r="Q244" s="16">
        <v>1014</v>
      </c>
      <c r="R244" s="16">
        <v>1030</v>
      </c>
      <c r="S244" s="16">
        <v>1035</v>
      </c>
      <c r="T244" s="16">
        <v>1145</v>
      </c>
      <c r="U244" s="15">
        <v>1047.9000000000001</v>
      </c>
      <c r="V244" t="s">
        <v>19</v>
      </c>
      <c r="W244" t="s">
        <v>28</v>
      </c>
      <c r="X244">
        <v>1105</v>
      </c>
      <c r="Y244" s="16">
        <f>VLOOKUP(Tabela1[[#This Row],[SKU]],SKU!A:D,4,0)</f>
        <v>1000</v>
      </c>
      <c r="Z244" s="18">
        <f>IFERROR((Tabela1[[#This Row],[Média]]-Tabela1[[#This Row],[Meta]])/Tabela1[[#This Row],[Meta]],"")</f>
        <v>4.7900000000000088E-2</v>
      </c>
      <c r="AA244" s="19">
        <f>Tabela1[[#This Row],[Média]]-Tabela1[[#This Row],[Meta]]</f>
        <v>47.900000000000091</v>
      </c>
      <c r="AB244" s="6" t="str">
        <f>VLOOKUP(Tabela1[[#This Row],[SKU]],SKU!A:B,2,0)</f>
        <v>FILE PEITO MET CG BDJ SE</v>
      </c>
      <c r="AC244" s="6" t="str">
        <f>VLOOKUP(Tabela1[[#This Row],[SKU]],SKU!A:C,3,0)</f>
        <v>PEITO</v>
      </c>
    </row>
    <row r="245" spans="1:29" x14ac:dyDescent="0.3">
      <c r="A245" s="2">
        <f>INT(Tabela1[[#This Row],[Data e Hora2]])</f>
        <v>46259</v>
      </c>
      <c r="B245" s="6" t="str">
        <f>UPPER(TEXT(Tabela1[[#This Row],[Data Corrigida]],"MMM"))</f>
        <v>AGO</v>
      </c>
      <c r="C245" t="s">
        <v>746</v>
      </c>
      <c r="D245" s="2" t="s">
        <v>747</v>
      </c>
      <c r="E245" s="1" t="s">
        <v>748</v>
      </c>
      <c r="F245" t="s">
        <v>24</v>
      </c>
      <c r="G245" s="2" t="s">
        <v>705</v>
      </c>
      <c r="H245" t="s">
        <v>142</v>
      </c>
      <c r="I245" t="s">
        <v>143</v>
      </c>
      <c r="J245" s="6">
        <v>197734</v>
      </c>
      <c r="K245" s="16">
        <v>1021</v>
      </c>
      <c r="L245" s="16">
        <v>1052</v>
      </c>
      <c r="M245" s="16">
        <v>999</v>
      </c>
      <c r="N245" s="16">
        <v>1007</v>
      </c>
      <c r="O245" s="16">
        <v>995</v>
      </c>
      <c r="P245" s="16">
        <v>1058</v>
      </c>
      <c r="Q245" s="16">
        <v>999</v>
      </c>
      <c r="R245" s="16">
        <v>1061</v>
      </c>
      <c r="S245" s="16">
        <v>1003</v>
      </c>
      <c r="T245" s="16">
        <v>1036</v>
      </c>
      <c r="U245" s="15">
        <v>1023.1</v>
      </c>
      <c r="V245" t="s">
        <v>19</v>
      </c>
      <c r="W245" t="s">
        <v>28</v>
      </c>
      <c r="X245">
        <v>265</v>
      </c>
      <c r="Y245" s="16">
        <f>VLOOKUP(Tabela1[[#This Row],[SKU]],SKU!A:D,4,0)</f>
        <v>1000</v>
      </c>
      <c r="Z245" s="18">
        <f>IFERROR((Tabela1[[#This Row],[Média]]-Tabela1[[#This Row],[Meta]])/Tabela1[[#This Row],[Meta]],"")</f>
        <v>2.3100000000000023E-2</v>
      </c>
      <c r="AA245" s="19">
        <f>Tabela1[[#This Row],[Média]]-Tabela1[[#This Row],[Meta]]</f>
        <v>23.100000000000023</v>
      </c>
      <c r="AB245" s="6" t="str">
        <f>VLOOKUP(Tabela1[[#This Row],[SKU]],SKU!A:B,2,0)</f>
        <v>FILEZINHO FRANGO IQF ALM SE</v>
      </c>
      <c r="AC245" s="6" t="str">
        <f>VLOOKUP(Tabela1[[#This Row],[SKU]],SKU!A:C,3,0)</f>
        <v>SASSAMI</v>
      </c>
    </row>
    <row r="246" spans="1:29" x14ac:dyDescent="0.3">
      <c r="A246" s="2">
        <f>INT(Tabela1[[#This Row],[Data e Hora2]])</f>
        <v>46259</v>
      </c>
      <c r="B246" s="6" t="str">
        <f>UPPER(TEXT(Tabela1[[#This Row],[Data Corrigida]],"MMM"))</f>
        <v>AGO</v>
      </c>
      <c r="C246" t="s">
        <v>749</v>
      </c>
      <c r="D246" s="2" t="s">
        <v>750</v>
      </c>
      <c r="E246" s="1" t="s">
        <v>748</v>
      </c>
      <c r="F246" t="s">
        <v>24</v>
      </c>
      <c r="G246" s="2" t="s">
        <v>705</v>
      </c>
      <c r="H246" t="s">
        <v>142</v>
      </c>
      <c r="I246" t="s">
        <v>143</v>
      </c>
      <c r="J246" s="6">
        <v>15105</v>
      </c>
      <c r="K246" s="16">
        <v>989</v>
      </c>
      <c r="L246" s="16">
        <v>1026</v>
      </c>
      <c r="M246" s="16">
        <v>994</v>
      </c>
      <c r="N246" s="16">
        <v>1030</v>
      </c>
      <c r="O246" s="16">
        <v>1009</v>
      </c>
      <c r="P246" s="16">
        <v>992</v>
      </c>
      <c r="Q246" s="16">
        <v>992</v>
      </c>
      <c r="R246" s="16">
        <v>1015</v>
      </c>
      <c r="S246" s="16">
        <v>1032</v>
      </c>
      <c r="T246" s="16">
        <v>992</v>
      </c>
      <c r="U246" s="15">
        <v>1007.1</v>
      </c>
      <c r="V246" t="s">
        <v>19</v>
      </c>
      <c r="W246" t="s">
        <v>28</v>
      </c>
      <c r="X246">
        <v>244</v>
      </c>
      <c r="Y246" s="16">
        <f>VLOOKUP(Tabela1[[#This Row],[SKU]],SKU!A:D,4,0)</f>
        <v>1000</v>
      </c>
      <c r="Z246" s="18">
        <f>IFERROR((Tabela1[[#This Row],[Média]]-Tabela1[[#This Row],[Meta]])/Tabela1[[#This Row],[Meta]],"")</f>
        <v>7.100000000000023E-3</v>
      </c>
      <c r="AA246" s="19">
        <f>Tabela1[[#This Row],[Média]]-Tabela1[[#This Row],[Meta]]</f>
        <v>7.1000000000000227</v>
      </c>
      <c r="AB246" s="6" t="str">
        <f>VLOOKUP(Tabela1[[#This Row],[SKU]],SKU!A:B,2,0)</f>
        <v>FILE PEITO MET CG BDJ SE</v>
      </c>
      <c r="AC246" s="6" t="str">
        <f>VLOOKUP(Tabela1[[#This Row],[SKU]],SKU!A:C,3,0)</f>
        <v>PEITO</v>
      </c>
    </row>
    <row r="247" spans="1:29" x14ac:dyDescent="0.3">
      <c r="A247" s="2">
        <f>INT(Tabela1[[#This Row],[Data e Hora2]])</f>
        <v>46260</v>
      </c>
      <c r="B247" s="6" t="str">
        <f>UPPER(TEXT(Tabela1[[#This Row],[Data Corrigida]],"MMM"))</f>
        <v>AGO</v>
      </c>
      <c r="C247" t="s">
        <v>752</v>
      </c>
      <c r="D247" s="2" t="s">
        <v>753</v>
      </c>
      <c r="E247" s="1" t="s">
        <v>754</v>
      </c>
      <c r="F247" t="s">
        <v>24</v>
      </c>
      <c r="G247" s="2" t="s">
        <v>755</v>
      </c>
      <c r="H247" t="s">
        <v>26</v>
      </c>
      <c r="I247" t="s">
        <v>27</v>
      </c>
      <c r="J247" s="6">
        <v>15105</v>
      </c>
      <c r="K247" s="16">
        <v>1183</v>
      </c>
      <c r="L247" s="16">
        <v>1147</v>
      </c>
      <c r="M247" s="16">
        <v>1010</v>
      </c>
      <c r="N247" s="16">
        <v>1023</v>
      </c>
      <c r="O247" s="16">
        <v>1114</v>
      </c>
      <c r="P247" s="16">
        <v>955</v>
      </c>
      <c r="Q247" s="16">
        <v>1015</v>
      </c>
      <c r="R247" s="16">
        <v>1007</v>
      </c>
      <c r="S247" s="16">
        <v>1240</v>
      </c>
      <c r="T247" s="16">
        <v>1030</v>
      </c>
      <c r="U247" s="15">
        <v>1072.4000000000001</v>
      </c>
      <c r="V247" t="s">
        <v>19</v>
      </c>
      <c r="W247" t="s">
        <v>28</v>
      </c>
      <c r="X247">
        <v>1093</v>
      </c>
      <c r="Y247" s="16">
        <f>VLOOKUP(Tabela1[[#This Row],[SKU]],SKU!A:D,4,0)</f>
        <v>1000</v>
      </c>
      <c r="Z247" s="18">
        <f>IFERROR((Tabela1[[#This Row],[Média]]-Tabela1[[#This Row],[Meta]])/Tabela1[[#This Row],[Meta]],"")</f>
        <v>7.2400000000000089E-2</v>
      </c>
      <c r="AA247" s="21">
        <f>Tabela1[[#This Row],[Média]]-Tabela1[[#This Row],[Meta]]</f>
        <v>72.400000000000091</v>
      </c>
      <c r="AB247" s="6" t="str">
        <f>VLOOKUP(Tabela1[[#This Row],[SKU]],SKU!A:B,2,0)</f>
        <v>FILE PEITO MET CG BDJ SE</v>
      </c>
      <c r="AC247" s="6" t="str">
        <f>VLOOKUP(Tabela1[[#This Row],[SKU]],SKU!A:C,3,0)</f>
        <v>PEITO</v>
      </c>
    </row>
    <row r="248" spans="1:29" x14ac:dyDescent="0.3">
      <c r="A248" s="2">
        <f>INT(Tabela1[[#This Row],[Data e Hora2]])</f>
        <v>46261</v>
      </c>
      <c r="B248" s="6" t="str">
        <f>UPPER(TEXT(Tabela1[[#This Row],[Data Corrigida]],"MMM"))</f>
        <v>AGO</v>
      </c>
      <c r="C248" t="s">
        <v>756</v>
      </c>
      <c r="D248" s="2" t="s">
        <v>757</v>
      </c>
      <c r="E248" s="1" t="s">
        <v>754</v>
      </c>
      <c r="F248" t="s">
        <v>24</v>
      </c>
      <c r="G248" s="2" t="s">
        <v>758</v>
      </c>
      <c r="H248" t="s">
        <v>26</v>
      </c>
      <c r="I248" t="s">
        <v>27</v>
      </c>
      <c r="J248" s="6">
        <v>40762</v>
      </c>
      <c r="K248" s="16">
        <v>10170</v>
      </c>
      <c r="L248" s="16">
        <v>10140</v>
      </c>
      <c r="M248" s="16">
        <v>10000</v>
      </c>
      <c r="N248" s="16">
        <v>10035</v>
      </c>
      <c r="O248" s="16">
        <v>10010</v>
      </c>
      <c r="P248" s="16">
        <v>10065</v>
      </c>
      <c r="Q248" s="16">
        <v>10015</v>
      </c>
      <c r="R248" s="16">
        <v>10150</v>
      </c>
      <c r="S248" s="16">
        <v>10135</v>
      </c>
      <c r="T248" s="16">
        <v>9945</v>
      </c>
      <c r="U248" s="15">
        <v>10066.5</v>
      </c>
      <c r="V248" t="s">
        <v>19</v>
      </c>
      <c r="W248" t="s">
        <v>28</v>
      </c>
      <c r="X248">
        <v>761</v>
      </c>
      <c r="Y248" s="16">
        <f>VLOOKUP(Tabela1[[#This Row],[SKU]],SKU!A:D,4,0)</f>
        <v>10000</v>
      </c>
      <c r="Z248" s="18">
        <f>IFERROR((Tabela1[[#This Row],[Média]]-Tabela1[[#This Row],[Meta]])/Tabela1[[#This Row],[Meta]],"")</f>
        <v>6.6499999999999997E-3</v>
      </c>
      <c r="AA248" s="21">
        <f>Tabela1[[#This Row],[Média]]-Tabela1[[#This Row],[Meta]]</f>
        <v>66.5</v>
      </c>
      <c r="AB248" s="6" t="str">
        <f>VLOOKUP(Tabela1[[#This Row],[SKU]],SKU!A:B,2,0)</f>
        <v>COXA SBCX LQ FG LP</v>
      </c>
      <c r="AC248" s="6" t="str">
        <f>VLOOKUP(Tabela1[[#This Row],[SKU]],SKU!A:C,3,0)</f>
        <v>PERNA</v>
      </c>
    </row>
    <row r="249" spans="1:29" x14ac:dyDescent="0.3">
      <c r="A249" s="2">
        <f>INT(Tabela1[[#This Row],[Data e Hora2]])</f>
        <v>46260</v>
      </c>
      <c r="B249" s="6" t="str">
        <f>UPPER(TEXT(Tabela1[[#This Row],[Data Corrigida]],"MMM"))</f>
        <v>AGO</v>
      </c>
      <c r="C249" t="s">
        <v>759</v>
      </c>
      <c r="D249" s="2" t="s">
        <v>760</v>
      </c>
      <c r="E249" s="1" t="s">
        <v>754</v>
      </c>
      <c r="F249" t="s">
        <v>24</v>
      </c>
      <c r="G249" s="2" t="s">
        <v>755</v>
      </c>
      <c r="H249" t="s">
        <v>26</v>
      </c>
      <c r="I249" t="s">
        <v>27</v>
      </c>
      <c r="J249" s="6">
        <v>15229</v>
      </c>
      <c r="K249" s="16">
        <v>1000</v>
      </c>
      <c r="L249" s="16">
        <v>988</v>
      </c>
      <c r="M249" s="16">
        <v>993</v>
      </c>
      <c r="N249" s="16">
        <v>1007</v>
      </c>
      <c r="O249" s="16">
        <v>1006</v>
      </c>
      <c r="P249" s="16">
        <v>1002</v>
      </c>
      <c r="Q249" s="16">
        <v>993</v>
      </c>
      <c r="R249" s="16">
        <v>1010</v>
      </c>
      <c r="S249" s="16">
        <v>996</v>
      </c>
      <c r="T249" s="16">
        <v>1004</v>
      </c>
      <c r="U249" s="15">
        <v>999.9</v>
      </c>
      <c r="V249" t="s">
        <v>19</v>
      </c>
      <c r="W249" t="s">
        <v>28</v>
      </c>
      <c r="X249">
        <v>355</v>
      </c>
      <c r="Y249" s="16">
        <f>VLOOKUP(Tabela1[[#This Row],[SKU]],SKU!A:D,4,0)</f>
        <v>1000</v>
      </c>
      <c r="Z249" s="18">
        <f>IFERROR((Tabela1[[#This Row],[Média]]-Tabela1[[#This Row],[Meta]])/Tabela1[[#This Row],[Meta]],"")</f>
        <v>-1.0000000000002273E-4</v>
      </c>
      <c r="AA249" s="21">
        <f>Tabela1[[#This Row],[Média]]-Tabela1[[#This Row],[Meta]]</f>
        <v>-0.10000000000002274</v>
      </c>
      <c r="AB249" s="6" t="str">
        <f>VLOOKUP(Tabela1[[#This Row],[SKU]],SKU!A:B,2,0)</f>
        <v>COXA CG BDJ SE</v>
      </c>
      <c r="AC249" s="6" t="str">
        <f>VLOOKUP(Tabela1[[#This Row],[SKU]],SKU!A:C,3,0)</f>
        <v>PERNA</v>
      </c>
    </row>
    <row r="250" spans="1:29" x14ac:dyDescent="0.3">
      <c r="A250" s="2">
        <f>INT(Tabela1[[#This Row],[Data e Hora2]])</f>
        <v>46260</v>
      </c>
      <c r="B250" s="6" t="str">
        <f>UPPER(TEXT(Tabela1[[#This Row],[Data Corrigida]],"MMM"))</f>
        <v>AGO</v>
      </c>
      <c r="C250" t="s">
        <v>761</v>
      </c>
      <c r="D250" s="2" t="s">
        <v>762</v>
      </c>
      <c r="E250" s="1" t="s">
        <v>754</v>
      </c>
      <c r="F250" t="s">
        <v>24</v>
      </c>
      <c r="G250" s="2" t="s">
        <v>755</v>
      </c>
      <c r="H250" t="s">
        <v>26</v>
      </c>
      <c r="I250" t="s">
        <v>27</v>
      </c>
      <c r="J250" s="6">
        <v>13188</v>
      </c>
      <c r="K250" s="16">
        <v>1003</v>
      </c>
      <c r="L250" s="16">
        <v>994</v>
      </c>
      <c r="M250" s="16">
        <v>1002</v>
      </c>
      <c r="N250" s="16">
        <v>993</v>
      </c>
      <c r="O250" s="16">
        <v>996</v>
      </c>
      <c r="P250" s="16">
        <v>1002</v>
      </c>
      <c r="Q250" s="16">
        <v>998</v>
      </c>
      <c r="R250" s="16">
        <v>1000</v>
      </c>
      <c r="S250" s="16">
        <v>997</v>
      </c>
      <c r="T250" s="16">
        <v>992</v>
      </c>
      <c r="U250" s="15">
        <v>997.7</v>
      </c>
      <c r="V250" t="s">
        <v>19</v>
      </c>
      <c r="W250" t="s">
        <v>19</v>
      </c>
      <c r="X250">
        <v>188</v>
      </c>
      <c r="Y250" s="16">
        <f>VLOOKUP(Tabela1[[#This Row],[SKU]],SKU!A:D,4,0)</f>
        <v>1000</v>
      </c>
      <c r="Z250" s="18">
        <f>IFERROR((Tabela1[[#This Row],[Média]]-Tabela1[[#This Row],[Meta]])/Tabela1[[#This Row],[Meta]],"")</f>
        <v>-2.2999999999999544E-3</v>
      </c>
      <c r="AA250" s="21">
        <f>Tabela1[[#This Row],[Média]]-Tabela1[[#This Row],[Meta]]</f>
        <v>-2.2999999999999545</v>
      </c>
      <c r="AB250" s="6" t="str">
        <f>VLOOKUP(Tabela1[[#This Row],[SKU]],SKU!A:B,2,0)</f>
        <v>SOBRECOXA CG BDJ SE</v>
      </c>
      <c r="AC250" s="6" t="str">
        <f>VLOOKUP(Tabela1[[#This Row],[SKU]],SKU!A:C,3,0)</f>
        <v>PERNA</v>
      </c>
    </row>
    <row r="251" spans="1:29" x14ac:dyDescent="0.3">
      <c r="A251" s="2">
        <f>INT(Tabela1[[#This Row],[Data e Hora2]])</f>
        <v>46260</v>
      </c>
      <c r="B251" s="6" t="str">
        <f>UPPER(TEXT(Tabela1[[#This Row],[Data Corrigida]],"MMM"))</f>
        <v>AGO</v>
      </c>
      <c r="C251" t="s">
        <v>763</v>
      </c>
      <c r="D251" s="2" t="s">
        <v>764</v>
      </c>
      <c r="E251" s="1" t="s">
        <v>754</v>
      </c>
      <c r="F251" t="s">
        <v>24</v>
      </c>
      <c r="G251" s="2" t="s">
        <v>755</v>
      </c>
      <c r="H251" t="s">
        <v>26</v>
      </c>
      <c r="I251" t="s">
        <v>27</v>
      </c>
      <c r="J251" s="6">
        <v>54632</v>
      </c>
      <c r="K251" s="16">
        <v>1016</v>
      </c>
      <c r="L251" s="16">
        <v>998</v>
      </c>
      <c r="M251" s="16">
        <v>1006</v>
      </c>
      <c r="N251" s="16">
        <v>1007</v>
      </c>
      <c r="O251" s="16">
        <v>1013</v>
      </c>
      <c r="P251" s="16">
        <v>1006</v>
      </c>
      <c r="Q251" s="16">
        <v>1003</v>
      </c>
      <c r="R251" s="16">
        <v>1007</v>
      </c>
      <c r="S251" s="16">
        <v>999</v>
      </c>
      <c r="T251" s="16">
        <v>1005</v>
      </c>
      <c r="U251" s="15">
        <v>1006</v>
      </c>
      <c r="V251" t="s">
        <v>19</v>
      </c>
      <c r="W251" t="s">
        <v>28</v>
      </c>
      <c r="X251">
        <v>445</v>
      </c>
      <c r="Y251" s="16">
        <f>VLOOKUP(Tabela1[[#This Row],[SKU]],SKU!A:D,4,0)</f>
        <v>1000</v>
      </c>
      <c r="Z251" s="18">
        <f>IFERROR((Tabela1[[#This Row],[Média]]-Tabela1[[#This Row],[Meta]])/Tabela1[[#This Row],[Meta]],"")</f>
        <v>6.0000000000000001E-3</v>
      </c>
      <c r="AA251" s="21">
        <f>Tabela1[[#This Row],[Média]]-Tabela1[[#This Row],[Meta]]</f>
        <v>6</v>
      </c>
      <c r="AB251" s="6" t="str">
        <f>VLOOKUP(Tabela1[[#This Row],[SKU]],SKU!A:B,2,0)</f>
        <v>COXA SBCX S/O BDJ CG</v>
      </c>
      <c r="AC251" s="6" t="str">
        <f>VLOOKUP(Tabela1[[#This Row],[SKU]],SKU!A:C,3,0)</f>
        <v>PERNA</v>
      </c>
    </row>
    <row r="252" spans="1:29" x14ac:dyDescent="0.3">
      <c r="A252" s="2">
        <f>INT(Tabela1[[#This Row],[Data e Hora2]])</f>
        <v>46260</v>
      </c>
      <c r="B252" s="6" t="str">
        <f>UPPER(TEXT(Tabela1[[#This Row],[Data Corrigida]],"MMM"))</f>
        <v>AGO</v>
      </c>
      <c r="C252" t="s">
        <v>765</v>
      </c>
      <c r="D252" s="2" t="s">
        <v>766</v>
      </c>
      <c r="E252" s="1" t="s">
        <v>754</v>
      </c>
      <c r="F252" t="s">
        <v>24</v>
      </c>
      <c r="G252" s="2" t="s">
        <v>755</v>
      </c>
      <c r="H252" t="s">
        <v>26</v>
      </c>
      <c r="I252" t="s">
        <v>27</v>
      </c>
      <c r="J252" s="6">
        <v>15105</v>
      </c>
      <c r="K252" s="16">
        <v>1015</v>
      </c>
      <c r="L252" s="16">
        <v>1034</v>
      </c>
      <c r="M252" s="16">
        <v>997</v>
      </c>
      <c r="N252" s="16">
        <v>975</v>
      </c>
      <c r="O252" s="16">
        <v>1275</v>
      </c>
      <c r="P252" s="16">
        <v>1014</v>
      </c>
      <c r="Q252" s="16">
        <v>1086</v>
      </c>
      <c r="R252" s="16">
        <v>1008</v>
      </c>
      <c r="S252" s="16">
        <v>956</v>
      </c>
      <c r="T252" s="16">
        <v>1014</v>
      </c>
      <c r="U252" s="15">
        <v>1037.4000000000001</v>
      </c>
      <c r="V252" t="s">
        <v>19</v>
      </c>
      <c r="W252" t="s">
        <v>19</v>
      </c>
      <c r="X252">
        <v>333</v>
      </c>
      <c r="Y252" s="16">
        <f>VLOOKUP(Tabela1[[#This Row],[SKU]],SKU!A:D,4,0)</f>
        <v>1000</v>
      </c>
      <c r="Z252" s="18">
        <f>IFERROR((Tabela1[[#This Row],[Média]]-Tabela1[[#This Row],[Meta]])/Tabela1[[#This Row],[Meta]],"")</f>
        <v>3.7400000000000093E-2</v>
      </c>
      <c r="AA252" s="21">
        <f>Tabela1[[#This Row],[Média]]-Tabela1[[#This Row],[Meta]]</f>
        <v>37.400000000000091</v>
      </c>
      <c r="AB252" s="6" t="str">
        <f>VLOOKUP(Tabela1[[#This Row],[SKU]],SKU!A:B,2,0)</f>
        <v>FILE PEITO MET CG BDJ SE</v>
      </c>
      <c r="AC252" s="6" t="str">
        <f>VLOOKUP(Tabela1[[#This Row],[SKU]],SKU!A:C,3,0)</f>
        <v>PEITO</v>
      </c>
    </row>
    <row r="253" spans="1:29" x14ac:dyDescent="0.3">
      <c r="A253" s="2">
        <f>INT(Tabela1[[#This Row],[Data e Hora2]])</f>
        <v>46260</v>
      </c>
      <c r="B253" s="6" t="str">
        <f>UPPER(TEXT(Tabela1[[#This Row],[Data Corrigida]],"MMM"))</f>
        <v>AGO</v>
      </c>
      <c r="C253" t="s">
        <v>767</v>
      </c>
      <c r="D253" s="2" t="s">
        <v>768</v>
      </c>
      <c r="E253" s="1" t="s">
        <v>754</v>
      </c>
      <c r="F253" t="s">
        <v>24</v>
      </c>
      <c r="G253" s="2" t="s">
        <v>755</v>
      </c>
      <c r="H253" t="s">
        <v>26</v>
      </c>
      <c r="I253" t="s">
        <v>27</v>
      </c>
      <c r="J253" s="6">
        <v>792306</v>
      </c>
      <c r="K253" s="16">
        <v>1040</v>
      </c>
      <c r="L253" s="16">
        <v>1001</v>
      </c>
      <c r="M253" s="16">
        <v>1014</v>
      </c>
      <c r="N253" s="16">
        <v>990</v>
      </c>
      <c r="O253" s="16">
        <v>1013</v>
      </c>
      <c r="P253" s="16">
        <v>996</v>
      </c>
      <c r="Q253" s="16">
        <v>1032</v>
      </c>
      <c r="R253" s="16">
        <v>1039</v>
      </c>
      <c r="S253" s="16">
        <v>1049</v>
      </c>
      <c r="T253" s="16">
        <v>1011</v>
      </c>
      <c r="U253" s="15">
        <v>1018.5</v>
      </c>
      <c r="V253" t="s">
        <v>19</v>
      </c>
      <c r="W253" t="s">
        <v>28</v>
      </c>
      <c r="X253">
        <v>1904</v>
      </c>
      <c r="Y253" s="16">
        <f>VLOOKUP(Tabela1[[#This Row],[SKU]],SKU!A:D,4,0)</f>
        <v>1000</v>
      </c>
      <c r="Z253" s="18">
        <f>IFERROR((Tabela1[[#This Row],[Média]]-Tabela1[[#This Row],[Meta]])/Tabela1[[#This Row],[Meta]],"")</f>
        <v>1.8499999999999999E-2</v>
      </c>
      <c r="AA253" s="21">
        <f>Tabela1[[#This Row],[Média]]-Tabela1[[#This Row],[Meta]]</f>
        <v>18.5</v>
      </c>
      <c r="AB253" s="6" t="str">
        <f>VLOOKUP(Tabela1[[#This Row],[SKU]],SKU!A:B,2,0)</f>
        <v>FILE PEITO  CG IQF</v>
      </c>
      <c r="AC253" s="6" t="str">
        <f>VLOOKUP(Tabela1[[#This Row],[SKU]],SKU!A:C,3,0)</f>
        <v>PEITO</v>
      </c>
    </row>
    <row r="254" spans="1:29" x14ac:dyDescent="0.3">
      <c r="A254" s="2">
        <f>INT(Tabela1[[#This Row],[Data e Hora2]])</f>
        <v>46260</v>
      </c>
      <c r="B254" s="6" t="str">
        <f>UPPER(TEXT(Tabela1[[#This Row],[Data Corrigida]],"MMM"))</f>
        <v>AGO</v>
      </c>
      <c r="C254" t="s">
        <v>769</v>
      </c>
      <c r="D254" s="2" t="s">
        <v>770</v>
      </c>
      <c r="E254" s="1" t="s">
        <v>754</v>
      </c>
      <c r="F254" t="s">
        <v>24</v>
      </c>
      <c r="G254" s="2" t="s">
        <v>755</v>
      </c>
      <c r="H254" t="s">
        <v>26</v>
      </c>
      <c r="I254" t="s">
        <v>27</v>
      </c>
      <c r="J254" s="6">
        <v>40762</v>
      </c>
      <c r="K254" s="16">
        <v>10080</v>
      </c>
      <c r="L254" s="16">
        <v>10070</v>
      </c>
      <c r="M254" s="16">
        <v>10075</v>
      </c>
      <c r="N254" s="16">
        <v>10065</v>
      </c>
      <c r="O254" s="16">
        <v>10055</v>
      </c>
      <c r="P254" s="16">
        <v>10060</v>
      </c>
      <c r="Q254" s="16">
        <v>10060</v>
      </c>
      <c r="R254" s="16">
        <v>10065</v>
      </c>
      <c r="S254" s="16">
        <v>9995</v>
      </c>
      <c r="T254" s="16">
        <v>10000</v>
      </c>
      <c r="U254" s="15">
        <v>10052.5</v>
      </c>
      <c r="V254" t="s">
        <v>19</v>
      </c>
      <c r="W254" t="s">
        <v>28</v>
      </c>
      <c r="X254">
        <v>326</v>
      </c>
      <c r="Y254" s="16">
        <f>VLOOKUP(Tabela1[[#This Row],[SKU]],SKU!A:D,4,0)</f>
        <v>10000</v>
      </c>
      <c r="Z254" s="18">
        <f>IFERROR((Tabela1[[#This Row],[Média]]-Tabela1[[#This Row],[Meta]])/Tabela1[[#This Row],[Meta]],"")</f>
        <v>5.2500000000000003E-3</v>
      </c>
      <c r="AA254" s="21">
        <f>Tabela1[[#This Row],[Média]]-Tabela1[[#This Row],[Meta]]</f>
        <v>52.5</v>
      </c>
      <c r="AB254" s="6" t="str">
        <f>VLOOKUP(Tabela1[[#This Row],[SKU]],SKU!A:B,2,0)</f>
        <v>COXA SBCX LQ FG LP</v>
      </c>
      <c r="AC254" s="6" t="str">
        <f>VLOOKUP(Tabela1[[#This Row],[SKU]],SKU!A:C,3,0)</f>
        <v>PERNA</v>
      </c>
    </row>
    <row r="255" spans="1:29" x14ac:dyDescent="0.3">
      <c r="A255" s="2">
        <f>INT(Tabela1[[#This Row],[Data e Hora2]])</f>
        <v>46260</v>
      </c>
      <c r="B255" s="6" t="str">
        <f>UPPER(TEXT(Tabela1[[#This Row],[Data Corrigida]],"MMM"))</f>
        <v>AGO</v>
      </c>
      <c r="C255" t="s">
        <v>771</v>
      </c>
      <c r="D255" s="2" t="s">
        <v>772</v>
      </c>
      <c r="E255" s="1" t="s">
        <v>754</v>
      </c>
      <c r="F255" t="s">
        <v>24</v>
      </c>
      <c r="G255" s="2" t="s">
        <v>755</v>
      </c>
      <c r="H255" t="s">
        <v>26</v>
      </c>
      <c r="I255" t="s">
        <v>27</v>
      </c>
      <c r="J255" s="6">
        <v>42838</v>
      </c>
      <c r="K255" s="16">
        <v>2041</v>
      </c>
      <c r="L255" s="16">
        <v>2051</v>
      </c>
      <c r="M255" s="16">
        <v>2022</v>
      </c>
      <c r="N255" s="16">
        <v>2019</v>
      </c>
      <c r="O255" s="16">
        <v>2037</v>
      </c>
      <c r="P255" s="16">
        <v>2051</v>
      </c>
      <c r="Q255" s="16">
        <v>2041</v>
      </c>
      <c r="R255" s="16">
        <v>2048</v>
      </c>
      <c r="S255" s="16">
        <v>2013</v>
      </c>
      <c r="T255" s="16">
        <v>2028</v>
      </c>
      <c r="U255" s="15">
        <v>2035.1</v>
      </c>
      <c r="V255" t="s">
        <v>19</v>
      </c>
      <c r="W255" t="s">
        <v>19</v>
      </c>
      <c r="X255">
        <v>629</v>
      </c>
      <c r="Y255" s="16">
        <f>VLOOKUP(Tabela1[[#This Row],[SKU]],SKU!A:D,4,0)</f>
        <v>2000</v>
      </c>
      <c r="Z255" s="18">
        <f>IFERROR((Tabela1[[#This Row],[Média]]-Tabela1[[#This Row],[Meta]])/Tabela1[[#This Row],[Meta]],"")</f>
        <v>1.7549999999999955E-2</v>
      </c>
      <c r="AA255" s="21">
        <f>Tabela1[[#This Row],[Média]]-Tabela1[[#This Row],[Meta]]</f>
        <v>35.099999999999909</v>
      </c>
      <c r="AB255" s="6" t="str">
        <f>VLOOKUP(Tabela1[[#This Row],[SKU]],SKU!A:B,2,0)</f>
        <v>COXA SBCX S/O FG 220-240g PB</v>
      </c>
      <c r="AC255" s="6" t="str">
        <f>VLOOKUP(Tabela1[[#This Row],[SKU]],SKU!A:C,3,0)</f>
        <v>PERNA</v>
      </c>
    </row>
    <row r="256" spans="1:29" x14ac:dyDescent="0.3">
      <c r="A256" s="2">
        <f>INT(Tabela1[[#This Row],[Data e Hora2]])</f>
        <v>46260</v>
      </c>
      <c r="B256" s="6" t="str">
        <f>UPPER(TEXT(Tabela1[[#This Row],[Data Corrigida]],"MMM"))</f>
        <v>AGO</v>
      </c>
      <c r="C256" t="s">
        <v>773</v>
      </c>
      <c r="D256" s="2" t="s">
        <v>774</v>
      </c>
      <c r="E256" s="1" t="s">
        <v>754</v>
      </c>
      <c r="F256" t="s">
        <v>24</v>
      </c>
      <c r="G256" s="2" t="s">
        <v>755</v>
      </c>
      <c r="H256" t="s">
        <v>26</v>
      </c>
      <c r="I256" t="s">
        <v>27</v>
      </c>
      <c r="J256" s="6">
        <v>42854</v>
      </c>
      <c r="K256" s="16">
        <v>2115</v>
      </c>
      <c r="L256" s="16">
        <v>2107</v>
      </c>
      <c r="M256" s="16">
        <v>2055</v>
      </c>
      <c r="N256" s="16">
        <v>2123</v>
      </c>
      <c r="O256" s="16">
        <v>2119</v>
      </c>
      <c r="P256" s="16">
        <v>2115</v>
      </c>
      <c r="Q256" s="16">
        <v>2116</v>
      </c>
      <c r="R256" s="16">
        <v>2105</v>
      </c>
      <c r="S256" s="16">
        <v>2115</v>
      </c>
      <c r="T256" s="16">
        <v>2095</v>
      </c>
      <c r="U256" s="15">
        <v>2106.5</v>
      </c>
      <c r="V256" t="s">
        <v>19</v>
      </c>
      <c r="W256" t="s">
        <v>28</v>
      </c>
      <c r="X256">
        <v>149</v>
      </c>
      <c r="Y256" s="16">
        <f>VLOOKUP(Tabela1[[#This Row],[SKU]],SKU!A:D,4,0)</f>
        <v>2080</v>
      </c>
      <c r="Z256" s="18">
        <f>IFERROR((Tabela1[[#This Row],[Média]]-Tabela1[[#This Row],[Meta]])/Tabela1[[#This Row],[Meta]],"")</f>
        <v>1.2740384615384615E-2</v>
      </c>
      <c r="AA256" s="21">
        <f>Tabela1[[#This Row],[Média]]-Tabela1[[#This Row],[Meta]]</f>
        <v>26.5</v>
      </c>
      <c r="AB256" s="6" t="str">
        <f>VLOOKUP(Tabela1[[#This Row],[SKU]],SKU!A:B,2,0)</f>
        <v>COXA SBCX S/O FG 260-280g PB</v>
      </c>
      <c r="AC256" s="6" t="str">
        <f>VLOOKUP(Tabela1[[#This Row],[SKU]],SKU!A:C,3,0)</f>
        <v>PERNA</v>
      </c>
    </row>
    <row r="257" spans="1:29" x14ac:dyDescent="0.3">
      <c r="A257" s="2">
        <f>INT(Tabela1[[#This Row],[Data e Hora2]])</f>
        <v>46260</v>
      </c>
      <c r="B257" s="6" t="str">
        <f>UPPER(TEXT(Tabela1[[#This Row],[Data Corrigida]],"MMM"))</f>
        <v>AGO</v>
      </c>
      <c r="C257" t="s">
        <v>775</v>
      </c>
      <c r="D257" s="2" t="s">
        <v>776</v>
      </c>
      <c r="E257" s="1" t="s">
        <v>754</v>
      </c>
      <c r="F257" t="s">
        <v>24</v>
      </c>
      <c r="G257" s="2" t="s">
        <v>755</v>
      </c>
      <c r="H257" t="s">
        <v>26</v>
      </c>
      <c r="I257" t="s">
        <v>27</v>
      </c>
      <c r="J257" s="6">
        <v>42862</v>
      </c>
      <c r="K257" s="16">
        <v>2001</v>
      </c>
      <c r="L257" s="16">
        <v>2007</v>
      </c>
      <c r="M257" s="16">
        <v>2015</v>
      </c>
      <c r="N257" s="16">
        <v>2016</v>
      </c>
      <c r="O257" s="16">
        <v>2014</v>
      </c>
      <c r="P257" s="16">
        <v>2008</v>
      </c>
      <c r="Q257" s="16">
        <v>2009</v>
      </c>
      <c r="R257" s="16">
        <v>2016</v>
      </c>
      <c r="S257" s="16">
        <v>2006</v>
      </c>
      <c r="T257" s="16">
        <v>2012</v>
      </c>
      <c r="U257" s="15">
        <v>2010.4</v>
      </c>
      <c r="V257" t="s">
        <v>19</v>
      </c>
      <c r="W257" t="s">
        <v>19</v>
      </c>
      <c r="X257">
        <v>156</v>
      </c>
      <c r="Y257" s="16">
        <f>VLOOKUP(Tabela1[[#This Row],[SKU]],SKU!A:D,4,0)</f>
        <v>2000</v>
      </c>
      <c r="Z257" s="18">
        <f>IFERROR((Tabela1[[#This Row],[Média]]-Tabela1[[#This Row],[Meta]])/Tabela1[[#This Row],[Meta]],"")</f>
        <v>5.2000000000000457E-3</v>
      </c>
      <c r="AA257" s="21">
        <f>Tabela1[[#This Row],[Média]]-Tabela1[[#This Row],[Meta]]</f>
        <v>10.400000000000091</v>
      </c>
      <c r="AB257" s="6" t="str">
        <f>VLOOKUP(Tabela1[[#This Row],[SKU]],SKU!A:B,2,0)</f>
        <v>COXA SBCX S/O FG 280-300g PB</v>
      </c>
      <c r="AC257" s="6" t="str">
        <f>VLOOKUP(Tabela1[[#This Row],[SKU]],SKU!A:C,3,0)</f>
        <v>PERNA</v>
      </c>
    </row>
    <row r="258" spans="1:29" x14ac:dyDescent="0.3">
      <c r="A258" s="2">
        <f>INT(Tabela1[[#This Row],[Data e Hora2]])</f>
        <v>46260</v>
      </c>
      <c r="B258" s="6" t="str">
        <f>UPPER(TEXT(Tabela1[[#This Row],[Data Corrigida]],"MMM"))</f>
        <v>AGO</v>
      </c>
      <c r="C258" t="s">
        <v>777</v>
      </c>
      <c r="D258" s="2" t="s">
        <v>778</v>
      </c>
      <c r="E258" s="1" t="s">
        <v>754</v>
      </c>
      <c r="F258" t="s">
        <v>24</v>
      </c>
      <c r="G258" s="2" t="s">
        <v>755</v>
      </c>
      <c r="H258" t="s">
        <v>26</v>
      </c>
      <c r="I258" t="s">
        <v>27</v>
      </c>
      <c r="J258" s="6">
        <v>42846</v>
      </c>
      <c r="K258" s="16">
        <v>2013</v>
      </c>
      <c r="L258" s="16">
        <v>2009</v>
      </c>
      <c r="M258" s="16">
        <v>2018</v>
      </c>
      <c r="N258" s="16">
        <v>2001</v>
      </c>
      <c r="O258" s="16">
        <v>1987</v>
      </c>
      <c r="P258" s="16">
        <v>2024</v>
      </c>
      <c r="Q258" s="16">
        <v>2006</v>
      </c>
      <c r="R258" s="16">
        <v>2016</v>
      </c>
      <c r="S258" s="16">
        <v>1994</v>
      </c>
      <c r="T258" s="16">
        <v>2010</v>
      </c>
      <c r="U258" s="15">
        <v>2007.8</v>
      </c>
      <c r="V258" t="s">
        <v>19</v>
      </c>
      <c r="W258" t="s">
        <v>28</v>
      </c>
      <c r="X258">
        <v>340</v>
      </c>
      <c r="Y258" s="16">
        <f>VLOOKUP(Tabela1[[#This Row],[SKU]],SKU!A:D,4,0)</f>
        <v>2000</v>
      </c>
      <c r="Z258" s="18">
        <f>IFERROR((Tabela1[[#This Row],[Média]]-Tabela1[[#This Row],[Meta]])/Tabela1[[#This Row],[Meta]],"")</f>
        <v>3.8999999999999773E-3</v>
      </c>
      <c r="AA258" s="21">
        <f>Tabela1[[#This Row],[Média]]-Tabela1[[#This Row],[Meta]]</f>
        <v>7.7999999999999545</v>
      </c>
      <c r="AB258" s="6" t="str">
        <f>VLOOKUP(Tabela1[[#This Row],[SKU]],SKU!A:B,2,0)</f>
        <v>COXA SBCX S/O FG 240-260g PB</v>
      </c>
      <c r="AC258" s="6" t="str">
        <f>VLOOKUP(Tabela1[[#This Row],[SKU]],SKU!A:C,3,0)</f>
        <v>PERNA</v>
      </c>
    </row>
    <row r="259" spans="1:29" x14ac:dyDescent="0.3">
      <c r="A259" s="2">
        <f>INT(Tabela1[[#This Row],[Data e Hora2]])</f>
        <v>46260</v>
      </c>
      <c r="B259" s="6" t="str">
        <f>UPPER(TEXT(Tabela1[[#This Row],[Data Corrigida]],"MMM"))</f>
        <v>AGO</v>
      </c>
      <c r="C259" t="s">
        <v>779</v>
      </c>
      <c r="D259" s="2" t="s">
        <v>780</v>
      </c>
      <c r="E259" s="1" t="s">
        <v>754</v>
      </c>
      <c r="F259" t="s">
        <v>24</v>
      </c>
      <c r="G259" s="2" t="s">
        <v>755</v>
      </c>
      <c r="H259" t="s">
        <v>26</v>
      </c>
      <c r="I259" t="s">
        <v>27</v>
      </c>
      <c r="J259" s="6">
        <v>995638</v>
      </c>
      <c r="K259" s="16">
        <v>15015</v>
      </c>
      <c r="L259" s="16">
        <v>15025</v>
      </c>
      <c r="M259" s="16">
        <v>15030</v>
      </c>
      <c r="N259" s="16">
        <v>15040</v>
      </c>
      <c r="O259" s="16">
        <v>15005</v>
      </c>
      <c r="P259" s="16">
        <v>15015</v>
      </c>
      <c r="Q259" s="16">
        <v>15055</v>
      </c>
      <c r="R259" s="16">
        <v>15025</v>
      </c>
      <c r="S259" s="16">
        <v>15040</v>
      </c>
      <c r="T259" s="16">
        <v>15020</v>
      </c>
      <c r="U259" s="15">
        <v>15027</v>
      </c>
      <c r="V259" t="s">
        <v>19</v>
      </c>
      <c r="W259" t="s">
        <v>28</v>
      </c>
      <c r="X259">
        <v>2072</v>
      </c>
      <c r="Y259" s="16">
        <f>VLOOKUP(Tabela1[[#This Row],[SKU]],SKU!A:D,4,0)</f>
        <v>15000</v>
      </c>
      <c r="Z259" s="18">
        <f>IFERROR((Tabela1[[#This Row],[Média]]-Tabela1[[#This Row],[Meta]])/Tabela1[[#This Row],[Meta]],"")</f>
        <v>1.8E-3</v>
      </c>
      <c r="AA259" s="21">
        <f>Tabela1[[#This Row],[Média]]-Tabela1[[#This Row],[Meta]]</f>
        <v>27</v>
      </c>
      <c r="AB259" s="6" t="str">
        <f>VLOOKUP(Tabela1[[#This Row],[SKU]],SKU!A:B,2,0)</f>
        <v>MEIO DA ASA 40-50G LP</v>
      </c>
      <c r="AC259" s="6" t="str">
        <f>VLOOKUP(Tabela1[[#This Row],[SKU]],SKU!A:C,3,0)</f>
        <v>ASA</v>
      </c>
    </row>
    <row r="260" spans="1:29" x14ac:dyDescent="0.3">
      <c r="A260" s="2">
        <f>INT(Tabela1[[#This Row],[Data e Hora2]])</f>
        <v>46260</v>
      </c>
      <c r="B260" s="6" t="str">
        <f>UPPER(TEXT(Tabela1[[#This Row],[Data Corrigida]],"MMM"))</f>
        <v>AGO</v>
      </c>
      <c r="C260" t="s">
        <v>781</v>
      </c>
      <c r="D260" s="2" t="s">
        <v>782</v>
      </c>
      <c r="E260" s="1" t="s">
        <v>754</v>
      </c>
      <c r="F260" t="s">
        <v>24</v>
      </c>
      <c r="G260" s="2" t="s">
        <v>755</v>
      </c>
      <c r="H260" t="s">
        <v>26</v>
      </c>
      <c r="I260" t="s">
        <v>27</v>
      </c>
      <c r="J260" s="6">
        <v>15105</v>
      </c>
      <c r="K260" s="16">
        <v>854</v>
      </c>
      <c r="L260" s="16">
        <v>1031</v>
      </c>
      <c r="M260" s="16">
        <v>1036</v>
      </c>
      <c r="N260" s="16">
        <v>994</v>
      </c>
      <c r="O260" s="16">
        <v>1002</v>
      </c>
      <c r="P260" s="16">
        <v>1008</v>
      </c>
      <c r="Q260" s="16">
        <v>1002</v>
      </c>
      <c r="R260" s="16">
        <v>1019</v>
      </c>
      <c r="S260" s="16">
        <v>1010</v>
      </c>
      <c r="T260" s="16">
        <v>1016</v>
      </c>
      <c r="U260" s="15">
        <v>997.2</v>
      </c>
      <c r="V260" t="s">
        <v>19</v>
      </c>
      <c r="W260" t="s">
        <v>28</v>
      </c>
      <c r="X260">
        <v>322</v>
      </c>
      <c r="Y260" s="16">
        <f>VLOOKUP(Tabela1[[#This Row],[SKU]],SKU!A:D,4,0)</f>
        <v>1000</v>
      </c>
      <c r="Z260" s="18">
        <f>IFERROR((Tabela1[[#This Row],[Média]]-Tabela1[[#This Row],[Meta]])/Tabela1[[#This Row],[Meta]],"")</f>
        <v>-2.7999999999999544E-3</v>
      </c>
      <c r="AA260" s="21">
        <f>Tabela1[[#This Row],[Média]]-Tabela1[[#This Row],[Meta]]</f>
        <v>-2.7999999999999545</v>
      </c>
      <c r="AB260" s="6" t="str">
        <f>VLOOKUP(Tabela1[[#This Row],[SKU]],SKU!A:B,2,0)</f>
        <v>FILE PEITO MET CG BDJ SE</v>
      </c>
      <c r="AC260" s="6" t="str">
        <f>VLOOKUP(Tabela1[[#This Row],[SKU]],SKU!A:C,3,0)</f>
        <v>PEITO</v>
      </c>
    </row>
    <row r="261" spans="1:29" x14ac:dyDescent="0.3">
      <c r="A261" s="2">
        <f>INT(Tabela1[[#This Row],[Data e Hora2]])</f>
        <v>46260</v>
      </c>
      <c r="B261" s="6" t="str">
        <f>UPPER(TEXT(Tabela1[[#This Row],[Data Corrigida]],"MMM"))</f>
        <v>AGO</v>
      </c>
      <c r="C261" t="s">
        <v>783</v>
      </c>
      <c r="D261" s="2" t="s">
        <v>784</v>
      </c>
      <c r="E261" s="1" t="s">
        <v>785</v>
      </c>
      <c r="F261" t="s">
        <v>24</v>
      </c>
      <c r="G261" s="2" t="s">
        <v>755</v>
      </c>
      <c r="H261" t="s">
        <v>142</v>
      </c>
      <c r="I261" t="s">
        <v>462</v>
      </c>
      <c r="J261" s="6">
        <v>197734</v>
      </c>
      <c r="K261" s="16">
        <v>1018</v>
      </c>
      <c r="L261" s="16">
        <v>1001</v>
      </c>
      <c r="M261" s="16">
        <v>1054</v>
      </c>
      <c r="N261" s="16">
        <v>1009</v>
      </c>
      <c r="O261" s="16">
        <v>1001</v>
      </c>
      <c r="P261" s="16">
        <v>1002</v>
      </c>
      <c r="Q261" s="16">
        <v>1044</v>
      </c>
      <c r="R261" s="16">
        <v>983</v>
      </c>
      <c r="S261" s="16">
        <v>1030</v>
      </c>
      <c r="T261" s="16">
        <v>1042</v>
      </c>
      <c r="U261" s="15">
        <v>1018.4</v>
      </c>
      <c r="V261" t="s">
        <v>19</v>
      </c>
      <c r="W261" t="s">
        <v>28</v>
      </c>
      <c r="X261">
        <v>342</v>
      </c>
      <c r="Y261" s="16">
        <f>VLOOKUP(Tabela1[[#This Row],[SKU]],SKU!A:D,4,0)</f>
        <v>1000</v>
      </c>
      <c r="Z261" s="18">
        <f>IFERROR((Tabela1[[#This Row],[Média]]-Tabela1[[#This Row],[Meta]])/Tabela1[[#This Row],[Meta]],"")</f>
        <v>1.8399999999999979E-2</v>
      </c>
      <c r="AA261" s="21">
        <f>Tabela1[[#This Row],[Média]]-Tabela1[[#This Row],[Meta]]</f>
        <v>18.399999999999977</v>
      </c>
      <c r="AB261" s="6" t="str">
        <f>VLOOKUP(Tabela1[[#This Row],[SKU]],SKU!A:B,2,0)</f>
        <v>FILEZINHO FRANGO IQF ALM SE</v>
      </c>
      <c r="AC261" s="6" t="str">
        <f>VLOOKUP(Tabela1[[#This Row],[SKU]],SKU!A:C,3,0)</f>
        <v>SASSAMI</v>
      </c>
    </row>
    <row r="262" spans="1:29" x14ac:dyDescent="0.3">
      <c r="A262" s="2">
        <f>INT(Tabela1[[#This Row],[Data e Hora2]])</f>
        <v>46260</v>
      </c>
      <c r="B262" s="6" t="str">
        <f>UPPER(TEXT(Tabela1[[#This Row],[Data Corrigida]],"MMM"))</f>
        <v>AGO</v>
      </c>
      <c r="C262" t="s">
        <v>786</v>
      </c>
      <c r="D262" s="2" t="s">
        <v>787</v>
      </c>
      <c r="E262" s="1" t="s">
        <v>785</v>
      </c>
      <c r="F262" t="s">
        <v>24</v>
      </c>
      <c r="G262" s="2" t="s">
        <v>755</v>
      </c>
      <c r="H262" t="s">
        <v>142</v>
      </c>
      <c r="I262" t="s">
        <v>462</v>
      </c>
      <c r="J262" s="6">
        <v>15105</v>
      </c>
      <c r="K262" s="16">
        <v>1018</v>
      </c>
      <c r="L262" s="16">
        <v>1002</v>
      </c>
      <c r="M262" s="16">
        <v>1014</v>
      </c>
      <c r="N262" s="16">
        <v>1015</v>
      </c>
      <c r="O262" s="16">
        <v>1004</v>
      </c>
      <c r="P262" s="16">
        <v>1025</v>
      </c>
      <c r="Q262" s="16">
        <v>995</v>
      </c>
      <c r="R262" s="16">
        <v>1000</v>
      </c>
      <c r="S262" s="16">
        <v>998</v>
      </c>
      <c r="T262" s="16">
        <v>1005</v>
      </c>
      <c r="U262" s="15">
        <v>1007.6</v>
      </c>
      <c r="V262" t="s">
        <v>19</v>
      </c>
      <c r="W262" t="s">
        <v>19</v>
      </c>
      <c r="X262">
        <v>183</v>
      </c>
      <c r="Y262" s="16">
        <f>VLOOKUP(Tabela1[[#This Row],[SKU]],SKU!A:D,4,0)</f>
        <v>1000</v>
      </c>
      <c r="Z262" s="18">
        <f>IFERROR((Tabela1[[#This Row],[Média]]-Tabela1[[#This Row],[Meta]])/Tabela1[[#This Row],[Meta]],"")</f>
        <v>7.6000000000000225E-3</v>
      </c>
      <c r="AA262" s="21">
        <f>Tabela1[[#This Row],[Média]]-Tabela1[[#This Row],[Meta]]</f>
        <v>7.6000000000000227</v>
      </c>
      <c r="AB262" s="6" t="str">
        <f>VLOOKUP(Tabela1[[#This Row],[SKU]],SKU!A:B,2,0)</f>
        <v>FILE PEITO MET CG BDJ SE</v>
      </c>
      <c r="AC262" s="6" t="str">
        <f>VLOOKUP(Tabela1[[#This Row],[SKU]],SKU!A:C,3,0)</f>
        <v>PEITO</v>
      </c>
    </row>
    <row r="263" spans="1:29" x14ac:dyDescent="0.3">
      <c r="A263" s="2">
        <f>INT(Tabela1[[#This Row],[Data e Hora2]])</f>
        <v>46260</v>
      </c>
      <c r="B263" s="6" t="str">
        <f>UPPER(TEXT(Tabela1[[#This Row],[Data Corrigida]],"MMM"))</f>
        <v>AGO</v>
      </c>
      <c r="C263" t="s">
        <v>788</v>
      </c>
      <c r="D263" s="2" t="s">
        <v>789</v>
      </c>
      <c r="E263" s="1" t="s">
        <v>785</v>
      </c>
      <c r="F263" t="s">
        <v>24</v>
      </c>
      <c r="G263" s="2" t="s">
        <v>755</v>
      </c>
      <c r="H263" t="s">
        <v>142</v>
      </c>
      <c r="I263" t="s">
        <v>462</v>
      </c>
      <c r="J263" s="6">
        <v>42854</v>
      </c>
      <c r="K263" s="16">
        <v>2123</v>
      </c>
      <c r="L263" s="16">
        <v>2160</v>
      </c>
      <c r="M263" s="16">
        <v>2145</v>
      </c>
      <c r="N263" s="16">
        <v>2181</v>
      </c>
      <c r="O263" s="16">
        <v>2194</v>
      </c>
      <c r="P263" s="16">
        <v>2123</v>
      </c>
      <c r="Q263" s="16">
        <v>2134</v>
      </c>
      <c r="R263" s="16">
        <v>2156</v>
      </c>
      <c r="S263" s="16">
        <v>2129</v>
      </c>
      <c r="T263" s="16">
        <v>2155</v>
      </c>
      <c r="U263" s="15">
        <v>2150</v>
      </c>
      <c r="V263" t="s">
        <v>19</v>
      </c>
      <c r="W263" t="s">
        <v>19</v>
      </c>
      <c r="X263">
        <v>152</v>
      </c>
      <c r="Y263" s="16">
        <f>VLOOKUP(Tabela1[[#This Row],[SKU]],SKU!A:D,4,0)</f>
        <v>2080</v>
      </c>
      <c r="Z263" s="18">
        <f>IFERROR((Tabela1[[#This Row],[Média]]-Tabela1[[#This Row],[Meta]])/Tabela1[[#This Row],[Meta]],"")</f>
        <v>3.3653846153846152E-2</v>
      </c>
      <c r="AA263" s="21">
        <f>Tabela1[[#This Row],[Média]]-Tabela1[[#This Row],[Meta]]</f>
        <v>70</v>
      </c>
      <c r="AB263" s="6" t="str">
        <f>VLOOKUP(Tabela1[[#This Row],[SKU]],SKU!A:B,2,0)</f>
        <v>COXA SBCX S/O FG 260-280g PB</v>
      </c>
      <c r="AC263" s="6" t="str">
        <f>VLOOKUP(Tabela1[[#This Row],[SKU]],SKU!A:C,3,0)</f>
        <v>PERNA</v>
      </c>
    </row>
    <row r="264" spans="1:29" x14ac:dyDescent="0.3">
      <c r="A264" s="2">
        <f>INT(Tabela1[[#This Row],[Data e Hora2]])</f>
        <v>46260</v>
      </c>
      <c r="B264" s="6" t="str">
        <f>UPPER(TEXT(Tabela1[[#This Row],[Data Corrigida]],"MMM"))</f>
        <v>AGO</v>
      </c>
      <c r="C264" t="s">
        <v>790</v>
      </c>
      <c r="D264" s="2" t="s">
        <v>791</v>
      </c>
      <c r="E264" s="1" t="s">
        <v>785</v>
      </c>
      <c r="F264" t="s">
        <v>24</v>
      </c>
      <c r="G264" s="2" t="s">
        <v>755</v>
      </c>
      <c r="H264" t="s">
        <v>142</v>
      </c>
      <c r="I264" t="s">
        <v>462</v>
      </c>
      <c r="J264" s="6">
        <v>54632</v>
      </c>
      <c r="K264" s="16">
        <v>1064</v>
      </c>
      <c r="L264" s="16">
        <v>1029</v>
      </c>
      <c r="M264" s="16">
        <v>1010</v>
      </c>
      <c r="N264" s="16">
        <v>1003</v>
      </c>
      <c r="O264" s="16">
        <v>1000</v>
      </c>
      <c r="P264" s="16">
        <v>992</v>
      </c>
      <c r="Q264" s="16">
        <v>1000</v>
      </c>
      <c r="R264" s="16">
        <v>1011</v>
      </c>
      <c r="S264" s="16">
        <v>991</v>
      </c>
      <c r="T264" s="16">
        <v>1019</v>
      </c>
      <c r="U264" s="15">
        <v>1011.9</v>
      </c>
      <c r="V264" t="s">
        <v>19</v>
      </c>
      <c r="W264" t="s">
        <v>28</v>
      </c>
      <c r="X264">
        <v>149</v>
      </c>
      <c r="Y264" s="16">
        <f>VLOOKUP(Tabela1[[#This Row],[SKU]],SKU!A:D,4,0)</f>
        <v>1000</v>
      </c>
      <c r="Z264" s="18">
        <f>IFERROR((Tabela1[[#This Row],[Média]]-Tabela1[[#This Row],[Meta]])/Tabela1[[#This Row],[Meta]],"")</f>
        <v>1.1899999999999977E-2</v>
      </c>
      <c r="AA264" s="21">
        <f>Tabela1[[#This Row],[Média]]-Tabela1[[#This Row],[Meta]]</f>
        <v>11.899999999999977</v>
      </c>
      <c r="AB264" s="6" t="str">
        <f>VLOOKUP(Tabela1[[#This Row],[SKU]],SKU!A:B,2,0)</f>
        <v>COXA SBCX S/O BDJ CG</v>
      </c>
      <c r="AC264" s="6" t="str">
        <f>VLOOKUP(Tabela1[[#This Row],[SKU]],SKU!A:C,3,0)</f>
        <v>PERNA</v>
      </c>
    </row>
    <row r="265" spans="1:29" x14ac:dyDescent="0.3">
      <c r="A265" s="2">
        <f>INT(Tabela1[[#This Row],[Data e Hora2]])</f>
        <v>46260</v>
      </c>
      <c r="B265" s="6" t="str">
        <f>UPPER(TEXT(Tabela1[[#This Row],[Data Corrigida]],"MMM"))</f>
        <v>AGO</v>
      </c>
      <c r="C265" t="s">
        <v>792</v>
      </c>
      <c r="D265" s="2" t="s">
        <v>793</v>
      </c>
      <c r="E265" s="1" t="s">
        <v>794</v>
      </c>
      <c r="F265" t="s">
        <v>56</v>
      </c>
      <c r="G265" s="2" t="s">
        <v>755</v>
      </c>
      <c r="H265" t="s">
        <v>26</v>
      </c>
      <c r="I265" t="s">
        <v>57</v>
      </c>
      <c r="J265" s="6">
        <v>15105</v>
      </c>
      <c r="K265" s="16">
        <v>1047</v>
      </c>
      <c r="L265" s="16">
        <v>1002</v>
      </c>
      <c r="M265" s="16">
        <v>1065</v>
      </c>
      <c r="N265" s="16">
        <v>1037</v>
      </c>
      <c r="O265" s="16">
        <v>1067</v>
      </c>
      <c r="P265" s="16">
        <v>1080</v>
      </c>
      <c r="Q265" s="16">
        <v>1043</v>
      </c>
      <c r="R265" s="16">
        <v>859</v>
      </c>
      <c r="S265" s="16">
        <v>1070</v>
      </c>
      <c r="T265" s="16">
        <v>957</v>
      </c>
      <c r="U265" s="15">
        <v>1022.7</v>
      </c>
      <c r="V265" t="s">
        <v>19</v>
      </c>
      <c r="W265" t="s">
        <v>28</v>
      </c>
      <c r="X265">
        <v>174</v>
      </c>
      <c r="Y265" s="16">
        <f>VLOOKUP(Tabela1[[#This Row],[SKU]],SKU!A:D,4,0)</f>
        <v>1000</v>
      </c>
      <c r="Z265" s="18">
        <f>IFERROR((Tabela1[[#This Row],[Média]]-Tabela1[[#This Row],[Meta]])/Tabela1[[#This Row],[Meta]],"")</f>
        <v>2.2700000000000047E-2</v>
      </c>
      <c r="AA265" s="21">
        <f>Tabela1[[#This Row],[Média]]-Tabela1[[#This Row],[Meta]]</f>
        <v>22.700000000000045</v>
      </c>
      <c r="AB265" s="6" t="str">
        <f>VLOOKUP(Tabela1[[#This Row],[SKU]],SKU!A:B,2,0)</f>
        <v>FILE PEITO MET CG BDJ SE</v>
      </c>
      <c r="AC265" s="6" t="str">
        <f>VLOOKUP(Tabela1[[#This Row],[SKU]],SKU!A:C,3,0)</f>
        <v>PEITO</v>
      </c>
    </row>
    <row r="266" spans="1:29" x14ac:dyDescent="0.3">
      <c r="A266" s="2">
        <f>INT(Tabela1[[#This Row],[Data e Hora2]])</f>
        <v>46260</v>
      </c>
      <c r="B266" s="6" t="str">
        <f>UPPER(TEXT(Tabela1[[#This Row],[Data Corrigida]],"MMM"))</f>
        <v>AGO</v>
      </c>
      <c r="C266" t="s">
        <v>795</v>
      </c>
      <c r="D266" s="2" t="s">
        <v>796</v>
      </c>
      <c r="E266" s="1" t="s">
        <v>797</v>
      </c>
      <c r="F266" t="s">
        <v>56</v>
      </c>
      <c r="G266" s="2" t="s">
        <v>755</v>
      </c>
      <c r="H266" t="s">
        <v>26</v>
      </c>
      <c r="I266" t="s">
        <v>57</v>
      </c>
      <c r="J266" s="6">
        <v>15105</v>
      </c>
      <c r="K266" s="16">
        <v>1046</v>
      </c>
      <c r="L266" s="16">
        <v>1029</v>
      </c>
      <c r="M266" s="16">
        <v>1046</v>
      </c>
      <c r="N266" s="16">
        <v>1048</v>
      </c>
      <c r="O266" s="16">
        <v>932</v>
      </c>
      <c r="P266" s="16">
        <v>1044</v>
      </c>
      <c r="Q266" s="16">
        <v>1013</v>
      </c>
      <c r="R266" s="16">
        <v>1029</v>
      </c>
      <c r="S266" s="16">
        <v>995</v>
      </c>
      <c r="T266" s="16">
        <v>1006</v>
      </c>
      <c r="U266" s="15">
        <v>1018.8</v>
      </c>
      <c r="V266" t="s">
        <v>19</v>
      </c>
      <c r="W266" t="s">
        <v>28</v>
      </c>
      <c r="X266">
        <v>947</v>
      </c>
      <c r="Y266" s="16">
        <f>VLOOKUP(Tabela1[[#This Row],[SKU]],SKU!A:D,4,0)</f>
        <v>1000</v>
      </c>
      <c r="Z266" s="18">
        <f>IFERROR((Tabela1[[#This Row],[Média]]-Tabela1[[#This Row],[Meta]])/Tabela1[[#This Row],[Meta]],"")</f>
        <v>1.8799999999999956E-2</v>
      </c>
      <c r="AA266" s="21">
        <f>Tabela1[[#This Row],[Média]]-Tabela1[[#This Row],[Meta]]</f>
        <v>18.799999999999955</v>
      </c>
      <c r="AB266" s="6" t="str">
        <f>VLOOKUP(Tabela1[[#This Row],[SKU]],SKU!A:B,2,0)</f>
        <v>FILE PEITO MET CG BDJ SE</v>
      </c>
      <c r="AC266" s="6" t="str">
        <f>VLOOKUP(Tabela1[[#This Row],[SKU]],SKU!A:C,3,0)</f>
        <v>PEITO</v>
      </c>
    </row>
    <row r="267" spans="1:29" x14ac:dyDescent="0.3">
      <c r="A267" s="2">
        <f>INT(Tabela1[[#This Row],[Data e Hora2]])</f>
        <v>46260</v>
      </c>
      <c r="B267" s="6" t="str">
        <f>UPPER(TEXT(Tabela1[[#This Row],[Data Corrigida]],"MMM"))</f>
        <v>AGO</v>
      </c>
      <c r="C267" t="s">
        <v>798</v>
      </c>
      <c r="D267" s="2" t="s">
        <v>799</v>
      </c>
      <c r="E267" s="1" t="s">
        <v>800</v>
      </c>
      <c r="F267" t="s">
        <v>56</v>
      </c>
      <c r="G267" s="2" t="s">
        <v>755</v>
      </c>
      <c r="H267" t="s">
        <v>26</v>
      </c>
      <c r="I267" t="s">
        <v>57</v>
      </c>
      <c r="J267" s="6">
        <v>13188</v>
      </c>
      <c r="K267" s="16">
        <v>1024</v>
      </c>
      <c r="L267" s="16">
        <v>1008</v>
      </c>
      <c r="M267" s="16">
        <v>1014</v>
      </c>
      <c r="N267" s="16">
        <v>1015</v>
      </c>
      <c r="O267" s="16">
        <v>1021</v>
      </c>
      <c r="P267" s="16">
        <v>1013</v>
      </c>
      <c r="Q267" s="16">
        <v>1022</v>
      </c>
      <c r="R267" s="16">
        <v>1021</v>
      </c>
      <c r="S267" s="16">
        <v>1020</v>
      </c>
      <c r="T267" s="16">
        <v>1030</v>
      </c>
      <c r="U267" s="15">
        <v>1018.8</v>
      </c>
      <c r="V267" t="s">
        <v>19</v>
      </c>
      <c r="W267" t="s">
        <v>28</v>
      </c>
      <c r="X267">
        <v>897</v>
      </c>
      <c r="Y267" s="16">
        <f>VLOOKUP(Tabela1[[#This Row],[SKU]],SKU!A:D,4,0)</f>
        <v>1000</v>
      </c>
      <c r="Z267" s="18">
        <f>IFERROR((Tabela1[[#This Row],[Média]]-Tabela1[[#This Row],[Meta]])/Tabela1[[#This Row],[Meta]],"")</f>
        <v>1.8799999999999956E-2</v>
      </c>
      <c r="AA267" s="21">
        <f>Tabela1[[#This Row],[Média]]-Tabela1[[#This Row],[Meta]]</f>
        <v>18.799999999999955</v>
      </c>
      <c r="AB267" s="6" t="str">
        <f>VLOOKUP(Tabela1[[#This Row],[SKU]],SKU!A:B,2,0)</f>
        <v>SOBRECOXA CG BDJ SE</v>
      </c>
      <c r="AC267" s="6" t="str">
        <f>VLOOKUP(Tabela1[[#This Row],[SKU]],SKU!A:C,3,0)</f>
        <v>PERNA</v>
      </c>
    </row>
    <row r="268" spans="1:29" x14ac:dyDescent="0.3">
      <c r="A268" s="2">
        <f>INT(Tabela1[[#This Row],[Data e Hora2]])</f>
        <v>46260</v>
      </c>
      <c r="B268" s="6" t="str">
        <f>UPPER(TEXT(Tabela1[[#This Row],[Data Corrigida]],"MMM"))</f>
        <v>AGO</v>
      </c>
      <c r="C268" t="s">
        <v>801</v>
      </c>
      <c r="D268" s="2" t="s">
        <v>802</v>
      </c>
      <c r="E268" s="1" t="s">
        <v>803</v>
      </c>
      <c r="F268" t="s">
        <v>56</v>
      </c>
      <c r="G268" s="2" t="s">
        <v>755</v>
      </c>
      <c r="H268" t="s">
        <v>26</v>
      </c>
      <c r="I268" t="s">
        <v>57</v>
      </c>
      <c r="J268" s="6">
        <v>40762</v>
      </c>
      <c r="K268" s="16">
        <v>10070</v>
      </c>
      <c r="L268" s="16">
        <v>10005</v>
      </c>
      <c r="M268" s="16">
        <v>10105</v>
      </c>
      <c r="N268" s="16">
        <v>10040</v>
      </c>
      <c r="O268" s="16">
        <v>10005</v>
      </c>
      <c r="P268" s="16">
        <v>10090</v>
      </c>
      <c r="Q268" s="16">
        <v>10020</v>
      </c>
      <c r="R268" s="16">
        <v>9965</v>
      </c>
      <c r="S268" s="16">
        <v>10045</v>
      </c>
      <c r="T268" s="16">
        <v>10070</v>
      </c>
      <c r="U268" s="15">
        <v>10041.5</v>
      </c>
      <c r="V268" t="s">
        <v>19</v>
      </c>
      <c r="W268" t="s">
        <v>28</v>
      </c>
      <c r="X268">
        <v>709</v>
      </c>
      <c r="Y268" s="16">
        <f>VLOOKUP(Tabela1[[#This Row],[SKU]],SKU!A:D,4,0)</f>
        <v>10000</v>
      </c>
      <c r="Z268" s="18">
        <f>IFERROR((Tabela1[[#This Row],[Média]]-Tabela1[[#This Row],[Meta]])/Tabela1[[#This Row],[Meta]],"")</f>
        <v>4.15E-3</v>
      </c>
      <c r="AA268" s="21">
        <f>Tabela1[[#This Row],[Média]]-Tabela1[[#This Row],[Meta]]</f>
        <v>41.5</v>
      </c>
      <c r="AB268" s="6" t="str">
        <f>VLOOKUP(Tabela1[[#This Row],[SKU]],SKU!A:B,2,0)</f>
        <v>COXA SBCX LQ FG LP</v>
      </c>
      <c r="AC268" s="6" t="str">
        <f>VLOOKUP(Tabela1[[#This Row],[SKU]],SKU!A:C,3,0)</f>
        <v>PERNA</v>
      </c>
    </row>
    <row r="269" spans="1:29" x14ac:dyDescent="0.3">
      <c r="A269" s="2">
        <f>INT(Tabela1[[#This Row],[Data e Hora2]])</f>
        <v>46261</v>
      </c>
      <c r="B269" s="6" t="str">
        <f>UPPER(TEXT(Tabela1[[#This Row],[Data Corrigida]],"MMM"))</f>
        <v>AGO</v>
      </c>
      <c r="C269" t="s">
        <v>804</v>
      </c>
      <c r="D269" s="2" t="s">
        <v>805</v>
      </c>
      <c r="E269" s="1" t="s">
        <v>806</v>
      </c>
      <c r="F269" t="s">
        <v>24</v>
      </c>
      <c r="G269" s="2" t="s">
        <v>758</v>
      </c>
      <c r="H269" t="s">
        <v>26</v>
      </c>
      <c r="I269" t="s">
        <v>27</v>
      </c>
      <c r="J269" s="6">
        <v>40762</v>
      </c>
      <c r="K269" s="16">
        <v>10040</v>
      </c>
      <c r="L269" s="16">
        <v>10075</v>
      </c>
      <c r="M269" s="16">
        <v>10050</v>
      </c>
      <c r="N269" s="16">
        <v>10065</v>
      </c>
      <c r="O269" s="16">
        <v>10030</v>
      </c>
      <c r="P269" s="16">
        <v>10030</v>
      </c>
      <c r="Q269" s="16">
        <v>9965</v>
      </c>
      <c r="R269" s="16">
        <v>10090</v>
      </c>
      <c r="S269" s="16">
        <v>10075</v>
      </c>
      <c r="T269" s="16">
        <v>10040</v>
      </c>
      <c r="U269" s="15">
        <v>10046</v>
      </c>
      <c r="V269" t="s">
        <v>19</v>
      </c>
      <c r="W269" t="s">
        <v>28</v>
      </c>
      <c r="X269">
        <v>1439</v>
      </c>
      <c r="Y269" s="16">
        <f>VLOOKUP(Tabela1[[#This Row],[SKU]],SKU!A:D,4,0)</f>
        <v>10000</v>
      </c>
      <c r="Z269" s="18">
        <f>IFERROR((Tabela1[[#This Row],[Média]]-Tabela1[[#This Row],[Meta]])/Tabela1[[#This Row],[Meta]],"")</f>
        <v>4.5999999999999999E-3</v>
      </c>
      <c r="AA269" s="21">
        <f>Tabela1[[#This Row],[Média]]-Tabela1[[#This Row],[Meta]]</f>
        <v>46</v>
      </c>
      <c r="AB269" s="6" t="str">
        <f>VLOOKUP(Tabela1[[#This Row],[SKU]],SKU!A:B,2,0)</f>
        <v>COXA SBCX LQ FG LP</v>
      </c>
      <c r="AC269" s="6" t="str">
        <f>VLOOKUP(Tabela1[[#This Row],[SKU]],SKU!A:C,3,0)</f>
        <v>PERNA</v>
      </c>
    </row>
    <row r="270" spans="1:29" x14ac:dyDescent="0.3">
      <c r="A270" s="2">
        <f>INT(Tabela1[[#This Row],[Data e Hora2]])</f>
        <v>46261</v>
      </c>
      <c r="B270" s="6" t="str">
        <f>UPPER(TEXT(Tabela1[[#This Row],[Data Corrigida]],"MMM"))</f>
        <v>AGO</v>
      </c>
      <c r="C270" t="s">
        <v>807</v>
      </c>
      <c r="D270" s="2" t="s">
        <v>808</v>
      </c>
      <c r="E270" s="1" t="s">
        <v>809</v>
      </c>
      <c r="F270" t="s">
        <v>24</v>
      </c>
      <c r="G270" s="2" t="s">
        <v>758</v>
      </c>
      <c r="H270" t="s">
        <v>26</v>
      </c>
      <c r="I270" t="s">
        <v>27</v>
      </c>
      <c r="J270" s="6">
        <v>15229</v>
      </c>
      <c r="K270" s="16">
        <v>1001</v>
      </c>
      <c r="L270" s="16">
        <v>1000</v>
      </c>
      <c r="M270" s="16">
        <v>1001</v>
      </c>
      <c r="N270" s="16">
        <v>1009</v>
      </c>
      <c r="O270" s="16">
        <v>1004</v>
      </c>
      <c r="P270" s="16">
        <v>994</v>
      </c>
      <c r="Q270" s="16">
        <v>1006</v>
      </c>
      <c r="R270" s="16">
        <v>999</v>
      </c>
      <c r="S270" s="16">
        <v>1003</v>
      </c>
      <c r="T270" s="16">
        <v>998</v>
      </c>
      <c r="U270" s="15">
        <v>1001.5</v>
      </c>
      <c r="V270" t="s">
        <v>19</v>
      </c>
      <c r="W270" t="s">
        <v>28</v>
      </c>
      <c r="X270">
        <v>1679</v>
      </c>
      <c r="Y270" s="16">
        <f>VLOOKUP(Tabela1[[#This Row],[SKU]],SKU!A:D,4,0)</f>
        <v>1000</v>
      </c>
      <c r="Z270" s="18">
        <f>IFERROR((Tabela1[[#This Row],[Média]]-Tabela1[[#This Row],[Meta]])/Tabela1[[#This Row],[Meta]],"")</f>
        <v>1.5E-3</v>
      </c>
      <c r="AA270" s="21">
        <f>Tabela1[[#This Row],[Média]]-Tabela1[[#This Row],[Meta]]</f>
        <v>1.5</v>
      </c>
      <c r="AB270" s="6" t="str">
        <f>VLOOKUP(Tabela1[[#This Row],[SKU]],SKU!A:B,2,0)</f>
        <v>COXA CG BDJ SE</v>
      </c>
      <c r="AC270" s="6" t="str">
        <f>VLOOKUP(Tabela1[[#This Row],[SKU]],SKU!A:C,3,0)</f>
        <v>PERNA</v>
      </c>
    </row>
    <row r="271" spans="1:29" x14ac:dyDescent="0.3">
      <c r="A271" s="2">
        <f>INT(Tabela1[[#This Row],[Data e Hora2]])</f>
        <v>46261</v>
      </c>
      <c r="B271" s="6" t="str">
        <f>UPPER(TEXT(Tabela1[[#This Row],[Data Corrigida]],"MMM"))</f>
        <v>AGO</v>
      </c>
      <c r="C271" t="s">
        <v>810</v>
      </c>
      <c r="D271" s="2" t="s">
        <v>811</v>
      </c>
      <c r="E271" s="1" t="s">
        <v>809</v>
      </c>
      <c r="F271" t="s">
        <v>24</v>
      </c>
      <c r="G271" s="2" t="s">
        <v>758</v>
      </c>
      <c r="H271" t="s">
        <v>26</v>
      </c>
      <c r="I271" t="s">
        <v>27</v>
      </c>
      <c r="J271" s="6">
        <v>15229</v>
      </c>
      <c r="K271" s="16">
        <v>1015</v>
      </c>
      <c r="L271" s="16">
        <v>1009</v>
      </c>
      <c r="M271" s="16">
        <v>1015</v>
      </c>
      <c r="N271" s="16">
        <v>1013</v>
      </c>
      <c r="O271" s="16">
        <v>1014</v>
      </c>
      <c r="P271" s="16">
        <v>1001</v>
      </c>
      <c r="Q271" s="16">
        <v>1014</v>
      </c>
      <c r="R271" s="16">
        <v>1013</v>
      </c>
      <c r="S271" s="16">
        <v>1003</v>
      </c>
      <c r="T271" s="16">
        <v>1005</v>
      </c>
      <c r="U271" s="15">
        <v>1010.2</v>
      </c>
      <c r="V271" t="s">
        <v>19</v>
      </c>
      <c r="W271" t="s">
        <v>19</v>
      </c>
      <c r="X271">
        <v>191</v>
      </c>
      <c r="Y271" s="16">
        <f>VLOOKUP(Tabela1[[#This Row],[SKU]],SKU!A:D,4,0)</f>
        <v>1000</v>
      </c>
      <c r="Z271" s="18">
        <f>IFERROR((Tabela1[[#This Row],[Média]]-Tabela1[[#This Row],[Meta]])/Tabela1[[#This Row],[Meta]],"")</f>
        <v>1.0200000000000046E-2</v>
      </c>
      <c r="AA271" s="21">
        <f>Tabela1[[#This Row],[Média]]-Tabela1[[#This Row],[Meta]]</f>
        <v>10.200000000000045</v>
      </c>
      <c r="AB271" s="6" t="str">
        <f>VLOOKUP(Tabela1[[#This Row],[SKU]],SKU!A:B,2,0)</f>
        <v>COXA CG BDJ SE</v>
      </c>
      <c r="AC271" s="6" t="str">
        <f>VLOOKUP(Tabela1[[#This Row],[SKU]],SKU!A:C,3,0)</f>
        <v>PERNA</v>
      </c>
    </row>
    <row r="272" spans="1:29" x14ac:dyDescent="0.3">
      <c r="A272" s="2">
        <f>INT(Tabela1[[#This Row],[Data e Hora2]])</f>
        <v>46261</v>
      </c>
      <c r="B272" s="6" t="str">
        <f>UPPER(TEXT(Tabela1[[#This Row],[Data Corrigida]],"MMM"))</f>
        <v>AGO</v>
      </c>
      <c r="C272" t="s">
        <v>812</v>
      </c>
      <c r="D272" s="2" t="s">
        <v>813</v>
      </c>
      <c r="E272" s="1" t="s">
        <v>809</v>
      </c>
      <c r="F272" t="s">
        <v>24</v>
      </c>
      <c r="G272" s="2" t="s">
        <v>758</v>
      </c>
      <c r="H272" t="s">
        <v>26</v>
      </c>
      <c r="I272" t="s">
        <v>27</v>
      </c>
      <c r="J272" s="6">
        <v>13188</v>
      </c>
      <c r="K272" s="16">
        <v>1000</v>
      </c>
      <c r="L272" s="16">
        <v>994</v>
      </c>
      <c r="M272" s="16">
        <v>1000</v>
      </c>
      <c r="N272" s="16">
        <v>1003</v>
      </c>
      <c r="O272" s="16">
        <v>1013</v>
      </c>
      <c r="P272" s="16">
        <v>1019</v>
      </c>
      <c r="Q272" s="16">
        <v>1016</v>
      </c>
      <c r="R272" s="16">
        <v>1013</v>
      </c>
      <c r="S272" s="16">
        <v>1013</v>
      </c>
      <c r="T272" s="16">
        <v>1011</v>
      </c>
      <c r="U272" s="15">
        <v>1008.2</v>
      </c>
      <c r="V272" t="s">
        <v>19</v>
      </c>
      <c r="W272" t="s">
        <v>28</v>
      </c>
      <c r="X272">
        <v>1735</v>
      </c>
      <c r="Y272" s="16">
        <f>VLOOKUP(Tabela1[[#This Row],[SKU]],SKU!A:D,4,0)</f>
        <v>1000</v>
      </c>
      <c r="Z272" s="18">
        <f>IFERROR((Tabela1[[#This Row],[Média]]-Tabela1[[#This Row],[Meta]])/Tabela1[[#This Row],[Meta]],"")</f>
        <v>8.2000000000000458E-3</v>
      </c>
      <c r="AA272" s="21">
        <f>Tabela1[[#This Row],[Média]]-Tabela1[[#This Row],[Meta]]</f>
        <v>8.2000000000000455</v>
      </c>
      <c r="AB272" s="6" t="str">
        <f>VLOOKUP(Tabela1[[#This Row],[SKU]],SKU!A:B,2,0)</f>
        <v>SOBRECOXA CG BDJ SE</v>
      </c>
      <c r="AC272" s="6" t="str">
        <f>VLOOKUP(Tabela1[[#This Row],[SKU]],SKU!A:C,3,0)</f>
        <v>PERNA</v>
      </c>
    </row>
    <row r="273" spans="1:29" x14ac:dyDescent="0.3">
      <c r="A273" s="2">
        <f>INT(Tabela1[[#This Row],[Data e Hora2]])</f>
        <v>46261</v>
      </c>
      <c r="B273" s="6" t="str">
        <f>UPPER(TEXT(Tabela1[[#This Row],[Data Corrigida]],"MMM"))</f>
        <v>AGO</v>
      </c>
      <c r="C273" t="s">
        <v>814</v>
      </c>
      <c r="D273" s="2" t="s">
        <v>815</v>
      </c>
      <c r="E273" s="1" t="s">
        <v>809</v>
      </c>
      <c r="F273" t="s">
        <v>24</v>
      </c>
      <c r="G273" s="2" t="s">
        <v>758</v>
      </c>
      <c r="H273" t="s">
        <v>26</v>
      </c>
      <c r="I273" t="s">
        <v>27</v>
      </c>
      <c r="J273" s="6">
        <v>15105</v>
      </c>
      <c r="K273" s="16">
        <v>998</v>
      </c>
      <c r="L273" s="16">
        <v>985</v>
      </c>
      <c r="M273" s="16">
        <v>1014</v>
      </c>
      <c r="N273" s="16">
        <v>1003</v>
      </c>
      <c r="O273" s="16">
        <v>1000</v>
      </c>
      <c r="P273" s="16">
        <v>1200</v>
      </c>
      <c r="Q273" s="16">
        <v>997</v>
      </c>
      <c r="R273" s="16">
        <v>1019</v>
      </c>
      <c r="S273" s="16">
        <v>1039</v>
      </c>
      <c r="T273" s="16">
        <v>1019</v>
      </c>
      <c r="U273" s="15">
        <v>1027.4000000000001</v>
      </c>
      <c r="V273" t="s">
        <v>19</v>
      </c>
      <c r="W273" t="s">
        <v>19</v>
      </c>
      <c r="X273">
        <v>416</v>
      </c>
      <c r="Y273" s="16">
        <f>VLOOKUP(Tabela1[[#This Row],[SKU]],SKU!A:D,4,0)</f>
        <v>1000</v>
      </c>
      <c r="Z273" s="18">
        <f>IFERROR((Tabela1[[#This Row],[Média]]-Tabela1[[#This Row],[Meta]])/Tabela1[[#This Row],[Meta]],"")</f>
        <v>2.7400000000000091E-2</v>
      </c>
      <c r="AA273" s="21">
        <f>Tabela1[[#This Row],[Média]]-Tabela1[[#This Row],[Meta]]</f>
        <v>27.400000000000091</v>
      </c>
      <c r="AB273" s="6" t="str">
        <f>VLOOKUP(Tabela1[[#This Row],[SKU]],SKU!A:B,2,0)</f>
        <v>FILE PEITO MET CG BDJ SE</v>
      </c>
      <c r="AC273" s="6" t="str">
        <f>VLOOKUP(Tabela1[[#This Row],[SKU]],SKU!A:C,3,0)</f>
        <v>PEITO</v>
      </c>
    </row>
    <row r="274" spans="1:29" x14ac:dyDescent="0.3">
      <c r="A274" s="2">
        <f>INT(Tabela1[[#This Row],[Data e Hora2]])</f>
        <v>46261</v>
      </c>
      <c r="B274" s="6" t="str">
        <f>UPPER(TEXT(Tabela1[[#This Row],[Data Corrigida]],"MMM"))</f>
        <v>AGO</v>
      </c>
      <c r="C274" t="s">
        <v>816</v>
      </c>
      <c r="D274" s="2" t="s">
        <v>817</v>
      </c>
      <c r="E274" s="1" t="s">
        <v>809</v>
      </c>
      <c r="F274" t="s">
        <v>24</v>
      </c>
      <c r="G274" s="2" t="s">
        <v>758</v>
      </c>
      <c r="H274" t="s">
        <v>26</v>
      </c>
      <c r="I274" t="s">
        <v>27</v>
      </c>
      <c r="J274" s="6">
        <v>197742</v>
      </c>
      <c r="K274" s="16">
        <v>1032</v>
      </c>
      <c r="L274" s="16">
        <v>1008</v>
      </c>
      <c r="M274" s="16">
        <v>1056</v>
      </c>
      <c r="N274" s="16">
        <v>1017</v>
      </c>
      <c r="O274" s="16">
        <v>1011</v>
      </c>
      <c r="P274" s="16">
        <v>1006</v>
      </c>
      <c r="Q274" s="16">
        <v>1001</v>
      </c>
      <c r="R274" s="16">
        <v>1008</v>
      </c>
      <c r="S274" s="16">
        <v>1031</v>
      </c>
      <c r="T274" s="16">
        <v>1031</v>
      </c>
      <c r="U274" s="15">
        <v>1020.1</v>
      </c>
      <c r="V274" t="s">
        <v>19</v>
      </c>
      <c r="W274" t="s">
        <v>28</v>
      </c>
      <c r="X274">
        <v>1541</v>
      </c>
      <c r="Y274" s="16">
        <f>VLOOKUP(Tabela1[[#This Row],[SKU]],SKU!A:D,4,0)</f>
        <v>1000</v>
      </c>
      <c r="Z274" s="18">
        <f>IFERROR((Tabela1[[#This Row],[Média]]-Tabela1[[#This Row],[Meta]])/Tabela1[[#This Row],[Meta]],"")</f>
        <v>2.0100000000000024E-2</v>
      </c>
      <c r="AA274" s="21">
        <f>Tabela1[[#This Row],[Média]]-Tabela1[[#This Row],[Meta]]</f>
        <v>20.100000000000023</v>
      </c>
      <c r="AB274" s="6" t="str">
        <f>VLOOKUP(Tabela1[[#This Row],[SKU]],SKU!A:B,2,0)</f>
        <v>COXINHA ASA IQF ALM SE</v>
      </c>
      <c r="AC274" s="6" t="str">
        <f>VLOOKUP(Tabela1[[#This Row],[SKU]],SKU!A:C,3,0)</f>
        <v>ASA</v>
      </c>
    </row>
    <row r="275" spans="1:29" x14ac:dyDescent="0.3">
      <c r="A275" s="2">
        <f>INT(Tabela1[[#This Row],[Data e Hora2]])</f>
        <v>46261</v>
      </c>
      <c r="B275" s="6" t="str">
        <f>UPPER(TEXT(Tabela1[[#This Row],[Data Corrigida]],"MMM"))</f>
        <v>AGO</v>
      </c>
      <c r="C275" t="s">
        <v>818</v>
      </c>
      <c r="D275" s="2" t="s">
        <v>819</v>
      </c>
      <c r="E275" s="1" t="s">
        <v>809</v>
      </c>
      <c r="F275" t="s">
        <v>24</v>
      </c>
      <c r="G275" s="2" t="s">
        <v>758</v>
      </c>
      <c r="H275" t="s">
        <v>26</v>
      </c>
      <c r="I275" t="s">
        <v>27</v>
      </c>
      <c r="J275" s="6">
        <v>992093</v>
      </c>
      <c r="K275" s="16">
        <v>5019</v>
      </c>
      <c r="L275" s="16">
        <v>5014</v>
      </c>
      <c r="M275" s="16">
        <v>5019</v>
      </c>
      <c r="N275" s="16">
        <v>5006</v>
      </c>
      <c r="O275" s="16">
        <v>5015</v>
      </c>
      <c r="P275" s="16">
        <v>5013</v>
      </c>
      <c r="Q275" s="16">
        <v>5015</v>
      </c>
      <c r="R275" s="16">
        <v>5020</v>
      </c>
      <c r="S275" s="16">
        <v>5010</v>
      </c>
      <c r="T275" s="16">
        <v>5013</v>
      </c>
      <c r="U275" s="15">
        <v>5014.3999999999996</v>
      </c>
      <c r="V275" t="s">
        <v>19</v>
      </c>
      <c r="W275" t="s">
        <v>28</v>
      </c>
      <c r="X275">
        <v>149</v>
      </c>
      <c r="Y275" s="16">
        <f>VLOOKUP(Tabela1[[#This Row],[SKU]],SKU!A:D,4,0)</f>
        <v>5000</v>
      </c>
      <c r="Z275" s="18">
        <f>IFERROR((Tabela1[[#This Row],[Média]]-Tabela1[[#This Row],[Meta]])/Tabela1[[#This Row],[Meta]],"")</f>
        <v>2.8799999999999273E-3</v>
      </c>
      <c r="AA275" s="21">
        <f>Tabela1[[#This Row],[Média]]-Tabela1[[#This Row],[Meta]]</f>
        <v>14.399999999999636</v>
      </c>
      <c r="AB275" s="6" t="str">
        <f>VLOOKUP(Tabela1[[#This Row],[SKU]],SKU!A:B,2,0)</f>
        <v>PONTA ASA FG PB CG</v>
      </c>
      <c r="AC275" s="6" t="str">
        <f>VLOOKUP(Tabela1[[#This Row],[SKU]],SKU!A:C,3,0)</f>
        <v>ASA</v>
      </c>
    </row>
    <row r="276" spans="1:29" x14ac:dyDescent="0.3">
      <c r="A276" s="2">
        <f>INT(Tabela1[[#This Row],[Data e Hora2]])</f>
        <v>46261</v>
      </c>
      <c r="B276" s="6" t="str">
        <f>UPPER(TEXT(Tabela1[[#This Row],[Data Corrigida]],"MMM"))</f>
        <v>AGO</v>
      </c>
      <c r="C276" t="s">
        <v>820</v>
      </c>
      <c r="D276" s="2" t="s">
        <v>821</v>
      </c>
      <c r="E276" s="1" t="s">
        <v>809</v>
      </c>
      <c r="F276" t="s">
        <v>24</v>
      </c>
      <c r="G276" s="2" t="s">
        <v>758</v>
      </c>
      <c r="H276" t="s">
        <v>26</v>
      </c>
      <c r="I276" t="s">
        <v>27</v>
      </c>
      <c r="J276" s="6">
        <v>15105</v>
      </c>
      <c r="K276" s="16">
        <v>988</v>
      </c>
      <c r="L276" s="16">
        <v>1008</v>
      </c>
      <c r="M276" s="16">
        <v>1009</v>
      </c>
      <c r="N276" s="16">
        <v>1010</v>
      </c>
      <c r="O276" s="16">
        <v>986</v>
      </c>
      <c r="P276" s="16">
        <v>996</v>
      </c>
      <c r="Q276" s="16">
        <v>996</v>
      </c>
      <c r="R276" s="16">
        <v>1027</v>
      </c>
      <c r="S276" s="16">
        <v>967</v>
      </c>
      <c r="T276" s="16">
        <v>1042</v>
      </c>
      <c r="U276" s="15">
        <v>1002.9</v>
      </c>
      <c r="V276" t="s">
        <v>19</v>
      </c>
      <c r="W276" t="s">
        <v>28</v>
      </c>
      <c r="X276">
        <v>724</v>
      </c>
      <c r="Y276" s="16">
        <f>VLOOKUP(Tabela1[[#This Row],[SKU]],SKU!A:D,4,0)</f>
        <v>1000</v>
      </c>
      <c r="Z276" s="18">
        <f>IFERROR((Tabela1[[#This Row],[Média]]-Tabela1[[#This Row],[Meta]])/Tabela1[[#This Row],[Meta]],"")</f>
        <v>2.8999999999999772E-3</v>
      </c>
      <c r="AA276" s="21">
        <f>Tabela1[[#This Row],[Média]]-Tabela1[[#This Row],[Meta]]</f>
        <v>2.8999999999999773</v>
      </c>
      <c r="AB276" s="6" t="str">
        <f>VLOOKUP(Tabela1[[#This Row],[SKU]],SKU!A:B,2,0)</f>
        <v>FILE PEITO MET CG BDJ SE</v>
      </c>
      <c r="AC276" s="6" t="str">
        <f>VLOOKUP(Tabela1[[#This Row],[SKU]],SKU!A:C,3,0)</f>
        <v>PEITO</v>
      </c>
    </row>
    <row r="277" spans="1:29" x14ac:dyDescent="0.3">
      <c r="A277" s="2">
        <f>INT(Tabela1[[#This Row],[Data e Hora2]])</f>
        <v>46261</v>
      </c>
      <c r="B277" s="6" t="str">
        <f>UPPER(TEXT(Tabela1[[#This Row],[Data Corrigida]],"MMM"))</f>
        <v>AGO</v>
      </c>
      <c r="C277" t="s">
        <v>822</v>
      </c>
      <c r="D277" s="2" t="s">
        <v>823</v>
      </c>
      <c r="E277" s="1" t="s">
        <v>809</v>
      </c>
      <c r="F277" t="s">
        <v>24</v>
      </c>
      <c r="G277" s="2" t="s">
        <v>758</v>
      </c>
      <c r="H277" t="s">
        <v>26</v>
      </c>
      <c r="I277" t="s">
        <v>27</v>
      </c>
      <c r="J277" s="6">
        <v>40762</v>
      </c>
      <c r="K277" s="16">
        <v>10025</v>
      </c>
      <c r="L277" s="16">
        <v>10055</v>
      </c>
      <c r="M277" s="16">
        <v>9920</v>
      </c>
      <c r="N277" s="16">
        <v>9980</v>
      </c>
      <c r="O277" s="16">
        <v>10065</v>
      </c>
      <c r="P277" s="16">
        <v>10085</v>
      </c>
      <c r="Q277" s="16">
        <v>9985</v>
      </c>
      <c r="R277" s="16">
        <v>9935</v>
      </c>
      <c r="S277" s="16">
        <v>10090</v>
      </c>
      <c r="T277" s="16">
        <v>10080</v>
      </c>
      <c r="U277" s="15">
        <v>10022</v>
      </c>
      <c r="V277" t="s">
        <v>19</v>
      </c>
      <c r="W277" t="s">
        <v>28</v>
      </c>
      <c r="X277">
        <v>1378</v>
      </c>
      <c r="Y277" s="16">
        <f>VLOOKUP(Tabela1[[#This Row],[SKU]],SKU!A:D,4,0)</f>
        <v>10000</v>
      </c>
      <c r="Z277" s="18">
        <f>IFERROR((Tabela1[[#This Row],[Média]]-Tabela1[[#This Row],[Meta]])/Tabela1[[#This Row],[Meta]],"")</f>
        <v>2.2000000000000001E-3</v>
      </c>
      <c r="AA277" s="21">
        <f>Tabela1[[#This Row],[Média]]-Tabela1[[#This Row],[Meta]]</f>
        <v>22</v>
      </c>
      <c r="AB277" s="6" t="str">
        <f>VLOOKUP(Tabela1[[#This Row],[SKU]],SKU!A:B,2,0)</f>
        <v>COXA SBCX LQ FG LP</v>
      </c>
      <c r="AC277" s="6" t="str">
        <f>VLOOKUP(Tabela1[[#This Row],[SKU]],SKU!A:C,3,0)</f>
        <v>PERNA</v>
      </c>
    </row>
    <row r="278" spans="1:29" x14ac:dyDescent="0.3">
      <c r="A278" s="2">
        <f>INT(Tabela1[[#This Row],[Data e Hora2]])</f>
        <v>46261</v>
      </c>
      <c r="B278" s="6" t="str">
        <f>UPPER(TEXT(Tabela1[[#This Row],[Data Corrigida]],"MMM"))</f>
        <v>AGO</v>
      </c>
      <c r="C278" t="s">
        <v>824</v>
      </c>
      <c r="D278" s="2" t="s">
        <v>825</v>
      </c>
      <c r="E278" s="1" t="s">
        <v>809</v>
      </c>
      <c r="F278" t="s">
        <v>24</v>
      </c>
      <c r="G278" s="2" t="s">
        <v>758</v>
      </c>
      <c r="H278" t="s">
        <v>26</v>
      </c>
      <c r="I278" t="s">
        <v>27</v>
      </c>
      <c r="J278" s="6">
        <v>42838</v>
      </c>
      <c r="K278" s="16">
        <v>2049</v>
      </c>
      <c r="L278" s="16">
        <v>2050</v>
      </c>
      <c r="M278" s="16">
        <v>2029</v>
      </c>
      <c r="N278" s="16">
        <v>2025</v>
      </c>
      <c r="O278" s="16">
        <v>2023</v>
      </c>
      <c r="P278" s="16">
        <v>2028</v>
      </c>
      <c r="Q278" s="16">
        <v>2030</v>
      </c>
      <c r="R278" s="16">
        <v>2033</v>
      </c>
      <c r="S278" s="16">
        <v>2037</v>
      </c>
      <c r="T278" s="16">
        <v>2029</v>
      </c>
      <c r="U278" s="15">
        <v>2033.3</v>
      </c>
      <c r="V278" t="s">
        <v>19</v>
      </c>
      <c r="W278" t="s">
        <v>19</v>
      </c>
      <c r="X278">
        <v>109</v>
      </c>
      <c r="Y278" s="16">
        <f>VLOOKUP(Tabela1[[#This Row],[SKU]],SKU!A:D,4,0)</f>
        <v>2000</v>
      </c>
      <c r="Z278" s="18">
        <f>IFERROR((Tabela1[[#This Row],[Média]]-Tabela1[[#This Row],[Meta]])/Tabela1[[#This Row],[Meta]],"")</f>
        <v>1.6649999999999977E-2</v>
      </c>
      <c r="AA278" s="21">
        <f>Tabela1[[#This Row],[Média]]-Tabela1[[#This Row],[Meta]]</f>
        <v>33.299999999999955</v>
      </c>
      <c r="AB278" s="6" t="str">
        <f>VLOOKUP(Tabela1[[#This Row],[SKU]],SKU!A:B,2,0)</f>
        <v>COXA SBCX S/O FG 220-240g PB</v>
      </c>
      <c r="AC278" s="6" t="str">
        <f>VLOOKUP(Tabela1[[#This Row],[SKU]],SKU!A:C,3,0)</f>
        <v>PERNA</v>
      </c>
    </row>
    <row r="279" spans="1:29" x14ac:dyDescent="0.3">
      <c r="A279" s="2">
        <f>INT(Tabela1[[#This Row],[Data e Hora2]])</f>
        <v>46261</v>
      </c>
      <c r="B279" s="6" t="str">
        <f>UPPER(TEXT(Tabela1[[#This Row],[Data Corrigida]],"MMM"))</f>
        <v>AGO</v>
      </c>
      <c r="C279" t="s">
        <v>826</v>
      </c>
      <c r="D279" s="2" t="s">
        <v>827</v>
      </c>
      <c r="E279" s="1" t="s">
        <v>828</v>
      </c>
      <c r="F279" t="s">
        <v>24</v>
      </c>
      <c r="G279" s="2" t="s">
        <v>758</v>
      </c>
      <c r="H279" t="s">
        <v>26</v>
      </c>
      <c r="I279" t="s">
        <v>27</v>
      </c>
      <c r="J279" s="6">
        <v>42862</v>
      </c>
      <c r="K279" s="16">
        <v>2017</v>
      </c>
      <c r="L279" s="16">
        <v>2024</v>
      </c>
      <c r="M279" s="16">
        <v>1998</v>
      </c>
      <c r="N279" s="16">
        <v>2013</v>
      </c>
      <c r="O279" s="16">
        <v>2023</v>
      </c>
      <c r="P279" s="16">
        <v>2010</v>
      </c>
      <c r="Q279" s="16">
        <v>2029</v>
      </c>
      <c r="R279" s="16">
        <v>2013</v>
      </c>
      <c r="S279" s="16">
        <v>2011</v>
      </c>
      <c r="T279" s="16">
        <v>2015</v>
      </c>
      <c r="U279" s="15">
        <v>2015.3</v>
      </c>
      <c r="V279" t="s">
        <v>19</v>
      </c>
      <c r="W279" t="s">
        <v>28</v>
      </c>
      <c r="X279">
        <v>335</v>
      </c>
      <c r="Y279" s="16">
        <f>VLOOKUP(Tabela1[[#This Row],[SKU]],SKU!A:D,4,0)</f>
        <v>2000</v>
      </c>
      <c r="Z279" s="18">
        <f>IFERROR((Tabela1[[#This Row],[Média]]-Tabela1[[#This Row],[Meta]])/Tabela1[[#This Row],[Meta]],"")</f>
        <v>7.6499999999999771E-3</v>
      </c>
      <c r="AA279" s="21">
        <f>Tabela1[[#This Row],[Média]]-Tabela1[[#This Row],[Meta]]</f>
        <v>15.299999999999955</v>
      </c>
      <c r="AB279" s="6" t="str">
        <f>VLOOKUP(Tabela1[[#This Row],[SKU]],SKU!A:B,2,0)</f>
        <v>COXA SBCX S/O FG 280-300g PB</v>
      </c>
      <c r="AC279" s="6" t="str">
        <f>VLOOKUP(Tabela1[[#This Row],[SKU]],SKU!A:C,3,0)</f>
        <v>PERNA</v>
      </c>
    </row>
    <row r="280" spans="1:29" x14ac:dyDescent="0.3">
      <c r="A280" s="2">
        <f>INT(Tabela1[[#This Row],[Data e Hora2]])</f>
        <v>46261</v>
      </c>
      <c r="B280" s="6" t="str">
        <f>UPPER(TEXT(Tabela1[[#This Row],[Data Corrigida]],"MMM"))</f>
        <v>AGO</v>
      </c>
      <c r="C280" t="s">
        <v>829</v>
      </c>
      <c r="D280" s="2" t="s">
        <v>830</v>
      </c>
      <c r="E280" s="1" t="s">
        <v>828</v>
      </c>
      <c r="F280" t="s">
        <v>24</v>
      </c>
      <c r="G280" s="2" t="s">
        <v>758</v>
      </c>
      <c r="H280" t="s">
        <v>26</v>
      </c>
      <c r="I280" t="s">
        <v>27</v>
      </c>
      <c r="J280" s="6">
        <v>42854</v>
      </c>
      <c r="K280" s="16">
        <v>2080</v>
      </c>
      <c r="L280" s="16">
        <v>2106</v>
      </c>
      <c r="M280" s="16">
        <v>2105</v>
      </c>
      <c r="N280" s="16">
        <v>2099</v>
      </c>
      <c r="O280" s="16">
        <v>2110</v>
      </c>
      <c r="P280" s="16">
        <v>2105</v>
      </c>
      <c r="Q280" s="16">
        <v>2093</v>
      </c>
      <c r="R280" s="16">
        <v>2108</v>
      </c>
      <c r="S280" s="16">
        <v>2088</v>
      </c>
      <c r="T280" s="16">
        <v>2107</v>
      </c>
      <c r="U280" s="15">
        <v>2100.1</v>
      </c>
      <c r="V280" t="s">
        <v>19</v>
      </c>
      <c r="W280" t="s">
        <v>19</v>
      </c>
      <c r="X280">
        <v>140</v>
      </c>
      <c r="Y280" s="16">
        <f>VLOOKUP(Tabela1[[#This Row],[SKU]],SKU!A:D,4,0)</f>
        <v>2080</v>
      </c>
      <c r="Z280" s="18">
        <f>IFERROR((Tabela1[[#This Row],[Média]]-Tabela1[[#This Row],[Meta]])/Tabela1[[#This Row],[Meta]],"")</f>
        <v>9.6634615384614941E-3</v>
      </c>
      <c r="AA280" s="21">
        <f>Tabela1[[#This Row],[Média]]-Tabela1[[#This Row],[Meta]]</f>
        <v>20.099999999999909</v>
      </c>
      <c r="AB280" s="6" t="str">
        <f>VLOOKUP(Tabela1[[#This Row],[SKU]],SKU!A:B,2,0)</f>
        <v>COXA SBCX S/O FG 260-280g PB</v>
      </c>
      <c r="AC280" s="6" t="str">
        <f>VLOOKUP(Tabela1[[#This Row],[SKU]],SKU!A:C,3,0)</f>
        <v>PERNA</v>
      </c>
    </row>
    <row r="281" spans="1:29" x14ac:dyDescent="0.3">
      <c r="A281" s="2">
        <f>INT(Tabela1[[#This Row],[Data e Hora2]])</f>
        <v>46261</v>
      </c>
      <c r="B281" s="6" t="str">
        <f>UPPER(TEXT(Tabela1[[#This Row],[Data Corrigida]],"MMM"))</f>
        <v>AGO</v>
      </c>
      <c r="C281" t="s">
        <v>831</v>
      </c>
      <c r="D281" s="2" t="s">
        <v>832</v>
      </c>
      <c r="E281" s="1" t="s">
        <v>828</v>
      </c>
      <c r="F281" t="s">
        <v>24</v>
      </c>
      <c r="G281" s="2" t="s">
        <v>758</v>
      </c>
      <c r="H281" t="s">
        <v>26</v>
      </c>
      <c r="I281" t="s">
        <v>27</v>
      </c>
      <c r="J281" s="6">
        <v>42846</v>
      </c>
      <c r="K281" s="16">
        <v>2010</v>
      </c>
      <c r="L281" s="16">
        <v>2008</v>
      </c>
      <c r="M281" s="16">
        <v>2004</v>
      </c>
      <c r="N281" s="16">
        <v>2007</v>
      </c>
      <c r="O281" s="16">
        <v>1999</v>
      </c>
      <c r="P281" s="16">
        <v>2013</v>
      </c>
      <c r="Q281" s="16">
        <v>2018</v>
      </c>
      <c r="R281" s="16">
        <v>2015</v>
      </c>
      <c r="S281" s="16">
        <v>2020</v>
      </c>
      <c r="T281" s="16">
        <v>2008</v>
      </c>
      <c r="U281" s="15">
        <v>2010.2</v>
      </c>
      <c r="V281" t="s">
        <v>19</v>
      </c>
      <c r="W281" t="s">
        <v>28</v>
      </c>
      <c r="X281">
        <v>423</v>
      </c>
      <c r="Y281" s="16">
        <f>VLOOKUP(Tabela1[[#This Row],[SKU]],SKU!A:D,4,0)</f>
        <v>2000</v>
      </c>
      <c r="Z281" s="18">
        <f>IFERROR((Tabela1[[#This Row],[Média]]-Tabela1[[#This Row],[Meta]])/Tabela1[[#This Row],[Meta]],"")</f>
        <v>5.1000000000000229E-3</v>
      </c>
      <c r="AA281" s="21">
        <f>Tabela1[[#This Row],[Média]]-Tabela1[[#This Row],[Meta]]</f>
        <v>10.200000000000045</v>
      </c>
      <c r="AB281" s="6" t="str">
        <f>VLOOKUP(Tabela1[[#This Row],[SKU]],SKU!A:B,2,0)</f>
        <v>COXA SBCX S/O FG 240-260g PB</v>
      </c>
      <c r="AC281" s="6" t="str">
        <f>VLOOKUP(Tabela1[[#This Row],[SKU]],SKU!A:C,3,0)</f>
        <v>PERNA</v>
      </c>
    </row>
    <row r="282" spans="1:29" x14ac:dyDescent="0.3">
      <c r="A282" s="2">
        <f>INT(Tabela1[[#This Row],[Data e Hora2]])</f>
        <v>46262</v>
      </c>
      <c r="B282" s="6" t="str">
        <f>UPPER(TEXT(Tabela1[[#This Row],[Data Corrigida]],"MMM"))</f>
        <v>AGO</v>
      </c>
      <c r="C282" t="s">
        <v>833</v>
      </c>
      <c r="D282" s="2" t="s">
        <v>834</v>
      </c>
      <c r="E282" s="1" t="s">
        <v>835</v>
      </c>
      <c r="F282" t="s">
        <v>24</v>
      </c>
      <c r="G282" s="2" t="s">
        <v>836</v>
      </c>
      <c r="H282" t="s">
        <v>26</v>
      </c>
      <c r="I282" t="s">
        <v>57</v>
      </c>
      <c r="J282" s="6">
        <v>40762</v>
      </c>
      <c r="K282" s="16">
        <v>10230</v>
      </c>
      <c r="L282" s="16">
        <v>10080</v>
      </c>
      <c r="M282" s="16">
        <v>9975</v>
      </c>
      <c r="N282" s="16">
        <v>10005</v>
      </c>
      <c r="O282" s="16">
        <v>10070</v>
      </c>
      <c r="P282" s="16">
        <v>10025</v>
      </c>
      <c r="Q282" s="16">
        <v>10065</v>
      </c>
      <c r="R282" s="16">
        <v>10035</v>
      </c>
      <c r="S282" s="16">
        <v>10045</v>
      </c>
      <c r="T282" s="16">
        <v>10115</v>
      </c>
      <c r="U282" s="15">
        <v>10064.5</v>
      </c>
      <c r="V282" t="s">
        <v>19</v>
      </c>
      <c r="W282" t="s">
        <v>28</v>
      </c>
      <c r="X282">
        <v>546</v>
      </c>
      <c r="Y282" s="16">
        <f>VLOOKUP(Tabela1[[#This Row],[SKU]],SKU!A:D,4,0)</f>
        <v>10000</v>
      </c>
      <c r="Z282" s="18">
        <f>IFERROR((Tabela1[[#This Row],[Média]]-Tabela1[[#This Row],[Meta]])/Tabela1[[#This Row],[Meta]],"")</f>
        <v>6.45E-3</v>
      </c>
      <c r="AA282" s="21">
        <f>Tabela1[[#This Row],[Média]]-Tabela1[[#This Row],[Meta]]</f>
        <v>64.5</v>
      </c>
      <c r="AB282" s="6" t="str">
        <f>VLOOKUP(Tabela1[[#This Row],[SKU]],SKU!A:B,2,0)</f>
        <v>COXA SBCX LQ FG LP</v>
      </c>
      <c r="AC282" s="6" t="str">
        <f>VLOOKUP(Tabela1[[#This Row],[SKU]],SKU!A:C,3,0)</f>
        <v>PERNA</v>
      </c>
    </row>
    <row r="283" spans="1:29" x14ac:dyDescent="0.3">
      <c r="A283" s="2">
        <f>INT(Tabela1[[#This Row],[Data e Hora2]])</f>
        <v>46261</v>
      </c>
      <c r="B283" s="6" t="str">
        <f>UPPER(TEXT(Tabela1[[#This Row],[Data Corrigida]],"MMM"))</f>
        <v>AGO</v>
      </c>
      <c r="C283" t="s">
        <v>837</v>
      </c>
      <c r="D283" s="2" t="s">
        <v>838</v>
      </c>
      <c r="E283" s="1" t="s">
        <v>839</v>
      </c>
      <c r="F283" t="s">
        <v>24</v>
      </c>
      <c r="G283" s="2" t="s">
        <v>758</v>
      </c>
      <c r="H283" t="s">
        <v>26</v>
      </c>
      <c r="I283" t="s">
        <v>57</v>
      </c>
      <c r="J283" s="6">
        <v>40762</v>
      </c>
      <c r="K283" s="16">
        <v>10050</v>
      </c>
      <c r="L283" s="16">
        <v>10065</v>
      </c>
      <c r="M283" s="16">
        <v>10100</v>
      </c>
      <c r="N283" s="16">
        <v>9975</v>
      </c>
      <c r="O283" s="16">
        <v>10085</v>
      </c>
      <c r="P283" s="16">
        <v>10060</v>
      </c>
      <c r="Q283" s="16">
        <v>10080</v>
      </c>
      <c r="R283" s="16">
        <v>10075</v>
      </c>
      <c r="S283" s="16">
        <v>10095</v>
      </c>
      <c r="T283" s="16">
        <v>10055</v>
      </c>
      <c r="U283" s="15">
        <v>10064</v>
      </c>
      <c r="V283" t="s">
        <v>19</v>
      </c>
      <c r="W283" t="s">
        <v>28</v>
      </c>
      <c r="X283">
        <v>433</v>
      </c>
      <c r="Y283" s="16">
        <f>VLOOKUP(Tabela1[[#This Row],[SKU]],SKU!A:D,4,0)</f>
        <v>10000</v>
      </c>
      <c r="Z283" s="18">
        <f>IFERROR((Tabela1[[#This Row],[Média]]-Tabela1[[#This Row],[Meta]])/Tabela1[[#This Row],[Meta]],"")</f>
        <v>6.4000000000000003E-3</v>
      </c>
      <c r="AA283" s="21">
        <f>Tabela1[[#This Row],[Média]]-Tabela1[[#This Row],[Meta]]</f>
        <v>64</v>
      </c>
      <c r="AB283" s="6" t="str">
        <f>VLOOKUP(Tabela1[[#This Row],[SKU]],SKU!A:B,2,0)</f>
        <v>COXA SBCX LQ FG LP</v>
      </c>
      <c r="AC283" s="6" t="str">
        <f>VLOOKUP(Tabela1[[#This Row],[SKU]],SKU!A:C,3,0)</f>
        <v>PERNA</v>
      </c>
    </row>
    <row r="284" spans="1:29" x14ac:dyDescent="0.3">
      <c r="A284" s="2">
        <f>INT(Tabela1[[#This Row],[Data e Hora2]])</f>
        <v>46261</v>
      </c>
      <c r="B284" s="6" t="str">
        <f>UPPER(TEXT(Tabela1[[#This Row],[Data Corrigida]],"MMM"))</f>
        <v>AGO</v>
      </c>
      <c r="C284" t="s">
        <v>840</v>
      </c>
      <c r="D284" s="2" t="s">
        <v>841</v>
      </c>
      <c r="E284" s="1" t="s">
        <v>839</v>
      </c>
      <c r="F284" t="s">
        <v>24</v>
      </c>
      <c r="G284" s="2" t="s">
        <v>758</v>
      </c>
      <c r="H284" t="s">
        <v>26</v>
      </c>
      <c r="I284" t="s">
        <v>57</v>
      </c>
      <c r="J284" s="6">
        <v>13188</v>
      </c>
      <c r="K284" s="16">
        <v>1010</v>
      </c>
      <c r="L284" s="16">
        <v>1007</v>
      </c>
      <c r="M284" s="16">
        <v>1000</v>
      </c>
      <c r="N284" s="16">
        <v>1018</v>
      </c>
      <c r="O284" s="16">
        <v>1005</v>
      </c>
      <c r="P284" s="16">
        <v>1019</v>
      </c>
      <c r="Q284" s="16">
        <v>1013</v>
      </c>
      <c r="R284" s="16">
        <v>1014</v>
      </c>
      <c r="S284" s="16">
        <v>1013</v>
      </c>
      <c r="T284" s="16">
        <v>1014</v>
      </c>
      <c r="U284" s="15">
        <v>1011.3</v>
      </c>
      <c r="V284" t="s">
        <v>19</v>
      </c>
      <c r="W284" t="s">
        <v>19</v>
      </c>
      <c r="X284">
        <v>151</v>
      </c>
      <c r="Y284" s="16">
        <f>VLOOKUP(Tabela1[[#This Row],[SKU]],SKU!A:D,4,0)</f>
        <v>1000</v>
      </c>
      <c r="Z284" s="18">
        <f>IFERROR((Tabela1[[#This Row],[Média]]-Tabela1[[#This Row],[Meta]])/Tabela1[[#This Row],[Meta]],"")</f>
        <v>1.1299999999999954E-2</v>
      </c>
      <c r="AA284" s="21">
        <f>Tabela1[[#This Row],[Média]]-Tabela1[[#This Row],[Meta]]</f>
        <v>11.299999999999955</v>
      </c>
      <c r="AB284" s="6" t="str">
        <f>VLOOKUP(Tabela1[[#This Row],[SKU]],SKU!A:B,2,0)</f>
        <v>SOBRECOXA CG BDJ SE</v>
      </c>
      <c r="AC284" s="6" t="str">
        <f>VLOOKUP(Tabela1[[#This Row],[SKU]],SKU!A:C,3,0)</f>
        <v>PERNA</v>
      </c>
    </row>
    <row r="285" spans="1:29" x14ac:dyDescent="0.3">
      <c r="A285" s="2">
        <f>INT(Tabela1[[#This Row],[Data e Hora2]])</f>
        <v>46261</v>
      </c>
      <c r="B285" s="6" t="str">
        <f>UPPER(TEXT(Tabela1[[#This Row],[Data Corrigida]],"MMM"))</f>
        <v>AGO</v>
      </c>
      <c r="C285" t="s">
        <v>842</v>
      </c>
      <c r="D285" s="2" t="s">
        <v>843</v>
      </c>
      <c r="E285" s="1" t="s">
        <v>839</v>
      </c>
      <c r="F285" t="s">
        <v>24</v>
      </c>
      <c r="G285" s="2" t="s">
        <v>758</v>
      </c>
      <c r="H285" t="s">
        <v>26</v>
      </c>
      <c r="I285" t="s">
        <v>57</v>
      </c>
      <c r="J285" s="6">
        <v>13188</v>
      </c>
      <c r="K285" s="16">
        <v>1018</v>
      </c>
      <c r="L285" s="16">
        <v>1006</v>
      </c>
      <c r="M285" s="16">
        <v>1008</v>
      </c>
      <c r="N285" s="16">
        <v>1000</v>
      </c>
      <c r="O285" s="16">
        <v>1022</v>
      </c>
      <c r="P285" s="16">
        <v>1017</v>
      </c>
      <c r="Q285" s="16">
        <v>1018</v>
      </c>
      <c r="R285" s="16">
        <v>1019</v>
      </c>
      <c r="S285" s="16">
        <v>1000</v>
      </c>
      <c r="T285" s="16">
        <v>1016</v>
      </c>
      <c r="U285" s="15">
        <v>1012.4</v>
      </c>
      <c r="V285" t="s">
        <v>19</v>
      </c>
      <c r="W285" t="s">
        <v>28</v>
      </c>
      <c r="X285">
        <v>256</v>
      </c>
      <c r="Y285" s="16">
        <f>VLOOKUP(Tabela1[[#This Row],[SKU]],SKU!A:D,4,0)</f>
        <v>1000</v>
      </c>
      <c r="Z285" s="18">
        <f>IFERROR((Tabela1[[#This Row],[Média]]-Tabela1[[#This Row],[Meta]])/Tabela1[[#This Row],[Meta]],"")</f>
        <v>1.2399999999999977E-2</v>
      </c>
      <c r="AA285" s="21">
        <f>Tabela1[[#This Row],[Média]]-Tabela1[[#This Row],[Meta]]</f>
        <v>12.399999999999977</v>
      </c>
      <c r="AB285" s="6" t="str">
        <f>VLOOKUP(Tabela1[[#This Row],[SKU]],SKU!A:B,2,0)</f>
        <v>SOBRECOXA CG BDJ SE</v>
      </c>
      <c r="AC285" s="6" t="str">
        <f>VLOOKUP(Tabela1[[#This Row],[SKU]],SKU!A:C,3,0)</f>
        <v>PERNA</v>
      </c>
    </row>
    <row r="286" spans="1:29" x14ac:dyDescent="0.3">
      <c r="A286" s="2">
        <f>INT(Tabela1[[#This Row],[Data e Hora2]])</f>
        <v>46261</v>
      </c>
      <c r="B286" s="6" t="str">
        <f>UPPER(TEXT(Tabela1[[#This Row],[Data Corrigida]],"MMM"))</f>
        <v>AGO</v>
      </c>
      <c r="C286" t="s">
        <v>844</v>
      </c>
      <c r="D286" s="2" t="s">
        <v>845</v>
      </c>
      <c r="E286" s="1" t="s">
        <v>839</v>
      </c>
      <c r="F286" t="s">
        <v>24</v>
      </c>
      <c r="G286" s="2" t="s">
        <v>758</v>
      </c>
      <c r="H286" t="s">
        <v>26</v>
      </c>
      <c r="I286" t="s">
        <v>57</v>
      </c>
      <c r="J286" s="6">
        <v>13188</v>
      </c>
      <c r="K286" s="16">
        <v>990</v>
      </c>
      <c r="L286" s="16">
        <v>1015</v>
      </c>
      <c r="M286" s="16">
        <v>1009</v>
      </c>
      <c r="N286" s="16">
        <v>1027</v>
      </c>
      <c r="O286" s="16">
        <v>1034</v>
      </c>
      <c r="P286" s="16">
        <v>1001</v>
      </c>
      <c r="Q286" s="16">
        <v>1012</v>
      </c>
      <c r="R286" s="16">
        <v>1028</v>
      </c>
      <c r="S286" s="16">
        <v>1014</v>
      </c>
      <c r="T286" s="16">
        <v>1001</v>
      </c>
      <c r="U286" s="15">
        <v>1013.1</v>
      </c>
      <c r="V286" t="s">
        <v>19</v>
      </c>
      <c r="W286" t="s">
        <v>28</v>
      </c>
      <c r="X286">
        <v>424</v>
      </c>
      <c r="Y286" s="16">
        <f>VLOOKUP(Tabela1[[#This Row],[SKU]],SKU!A:D,4,0)</f>
        <v>1000</v>
      </c>
      <c r="Z286" s="18">
        <f>IFERROR((Tabela1[[#This Row],[Média]]-Tabela1[[#This Row],[Meta]])/Tabela1[[#This Row],[Meta]],"")</f>
        <v>1.3100000000000023E-2</v>
      </c>
      <c r="AA286" s="21">
        <f>Tabela1[[#This Row],[Média]]-Tabela1[[#This Row],[Meta]]</f>
        <v>13.100000000000023</v>
      </c>
      <c r="AB286" s="6" t="str">
        <f>VLOOKUP(Tabela1[[#This Row],[SKU]],SKU!A:B,2,0)</f>
        <v>SOBRECOXA CG BDJ SE</v>
      </c>
      <c r="AC286" s="6" t="str">
        <f>VLOOKUP(Tabela1[[#This Row],[SKU]],SKU!A:C,3,0)</f>
        <v>PERNA</v>
      </c>
    </row>
    <row r="287" spans="1:29" x14ac:dyDescent="0.3">
      <c r="A287" s="2">
        <f>INT(Tabela1[[#This Row],[Data e Hora2]])</f>
        <v>46261</v>
      </c>
      <c r="B287" s="6" t="str">
        <f>UPPER(TEXT(Tabela1[[#This Row],[Data Corrigida]],"MMM"))</f>
        <v>AGO</v>
      </c>
      <c r="C287" t="s">
        <v>846</v>
      </c>
      <c r="D287" s="2" t="s">
        <v>847</v>
      </c>
      <c r="E287" s="1" t="s">
        <v>839</v>
      </c>
      <c r="F287" t="s">
        <v>24</v>
      </c>
      <c r="G287" s="2" t="s">
        <v>758</v>
      </c>
      <c r="H287" t="s">
        <v>26</v>
      </c>
      <c r="I287" t="s">
        <v>57</v>
      </c>
      <c r="J287" s="6">
        <v>54632</v>
      </c>
      <c r="K287" s="16">
        <v>1018</v>
      </c>
      <c r="L287" s="16">
        <v>1000</v>
      </c>
      <c r="M287" s="16">
        <v>1008</v>
      </c>
      <c r="N287" s="16">
        <v>1004</v>
      </c>
      <c r="O287" s="16">
        <v>1011</v>
      </c>
      <c r="P287" s="16">
        <v>1019</v>
      </c>
      <c r="Q287" s="16">
        <v>1002</v>
      </c>
      <c r="R287" s="16">
        <v>1006</v>
      </c>
      <c r="S287" s="16">
        <v>1010</v>
      </c>
      <c r="T287" s="16">
        <v>1003</v>
      </c>
      <c r="U287" s="15">
        <v>1008.1</v>
      </c>
      <c r="V287" t="s">
        <v>19</v>
      </c>
      <c r="W287" t="s">
        <v>19</v>
      </c>
      <c r="X287">
        <v>146</v>
      </c>
      <c r="Y287" s="16">
        <f>VLOOKUP(Tabela1[[#This Row],[SKU]],SKU!A:D,4,0)</f>
        <v>1000</v>
      </c>
      <c r="Z287" s="18">
        <f>IFERROR((Tabela1[[#This Row],[Média]]-Tabela1[[#This Row],[Meta]])/Tabela1[[#This Row],[Meta]],"")</f>
        <v>8.1000000000000221E-3</v>
      </c>
      <c r="AA287" s="21">
        <f>Tabela1[[#This Row],[Média]]-Tabela1[[#This Row],[Meta]]</f>
        <v>8.1000000000000227</v>
      </c>
      <c r="AB287" s="6" t="str">
        <f>VLOOKUP(Tabela1[[#This Row],[SKU]],SKU!A:B,2,0)</f>
        <v>COXA SBCX S/O BDJ CG</v>
      </c>
      <c r="AC287" s="6" t="str">
        <f>VLOOKUP(Tabela1[[#This Row],[SKU]],SKU!A:C,3,0)</f>
        <v>PERNA</v>
      </c>
    </row>
    <row r="288" spans="1:29" x14ac:dyDescent="0.3">
      <c r="A288" s="2">
        <f>INT(Tabela1[[#This Row],[Data e Hora2]])</f>
        <v>46261</v>
      </c>
      <c r="B288" s="6" t="str">
        <f>UPPER(TEXT(Tabela1[[#This Row],[Data Corrigida]],"MMM"))</f>
        <v>AGO</v>
      </c>
      <c r="C288" t="s">
        <v>848</v>
      </c>
      <c r="D288" s="2" t="s">
        <v>849</v>
      </c>
      <c r="E288" s="1" t="s">
        <v>839</v>
      </c>
      <c r="F288" t="s">
        <v>24</v>
      </c>
      <c r="G288" s="2" t="s">
        <v>758</v>
      </c>
      <c r="H288" t="s">
        <v>26</v>
      </c>
      <c r="I288" t="s">
        <v>57</v>
      </c>
      <c r="J288" s="6">
        <v>54632</v>
      </c>
      <c r="K288" s="16">
        <v>1014</v>
      </c>
      <c r="L288" s="16">
        <v>1000</v>
      </c>
      <c r="M288" s="16">
        <v>1003</v>
      </c>
      <c r="N288" s="16">
        <v>1010</v>
      </c>
      <c r="O288" s="16">
        <v>1006</v>
      </c>
      <c r="P288" s="16">
        <v>1017</v>
      </c>
      <c r="Q288" s="16">
        <v>1002</v>
      </c>
      <c r="R288" s="16">
        <v>1000</v>
      </c>
      <c r="S288" s="16">
        <v>1001</v>
      </c>
      <c r="T288" s="16">
        <v>1014</v>
      </c>
      <c r="U288" s="15">
        <v>1006.7</v>
      </c>
      <c r="V288" t="s">
        <v>19</v>
      </c>
      <c r="W288" t="s">
        <v>28</v>
      </c>
      <c r="X288">
        <v>234</v>
      </c>
      <c r="Y288" s="16">
        <f>VLOOKUP(Tabela1[[#This Row],[SKU]],SKU!A:D,4,0)</f>
        <v>1000</v>
      </c>
      <c r="Z288" s="18">
        <f>IFERROR((Tabela1[[#This Row],[Média]]-Tabela1[[#This Row],[Meta]])/Tabela1[[#This Row],[Meta]],"")</f>
        <v>6.7000000000000453E-3</v>
      </c>
      <c r="AA288" s="21">
        <f>Tabela1[[#This Row],[Média]]-Tabela1[[#This Row],[Meta]]</f>
        <v>6.7000000000000455</v>
      </c>
      <c r="AB288" s="6" t="str">
        <f>VLOOKUP(Tabela1[[#This Row],[SKU]],SKU!A:B,2,0)</f>
        <v>COXA SBCX S/O BDJ CG</v>
      </c>
      <c r="AC288" s="6" t="str">
        <f>VLOOKUP(Tabela1[[#This Row],[SKU]],SKU!A:C,3,0)</f>
        <v>PERNA</v>
      </c>
    </row>
    <row r="289" spans="1:29" x14ac:dyDescent="0.3">
      <c r="A289" s="2">
        <f>INT(Tabela1[[#This Row],[Data e Hora2]])</f>
        <v>46261</v>
      </c>
      <c r="B289" s="6" t="str">
        <f>UPPER(TEXT(Tabela1[[#This Row],[Data Corrigida]],"MMM"))</f>
        <v>AGO</v>
      </c>
      <c r="C289" t="s">
        <v>850</v>
      </c>
      <c r="D289" s="2" t="s">
        <v>851</v>
      </c>
      <c r="E289" s="1" t="s">
        <v>839</v>
      </c>
      <c r="F289" t="s">
        <v>24</v>
      </c>
      <c r="G289" s="2" t="s">
        <v>758</v>
      </c>
      <c r="H289" t="s">
        <v>26</v>
      </c>
      <c r="I289" t="s">
        <v>57</v>
      </c>
      <c r="J289" s="6">
        <v>197742</v>
      </c>
      <c r="K289" s="16">
        <v>1056</v>
      </c>
      <c r="L289" s="16">
        <v>1002</v>
      </c>
      <c r="M289" s="16">
        <v>1020</v>
      </c>
      <c r="N289" s="16">
        <v>1027</v>
      </c>
      <c r="O289" s="16">
        <v>1005</v>
      </c>
      <c r="P289" s="16">
        <v>998</v>
      </c>
      <c r="Q289" s="16">
        <v>1101</v>
      </c>
      <c r="R289" s="16">
        <v>1030</v>
      </c>
      <c r="S289" s="16">
        <v>1001</v>
      </c>
      <c r="T289" s="16">
        <v>990</v>
      </c>
      <c r="U289" s="15">
        <v>1023</v>
      </c>
      <c r="V289" t="s">
        <v>19</v>
      </c>
      <c r="W289" t="s">
        <v>28</v>
      </c>
      <c r="X289">
        <v>552</v>
      </c>
      <c r="Y289" s="16">
        <f>VLOOKUP(Tabela1[[#This Row],[SKU]],SKU!A:D,4,0)</f>
        <v>1000</v>
      </c>
      <c r="Z289" s="18">
        <f>IFERROR((Tabela1[[#This Row],[Média]]-Tabela1[[#This Row],[Meta]])/Tabela1[[#This Row],[Meta]],"")</f>
        <v>2.3E-2</v>
      </c>
      <c r="AA289" s="21">
        <f>Tabela1[[#This Row],[Média]]-Tabela1[[#This Row],[Meta]]</f>
        <v>23</v>
      </c>
      <c r="AB289" s="6" t="str">
        <f>VLOOKUP(Tabela1[[#This Row],[SKU]],SKU!A:B,2,0)</f>
        <v>COXINHA ASA IQF ALM SE</v>
      </c>
      <c r="AC289" s="6" t="str">
        <f>VLOOKUP(Tabela1[[#This Row],[SKU]],SKU!A:C,3,0)</f>
        <v>ASA</v>
      </c>
    </row>
    <row r="290" spans="1:29" x14ac:dyDescent="0.3">
      <c r="A290" s="2">
        <f>INT(Tabela1[[#This Row],[Data e Hora2]])</f>
        <v>46261</v>
      </c>
      <c r="B290" s="6" t="str">
        <f>UPPER(TEXT(Tabela1[[#This Row],[Data Corrigida]],"MMM"))</f>
        <v>AGO</v>
      </c>
      <c r="C290" t="s">
        <v>852</v>
      </c>
      <c r="D290" s="2" t="s">
        <v>853</v>
      </c>
      <c r="E290" s="1" t="s">
        <v>854</v>
      </c>
      <c r="F290" t="s">
        <v>24</v>
      </c>
      <c r="G290" s="2" t="s">
        <v>758</v>
      </c>
      <c r="H290" t="s">
        <v>26</v>
      </c>
      <c r="I290" t="s">
        <v>57</v>
      </c>
      <c r="J290" s="6">
        <v>13188</v>
      </c>
      <c r="K290" s="16">
        <v>1015</v>
      </c>
      <c r="L290" s="16">
        <v>1006</v>
      </c>
      <c r="M290" s="16">
        <v>1000</v>
      </c>
      <c r="N290" s="16">
        <v>1007</v>
      </c>
      <c r="O290" s="16">
        <v>1009</v>
      </c>
      <c r="P290" s="16">
        <v>993</v>
      </c>
      <c r="Q290" s="16">
        <v>1001</v>
      </c>
      <c r="R290" s="16">
        <v>1002</v>
      </c>
      <c r="S290" s="16">
        <v>996</v>
      </c>
      <c r="T290" s="16">
        <v>1003</v>
      </c>
      <c r="U290" s="15">
        <v>1003.2</v>
      </c>
      <c r="V290" t="s">
        <v>19</v>
      </c>
      <c r="W290" t="s">
        <v>28</v>
      </c>
      <c r="X290">
        <v>446</v>
      </c>
      <c r="Y290" s="16">
        <f>VLOOKUP(Tabela1[[#This Row],[SKU]],SKU!A:D,4,0)</f>
        <v>1000</v>
      </c>
      <c r="Z290" s="18">
        <f>IFERROR((Tabela1[[#This Row],[Média]]-Tabela1[[#This Row],[Meta]])/Tabela1[[#This Row],[Meta]],"")</f>
        <v>3.2000000000000457E-3</v>
      </c>
      <c r="AA290" s="21">
        <f>Tabela1[[#This Row],[Média]]-Tabela1[[#This Row],[Meta]]</f>
        <v>3.2000000000000455</v>
      </c>
      <c r="AB290" s="6" t="str">
        <f>VLOOKUP(Tabela1[[#This Row],[SKU]],SKU!A:B,2,0)</f>
        <v>SOBRECOXA CG BDJ SE</v>
      </c>
      <c r="AC290" s="6" t="str">
        <f>VLOOKUP(Tabela1[[#This Row],[SKU]],SKU!A:C,3,0)</f>
        <v>PERNA</v>
      </c>
    </row>
    <row r="291" spans="1:29" x14ac:dyDescent="0.3">
      <c r="A291" s="2">
        <f>INT(Tabela1[[#This Row],[Data e Hora2]])</f>
        <v>46261</v>
      </c>
      <c r="B291" s="6" t="str">
        <f>UPPER(TEXT(Tabela1[[#This Row],[Data Corrigida]],"MMM"))</f>
        <v>AGO</v>
      </c>
      <c r="C291" t="s">
        <v>855</v>
      </c>
      <c r="D291" s="2" t="s">
        <v>856</v>
      </c>
      <c r="E291" s="1" t="s">
        <v>857</v>
      </c>
      <c r="F291" t="s">
        <v>24</v>
      </c>
      <c r="G291" s="2" t="s">
        <v>758</v>
      </c>
      <c r="H291" t="s">
        <v>26</v>
      </c>
      <c r="I291" t="s">
        <v>57</v>
      </c>
      <c r="J291" s="6">
        <v>54632</v>
      </c>
      <c r="K291" s="16">
        <v>1001</v>
      </c>
      <c r="L291" s="16">
        <v>1002</v>
      </c>
      <c r="M291" s="16">
        <v>1007</v>
      </c>
      <c r="N291" s="16">
        <v>995</v>
      </c>
      <c r="O291" s="16">
        <v>1011</v>
      </c>
      <c r="P291" s="16">
        <v>997</v>
      </c>
      <c r="Q291" s="16">
        <v>1003</v>
      </c>
      <c r="R291" s="16">
        <v>996</v>
      </c>
      <c r="S291" s="16">
        <v>1003</v>
      </c>
      <c r="T291" s="16">
        <v>1000</v>
      </c>
      <c r="U291" s="15">
        <v>1001.5</v>
      </c>
      <c r="V291" t="s">
        <v>19</v>
      </c>
      <c r="W291" t="s">
        <v>28</v>
      </c>
      <c r="X291">
        <v>505</v>
      </c>
      <c r="Y291" s="16">
        <f>VLOOKUP(Tabela1[[#This Row],[SKU]],SKU!A:D,4,0)</f>
        <v>1000</v>
      </c>
      <c r="Z291" s="18">
        <f>IFERROR((Tabela1[[#This Row],[Média]]-Tabela1[[#This Row],[Meta]])/Tabela1[[#This Row],[Meta]],"")</f>
        <v>1.5E-3</v>
      </c>
      <c r="AA291" s="21">
        <f>Tabela1[[#This Row],[Média]]-Tabela1[[#This Row],[Meta]]</f>
        <v>1.5</v>
      </c>
      <c r="AB291" s="6" t="str">
        <f>VLOOKUP(Tabela1[[#This Row],[SKU]],SKU!A:B,2,0)</f>
        <v>COXA SBCX S/O BDJ CG</v>
      </c>
      <c r="AC291" s="6" t="str">
        <f>VLOOKUP(Tabela1[[#This Row],[SKU]],SKU!A:C,3,0)</f>
        <v>PERNA</v>
      </c>
    </row>
    <row r="292" spans="1:29" x14ac:dyDescent="0.3">
      <c r="A292" s="2">
        <f>INT(Tabela1[[#This Row],[Data e Hora2]])</f>
        <v>46261</v>
      </c>
      <c r="B292" s="6" t="str">
        <f>UPPER(TEXT(Tabela1[[#This Row],[Data Corrigida]],"MMM"))</f>
        <v>AGO</v>
      </c>
      <c r="C292" t="s">
        <v>858</v>
      </c>
      <c r="D292" s="2" t="s">
        <v>859</v>
      </c>
      <c r="E292" s="1" t="s">
        <v>860</v>
      </c>
      <c r="F292" t="s">
        <v>24</v>
      </c>
      <c r="G292" s="2" t="s">
        <v>758</v>
      </c>
      <c r="H292" t="s">
        <v>26</v>
      </c>
      <c r="I292" t="s">
        <v>57</v>
      </c>
      <c r="J292" s="6">
        <v>54632</v>
      </c>
      <c r="K292" s="16">
        <v>998</v>
      </c>
      <c r="L292" s="16">
        <v>1011</v>
      </c>
      <c r="M292" s="16">
        <v>995</v>
      </c>
      <c r="N292" s="16">
        <v>1000</v>
      </c>
      <c r="O292" s="16">
        <v>995</v>
      </c>
      <c r="P292" s="16">
        <v>1002</v>
      </c>
      <c r="Q292" s="16">
        <v>1010</v>
      </c>
      <c r="R292" s="16">
        <v>1006</v>
      </c>
      <c r="S292" s="16">
        <v>996</v>
      </c>
      <c r="T292" s="16">
        <v>998</v>
      </c>
      <c r="U292" s="15">
        <v>1001.1</v>
      </c>
      <c r="V292" t="s">
        <v>19</v>
      </c>
      <c r="W292" t="s">
        <v>19</v>
      </c>
      <c r="X292">
        <v>263</v>
      </c>
      <c r="Y292" s="16">
        <f>VLOOKUP(Tabela1[[#This Row],[SKU]],SKU!A:D,4,0)</f>
        <v>1000</v>
      </c>
      <c r="Z292" s="18">
        <f>IFERROR((Tabela1[[#This Row],[Média]]-Tabela1[[#This Row],[Meta]])/Tabela1[[#This Row],[Meta]],"")</f>
        <v>1.1000000000000228E-3</v>
      </c>
      <c r="AA292" s="21">
        <f>Tabela1[[#This Row],[Média]]-Tabela1[[#This Row],[Meta]]</f>
        <v>1.1000000000000227</v>
      </c>
      <c r="AB292" s="6" t="str">
        <f>VLOOKUP(Tabela1[[#This Row],[SKU]],SKU!A:B,2,0)</f>
        <v>COXA SBCX S/O BDJ CG</v>
      </c>
      <c r="AC292" s="6" t="str">
        <f>VLOOKUP(Tabela1[[#This Row],[SKU]],SKU!A:C,3,0)</f>
        <v>PERNA</v>
      </c>
    </row>
    <row r="293" spans="1:29" x14ac:dyDescent="0.3">
      <c r="A293" s="2">
        <f>INT(Tabela1[[#This Row],[Data e Hora2]])</f>
        <v>46261</v>
      </c>
      <c r="B293" s="6" t="str">
        <f>UPPER(TEXT(Tabela1[[#This Row],[Data Corrigida]],"MMM"))</f>
        <v>AGO</v>
      </c>
      <c r="C293" t="s">
        <v>861</v>
      </c>
      <c r="D293" s="2" t="s">
        <v>862</v>
      </c>
      <c r="E293" s="1" t="s">
        <v>863</v>
      </c>
      <c r="F293" t="s">
        <v>24</v>
      </c>
      <c r="G293" s="2" t="s">
        <v>758</v>
      </c>
      <c r="H293" t="s">
        <v>26</v>
      </c>
      <c r="I293" t="s">
        <v>57</v>
      </c>
      <c r="J293" s="6">
        <v>40762</v>
      </c>
      <c r="K293" s="16">
        <v>9990</v>
      </c>
      <c r="L293" s="16">
        <v>10095</v>
      </c>
      <c r="M293" s="16">
        <v>10090</v>
      </c>
      <c r="N293" s="16">
        <v>10040</v>
      </c>
      <c r="O293" s="16">
        <v>10080</v>
      </c>
      <c r="P293" s="16">
        <v>10005</v>
      </c>
      <c r="Q293" s="16">
        <v>10075</v>
      </c>
      <c r="R293" s="16">
        <v>10010</v>
      </c>
      <c r="S293" s="16">
        <v>10105</v>
      </c>
      <c r="T293" s="16">
        <v>10075</v>
      </c>
      <c r="U293" s="15">
        <v>10056.5</v>
      </c>
      <c r="V293" t="s">
        <v>19</v>
      </c>
      <c r="W293" t="s">
        <v>28</v>
      </c>
      <c r="X293">
        <v>638</v>
      </c>
      <c r="Y293" s="16">
        <f>VLOOKUP(Tabela1[[#This Row],[SKU]],SKU!A:D,4,0)</f>
        <v>10000</v>
      </c>
      <c r="Z293" s="18">
        <f>IFERROR((Tabela1[[#This Row],[Média]]-Tabela1[[#This Row],[Meta]])/Tabela1[[#This Row],[Meta]],"")</f>
        <v>5.6499999999999996E-3</v>
      </c>
      <c r="AA293" s="21">
        <f>Tabela1[[#This Row],[Média]]-Tabela1[[#This Row],[Meta]]</f>
        <v>56.5</v>
      </c>
      <c r="AB293" s="6" t="str">
        <f>VLOOKUP(Tabela1[[#This Row],[SKU]],SKU!A:B,2,0)</f>
        <v>COXA SBCX LQ FG LP</v>
      </c>
      <c r="AC293" s="6" t="str">
        <f>VLOOKUP(Tabela1[[#This Row],[SKU]],SKU!A:C,3,0)</f>
        <v>PERNA</v>
      </c>
    </row>
    <row r="294" spans="1:29" x14ac:dyDescent="0.3">
      <c r="A294" s="2">
        <f>INT(Tabela1[[#This Row],[Data e Hora2]])</f>
        <v>46261</v>
      </c>
      <c r="B294" s="6" t="str">
        <f>UPPER(TEXT(Tabela1[[#This Row],[Data Corrigida]],"MMM"))</f>
        <v>AGO</v>
      </c>
      <c r="C294" t="s">
        <v>864</v>
      </c>
      <c r="D294" s="2" t="s">
        <v>865</v>
      </c>
      <c r="E294" s="1" t="s">
        <v>866</v>
      </c>
      <c r="F294" t="s">
        <v>24</v>
      </c>
      <c r="G294" s="2" t="s">
        <v>758</v>
      </c>
      <c r="H294" t="s">
        <v>26</v>
      </c>
      <c r="I294" t="s">
        <v>57</v>
      </c>
      <c r="J294" s="6">
        <v>15105</v>
      </c>
      <c r="K294" s="16">
        <v>1011</v>
      </c>
      <c r="L294" s="16">
        <v>1093</v>
      </c>
      <c r="M294" s="16">
        <v>1015</v>
      </c>
      <c r="N294" s="16">
        <v>1023</v>
      </c>
      <c r="O294" s="16">
        <v>1002</v>
      </c>
      <c r="P294" s="16">
        <v>1000</v>
      </c>
      <c r="Q294" s="16">
        <v>1017</v>
      </c>
      <c r="R294" s="16">
        <v>996</v>
      </c>
      <c r="S294" s="16">
        <v>1020</v>
      </c>
      <c r="T294" s="16">
        <v>997</v>
      </c>
      <c r="U294" s="15">
        <v>1017.4</v>
      </c>
      <c r="V294" t="s">
        <v>19</v>
      </c>
      <c r="W294" t="s">
        <v>28</v>
      </c>
      <c r="X294">
        <v>178</v>
      </c>
      <c r="Y294" s="16">
        <f>VLOOKUP(Tabela1[[#This Row],[SKU]],SKU!A:D,4,0)</f>
        <v>1000</v>
      </c>
      <c r="Z294" s="18">
        <f>IFERROR((Tabela1[[#This Row],[Média]]-Tabela1[[#This Row],[Meta]])/Tabela1[[#This Row],[Meta]],"")</f>
        <v>1.7399999999999978E-2</v>
      </c>
      <c r="AA294" s="21">
        <f>Tabela1[[#This Row],[Média]]-Tabela1[[#This Row],[Meta]]</f>
        <v>17.399999999999977</v>
      </c>
      <c r="AB294" s="6" t="str">
        <f>VLOOKUP(Tabela1[[#This Row],[SKU]],SKU!A:B,2,0)</f>
        <v>FILE PEITO MET CG BDJ SE</v>
      </c>
      <c r="AC294" s="6" t="str">
        <f>VLOOKUP(Tabela1[[#This Row],[SKU]],SKU!A:C,3,0)</f>
        <v>PEITO</v>
      </c>
    </row>
    <row r="295" spans="1:29" x14ac:dyDescent="0.3">
      <c r="A295" s="2">
        <f>INT(Tabela1[[#This Row],[Data e Hora2]])</f>
        <v>46261</v>
      </c>
      <c r="B295" s="6" t="str">
        <f>UPPER(TEXT(Tabela1[[#This Row],[Data Corrigida]],"MMM"))</f>
        <v>AGO</v>
      </c>
      <c r="C295" t="s">
        <v>867</v>
      </c>
      <c r="D295" s="2" t="s">
        <v>868</v>
      </c>
      <c r="E295" s="1" t="s">
        <v>869</v>
      </c>
      <c r="F295" t="s">
        <v>24</v>
      </c>
      <c r="G295" s="2" t="s">
        <v>758</v>
      </c>
      <c r="H295" t="s">
        <v>142</v>
      </c>
      <c r="I295" t="s">
        <v>143</v>
      </c>
      <c r="J295" s="6">
        <v>18228</v>
      </c>
      <c r="K295" s="16">
        <v>999</v>
      </c>
      <c r="L295" s="16">
        <v>1001</v>
      </c>
      <c r="M295" s="16">
        <v>998</v>
      </c>
      <c r="N295" s="16">
        <v>1003</v>
      </c>
      <c r="O295" s="16">
        <v>1001</v>
      </c>
      <c r="P295" s="16">
        <v>1005</v>
      </c>
      <c r="Q295" s="16">
        <v>1003</v>
      </c>
      <c r="R295" s="16">
        <v>1003</v>
      </c>
      <c r="S295" s="16">
        <v>997</v>
      </c>
      <c r="T295" s="16">
        <v>1000</v>
      </c>
      <c r="U295" s="15">
        <v>1001</v>
      </c>
      <c r="V295" t="s">
        <v>19</v>
      </c>
      <c r="W295" t="s">
        <v>28</v>
      </c>
      <c r="X295">
        <v>330</v>
      </c>
      <c r="Y295" s="16">
        <f>VLOOKUP(Tabela1[[#This Row],[SKU]],SKU!A:D,4,0)</f>
        <v>1000</v>
      </c>
      <c r="Z295" s="18">
        <f>IFERROR((Tabela1[[#This Row],[Média]]-Tabela1[[#This Row],[Meta]])/Tabela1[[#This Row],[Meta]],"")</f>
        <v>1E-3</v>
      </c>
      <c r="AA295" s="21">
        <f>Tabela1[[#This Row],[Média]]-Tabela1[[#This Row],[Meta]]</f>
        <v>1</v>
      </c>
      <c r="AB295" s="6" t="str">
        <f>VLOOKUP(Tabela1[[#This Row],[SKU]],SKU!A:B,2,0)</f>
        <v>MOELA FRANGO CG ALM SE</v>
      </c>
      <c r="AC295" s="6" t="str">
        <f>VLOOKUP(Tabela1[[#This Row],[SKU]],SKU!A:C,3,0)</f>
        <v>MOELA</v>
      </c>
    </row>
    <row r="296" spans="1:29" x14ac:dyDescent="0.3">
      <c r="A296" s="2">
        <f>INT(Tabela1[[#This Row],[Data e Hora2]])</f>
        <v>46261</v>
      </c>
      <c r="B296" s="6" t="str">
        <f>UPPER(TEXT(Tabela1[[#This Row],[Data Corrigida]],"MMM"))</f>
        <v>AGO</v>
      </c>
      <c r="C296" t="s">
        <v>870</v>
      </c>
      <c r="D296" s="2" t="s">
        <v>871</v>
      </c>
      <c r="E296" s="1" t="s">
        <v>872</v>
      </c>
      <c r="F296" t="s">
        <v>24</v>
      </c>
      <c r="G296" s="2" t="s">
        <v>758</v>
      </c>
      <c r="H296" t="s">
        <v>142</v>
      </c>
      <c r="I296" t="s">
        <v>143</v>
      </c>
      <c r="J296" s="6">
        <v>15105</v>
      </c>
      <c r="K296" s="16">
        <v>1047</v>
      </c>
      <c r="L296" s="16">
        <v>999</v>
      </c>
      <c r="M296" s="16">
        <v>1004</v>
      </c>
      <c r="N296" s="16">
        <v>1030</v>
      </c>
      <c r="O296" s="16">
        <v>1024</v>
      </c>
      <c r="P296" s="16">
        <v>1036</v>
      </c>
      <c r="Q296" s="16">
        <v>1005</v>
      </c>
      <c r="R296" s="16">
        <v>1032</v>
      </c>
      <c r="S296" s="16">
        <v>999</v>
      </c>
      <c r="T296" s="16">
        <v>1030</v>
      </c>
      <c r="U296" s="15">
        <v>1020.6</v>
      </c>
      <c r="V296" t="s">
        <v>19</v>
      </c>
      <c r="W296" t="s">
        <v>28</v>
      </c>
      <c r="X296">
        <v>293</v>
      </c>
      <c r="Y296" s="16">
        <f>VLOOKUP(Tabela1[[#This Row],[SKU]],SKU!A:D,4,0)</f>
        <v>1000</v>
      </c>
      <c r="Z296" s="18">
        <f>IFERROR((Tabela1[[#This Row],[Média]]-Tabela1[[#This Row],[Meta]])/Tabela1[[#This Row],[Meta]],"")</f>
        <v>2.0600000000000021E-2</v>
      </c>
      <c r="AA296" s="21">
        <f>Tabela1[[#This Row],[Média]]-Tabela1[[#This Row],[Meta]]</f>
        <v>20.600000000000023</v>
      </c>
      <c r="AB296" s="6" t="str">
        <f>VLOOKUP(Tabela1[[#This Row],[SKU]],SKU!A:B,2,0)</f>
        <v>FILE PEITO MET CG BDJ SE</v>
      </c>
      <c r="AC296" s="6" t="str">
        <f>VLOOKUP(Tabela1[[#This Row],[SKU]],SKU!A:C,3,0)</f>
        <v>PEITO</v>
      </c>
    </row>
    <row r="297" spans="1:29" x14ac:dyDescent="0.3">
      <c r="A297" s="2">
        <f>INT(Tabela1[[#This Row],[Data e Hora2]])</f>
        <v>46261</v>
      </c>
      <c r="B297" s="6" t="str">
        <f>UPPER(TEXT(Tabela1[[#This Row],[Data Corrigida]],"MMM"))</f>
        <v>AGO</v>
      </c>
      <c r="C297" t="s">
        <v>873</v>
      </c>
      <c r="D297" s="2" t="s">
        <v>874</v>
      </c>
      <c r="E297" s="1" t="s">
        <v>875</v>
      </c>
      <c r="F297" t="s">
        <v>24</v>
      </c>
      <c r="G297" s="2" t="s">
        <v>758</v>
      </c>
      <c r="H297" t="s">
        <v>142</v>
      </c>
      <c r="I297" t="s">
        <v>143</v>
      </c>
      <c r="J297" s="6">
        <v>197734</v>
      </c>
      <c r="K297" s="16">
        <v>1029</v>
      </c>
      <c r="L297" s="16">
        <v>1037</v>
      </c>
      <c r="M297" s="16">
        <v>995</v>
      </c>
      <c r="N297" s="16">
        <v>995</v>
      </c>
      <c r="O297" s="16">
        <v>1004</v>
      </c>
      <c r="P297" s="16">
        <v>998</v>
      </c>
      <c r="Q297" s="16">
        <v>1009</v>
      </c>
      <c r="R297" s="16">
        <v>1004</v>
      </c>
      <c r="S297" s="16">
        <v>1020</v>
      </c>
      <c r="T297" s="16">
        <v>1005</v>
      </c>
      <c r="U297" s="15">
        <v>1009.6</v>
      </c>
      <c r="V297" t="s">
        <v>19</v>
      </c>
      <c r="W297" t="s">
        <v>28</v>
      </c>
      <c r="X297">
        <v>198</v>
      </c>
      <c r="Y297" s="16">
        <f>VLOOKUP(Tabela1[[#This Row],[SKU]],SKU!A:D,4,0)</f>
        <v>1000</v>
      </c>
      <c r="Z297" s="18">
        <f>IFERROR((Tabela1[[#This Row],[Média]]-Tabela1[[#This Row],[Meta]])/Tabela1[[#This Row],[Meta]],"")</f>
        <v>9.6000000000000234E-3</v>
      </c>
      <c r="AA297" s="21">
        <f>Tabela1[[#This Row],[Média]]-Tabela1[[#This Row],[Meta]]</f>
        <v>9.6000000000000227</v>
      </c>
      <c r="AB297" s="6" t="str">
        <f>VLOOKUP(Tabela1[[#This Row],[SKU]],SKU!A:B,2,0)</f>
        <v>FILEZINHO FRANGO IQF ALM SE</v>
      </c>
      <c r="AC297" s="6" t="str">
        <f>VLOOKUP(Tabela1[[#This Row],[SKU]],SKU!A:C,3,0)</f>
        <v>SASSAMI</v>
      </c>
    </row>
    <row r="298" spans="1:29" x14ac:dyDescent="0.3">
      <c r="A298" s="2">
        <f>INT(Tabela1[[#This Row],[Data e Hora2]])</f>
        <v>46261</v>
      </c>
      <c r="B298" s="6" t="str">
        <f>UPPER(TEXT(Tabela1[[#This Row],[Data Corrigida]],"MMM"))</f>
        <v>AGO</v>
      </c>
      <c r="C298" t="s">
        <v>876</v>
      </c>
      <c r="D298" s="2" t="s">
        <v>877</v>
      </c>
      <c r="E298" s="1" t="s">
        <v>878</v>
      </c>
      <c r="F298" t="s">
        <v>24</v>
      </c>
      <c r="G298" s="2" t="s">
        <v>758</v>
      </c>
      <c r="H298" t="s">
        <v>142</v>
      </c>
      <c r="I298" t="s">
        <v>143</v>
      </c>
      <c r="J298" s="6">
        <v>40762</v>
      </c>
      <c r="K298" s="16">
        <v>10055</v>
      </c>
      <c r="L298" s="16">
        <v>10065</v>
      </c>
      <c r="M298" s="16">
        <v>10090</v>
      </c>
      <c r="N298" s="16">
        <v>9995</v>
      </c>
      <c r="O298" s="16">
        <v>10045</v>
      </c>
      <c r="P298" s="16">
        <v>10095</v>
      </c>
      <c r="Q298" s="16">
        <v>10005</v>
      </c>
      <c r="R298" s="16">
        <v>10000</v>
      </c>
      <c r="S298" s="16">
        <v>10075</v>
      </c>
      <c r="T298" s="16">
        <v>10020</v>
      </c>
      <c r="U298" s="15">
        <v>10044.5</v>
      </c>
      <c r="V298" t="s">
        <v>19</v>
      </c>
      <c r="W298" t="s">
        <v>28</v>
      </c>
      <c r="X298">
        <v>559</v>
      </c>
      <c r="Y298" s="16">
        <f>VLOOKUP(Tabela1[[#This Row],[SKU]],SKU!A:D,4,0)</f>
        <v>10000</v>
      </c>
      <c r="Z298" s="18">
        <f>IFERROR((Tabela1[[#This Row],[Média]]-Tabela1[[#This Row],[Meta]])/Tabela1[[#This Row],[Meta]],"")</f>
        <v>4.45E-3</v>
      </c>
      <c r="AA298" s="21">
        <f>Tabela1[[#This Row],[Média]]-Tabela1[[#This Row],[Meta]]</f>
        <v>44.5</v>
      </c>
      <c r="AB298" s="6" t="str">
        <f>VLOOKUP(Tabela1[[#This Row],[SKU]],SKU!A:B,2,0)</f>
        <v>COXA SBCX LQ FG LP</v>
      </c>
      <c r="AC298" s="6" t="str">
        <f>VLOOKUP(Tabela1[[#This Row],[SKU]],SKU!A:C,3,0)</f>
        <v>PERNA</v>
      </c>
    </row>
    <row r="299" spans="1:29" x14ac:dyDescent="0.3">
      <c r="A299" s="2">
        <f>INT(Tabela1[[#This Row],[Data e Hora2]])</f>
        <v>46261</v>
      </c>
      <c r="B299" s="6" t="str">
        <f>UPPER(TEXT(Tabela1[[#This Row],[Data Corrigida]],"MMM"))</f>
        <v>AGO</v>
      </c>
      <c r="C299" t="s">
        <v>879</v>
      </c>
      <c r="D299" s="2" t="s">
        <v>880</v>
      </c>
      <c r="E299" s="1" t="s">
        <v>881</v>
      </c>
      <c r="F299" t="s">
        <v>24</v>
      </c>
      <c r="G299" s="2" t="s">
        <v>758</v>
      </c>
      <c r="H299" t="s">
        <v>142</v>
      </c>
      <c r="I299" t="s">
        <v>143</v>
      </c>
      <c r="J299" s="6">
        <v>54632</v>
      </c>
      <c r="K299" s="16">
        <v>1012</v>
      </c>
      <c r="L299" s="16">
        <v>1005</v>
      </c>
      <c r="M299" s="16">
        <v>1007</v>
      </c>
      <c r="N299" s="16">
        <v>1010</v>
      </c>
      <c r="O299" s="16">
        <v>995</v>
      </c>
      <c r="P299" s="16">
        <v>1012</v>
      </c>
      <c r="Q299" s="16">
        <v>1007</v>
      </c>
      <c r="R299" s="16">
        <v>1016</v>
      </c>
      <c r="S299" s="16">
        <v>1018</v>
      </c>
      <c r="T299" s="16">
        <v>1020</v>
      </c>
      <c r="U299" s="15">
        <v>1010.2</v>
      </c>
      <c r="V299" t="s">
        <v>19</v>
      </c>
      <c r="W299" t="s">
        <v>28</v>
      </c>
      <c r="X299">
        <v>356</v>
      </c>
      <c r="Y299" s="16">
        <f>VLOOKUP(Tabela1[[#This Row],[SKU]],SKU!A:D,4,0)</f>
        <v>1000</v>
      </c>
      <c r="Z299" s="18">
        <f>IFERROR((Tabela1[[#This Row],[Média]]-Tabela1[[#This Row],[Meta]])/Tabela1[[#This Row],[Meta]],"")</f>
        <v>1.0200000000000046E-2</v>
      </c>
      <c r="AA299" s="21">
        <f>Tabela1[[#This Row],[Média]]-Tabela1[[#This Row],[Meta]]</f>
        <v>10.200000000000045</v>
      </c>
      <c r="AB299" s="6" t="str">
        <f>VLOOKUP(Tabela1[[#This Row],[SKU]],SKU!A:B,2,0)</f>
        <v>COXA SBCX S/O BDJ CG</v>
      </c>
      <c r="AC299" s="6" t="str">
        <f>VLOOKUP(Tabela1[[#This Row],[SKU]],SKU!A:C,3,0)</f>
        <v>PERNA</v>
      </c>
    </row>
    <row r="300" spans="1:29" x14ac:dyDescent="0.3">
      <c r="A300" s="2">
        <f>INT(Tabela1[[#This Row],[Data e Hora2]])</f>
        <v>46261</v>
      </c>
      <c r="B300" s="6" t="str">
        <f>UPPER(TEXT(Tabela1[[#This Row],[Data Corrigida]],"MMM"))</f>
        <v>AGO</v>
      </c>
      <c r="C300" t="s">
        <v>882</v>
      </c>
      <c r="D300" s="2" t="s">
        <v>883</v>
      </c>
      <c r="E300" s="1" t="s">
        <v>884</v>
      </c>
      <c r="F300" t="s">
        <v>24</v>
      </c>
      <c r="G300" s="2" t="s">
        <v>758</v>
      </c>
      <c r="H300" t="s">
        <v>142</v>
      </c>
      <c r="I300" t="s">
        <v>462</v>
      </c>
      <c r="J300" s="6">
        <v>40762</v>
      </c>
      <c r="K300" s="16">
        <v>9905</v>
      </c>
      <c r="L300" s="16">
        <v>9935</v>
      </c>
      <c r="M300" s="16">
        <v>10015</v>
      </c>
      <c r="N300" s="16">
        <v>10010</v>
      </c>
      <c r="O300" s="16">
        <v>10145</v>
      </c>
      <c r="P300" s="16">
        <v>9985</v>
      </c>
      <c r="Q300" s="16">
        <v>9960</v>
      </c>
      <c r="R300" s="16">
        <v>10015</v>
      </c>
      <c r="S300" s="16">
        <v>9925</v>
      </c>
      <c r="T300" s="16">
        <v>9995</v>
      </c>
      <c r="U300" s="15">
        <v>9989</v>
      </c>
      <c r="V300" t="s">
        <v>19</v>
      </c>
      <c r="W300" t="s">
        <v>28</v>
      </c>
      <c r="X300">
        <v>398</v>
      </c>
      <c r="Y300" s="16">
        <f>VLOOKUP(Tabela1[[#This Row],[SKU]],SKU!A:D,4,0)</f>
        <v>10000</v>
      </c>
      <c r="Z300" s="18">
        <f>IFERROR((Tabela1[[#This Row],[Média]]-Tabela1[[#This Row],[Meta]])/Tabela1[[#This Row],[Meta]],"")</f>
        <v>-1.1000000000000001E-3</v>
      </c>
      <c r="AA300" s="21">
        <f>Tabela1[[#This Row],[Média]]-Tabela1[[#This Row],[Meta]]</f>
        <v>-11</v>
      </c>
      <c r="AB300" s="6" t="str">
        <f>VLOOKUP(Tabela1[[#This Row],[SKU]],SKU!A:B,2,0)</f>
        <v>COXA SBCX LQ FG LP</v>
      </c>
      <c r="AC300" s="6" t="str">
        <f>VLOOKUP(Tabela1[[#This Row],[SKU]],SKU!A:C,3,0)</f>
        <v>PERNA</v>
      </c>
    </row>
    <row r="301" spans="1:29" x14ac:dyDescent="0.3">
      <c r="A301" s="2">
        <f>INT(Tabela1[[#This Row],[Data e Hora2]])</f>
        <v>46262</v>
      </c>
      <c r="B301" s="6" t="str">
        <f>UPPER(TEXT(Tabela1[[#This Row],[Data Corrigida]],"MMM"))</f>
        <v>AGO</v>
      </c>
      <c r="C301" t="s">
        <v>885</v>
      </c>
      <c r="D301" s="2" t="s">
        <v>886</v>
      </c>
      <c r="E301" s="1" t="s">
        <v>887</v>
      </c>
      <c r="F301" t="s">
        <v>24</v>
      </c>
      <c r="G301" s="2" t="s">
        <v>836</v>
      </c>
      <c r="H301" t="s">
        <v>26</v>
      </c>
      <c r="I301" t="s">
        <v>27</v>
      </c>
      <c r="J301" s="6">
        <v>54632</v>
      </c>
      <c r="K301" s="16">
        <v>1009</v>
      </c>
      <c r="L301" s="16">
        <v>1028</v>
      </c>
      <c r="M301" s="16">
        <v>1008</v>
      </c>
      <c r="N301" s="16">
        <v>1018</v>
      </c>
      <c r="O301" s="16">
        <v>1005</v>
      </c>
      <c r="P301" s="16">
        <v>1002</v>
      </c>
      <c r="Q301" s="16">
        <v>1000</v>
      </c>
      <c r="R301" s="16">
        <v>1007</v>
      </c>
      <c r="S301" s="16">
        <v>1001</v>
      </c>
      <c r="T301" s="16">
        <v>1008</v>
      </c>
      <c r="U301" s="15">
        <v>1008.6</v>
      </c>
      <c r="V301" t="s">
        <v>19</v>
      </c>
      <c r="W301" t="s">
        <v>19</v>
      </c>
      <c r="X301">
        <v>254</v>
      </c>
      <c r="Y301" s="16">
        <f>VLOOKUP(Tabela1[[#This Row],[SKU]],SKU!A:D,4,0)</f>
        <v>1000</v>
      </c>
      <c r="Z301" s="18">
        <f>IFERROR((Tabela1[[#This Row],[Média]]-Tabela1[[#This Row],[Meta]])/Tabela1[[#This Row],[Meta]],"")</f>
        <v>8.6000000000000226E-3</v>
      </c>
      <c r="AA301" s="21">
        <f>Tabela1[[#This Row],[Média]]-Tabela1[[#This Row],[Meta]]</f>
        <v>8.6000000000000227</v>
      </c>
      <c r="AB301" s="6" t="str">
        <f>VLOOKUP(Tabela1[[#This Row],[SKU]],SKU!A:B,2,0)</f>
        <v>COXA SBCX S/O BDJ CG</v>
      </c>
      <c r="AC301" s="6" t="str">
        <f>VLOOKUP(Tabela1[[#This Row],[SKU]],SKU!A:C,3,0)</f>
        <v>PERNA</v>
      </c>
    </row>
    <row r="302" spans="1:29" x14ac:dyDescent="0.3">
      <c r="A302" s="2">
        <f>INT(Tabela1[[#This Row],[Data e Hora2]])</f>
        <v>46262</v>
      </c>
      <c r="B302" s="6" t="str">
        <f>UPPER(TEXT(Tabela1[[#This Row],[Data Corrigida]],"MMM"))</f>
        <v>AGO</v>
      </c>
      <c r="C302" t="s">
        <v>888</v>
      </c>
      <c r="D302" s="2" t="s">
        <v>889</v>
      </c>
      <c r="E302" s="1" t="s">
        <v>887</v>
      </c>
      <c r="F302" t="s">
        <v>24</v>
      </c>
      <c r="G302" s="2" t="s">
        <v>836</v>
      </c>
      <c r="H302" t="s">
        <v>26</v>
      </c>
      <c r="I302" t="s">
        <v>27</v>
      </c>
      <c r="J302" s="6">
        <v>40762</v>
      </c>
      <c r="K302" s="16">
        <v>10045</v>
      </c>
      <c r="L302" s="16">
        <v>10025</v>
      </c>
      <c r="M302" s="16">
        <v>10075</v>
      </c>
      <c r="N302" s="16">
        <v>9970</v>
      </c>
      <c r="O302" s="16">
        <v>10050</v>
      </c>
      <c r="P302" s="16">
        <v>9965</v>
      </c>
      <c r="Q302" s="16">
        <v>10040</v>
      </c>
      <c r="R302" s="16">
        <v>10060</v>
      </c>
      <c r="S302" s="16">
        <v>10040</v>
      </c>
      <c r="T302" s="16">
        <v>10075</v>
      </c>
      <c r="U302" s="15">
        <v>10034.5</v>
      </c>
      <c r="V302" t="s">
        <v>19</v>
      </c>
      <c r="W302" t="s">
        <v>28</v>
      </c>
      <c r="X302">
        <v>568</v>
      </c>
      <c r="Y302" s="16">
        <f>VLOOKUP(Tabela1[[#This Row],[SKU]],SKU!A:D,4,0)</f>
        <v>10000</v>
      </c>
      <c r="Z302" s="18">
        <f>IFERROR((Tabela1[[#This Row],[Média]]-Tabela1[[#This Row],[Meta]])/Tabela1[[#This Row],[Meta]],"")</f>
        <v>3.4499999999999999E-3</v>
      </c>
      <c r="AA302" s="21">
        <f>Tabela1[[#This Row],[Média]]-Tabela1[[#This Row],[Meta]]</f>
        <v>34.5</v>
      </c>
      <c r="AB302" s="6" t="str">
        <f>VLOOKUP(Tabela1[[#This Row],[SKU]],SKU!A:B,2,0)</f>
        <v>COXA SBCX LQ FG LP</v>
      </c>
      <c r="AC302" s="6" t="str">
        <f>VLOOKUP(Tabela1[[#This Row],[SKU]],SKU!A:C,3,0)</f>
        <v>PERNA</v>
      </c>
    </row>
    <row r="303" spans="1:29" x14ac:dyDescent="0.3">
      <c r="A303" s="2">
        <f>INT(Tabela1[[#This Row],[Data e Hora2]])</f>
        <v>46262</v>
      </c>
      <c r="B303" s="6" t="str">
        <f>UPPER(TEXT(Tabela1[[#This Row],[Data Corrigida]],"MMM"))</f>
        <v>AGO</v>
      </c>
      <c r="C303" t="s">
        <v>890</v>
      </c>
      <c r="D303" s="2" t="s">
        <v>891</v>
      </c>
      <c r="E303" s="1" t="s">
        <v>887</v>
      </c>
      <c r="F303" t="s">
        <v>24</v>
      </c>
      <c r="G303" s="2" t="s">
        <v>836</v>
      </c>
      <c r="H303" t="s">
        <v>26</v>
      </c>
      <c r="I303" t="s">
        <v>27</v>
      </c>
      <c r="J303" s="6">
        <v>15229</v>
      </c>
      <c r="K303" s="16">
        <v>1003</v>
      </c>
      <c r="L303" s="16">
        <v>999</v>
      </c>
      <c r="M303" s="16">
        <v>1000</v>
      </c>
      <c r="N303" s="16">
        <v>1014</v>
      </c>
      <c r="O303" s="16">
        <v>1013</v>
      </c>
      <c r="P303" s="16">
        <v>1000</v>
      </c>
      <c r="Q303" s="16">
        <v>1012</v>
      </c>
      <c r="R303" s="16">
        <v>1010</v>
      </c>
      <c r="S303" s="16">
        <v>1013</v>
      </c>
      <c r="T303" s="16">
        <v>1004</v>
      </c>
      <c r="U303" s="15">
        <v>1006.8</v>
      </c>
      <c r="V303" t="s">
        <v>19</v>
      </c>
      <c r="W303" t="s">
        <v>19</v>
      </c>
      <c r="X303">
        <v>184</v>
      </c>
      <c r="Y303" s="16">
        <f>VLOOKUP(Tabela1[[#This Row],[SKU]],SKU!A:D,4,0)</f>
        <v>1000</v>
      </c>
      <c r="Z303" s="18">
        <f>IFERROR((Tabela1[[#This Row],[Média]]-Tabela1[[#This Row],[Meta]])/Tabela1[[#This Row],[Meta]],"")</f>
        <v>6.7999999999999545E-3</v>
      </c>
      <c r="AA303" s="21">
        <f>Tabela1[[#This Row],[Média]]-Tabela1[[#This Row],[Meta]]</f>
        <v>6.7999999999999545</v>
      </c>
      <c r="AB303" s="6" t="str">
        <f>VLOOKUP(Tabela1[[#This Row],[SKU]],SKU!A:B,2,0)</f>
        <v>COXA CG BDJ SE</v>
      </c>
      <c r="AC303" s="6" t="str">
        <f>VLOOKUP(Tabela1[[#This Row],[SKU]],SKU!A:C,3,0)</f>
        <v>PERNA</v>
      </c>
    </row>
    <row r="304" spans="1:29" x14ac:dyDescent="0.3">
      <c r="A304" s="2">
        <f>INT(Tabela1[[#This Row],[Data e Hora2]])</f>
        <v>46262</v>
      </c>
      <c r="B304" s="6" t="str">
        <f>UPPER(TEXT(Tabela1[[#This Row],[Data Corrigida]],"MMM"))</f>
        <v>AGO</v>
      </c>
      <c r="C304" t="s">
        <v>892</v>
      </c>
      <c r="D304" s="2" t="s">
        <v>893</v>
      </c>
      <c r="E304" s="1" t="s">
        <v>887</v>
      </c>
      <c r="F304" t="s">
        <v>24</v>
      </c>
      <c r="G304" s="2" t="s">
        <v>836</v>
      </c>
      <c r="H304" t="s">
        <v>26</v>
      </c>
      <c r="I304" t="s">
        <v>27</v>
      </c>
      <c r="J304" s="6">
        <v>13188</v>
      </c>
      <c r="K304" s="16">
        <v>1017</v>
      </c>
      <c r="L304" s="16">
        <v>985</v>
      </c>
      <c r="M304" s="16">
        <v>974</v>
      </c>
      <c r="N304" s="16">
        <v>1008</v>
      </c>
      <c r="O304" s="16">
        <v>1010</v>
      </c>
      <c r="P304" s="16">
        <v>1015</v>
      </c>
      <c r="Q304" s="16">
        <v>1016</v>
      </c>
      <c r="R304" s="16">
        <v>1014</v>
      </c>
      <c r="S304" s="16">
        <v>1023</v>
      </c>
      <c r="T304" s="16">
        <v>1011</v>
      </c>
      <c r="U304" s="15">
        <v>1007.3</v>
      </c>
      <c r="V304" t="s">
        <v>19</v>
      </c>
      <c r="W304" t="s">
        <v>28</v>
      </c>
      <c r="X304">
        <v>412</v>
      </c>
      <c r="Y304" s="16">
        <f>VLOOKUP(Tabela1[[#This Row],[SKU]],SKU!A:D,4,0)</f>
        <v>1000</v>
      </c>
      <c r="Z304" s="18">
        <f>IFERROR((Tabela1[[#This Row],[Média]]-Tabela1[[#This Row],[Meta]])/Tabela1[[#This Row],[Meta]],"")</f>
        <v>7.2999999999999541E-3</v>
      </c>
      <c r="AA304" s="21">
        <f>Tabela1[[#This Row],[Média]]-Tabela1[[#This Row],[Meta]]</f>
        <v>7.2999999999999545</v>
      </c>
      <c r="AB304" s="6" t="str">
        <f>VLOOKUP(Tabela1[[#This Row],[SKU]],SKU!A:B,2,0)</f>
        <v>SOBRECOXA CG BDJ SE</v>
      </c>
      <c r="AC304" s="6" t="str">
        <f>VLOOKUP(Tabela1[[#This Row],[SKU]],SKU!A:C,3,0)</f>
        <v>PERNA</v>
      </c>
    </row>
    <row r="305" spans="1:29" x14ac:dyDescent="0.3">
      <c r="A305" s="2">
        <f>INT(Tabela1[[#This Row],[Data e Hora2]])</f>
        <v>46262</v>
      </c>
      <c r="B305" s="6" t="str">
        <f>UPPER(TEXT(Tabela1[[#This Row],[Data Corrigida]],"MMM"))</f>
        <v>AGO</v>
      </c>
      <c r="C305" t="s">
        <v>894</v>
      </c>
      <c r="D305" s="2" t="s">
        <v>895</v>
      </c>
      <c r="E305" s="1" t="s">
        <v>887</v>
      </c>
      <c r="F305" t="s">
        <v>24</v>
      </c>
      <c r="G305" s="2" t="s">
        <v>836</v>
      </c>
      <c r="H305" t="s">
        <v>26</v>
      </c>
      <c r="I305" t="s">
        <v>27</v>
      </c>
      <c r="J305" s="6">
        <v>15105</v>
      </c>
      <c r="K305" s="16">
        <v>1041</v>
      </c>
      <c r="L305" s="16">
        <v>1024</v>
      </c>
      <c r="M305" s="16">
        <v>1011</v>
      </c>
      <c r="N305" s="16">
        <v>1018</v>
      </c>
      <c r="O305" s="16">
        <v>1013</v>
      </c>
      <c r="P305" s="16">
        <v>1199</v>
      </c>
      <c r="Q305" s="16">
        <v>999</v>
      </c>
      <c r="R305" s="16">
        <v>1022</v>
      </c>
      <c r="S305" s="16">
        <v>1017</v>
      </c>
      <c r="T305" s="16">
        <v>1048</v>
      </c>
      <c r="U305" s="15">
        <v>1039.2</v>
      </c>
      <c r="V305" t="s">
        <v>19</v>
      </c>
      <c r="W305" t="s">
        <v>28</v>
      </c>
      <c r="X305">
        <v>228</v>
      </c>
      <c r="Y305" s="16">
        <f>VLOOKUP(Tabela1[[#This Row],[SKU]],SKU!A:D,4,0)</f>
        <v>1000</v>
      </c>
      <c r="Z305" s="18">
        <f>IFERROR((Tabela1[[#This Row],[Média]]-Tabela1[[#This Row],[Meta]])/Tabela1[[#This Row],[Meta]],"")</f>
        <v>3.9200000000000047E-2</v>
      </c>
      <c r="AA305" s="21">
        <f>Tabela1[[#This Row],[Média]]-Tabela1[[#This Row],[Meta]]</f>
        <v>39.200000000000045</v>
      </c>
      <c r="AB305" s="6" t="str">
        <f>VLOOKUP(Tabela1[[#This Row],[SKU]],SKU!A:B,2,0)</f>
        <v>FILE PEITO MET CG BDJ SE</v>
      </c>
      <c r="AC305" s="6" t="str">
        <f>VLOOKUP(Tabela1[[#This Row],[SKU]],SKU!A:C,3,0)</f>
        <v>PEITO</v>
      </c>
    </row>
    <row r="306" spans="1:29" x14ac:dyDescent="0.3">
      <c r="A306" s="2">
        <f>INT(Tabela1[[#This Row],[Data e Hora2]])</f>
        <v>46262</v>
      </c>
      <c r="B306" s="6" t="str">
        <f>UPPER(TEXT(Tabela1[[#This Row],[Data Corrigida]],"MMM"))</f>
        <v>AGO</v>
      </c>
      <c r="C306" t="s">
        <v>896</v>
      </c>
      <c r="D306" s="2" t="s">
        <v>897</v>
      </c>
      <c r="E306" s="1" t="s">
        <v>887</v>
      </c>
      <c r="F306" t="s">
        <v>24</v>
      </c>
      <c r="G306" s="2" t="s">
        <v>836</v>
      </c>
      <c r="H306" t="s">
        <v>26</v>
      </c>
      <c r="I306" t="s">
        <v>27</v>
      </c>
      <c r="J306" s="6">
        <v>792306</v>
      </c>
      <c r="K306" s="16">
        <v>1072</v>
      </c>
      <c r="L306" s="16">
        <v>1004</v>
      </c>
      <c r="M306" s="16">
        <v>991</v>
      </c>
      <c r="N306" s="16">
        <v>1031</v>
      </c>
      <c r="O306" s="16">
        <v>1013</v>
      </c>
      <c r="P306" s="16">
        <v>1016</v>
      </c>
      <c r="Q306" s="16">
        <v>1004</v>
      </c>
      <c r="R306" s="16">
        <v>994</v>
      </c>
      <c r="S306" s="16">
        <v>998</v>
      </c>
      <c r="T306" s="16">
        <v>996</v>
      </c>
      <c r="U306" s="15">
        <v>1011.9</v>
      </c>
      <c r="V306" t="s">
        <v>19</v>
      </c>
      <c r="W306" t="s">
        <v>28</v>
      </c>
      <c r="X306">
        <v>98</v>
      </c>
      <c r="Y306" s="16">
        <f>VLOOKUP(Tabela1[[#This Row],[SKU]],SKU!A:D,4,0)</f>
        <v>1000</v>
      </c>
      <c r="Z306" s="18">
        <f>IFERROR((Tabela1[[#This Row],[Média]]-Tabela1[[#This Row],[Meta]])/Tabela1[[#This Row],[Meta]],"")</f>
        <v>1.1899999999999977E-2</v>
      </c>
      <c r="AA306" s="21">
        <f>Tabela1[[#This Row],[Média]]-Tabela1[[#This Row],[Meta]]</f>
        <v>11.899999999999977</v>
      </c>
      <c r="AB306" s="6" t="str">
        <f>VLOOKUP(Tabela1[[#This Row],[SKU]],SKU!A:B,2,0)</f>
        <v>FILE PEITO  CG IQF</v>
      </c>
      <c r="AC306" s="6" t="str">
        <f>VLOOKUP(Tabela1[[#This Row],[SKU]],SKU!A:C,3,0)</f>
        <v>PEITO</v>
      </c>
    </row>
    <row r="307" spans="1:29" x14ac:dyDescent="0.3">
      <c r="A307" s="2">
        <f>INT(Tabela1[[#This Row],[Data e Hora2]])</f>
        <v>46262</v>
      </c>
      <c r="B307" s="6" t="str">
        <f>UPPER(TEXT(Tabela1[[#This Row],[Data Corrigida]],"MMM"))</f>
        <v>AGO</v>
      </c>
      <c r="C307" t="s">
        <v>898</v>
      </c>
      <c r="D307" s="2" t="s">
        <v>899</v>
      </c>
      <c r="E307" s="1" t="s">
        <v>887</v>
      </c>
      <c r="F307" t="s">
        <v>24</v>
      </c>
      <c r="G307" s="2" t="s">
        <v>836</v>
      </c>
      <c r="H307" t="s">
        <v>26</v>
      </c>
      <c r="I307" t="s">
        <v>27</v>
      </c>
      <c r="J307" s="6">
        <v>54632</v>
      </c>
      <c r="K307" s="16">
        <v>1002</v>
      </c>
      <c r="L307" s="16">
        <v>1007</v>
      </c>
      <c r="M307" s="16">
        <v>1000</v>
      </c>
      <c r="N307" s="16">
        <v>997</v>
      </c>
      <c r="O307" s="16">
        <v>1005</v>
      </c>
      <c r="P307" s="16">
        <v>1000</v>
      </c>
      <c r="Q307" s="16">
        <v>995</v>
      </c>
      <c r="R307" s="16">
        <v>998</v>
      </c>
      <c r="S307" s="16">
        <v>1004</v>
      </c>
      <c r="T307" s="16">
        <v>1005</v>
      </c>
      <c r="U307" s="15">
        <v>1001.3</v>
      </c>
      <c r="V307" t="s">
        <v>19</v>
      </c>
      <c r="W307" t="s">
        <v>19</v>
      </c>
      <c r="X307">
        <v>488</v>
      </c>
      <c r="Y307" s="16">
        <f>VLOOKUP(Tabela1[[#This Row],[SKU]],SKU!A:D,4,0)</f>
        <v>1000</v>
      </c>
      <c r="Z307" s="18">
        <f>IFERROR((Tabela1[[#This Row],[Média]]-Tabela1[[#This Row],[Meta]])/Tabela1[[#This Row],[Meta]],"")</f>
        <v>1.2999999999999546E-3</v>
      </c>
      <c r="AA307" s="21">
        <f>Tabela1[[#This Row],[Média]]-Tabela1[[#This Row],[Meta]]</f>
        <v>1.2999999999999545</v>
      </c>
      <c r="AB307" s="6" t="str">
        <f>VLOOKUP(Tabela1[[#This Row],[SKU]],SKU!A:B,2,0)</f>
        <v>COXA SBCX S/O BDJ CG</v>
      </c>
      <c r="AC307" s="6" t="str">
        <f>VLOOKUP(Tabela1[[#This Row],[SKU]],SKU!A:C,3,0)</f>
        <v>PERNA</v>
      </c>
    </row>
    <row r="308" spans="1:29" x14ac:dyDescent="0.3">
      <c r="A308" s="2">
        <f>INT(Tabela1[[#This Row],[Data e Hora2]])</f>
        <v>46262</v>
      </c>
      <c r="B308" s="6" t="str">
        <f>UPPER(TEXT(Tabela1[[#This Row],[Data Corrigida]],"MMM"))</f>
        <v>AGO</v>
      </c>
      <c r="C308" t="s">
        <v>900</v>
      </c>
      <c r="D308" s="2" t="s">
        <v>901</v>
      </c>
      <c r="E308" s="1" t="s">
        <v>887</v>
      </c>
      <c r="F308" t="s">
        <v>24</v>
      </c>
      <c r="G308" s="2" t="s">
        <v>836</v>
      </c>
      <c r="H308" t="s">
        <v>26</v>
      </c>
      <c r="I308" t="s">
        <v>27</v>
      </c>
      <c r="J308" s="6">
        <v>13188</v>
      </c>
      <c r="K308" s="16">
        <v>1007</v>
      </c>
      <c r="L308" s="16">
        <v>1006</v>
      </c>
      <c r="M308" s="16">
        <v>995</v>
      </c>
      <c r="N308" s="16">
        <v>1011</v>
      </c>
      <c r="O308" s="16">
        <v>1004</v>
      </c>
      <c r="P308" s="16">
        <v>1011</v>
      </c>
      <c r="Q308" s="16">
        <v>1005</v>
      </c>
      <c r="R308" s="16">
        <v>1013</v>
      </c>
      <c r="S308" s="16">
        <v>1009</v>
      </c>
      <c r="T308" s="16">
        <v>1007</v>
      </c>
      <c r="U308" s="15">
        <v>1006.8</v>
      </c>
      <c r="V308" t="s">
        <v>19</v>
      </c>
      <c r="W308" t="s">
        <v>28</v>
      </c>
      <c r="X308">
        <v>246</v>
      </c>
      <c r="Y308" s="16">
        <f>VLOOKUP(Tabela1[[#This Row],[SKU]],SKU!A:D,4,0)</f>
        <v>1000</v>
      </c>
      <c r="Z308" s="18">
        <f>IFERROR((Tabela1[[#This Row],[Média]]-Tabela1[[#This Row],[Meta]])/Tabela1[[#This Row],[Meta]],"")</f>
        <v>6.7999999999999545E-3</v>
      </c>
      <c r="AA308" s="21">
        <f>Tabela1[[#This Row],[Média]]-Tabela1[[#This Row],[Meta]]</f>
        <v>6.7999999999999545</v>
      </c>
      <c r="AB308" s="6" t="str">
        <f>VLOOKUP(Tabela1[[#This Row],[SKU]],SKU!A:B,2,0)</f>
        <v>SOBRECOXA CG BDJ SE</v>
      </c>
      <c r="AC308" s="6" t="str">
        <f>VLOOKUP(Tabela1[[#This Row],[SKU]],SKU!A:C,3,0)</f>
        <v>PERNA</v>
      </c>
    </row>
    <row r="309" spans="1:29" x14ac:dyDescent="0.3">
      <c r="A309" s="2">
        <f>INT(Tabela1[[#This Row],[Data e Hora2]])</f>
        <v>46262</v>
      </c>
      <c r="B309" s="6" t="str">
        <f>UPPER(TEXT(Tabela1[[#This Row],[Data Corrigida]],"MMM"))</f>
        <v>AGO</v>
      </c>
      <c r="C309" t="s">
        <v>902</v>
      </c>
      <c r="D309" s="2" t="s">
        <v>903</v>
      </c>
      <c r="E309" s="1" t="s">
        <v>887</v>
      </c>
      <c r="F309" t="s">
        <v>24</v>
      </c>
      <c r="G309" s="2" t="s">
        <v>836</v>
      </c>
      <c r="H309" t="s">
        <v>26</v>
      </c>
      <c r="I309" t="s">
        <v>27</v>
      </c>
      <c r="J309" s="6">
        <v>15229</v>
      </c>
      <c r="K309" s="16">
        <v>1003</v>
      </c>
      <c r="L309" s="16">
        <v>1007</v>
      </c>
      <c r="M309" s="16">
        <v>1005</v>
      </c>
      <c r="N309" s="16">
        <v>1015</v>
      </c>
      <c r="O309" s="16">
        <v>1013</v>
      </c>
      <c r="P309" s="16">
        <v>999</v>
      </c>
      <c r="Q309" s="16">
        <v>995</v>
      </c>
      <c r="R309" s="16">
        <v>1015</v>
      </c>
      <c r="S309" s="16">
        <v>999</v>
      </c>
      <c r="T309" s="16">
        <v>1014</v>
      </c>
      <c r="U309" s="15">
        <v>1006.5</v>
      </c>
      <c r="V309" t="s">
        <v>19</v>
      </c>
      <c r="W309" t="s">
        <v>19</v>
      </c>
      <c r="X309">
        <v>189</v>
      </c>
      <c r="Y309" s="16">
        <f>VLOOKUP(Tabela1[[#This Row],[SKU]],SKU!A:D,4,0)</f>
        <v>1000</v>
      </c>
      <c r="Z309" s="18">
        <f>IFERROR((Tabela1[[#This Row],[Média]]-Tabela1[[#This Row],[Meta]])/Tabela1[[#This Row],[Meta]],"")</f>
        <v>6.4999999999999997E-3</v>
      </c>
      <c r="AA309" s="21">
        <f>Tabela1[[#This Row],[Média]]-Tabela1[[#This Row],[Meta]]</f>
        <v>6.5</v>
      </c>
      <c r="AB309" s="6" t="str">
        <f>VLOOKUP(Tabela1[[#This Row],[SKU]],SKU!A:B,2,0)</f>
        <v>COXA CG BDJ SE</v>
      </c>
      <c r="AC309" s="6" t="str">
        <f>VLOOKUP(Tabela1[[#This Row],[SKU]],SKU!A:C,3,0)</f>
        <v>PERNA</v>
      </c>
    </row>
    <row r="310" spans="1:29" x14ac:dyDescent="0.3">
      <c r="A310" s="2">
        <f>INT(Tabela1[[#This Row],[Data e Hora2]])</f>
        <v>46262</v>
      </c>
      <c r="B310" s="6" t="str">
        <f>UPPER(TEXT(Tabela1[[#This Row],[Data Corrigida]],"MMM"))</f>
        <v>AGO</v>
      </c>
      <c r="C310" t="s">
        <v>904</v>
      </c>
      <c r="D310" s="2" t="s">
        <v>905</v>
      </c>
      <c r="E310" s="1" t="s">
        <v>887</v>
      </c>
      <c r="F310" t="s">
        <v>24</v>
      </c>
      <c r="G310" s="2" t="s">
        <v>836</v>
      </c>
      <c r="H310" t="s">
        <v>26</v>
      </c>
      <c r="I310" t="s">
        <v>27</v>
      </c>
      <c r="J310" s="6">
        <v>42846</v>
      </c>
      <c r="K310" s="16">
        <v>2003</v>
      </c>
      <c r="L310" s="16">
        <v>2004</v>
      </c>
      <c r="M310" s="16">
        <v>2010</v>
      </c>
      <c r="N310" s="16">
        <v>2005</v>
      </c>
      <c r="O310" s="16">
        <v>2006</v>
      </c>
      <c r="P310" s="16">
        <v>2013</v>
      </c>
      <c r="Q310" s="16">
        <v>2011</v>
      </c>
      <c r="R310" s="16">
        <v>2011</v>
      </c>
      <c r="S310" s="16">
        <v>2020</v>
      </c>
      <c r="T310" s="16">
        <v>2019</v>
      </c>
      <c r="U310" s="15">
        <v>2010.2</v>
      </c>
      <c r="V310" t="s">
        <v>19</v>
      </c>
      <c r="W310" t="s">
        <v>28</v>
      </c>
      <c r="X310">
        <v>306</v>
      </c>
      <c r="Y310" s="16">
        <f>VLOOKUP(Tabela1[[#This Row],[SKU]],SKU!A:D,4,0)</f>
        <v>2000</v>
      </c>
      <c r="Z310" s="18">
        <f>IFERROR((Tabela1[[#This Row],[Média]]-Tabela1[[#This Row],[Meta]])/Tabela1[[#This Row],[Meta]],"")</f>
        <v>5.1000000000000229E-3</v>
      </c>
      <c r="AA310" s="21">
        <f>Tabela1[[#This Row],[Média]]-Tabela1[[#This Row],[Meta]]</f>
        <v>10.200000000000045</v>
      </c>
      <c r="AB310" s="6" t="str">
        <f>VLOOKUP(Tabela1[[#This Row],[SKU]],SKU!A:B,2,0)</f>
        <v>COXA SBCX S/O FG 240-260g PB</v>
      </c>
      <c r="AC310" s="6" t="str">
        <f>VLOOKUP(Tabela1[[#This Row],[SKU]],SKU!A:C,3,0)</f>
        <v>PERNA</v>
      </c>
    </row>
    <row r="311" spans="1:29" x14ac:dyDescent="0.3">
      <c r="A311" s="2">
        <f>INT(Tabela1[[#This Row],[Data e Hora2]])</f>
        <v>46262</v>
      </c>
      <c r="B311" s="6" t="str">
        <f>UPPER(TEXT(Tabela1[[#This Row],[Data Corrigida]],"MMM"))</f>
        <v>AGO</v>
      </c>
      <c r="C311" t="s">
        <v>906</v>
      </c>
      <c r="D311" s="2" t="s">
        <v>907</v>
      </c>
      <c r="E311" s="1" t="s">
        <v>887</v>
      </c>
      <c r="F311" t="s">
        <v>24</v>
      </c>
      <c r="G311" s="2" t="s">
        <v>836</v>
      </c>
      <c r="H311" t="s">
        <v>26</v>
      </c>
      <c r="I311" t="s">
        <v>27</v>
      </c>
      <c r="J311" s="6">
        <v>42854</v>
      </c>
      <c r="K311" s="16">
        <v>2129</v>
      </c>
      <c r="L311" s="16">
        <v>2117</v>
      </c>
      <c r="M311" s="16">
        <v>2085</v>
      </c>
      <c r="N311" s="16">
        <v>2126</v>
      </c>
      <c r="O311" s="16">
        <v>2101</v>
      </c>
      <c r="P311" s="16">
        <v>2102</v>
      </c>
      <c r="Q311" s="16">
        <v>2191</v>
      </c>
      <c r="R311" s="16">
        <v>2090</v>
      </c>
      <c r="S311" s="16">
        <v>2092</v>
      </c>
      <c r="T311" s="16">
        <v>2125</v>
      </c>
      <c r="U311" s="15">
        <v>2115.8000000000002</v>
      </c>
      <c r="V311" t="s">
        <v>19</v>
      </c>
      <c r="W311" t="s">
        <v>19</v>
      </c>
      <c r="X311">
        <v>192</v>
      </c>
      <c r="Y311" s="16">
        <f>VLOOKUP(Tabela1[[#This Row],[SKU]],SKU!A:D,4,0)</f>
        <v>2080</v>
      </c>
      <c r="Z311" s="18">
        <f>IFERROR((Tabela1[[#This Row],[Média]]-Tabela1[[#This Row],[Meta]])/Tabela1[[#This Row],[Meta]],"")</f>
        <v>1.7211538461538549E-2</v>
      </c>
      <c r="AA311" s="21">
        <f>Tabela1[[#This Row],[Média]]-Tabela1[[#This Row],[Meta]]</f>
        <v>35.800000000000182</v>
      </c>
      <c r="AB311" s="6" t="str">
        <f>VLOOKUP(Tabela1[[#This Row],[SKU]],SKU!A:B,2,0)</f>
        <v>COXA SBCX S/O FG 260-280g PB</v>
      </c>
      <c r="AC311" s="6" t="str">
        <f>VLOOKUP(Tabela1[[#This Row],[SKU]],SKU!A:C,3,0)</f>
        <v>PERNA</v>
      </c>
    </row>
    <row r="312" spans="1:29" x14ac:dyDescent="0.3">
      <c r="A312" s="2">
        <f>INT(Tabela1[[#This Row],[Data e Hora2]])</f>
        <v>46262</v>
      </c>
      <c r="B312" s="6" t="str">
        <f>UPPER(TEXT(Tabela1[[#This Row],[Data Corrigida]],"MMM"))</f>
        <v>AGO</v>
      </c>
      <c r="C312" t="s">
        <v>908</v>
      </c>
      <c r="D312" s="2" t="s">
        <v>909</v>
      </c>
      <c r="E312" s="1" t="s">
        <v>887</v>
      </c>
      <c r="F312" t="s">
        <v>24</v>
      </c>
      <c r="G312" s="2" t="s">
        <v>836</v>
      </c>
      <c r="H312" t="s">
        <v>26</v>
      </c>
      <c r="I312" t="s">
        <v>27</v>
      </c>
      <c r="J312" s="6">
        <v>42862</v>
      </c>
      <c r="K312" s="16">
        <v>2013</v>
      </c>
      <c r="L312" s="16">
        <v>2019</v>
      </c>
      <c r="M312" s="16">
        <v>2011</v>
      </c>
      <c r="N312" s="16">
        <v>2012</v>
      </c>
      <c r="O312" s="16">
        <v>1987</v>
      </c>
      <c r="P312" s="16">
        <v>2004</v>
      </c>
      <c r="Q312" s="16">
        <v>2014</v>
      </c>
      <c r="R312" s="16">
        <v>2010</v>
      </c>
      <c r="S312" s="16">
        <v>2016</v>
      </c>
      <c r="T312" s="16">
        <v>2011</v>
      </c>
      <c r="U312" s="15">
        <v>2009.7</v>
      </c>
      <c r="V312" t="s">
        <v>19</v>
      </c>
      <c r="W312" t="s">
        <v>28</v>
      </c>
      <c r="X312">
        <v>337</v>
      </c>
      <c r="Y312" s="16">
        <f>VLOOKUP(Tabela1[[#This Row],[SKU]],SKU!A:D,4,0)</f>
        <v>2000</v>
      </c>
      <c r="Z312" s="18">
        <f>IFERROR((Tabela1[[#This Row],[Média]]-Tabela1[[#This Row],[Meta]])/Tabela1[[#This Row],[Meta]],"")</f>
        <v>4.8500000000000227E-3</v>
      </c>
      <c r="AA312" s="21">
        <f>Tabela1[[#This Row],[Média]]-Tabela1[[#This Row],[Meta]]</f>
        <v>9.7000000000000455</v>
      </c>
      <c r="AB312" s="6" t="str">
        <f>VLOOKUP(Tabela1[[#This Row],[SKU]],SKU!A:B,2,0)</f>
        <v>COXA SBCX S/O FG 280-300g PB</v>
      </c>
      <c r="AC312" s="6" t="str">
        <f>VLOOKUP(Tabela1[[#This Row],[SKU]],SKU!A:C,3,0)</f>
        <v>PERNA</v>
      </c>
    </row>
    <row r="313" spans="1:29" x14ac:dyDescent="0.3">
      <c r="A313" s="2">
        <f>INT(Tabela1[[#This Row],[Data e Hora2]])</f>
        <v>46262</v>
      </c>
      <c r="B313" s="6" t="str">
        <f>UPPER(TEXT(Tabela1[[#This Row],[Data Corrigida]],"MMM"))</f>
        <v>AGO</v>
      </c>
      <c r="C313" t="s">
        <v>910</v>
      </c>
      <c r="D313" s="2" t="s">
        <v>911</v>
      </c>
      <c r="E313" s="1" t="s">
        <v>887</v>
      </c>
      <c r="F313" t="s">
        <v>24</v>
      </c>
      <c r="G313" s="2" t="s">
        <v>836</v>
      </c>
      <c r="H313" t="s">
        <v>26</v>
      </c>
      <c r="I313" t="s">
        <v>27</v>
      </c>
      <c r="J313" s="6">
        <v>15105</v>
      </c>
      <c r="K313" s="16">
        <v>994</v>
      </c>
      <c r="L313" s="16">
        <v>998</v>
      </c>
      <c r="M313" s="16">
        <v>1004</v>
      </c>
      <c r="N313" s="16">
        <v>1016</v>
      </c>
      <c r="O313" s="16">
        <v>1009</v>
      </c>
      <c r="P313" s="16">
        <v>1019</v>
      </c>
      <c r="Q313" s="16">
        <v>1017</v>
      </c>
      <c r="R313" s="16">
        <v>990</v>
      </c>
      <c r="S313" s="16">
        <v>1027</v>
      </c>
      <c r="T313" s="16">
        <v>1166</v>
      </c>
      <c r="U313" s="15">
        <v>1024</v>
      </c>
      <c r="V313" t="s">
        <v>19</v>
      </c>
      <c r="W313" t="s">
        <v>28</v>
      </c>
      <c r="X313">
        <v>316</v>
      </c>
      <c r="Y313" s="16">
        <f>VLOOKUP(Tabela1[[#This Row],[SKU]],SKU!A:D,4,0)</f>
        <v>1000</v>
      </c>
      <c r="Z313" s="18">
        <f>IFERROR((Tabela1[[#This Row],[Média]]-Tabela1[[#This Row],[Meta]])/Tabela1[[#This Row],[Meta]],"")</f>
        <v>2.4E-2</v>
      </c>
      <c r="AA313" s="21">
        <f>Tabela1[[#This Row],[Média]]-Tabela1[[#This Row],[Meta]]</f>
        <v>24</v>
      </c>
      <c r="AB313" s="6" t="str">
        <f>VLOOKUP(Tabela1[[#This Row],[SKU]],SKU!A:B,2,0)</f>
        <v>FILE PEITO MET CG BDJ SE</v>
      </c>
      <c r="AC313" s="6" t="str">
        <f>VLOOKUP(Tabela1[[#This Row],[SKU]],SKU!A:C,3,0)</f>
        <v>PEITO</v>
      </c>
    </row>
    <row r="314" spans="1:29" x14ac:dyDescent="0.3">
      <c r="A314" s="2">
        <f>INT(Tabela1[[#This Row],[Data e Hora2]])</f>
        <v>46262</v>
      </c>
      <c r="B314" s="6" t="str">
        <f>UPPER(TEXT(Tabela1[[#This Row],[Data Corrigida]],"MMM"))</f>
        <v>AGO</v>
      </c>
      <c r="C314" t="s">
        <v>912</v>
      </c>
      <c r="D314" s="2" t="s">
        <v>913</v>
      </c>
      <c r="E314" s="1" t="s">
        <v>914</v>
      </c>
      <c r="F314" t="s">
        <v>24</v>
      </c>
      <c r="G314" s="2" t="s">
        <v>836</v>
      </c>
      <c r="H314" t="s">
        <v>26</v>
      </c>
      <c r="I314" t="s">
        <v>57</v>
      </c>
      <c r="J314" s="6">
        <v>197742</v>
      </c>
      <c r="K314" s="16">
        <v>997</v>
      </c>
      <c r="L314" s="16">
        <v>991</v>
      </c>
      <c r="M314" s="16">
        <v>998</v>
      </c>
      <c r="N314" s="16">
        <v>1165</v>
      </c>
      <c r="O314" s="16">
        <v>1005</v>
      </c>
      <c r="P314" s="16">
        <v>996</v>
      </c>
      <c r="Q314" s="16">
        <v>1000</v>
      </c>
      <c r="R314" s="16">
        <v>995</v>
      </c>
      <c r="S314" s="16">
        <v>999</v>
      </c>
      <c r="T314" s="16">
        <v>1000</v>
      </c>
      <c r="U314" s="15">
        <v>1014.6</v>
      </c>
      <c r="V314" t="s">
        <v>19</v>
      </c>
      <c r="W314" t="s">
        <v>28</v>
      </c>
      <c r="X314">
        <v>180</v>
      </c>
      <c r="Y314" s="16">
        <f>VLOOKUP(Tabela1[[#This Row],[SKU]],SKU!A:D,4,0)</f>
        <v>1000</v>
      </c>
      <c r="Z314" s="18">
        <f>IFERROR((Tabela1[[#This Row],[Média]]-Tabela1[[#This Row],[Meta]])/Tabela1[[#This Row],[Meta]],"")</f>
        <v>1.4600000000000023E-2</v>
      </c>
      <c r="AA314" s="21">
        <f>Tabela1[[#This Row],[Média]]-Tabela1[[#This Row],[Meta]]</f>
        <v>14.600000000000023</v>
      </c>
      <c r="AB314" s="6" t="str">
        <f>VLOOKUP(Tabela1[[#This Row],[SKU]],SKU!A:B,2,0)</f>
        <v>COXINHA ASA IQF ALM SE</v>
      </c>
      <c r="AC314" s="6" t="str">
        <f>VLOOKUP(Tabela1[[#This Row],[SKU]],SKU!A:C,3,0)</f>
        <v>ASA</v>
      </c>
    </row>
    <row r="315" spans="1:29" x14ac:dyDescent="0.3">
      <c r="A315" s="2">
        <f>INT(Tabela1[[#This Row],[Data e Hora2]])</f>
        <v>46262</v>
      </c>
      <c r="B315" s="6" t="str">
        <f>UPPER(TEXT(Tabela1[[#This Row],[Data Corrigida]],"MMM"))</f>
        <v>AGO</v>
      </c>
      <c r="C315" t="s">
        <v>915</v>
      </c>
      <c r="D315" s="2" t="s">
        <v>916</v>
      </c>
      <c r="E315" s="1" t="s">
        <v>917</v>
      </c>
      <c r="F315" t="s">
        <v>24</v>
      </c>
      <c r="G315" s="2" t="s">
        <v>836</v>
      </c>
      <c r="H315" t="s">
        <v>26</v>
      </c>
      <c r="I315" t="s">
        <v>57</v>
      </c>
      <c r="J315" s="6">
        <v>15229</v>
      </c>
      <c r="K315" s="16">
        <v>1018</v>
      </c>
      <c r="L315" s="16">
        <v>1005</v>
      </c>
      <c r="M315" s="16">
        <v>1011</v>
      </c>
      <c r="N315" s="16">
        <v>1005</v>
      </c>
      <c r="O315" s="16">
        <v>996</v>
      </c>
      <c r="P315" s="16">
        <v>1020</v>
      </c>
      <c r="Q315" s="16">
        <v>1007</v>
      </c>
      <c r="R315" s="16">
        <v>1008</v>
      </c>
      <c r="S315" s="16">
        <v>1007</v>
      </c>
      <c r="T315" s="16">
        <v>1020</v>
      </c>
      <c r="U315" s="15">
        <v>1009.7</v>
      </c>
      <c r="V315" t="s">
        <v>19</v>
      </c>
      <c r="W315" t="s">
        <v>19</v>
      </c>
      <c r="X315">
        <v>124</v>
      </c>
      <c r="Y315" s="16">
        <f>VLOOKUP(Tabela1[[#This Row],[SKU]],SKU!A:D,4,0)</f>
        <v>1000</v>
      </c>
      <c r="Z315" s="18">
        <f>IFERROR((Tabela1[[#This Row],[Média]]-Tabela1[[#This Row],[Meta]])/Tabela1[[#This Row],[Meta]],"")</f>
        <v>9.7000000000000454E-3</v>
      </c>
      <c r="AA315" s="21">
        <f>Tabela1[[#This Row],[Média]]-Tabela1[[#This Row],[Meta]]</f>
        <v>9.7000000000000455</v>
      </c>
      <c r="AB315" s="6" t="str">
        <f>VLOOKUP(Tabela1[[#This Row],[SKU]],SKU!A:B,2,0)</f>
        <v>COXA CG BDJ SE</v>
      </c>
      <c r="AC315" s="6" t="str">
        <f>VLOOKUP(Tabela1[[#This Row],[SKU]],SKU!A:C,3,0)</f>
        <v>PERNA</v>
      </c>
    </row>
    <row r="316" spans="1:29" x14ac:dyDescent="0.3">
      <c r="A316" s="2">
        <f>INT(Tabela1[[#This Row],[Data e Hora2]])</f>
        <v>46262</v>
      </c>
      <c r="B316" s="6" t="str">
        <f>UPPER(TEXT(Tabela1[[#This Row],[Data Corrigida]],"MMM"))</f>
        <v>AGO</v>
      </c>
      <c r="C316" t="s">
        <v>918</v>
      </c>
      <c r="D316" s="2" t="s">
        <v>919</v>
      </c>
      <c r="E316" s="1" t="s">
        <v>917</v>
      </c>
      <c r="F316" t="s">
        <v>24</v>
      </c>
      <c r="G316" s="2" t="s">
        <v>836</v>
      </c>
      <c r="H316" t="s">
        <v>26</v>
      </c>
      <c r="I316" t="s">
        <v>19</v>
      </c>
      <c r="J316" s="6">
        <v>15229</v>
      </c>
      <c r="K316" s="16">
        <v>1003</v>
      </c>
      <c r="L316" s="16">
        <v>1016</v>
      </c>
      <c r="M316" s="16">
        <v>997</v>
      </c>
      <c r="N316" s="16">
        <v>1010</v>
      </c>
      <c r="O316" s="16">
        <v>998</v>
      </c>
      <c r="P316" s="16">
        <v>1012</v>
      </c>
      <c r="Q316" s="16">
        <v>1013</v>
      </c>
      <c r="R316" s="16">
        <v>999</v>
      </c>
      <c r="S316" s="16">
        <v>1014</v>
      </c>
      <c r="T316" s="16">
        <v>1011</v>
      </c>
      <c r="U316" s="15">
        <v>1007.3</v>
      </c>
      <c r="V316" t="s">
        <v>19</v>
      </c>
      <c r="W316" t="s">
        <v>28</v>
      </c>
      <c r="X316">
        <v>148</v>
      </c>
      <c r="Y316" s="16">
        <f>VLOOKUP(Tabela1[[#This Row],[SKU]],SKU!A:D,4,0)</f>
        <v>1000</v>
      </c>
      <c r="Z316" s="18">
        <f>IFERROR((Tabela1[[#This Row],[Média]]-Tabela1[[#This Row],[Meta]])/Tabela1[[#This Row],[Meta]],"")</f>
        <v>7.2999999999999541E-3</v>
      </c>
      <c r="AA316" s="21">
        <f>Tabela1[[#This Row],[Média]]-Tabela1[[#This Row],[Meta]]</f>
        <v>7.2999999999999545</v>
      </c>
      <c r="AB316" s="6" t="str">
        <f>VLOOKUP(Tabela1[[#This Row],[SKU]],SKU!A:B,2,0)</f>
        <v>COXA CG BDJ SE</v>
      </c>
      <c r="AC316" s="6" t="str">
        <f>VLOOKUP(Tabela1[[#This Row],[SKU]],SKU!A:C,3,0)</f>
        <v>PERNA</v>
      </c>
    </row>
    <row r="317" spans="1:29" x14ac:dyDescent="0.3">
      <c r="A317" s="2">
        <f>INT(Tabela1[[#This Row],[Data e Hora2]])</f>
        <v>46262</v>
      </c>
      <c r="B317" s="6" t="str">
        <f>UPPER(TEXT(Tabela1[[#This Row],[Data Corrigida]],"MMM"))</f>
        <v>AGO</v>
      </c>
      <c r="C317" t="s">
        <v>920</v>
      </c>
      <c r="D317" s="2" t="s">
        <v>921</v>
      </c>
      <c r="E317" s="1" t="s">
        <v>922</v>
      </c>
      <c r="F317" t="s">
        <v>24</v>
      </c>
      <c r="G317" s="2" t="s">
        <v>836</v>
      </c>
      <c r="H317" t="s">
        <v>26</v>
      </c>
      <c r="I317" t="s">
        <v>57</v>
      </c>
      <c r="J317" s="6">
        <v>15105</v>
      </c>
      <c r="K317" s="16">
        <v>1027</v>
      </c>
      <c r="L317" s="16">
        <v>1017</v>
      </c>
      <c r="M317" s="16">
        <v>1034</v>
      </c>
      <c r="N317" s="16">
        <v>1022</v>
      </c>
      <c r="O317" s="16">
        <v>1003</v>
      </c>
      <c r="P317" s="16">
        <v>996</v>
      </c>
      <c r="Q317" s="16">
        <v>1040</v>
      </c>
      <c r="R317" s="16">
        <v>1031</v>
      </c>
      <c r="S317" s="16">
        <v>1004</v>
      </c>
      <c r="T317" s="16">
        <v>1060</v>
      </c>
      <c r="U317" s="15">
        <v>1023.4</v>
      </c>
      <c r="V317" t="s">
        <v>19</v>
      </c>
      <c r="W317" t="s">
        <v>28</v>
      </c>
      <c r="X317">
        <v>3888</v>
      </c>
      <c r="Y317" s="16">
        <f>VLOOKUP(Tabela1[[#This Row],[SKU]],SKU!A:D,4,0)</f>
        <v>1000</v>
      </c>
      <c r="Z317" s="18">
        <f>IFERROR((Tabela1[[#This Row],[Média]]-Tabela1[[#This Row],[Meta]])/Tabela1[[#This Row],[Meta]],"")</f>
        <v>2.3399999999999976E-2</v>
      </c>
      <c r="AA317" s="21">
        <f>Tabela1[[#This Row],[Média]]-Tabela1[[#This Row],[Meta]]</f>
        <v>23.399999999999977</v>
      </c>
      <c r="AB317" s="6" t="str">
        <f>VLOOKUP(Tabela1[[#This Row],[SKU]],SKU!A:B,2,0)</f>
        <v>FILE PEITO MET CG BDJ SE</v>
      </c>
      <c r="AC317" s="6" t="str">
        <f>VLOOKUP(Tabela1[[#This Row],[SKU]],SKU!A:C,3,0)</f>
        <v>PEITO</v>
      </c>
    </row>
    <row r="318" spans="1:29" x14ac:dyDescent="0.3">
      <c r="A318" s="2">
        <f>INT(Tabela1[[#This Row],[Data e Hora2]])</f>
        <v>46262</v>
      </c>
      <c r="B318" s="6" t="str">
        <f>UPPER(TEXT(Tabela1[[#This Row],[Data Corrigida]],"MMM"))</f>
        <v>AGO</v>
      </c>
      <c r="C318" t="s">
        <v>923</v>
      </c>
      <c r="D318" s="2" t="s">
        <v>924</v>
      </c>
      <c r="E318" s="1" t="s">
        <v>925</v>
      </c>
      <c r="F318" t="s">
        <v>24</v>
      </c>
      <c r="G318" s="2" t="s">
        <v>836</v>
      </c>
      <c r="H318" t="s">
        <v>26</v>
      </c>
      <c r="I318" t="s">
        <v>57</v>
      </c>
      <c r="J318" s="6">
        <v>55552</v>
      </c>
      <c r="K318" s="16">
        <v>15080</v>
      </c>
      <c r="L318" s="16">
        <v>15100</v>
      </c>
      <c r="M318" s="16">
        <v>15040</v>
      </c>
      <c r="N318" s="16">
        <v>15025</v>
      </c>
      <c r="O318" s="16">
        <v>15060</v>
      </c>
      <c r="P318" s="16">
        <v>15150</v>
      </c>
      <c r="Q318" s="16">
        <v>15120</v>
      </c>
      <c r="R318" s="16">
        <v>15090</v>
      </c>
      <c r="S318" s="16">
        <v>15145</v>
      </c>
      <c r="T318" s="16">
        <v>15080</v>
      </c>
      <c r="U318" s="15">
        <v>15089</v>
      </c>
      <c r="V318" t="s">
        <v>19</v>
      </c>
      <c r="W318" t="s">
        <v>28</v>
      </c>
      <c r="X318">
        <v>245</v>
      </c>
      <c r="Y318" s="16">
        <f>VLOOKUP(Tabela1[[#This Row],[SKU]],SKU!A:D,4,0)</f>
        <v>15000</v>
      </c>
      <c r="Z318" s="18">
        <f>IFERROR((Tabela1[[#This Row],[Média]]-Tabela1[[#This Row],[Meta]])/Tabela1[[#This Row],[Meta]],"")</f>
        <v>5.933333333333333E-3</v>
      </c>
      <c r="AA318" s="21">
        <f>Tabela1[[#This Row],[Média]]-Tabela1[[#This Row],[Meta]]</f>
        <v>89</v>
      </c>
      <c r="AB318" s="6" t="str">
        <f>VLOOKUP(Tabela1[[#This Row],[SKU]],SKU!A:B,2,0)</f>
        <v>COXA SBCX  S/O CG MP</v>
      </c>
      <c r="AC318" s="6" t="str">
        <f>VLOOKUP(Tabela1[[#This Row],[SKU]],SKU!A:C,3,0)</f>
        <v>PERNA</v>
      </c>
    </row>
    <row r="319" spans="1:29" x14ac:dyDescent="0.3">
      <c r="A319" s="2">
        <f>INT(Tabela1[[#This Row],[Data e Hora2]])</f>
        <v>46262</v>
      </c>
      <c r="B319" s="6" t="str">
        <f>UPPER(TEXT(Tabela1[[#This Row],[Data Corrigida]],"MMM"))</f>
        <v>AGO</v>
      </c>
      <c r="C319" t="s">
        <v>926</v>
      </c>
      <c r="D319" s="2" t="s">
        <v>927</v>
      </c>
      <c r="E319" s="1" t="s">
        <v>925</v>
      </c>
      <c r="F319" t="s">
        <v>24</v>
      </c>
      <c r="G319" s="2" t="s">
        <v>836</v>
      </c>
      <c r="H319" t="s">
        <v>26</v>
      </c>
      <c r="I319" t="s">
        <v>57</v>
      </c>
      <c r="J319" s="6">
        <v>55552</v>
      </c>
      <c r="K319" s="16">
        <v>15110</v>
      </c>
      <c r="L319" s="16">
        <v>15255</v>
      </c>
      <c r="M319" s="16">
        <v>15050</v>
      </c>
      <c r="N319" s="16">
        <v>14980</v>
      </c>
      <c r="O319" s="16">
        <v>15060</v>
      </c>
      <c r="P319" s="16">
        <v>15080</v>
      </c>
      <c r="Q319" s="16">
        <v>15090</v>
      </c>
      <c r="R319" s="16">
        <v>15040</v>
      </c>
      <c r="S319" s="16">
        <v>15015</v>
      </c>
      <c r="T319" s="16">
        <v>15070</v>
      </c>
      <c r="U319" s="15">
        <v>15075</v>
      </c>
      <c r="V319" t="s">
        <v>19</v>
      </c>
      <c r="W319" t="s">
        <v>28</v>
      </c>
      <c r="X319">
        <v>2106</v>
      </c>
      <c r="Y319" s="16">
        <f>VLOOKUP(Tabela1[[#This Row],[SKU]],SKU!A:D,4,0)</f>
        <v>15000</v>
      </c>
      <c r="Z319" s="18">
        <f>IFERROR((Tabela1[[#This Row],[Média]]-Tabela1[[#This Row],[Meta]])/Tabela1[[#This Row],[Meta]],"")</f>
        <v>5.0000000000000001E-3</v>
      </c>
      <c r="AA319" s="21">
        <f>Tabela1[[#This Row],[Média]]-Tabela1[[#This Row],[Meta]]</f>
        <v>75</v>
      </c>
      <c r="AB319" s="6" t="str">
        <f>VLOOKUP(Tabela1[[#This Row],[SKU]],SKU!A:B,2,0)</f>
        <v>COXA SBCX  S/O CG MP</v>
      </c>
      <c r="AC319" s="6" t="str">
        <f>VLOOKUP(Tabela1[[#This Row],[SKU]],SKU!A:C,3,0)</f>
        <v>PERNA</v>
      </c>
    </row>
    <row r="320" spans="1:29" x14ac:dyDescent="0.3">
      <c r="A320" s="2">
        <f>INT(Tabela1[[#This Row],[Data e Hora2]])</f>
        <v>46262</v>
      </c>
      <c r="B320" s="6" t="str">
        <f>UPPER(TEXT(Tabela1[[#This Row],[Data Corrigida]],"MMM"))</f>
        <v>AGO</v>
      </c>
      <c r="C320" t="s">
        <v>928</v>
      </c>
      <c r="D320" s="2" t="s">
        <v>929</v>
      </c>
      <c r="E320" s="1" t="s">
        <v>930</v>
      </c>
      <c r="F320" t="s">
        <v>24</v>
      </c>
      <c r="G320" s="2" t="s">
        <v>836</v>
      </c>
      <c r="H320" t="s">
        <v>26</v>
      </c>
      <c r="I320" t="s">
        <v>57</v>
      </c>
      <c r="J320" s="6">
        <v>13188</v>
      </c>
      <c r="K320" s="16">
        <v>994</v>
      </c>
      <c r="L320" s="16">
        <v>996</v>
      </c>
      <c r="M320" s="16">
        <v>1004</v>
      </c>
      <c r="N320" s="16">
        <v>994</v>
      </c>
      <c r="O320" s="16">
        <v>991</v>
      </c>
      <c r="P320" s="16">
        <v>986</v>
      </c>
      <c r="Q320" s="16">
        <v>993</v>
      </c>
      <c r="R320" s="16">
        <v>1004</v>
      </c>
      <c r="S320" s="16">
        <v>994</v>
      </c>
      <c r="T320" s="16">
        <v>1014</v>
      </c>
      <c r="U320" s="15">
        <v>997</v>
      </c>
      <c r="V320" t="s">
        <v>19</v>
      </c>
      <c r="W320" t="s">
        <v>28</v>
      </c>
      <c r="X320">
        <v>454</v>
      </c>
      <c r="Y320" s="16">
        <f>VLOOKUP(Tabela1[[#This Row],[SKU]],SKU!A:D,4,0)</f>
        <v>1000</v>
      </c>
      <c r="Z320" s="18">
        <f>IFERROR((Tabela1[[#This Row],[Média]]-Tabela1[[#This Row],[Meta]])/Tabela1[[#This Row],[Meta]],"")</f>
        <v>-3.0000000000000001E-3</v>
      </c>
      <c r="AA320" s="21">
        <f>Tabela1[[#This Row],[Média]]-Tabela1[[#This Row],[Meta]]</f>
        <v>-3</v>
      </c>
      <c r="AB320" s="6" t="str">
        <f>VLOOKUP(Tabela1[[#This Row],[SKU]],SKU!A:B,2,0)</f>
        <v>SOBRECOXA CG BDJ SE</v>
      </c>
      <c r="AC320" s="6" t="str">
        <f>VLOOKUP(Tabela1[[#This Row],[SKU]],SKU!A:C,3,0)</f>
        <v>PERNA</v>
      </c>
    </row>
    <row r="321" spans="1:29" x14ac:dyDescent="0.3">
      <c r="A321" s="2">
        <f>INT(Tabela1[[#This Row],[Data e Hora2]])</f>
        <v>46262</v>
      </c>
      <c r="B321" s="6" t="str">
        <f>UPPER(TEXT(Tabela1[[#This Row],[Data Corrigida]],"MMM"))</f>
        <v>AGO</v>
      </c>
      <c r="C321" t="s">
        <v>931</v>
      </c>
      <c r="D321" s="2" t="s">
        <v>932</v>
      </c>
      <c r="E321" s="1" t="s">
        <v>930</v>
      </c>
      <c r="F321" t="s">
        <v>24</v>
      </c>
      <c r="G321" s="2" t="s">
        <v>836</v>
      </c>
      <c r="H321" t="s">
        <v>26</v>
      </c>
      <c r="I321" t="s">
        <v>57</v>
      </c>
      <c r="J321" s="6">
        <v>13188</v>
      </c>
      <c r="K321" s="16">
        <v>1000</v>
      </c>
      <c r="L321" s="16">
        <v>1003</v>
      </c>
      <c r="M321" s="16">
        <v>1024</v>
      </c>
      <c r="N321" s="16">
        <v>1009</v>
      </c>
      <c r="O321" s="16">
        <v>1010</v>
      </c>
      <c r="P321" s="16">
        <v>1008</v>
      </c>
      <c r="Q321" s="16">
        <v>1013</v>
      </c>
      <c r="R321" s="16">
        <v>1001</v>
      </c>
      <c r="S321" s="16">
        <v>1005</v>
      </c>
      <c r="T321" s="16">
        <v>1000</v>
      </c>
      <c r="U321" s="15">
        <v>1007.3</v>
      </c>
      <c r="V321" t="s">
        <v>19</v>
      </c>
      <c r="W321" t="s">
        <v>28</v>
      </c>
      <c r="X321">
        <v>622</v>
      </c>
      <c r="Y321" s="16">
        <f>VLOOKUP(Tabela1[[#This Row],[SKU]],SKU!A:D,4,0)</f>
        <v>1000</v>
      </c>
      <c r="Z321" s="18">
        <f>IFERROR((Tabela1[[#This Row],[Média]]-Tabela1[[#This Row],[Meta]])/Tabela1[[#This Row],[Meta]],"")</f>
        <v>7.2999999999999541E-3</v>
      </c>
      <c r="AA321" s="21">
        <f>Tabela1[[#This Row],[Média]]-Tabela1[[#This Row],[Meta]]</f>
        <v>7.2999999999999545</v>
      </c>
      <c r="AB321" s="6" t="str">
        <f>VLOOKUP(Tabela1[[#This Row],[SKU]],SKU!A:B,2,0)</f>
        <v>SOBRECOXA CG BDJ SE</v>
      </c>
      <c r="AC321" s="6" t="str">
        <f>VLOOKUP(Tabela1[[#This Row],[SKU]],SKU!A:C,3,0)</f>
        <v>PERNA</v>
      </c>
    </row>
    <row r="322" spans="1:29" x14ac:dyDescent="0.3">
      <c r="A322" s="2">
        <f>INT(Tabela1[[#This Row],[Data e Hora2]])</f>
        <v>46262</v>
      </c>
      <c r="B322" s="6" t="str">
        <f>UPPER(TEXT(Tabela1[[#This Row],[Data Corrigida]],"MMM"))</f>
        <v>AGO</v>
      </c>
      <c r="C322" t="s">
        <v>933</v>
      </c>
      <c r="D322" s="2" t="s">
        <v>934</v>
      </c>
      <c r="E322" s="1" t="s">
        <v>930</v>
      </c>
      <c r="F322" t="s">
        <v>24</v>
      </c>
      <c r="G322" s="2" t="s">
        <v>836</v>
      </c>
      <c r="H322" t="s">
        <v>26</v>
      </c>
      <c r="I322" t="s">
        <v>57</v>
      </c>
      <c r="J322" s="6">
        <v>13188</v>
      </c>
      <c r="K322" s="16">
        <v>1004</v>
      </c>
      <c r="L322" s="16">
        <v>996</v>
      </c>
      <c r="M322" s="16">
        <v>1001</v>
      </c>
      <c r="N322" s="16">
        <v>1008</v>
      </c>
      <c r="O322" s="16">
        <v>1000</v>
      </c>
      <c r="P322" s="16">
        <v>1008</v>
      </c>
      <c r="Q322" s="16">
        <v>1007</v>
      </c>
      <c r="R322" s="16">
        <v>1009</v>
      </c>
      <c r="S322" s="16">
        <v>1005</v>
      </c>
      <c r="T322" s="16">
        <v>1011</v>
      </c>
      <c r="U322" s="15">
        <v>1004.9</v>
      </c>
      <c r="V322" t="s">
        <v>19</v>
      </c>
      <c r="W322" t="s">
        <v>28</v>
      </c>
      <c r="X322">
        <v>801</v>
      </c>
      <c r="Y322" s="16">
        <f>VLOOKUP(Tabela1[[#This Row],[SKU]],SKU!A:D,4,0)</f>
        <v>1000</v>
      </c>
      <c r="Z322" s="18">
        <f>IFERROR((Tabela1[[#This Row],[Média]]-Tabela1[[#This Row],[Meta]])/Tabela1[[#This Row],[Meta]],"")</f>
        <v>4.8999999999999773E-3</v>
      </c>
      <c r="AA322" s="21">
        <f>Tabela1[[#This Row],[Média]]-Tabela1[[#This Row],[Meta]]</f>
        <v>4.8999999999999773</v>
      </c>
      <c r="AB322" s="6" t="str">
        <f>VLOOKUP(Tabela1[[#This Row],[SKU]],SKU!A:B,2,0)</f>
        <v>SOBRECOXA CG BDJ SE</v>
      </c>
      <c r="AC322" s="6" t="str">
        <f>VLOOKUP(Tabela1[[#This Row],[SKU]],SKU!A:C,3,0)</f>
        <v>PERNA</v>
      </c>
    </row>
    <row r="323" spans="1:29" x14ac:dyDescent="0.3">
      <c r="A323" s="2">
        <f>INT(Tabela1[[#This Row],[Data e Hora2]])</f>
        <v>46262</v>
      </c>
      <c r="B323" s="6" t="str">
        <f>UPPER(TEXT(Tabela1[[#This Row],[Data Corrigida]],"MMM"))</f>
        <v>AGO</v>
      </c>
      <c r="C323" t="s">
        <v>935</v>
      </c>
      <c r="D323" s="2" t="s">
        <v>936</v>
      </c>
      <c r="E323" s="1" t="s">
        <v>930</v>
      </c>
      <c r="F323" t="s">
        <v>24</v>
      </c>
      <c r="G323" s="2" t="s">
        <v>836</v>
      </c>
      <c r="H323" t="s">
        <v>26</v>
      </c>
      <c r="I323" t="s">
        <v>57</v>
      </c>
      <c r="J323" s="6">
        <v>13188</v>
      </c>
      <c r="K323" s="16">
        <v>1018</v>
      </c>
      <c r="L323" s="16">
        <v>1015</v>
      </c>
      <c r="M323" s="16">
        <v>1017</v>
      </c>
      <c r="N323" s="16">
        <v>1020</v>
      </c>
      <c r="O323" s="16">
        <v>1020</v>
      </c>
      <c r="P323" s="16">
        <v>1018</v>
      </c>
      <c r="Q323" s="16">
        <v>998</v>
      </c>
      <c r="R323" s="16">
        <v>1001</v>
      </c>
      <c r="S323" s="16">
        <v>1002</v>
      </c>
      <c r="T323" s="16">
        <v>1020</v>
      </c>
      <c r="U323" s="15">
        <v>1012.9</v>
      </c>
      <c r="V323" t="s">
        <v>19</v>
      </c>
      <c r="W323" t="s">
        <v>28</v>
      </c>
      <c r="X323">
        <v>499</v>
      </c>
      <c r="Y323" s="16">
        <f>VLOOKUP(Tabela1[[#This Row],[SKU]],SKU!A:D,4,0)</f>
        <v>1000</v>
      </c>
      <c r="Z323" s="18">
        <f>IFERROR((Tabela1[[#This Row],[Média]]-Tabela1[[#This Row],[Meta]])/Tabela1[[#This Row],[Meta]],"")</f>
        <v>1.2899999999999977E-2</v>
      </c>
      <c r="AA323" s="21">
        <f>Tabela1[[#This Row],[Média]]-Tabela1[[#This Row],[Meta]]</f>
        <v>12.899999999999977</v>
      </c>
      <c r="AB323" s="6" t="str">
        <f>VLOOKUP(Tabela1[[#This Row],[SKU]],SKU!A:B,2,0)</f>
        <v>SOBRECOXA CG BDJ SE</v>
      </c>
      <c r="AC323" s="6" t="str">
        <f>VLOOKUP(Tabela1[[#This Row],[SKU]],SKU!A:C,3,0)</f>
        <v>PERNA</v>
      </c>
    </row>
    <row r="324" spans="1:29" x14ac:dyDescent="0.3">
      <c r="A324" s="2">
        <f>INT(Tabela1[[#This Row],[Data e Hora2]])</f>
        <v>46262</v>
      </c>
      <c r="B324" s="6" t="str">
        <f>UPPER(TEXT(Tabela1[[#This Row],[Data Corrigida]],"MMM"))</f>
        <v>AGO</v>
      </c>
      <c r="C324" t="s">
        <v>937</v>
      </c>
      <c r="D324" s="2" t="s">
        <v>938</v>
      </c>
      <c r="E324" s="1" t="s">
        <v>939</v>
      </c>
      <c r="F324" t="s">
        <v>24</v>
      </c>
      <c r="G324" s="2" t="s">
        <v>836</v>
      </c>
      <c r="H324" t="s">
        <v>26</v>
      </c>
      <c r="I324" t="s">
        <v>57</v>
      </c>
      <c r="J324" s="6">
        <v>13188</v>
      </c>
      <c r="K324" s="16">
        <v>1006</v>
      </c>
      <c r="L324" s="16">
        <v>1011</v>
      </c>
      <c r="M324" s="16">
        <v>1009</v>
      </c>
      <c r="N324" s="16">
        <v>997</v>
      </c>
      <c r="O324" s="16">
        <v>1007</v>
      </c>
      <c r="P324" s="16">
        <v>1006</v>
      </c>
      <c r="Q324" s="16">
        <v>1014</v>
      </c>
      <c r="R324" s="16">
        <v>1006</v>
      </c>
      <c r="S324" s="16">
        <v>1010</v>
      </c>
      <c r="T324" s="16">
        <v>1008</v>
      </c>
      <c r="U324" s="15">
        <v>1007.4</v>
      </c>
      <c r="V324" t="s">
        <v>19</v>
      </c>
      <c r="W324" t="s">
        <v>28</v>
      </c>
      <c r="X324">
        <v>2293</v>
      </c>
      <c r="Y324" s="16">
        <f>VLOOKUP(Tabela1[[#This Row],[SKU]],SKU!A:D,4,0)</f>
        <v>1000</v>
      </c>
      <c r="Z324" s="18">
        <f>IFERROR((Tabela1[[#This Row],[Média]]-Tabela1[[#This Row],[Meta]])/Tabela1[[#This Row],[Meta]],"")</f>
        <v>7.3999999999999769E-3</v>
      </c>
      <c r="AA324" s="21">
        <f>Tabela1[[#This Row],[Média]]-Tabela1[[#This Row],[Meta]]</f>
        <v>7.3999999999999773</v>
      </c>
      <c r="AB324" s="6" t="str">
        <f>VLOOKUP(Tabela1[[#This Row],[SKU]],SKU!A:B,2,0)</f>
        <v>SOBRECOXA CG BDJ SE</v>
      </c>
      <c r="AC324" s="6" t="str">
        <f>VLOOKUP(Tabela1[[#This Row],[SKU]],SKU!A:C,3,0)</f>
        <v>PERNA</v>
      </c>
    </row>
    <row r="325" spans="1:29" x14ac:dyDescent="0.3">
      <c r="A325" s="2">
        <f>INT(Tabela1[[#This Row],[Data e Hora2]])</f>
        <v>46262</v>
      </c>
      <c r="B325" s="6" t="str">
        <f>UPPER(TEXT(Tabela1[[#This Row],[Data Corrigida]],"MMM"))</f>
        <v>AGO</v>
      </c>
      <c r="C325" t="s">
        <v>940</v>
      </c>
      <c r="D325" s="2" t="s">
        <v>941</v>
      </c>
      <c r="E325" s="1" t="s">
        <v>942</v>
      </c>
      <c r="F325" t="s">
        <v>24</v>
      </c>
      <c r="G325" s="2" t="s">
        <v>836</v>
      </c>
      <c r="H325" t="s">
        <v>26</v>
      </c>
      <c r="I325" t="s">
        <v>57</v>
      </c>
      <c r="J325" s="6">
        <v>15105</v>
      </c>
      <c r="K325" s="16">
        <v>1189</v>
      </c>
      <c r="L325" s="16">
        <v>1253</v>
      </c>
      <c r="M325" s="16">
        <v>1025</v>
      </c>
      <c r="N325" s="16">
        <v>1007</v>
      </c>
      <c r="O325" s="16">
        <v>1053</v>
      </c>
      <c r="P325" s="16">
        <v>995</v>
      </c>
      <c r="Q325" s="16">
        <v>1038</v>
      </c>
      <c r="R325" s="16">
        <v>949</v>
      </c>
      <c r="S325" s="16">
        <v>1004</v>
      </c>
      <c r="T325" s="16">
        <v>998</v>
      </c>
      <c r="U325" s="15">
        <v>1051.0999999999999</v>
      </c>
      <c r="V325" t="s">
        <v>19</v>
      </c>
      <c r="W325" t="s">
        <v>28</v>
      </c>
      <c r="X325">
        <v>350</v>
      </c>
      <c r="Y325" s="16">
        <f>VLOOKUP(Tabela1[[#This Row],[SKU]],SKU!A:D,4,0)</f>
        <v>1000</v>
      </c>
      <c r="Z325" s="18">
        <f>IFERROR((Tabela1[[#This Row],[Média]]-Tabela1[[#This Row],[Meta]])/Tabela1[[#This Row],[Meta]],"")</f>
        <v>5.1099999999999909E-2</v>
      </c>
      <c r="AA325" s="21">
        <f>Tabela1[[#This Row],[Média]]-Tabela1[[#This Row],[Meta]]</f>
        <v>51.099999999999909</v>
      </c>
      <c r="AB325" s="6" t="str">
        <f>VLOOKUP(Tabela1[[#This Row],[SKU]],SKU!A:B,2,0)</f>
        <v>FILE PEITO MET CG BDJ SE</v>
      </c>
      <c r="AC325" s="6" t="str">
        <f>VLOOKUP(Tabela1[[#This Row],[SKU]],SKU!A:C,3,0)</f>
        <v>PEITO</v>
      </c>
    </row>
    <row r="326" spans="1:29" x14ac:dyDescent="0.3">
      <c r="A326" s="2">
        <f>INT(Tabela1[[#This Row],[Data e Hora2]])</f>
        <v>46262</v>
      </c>
      <c r="B326" s="6" t="str">
        <f>UPPER(TEXT(Tabela1[[#This Row],[Data Corrigida]],"MMM"))</f>
        <v>AGO</v>
      </c>
      <c r="C326" t="s">
        <v>943</v>
      </c>
      <c r="D326" s="2" t="s">
        <v>944</v>
      </c>
      <c r="E326" s="1" t="s">
        <v>942</v>
      </c>
      <c r="F326" t="s">
        <v>24</v>
      </c>
      <c r="G326" s="2" t="s">
        <v>836</v>
      </c>
      <c r="H326" t="s">
        <v>26</v>
      </c>
      <c r="I326" t="s">
        <v>57</v>
      </c>
      <c r="J326" s="6">
        <v>15229</v>
      </c>
      <c r="K326" s="16">
        <v>1013</v>
      </c>
      <c r="L326" s="16">
        <v>997</v>
      </c>
      <c r="M326" s="16">
        <v>994</v>
      </c>
      <c r="N326" s="16">
        <v>1015</v>
      </c>
      <c r="O326" s="16">
        <v>1015</v>
      </c>
      <c r="P326" s="16">
        <v>999</v>
      </c>
      <c r="Q326" s="16">
        <v>1006</v>
      </c>
      <c r="R326" s="16">
        <v>1003</v>
      </c>
      <c r="S326" s="16">
        <v>1010</v>
      </c>
      <c r="T326" s="16">
        <v>1005</v>
      </c>
      <c r="U326" s="15">
        <v>1005.7</v>
      </c>
      <c r="V326" t="s">
        <v>19</v>
      </c>
      <c r="W326" t="s">
        <v>28</v>
      </c>
      <c r="X326">
        <v>210</v>
      </c>
      <c r="Y326" s="16">
        <f>VLOOKUP(Tabela1[[#This Row],[SKU]],SKU!A:D,4,0)</f>
        <v>1000</v>
      </c>
      <c r="Z326" s="18">
        <f>IFERROR((Tabela1[[#This Row],[Média]]-Tabela1[[#This Row],[Meta]])/Tabela1[[#This Row],[Meta]],"")</f>
        <v>5.7000000000000453E-3</v>
      </c>
      <c r="AA326" s="21">
        <f>Tabela1[[#This Row],[Média]]-Tabela1[[#This Row],[Meta]]</f>
        <v>5.7000000000000455</v>
      </c>
      <c r="AB326" s="6" t="str">
        <f>VLOOKUP(Tabela1[[#This Row],[SKU]],SKU!A:B,2,0)</f>
        <v>COXA CG BDJ SE</v>
      </c>
      <c r="AC326" s="6" t="str">
        <f>VLOOKUP(Tabela1[[#This Row],[SKU]],SKU!A:C,3,0)</f>
        <v>PERNA</v>
      </c>
    </row>
    <row r="327" spans="1:29" x14ac:dyDescent="0.3">
      <c r="A327" s="2">
        <f>INT(Tabela1[[#This Row],[Data e Hora2]])</f>
        <v>46262</v>
      </c>
      <c r="B327" s="6" t="str">
        <f>UPPER(TEXT(Tabela1[[#This Row],[Data Corrigida]],"MMM"))</f>
        <v>AGO</v>
      </c>
      <c r="C327" t="s">
        <v>945</v>
      </c>
      <c r="D327" s="2" t="s">
        <v>946</v>
      </c>
      <c r="E327" s="1" t="s">
        <v>942</v>
      </c>
      <c r="F327" t="s">
        <v>24</v>
      </c>
      <c r="G327" s="2" t="s">
        <v>836</v>
      </c>
      <c r="H327" t="s">
        <v>26</v>
      </c>
      <c r="I327" t="s">
        <v>57</v>
      </c>
      <c r="J327" s="6">
        <v>15229</v>
      </c>
      <c r="K327" s="16">
        <v>1004</v>
      </c>
      <c r="L327" s="16">
        <v>1008</v>
      </c>
      <c r="M327" s="16">
        <v>998</v>
      </c>
      <c r="N327" s="16">
        <v>1007</v>
      </c>
      <c r="O327" s="16">
        <v>1003</v>
      </c>
      <c r="P327" s="16">
        <v>991</v>
      </c>
      <c r="Q327" s="16">
        <v>1000</v>
      </c>
      <c r="R327" s="16">
        <v>1004</v>
      </c>
      <c r="S327" s="16">
        <v>1002</v>
      </c>
      <c r="T327" s="16">
        <v>997</v>
      </c>
      <c r="U327" s="15">
        <v>1001.4</v>
      </c>
      <c r="V327" t="s">
        <v>19</v>
      </c>
      <c r="W327" t="s">
        <v>19</v>
      </c>
      <c r="X327">
        <v>250</v>
      </c>
      <c r="Y327" s="16">
        <f>VLOOKUP(Tabela1[[#This Row],[SKU]],SKU!A:D,4,0)</f>
        <v>1000</v>
      </c>
      <c r="Z327" s="18">
        <f>IFERROR((Tabela1[[#This Row],[Média]]-Tabela1[[#This Row],[Meta]])/Tabela1[[#This Row],[Meta]],"")</f>
        <v>1.3999999999999772E-3</v>
      </c>
      <c r="AA327" s="21">
        <f>Tabela1[[#This Row],[Média]]-Tabela1[[#This Row],[Meta]]</f>
        <v>1.3999999999999773</v>
      </c>
      <c r="AB327" s="6" t="str">
        <f>VLOOKUP(Tabela1[[#This Row],[SKU]],SKU!A:B,2,0)</f>
        <v>COXA CG BDJ SE</v>
      </c>
      <c r="AC327" s="6" t="str">
        <f>VLOOKUP(Tabela1[[#This Row],[SKU]],SKU!A:C,3,0)</f>
        <v>PERNA</v>
      </c>
    </row>
    <row r="328" spans="1:29" x14ac:dyDescent="0.3">
      <c r="A328" s="2">
        <f>INT(Tabela1[[#This Row],[Data e Hora2]])</f>
        <v>46262</v>
      </c>
      <c r="B328" s="6" t="str">
        <f>UPPER(TEXT(Tabela1[[#This Row],[Data Corrigida]],"MMM"))</f>
        <v>AGO</v>
      </c>
      <c r="C328" t="s">
        <v>947</v>
      </c>
      <c r="D328" s="2" t="s">
        <v>948</v>
      </c>
      <c r="E328" s="1" t="s">
        <v>942</v>
      </c>
      <c r="F328" t="s">
        <v>24</v>
      </c>
      <c r="G328" s="2" t="s">
        <v>836</v>
      </c>
      <c r="H328" t="s">
        <v>26</v>
      </c>
      <c r="I328" t="s">
        <v>57</v>
      </c>
      <c r="J328" s="6">
        <v>15229</v>
      </c>
      <c r="K328" s="16">
        <v>1003</v>
      </c>
      <c r="L328" s="16">
        <v>995</v>
      </c>
      <c r="M328" s="16">
        <v>1006</v>
      </c>
      <c r="N328" s="16">
        <v>995</v>
      </c>
      <c r="O328" s="16">
        <v>1009</v>
      </c>
      <c r="P328" s="16">
        <v>1000</v>
      </c>
      <c r="Q328" s="16">
        <v>998</v>
      </c>
      <c r="R328" s="16">
        <v>1003</v>
      </c>
      <c r="S328" s="16">
        <v>1007</v>
      </c>
      <c r="T328" s="16">
        <v>1011</v>
      </c>
      <c r="U328" s="15">
        <v>1002.7</v>
      </c>
      <c r="V328" t="s">
        <v>19</v>
      </c>
      <c r="W328" t="s">
        <v>28</v>
      </c>
      <c r="X328">
        <v>300</v>
      </c>
      <c r="Y328" s="16">
        <f>VLOOKUP(Tabela1[[#This Row],[SKU]],SKU!A:D,4,0)</f>
        <v>1000</v>
      </c>
      <c r="Z328" s="18">
        <f>IFERROR((Tabela1[[#This Row],[Média]]-Tabela1[[#This Row],[Meta]])/Tabela1[[#This Row],[Meta]],"")</f>
        <v>2.7000000000000457E-3</v>
      </c>
      <c r="AA328" s="21">
        <f>Tabela1[[#This Row],[Média]]-Tabela1[[#This Row],[Meta]]</f>
        <v>2.7000000000000455</v>
      </c>
      <c r="AB328" s="6" t="str">
        <f>VLOOKUP(Tabela1[[#This Row],[SKU]],SKU!A:B,2,0)</f>
        <v>COXA CG BDJ SE</v>
      </c>
      <c r="AC328" s="6" t="str">
        <f>VLOOKUP(Tabela1[[#This Row],[SKU]],SKU!A:C,3,0)</f>
        <v>PERNA</v>
      </c>
    </row>
    <row r="329" spans="1:29" x14ac:dyDescent="0.3">
      <c r="A329" s="2">
        <f>INT(Tabela1[[#This Row],[Data e Hora2]])</f>
        <v>46262</v>
      </c>
      <c r="B329" s="6" t="str">
        <f>UPPER(TEXT(Tabela1[[#This Row],[Data Corrigida]],"MMM"))</f>
        <v>AGO</v>
      </c>
      <c r="C329" t="s">
        <v>949</v>
      </c>
      <c r="D329" s="2" t="s">
        <v>950</v>
      </c>
      <c r="E329" s="1" t="s">
        <v>942</v>
      </c>
      <c r="F329" t="s">
        <v>24</v>
      </c>
      <c r="G329" s="2" t="s">
        <v>836</v>
      </c>
      <c r="H329" t="s">
        <v>26</v>
      </c>
      <c r="I329" t="s">
        <v>57</v>
      </c>
      <c r="J329" s="6">
        <v>13188</v>
      </c>
      <c r="K329" s="16">
        <v>992</v>
      </c>
      <c r="L329" s="16">
        <v>1000</v>
      </c>
      <c r="M329" s="16">
        <v>1001</v>
      </c>
      <c r="N329" s="16">
        <v>973</v>
      </c>
      <c r="O329" s="16">
        <v>1003</v>
      </c>
      <c r="P329" s="16">
        <v>1005</v>
      </c>
      <c r="Q329" s="16">
        <v>998</v>
      </c>
      <c r="R329" s="16">
        <v>1000</v>
      </c>
      <c r="S329" s="16">
        <v>995</v>
      </c>
      <c r="T329" s="16">
        <v>1004</v>
      </c>
      <c r="U329" s="15">
        <v>997.1</v>
      </c>
      <c r="V329" t="s">
        <v>19</v>
      </c>
      <c r="W329" t="s">
        <v>19</v>
      </c>
      <c r="X329">
        <v>208</v>
      </c>
      <c r="Y329" s="16">
        <f>VLOOKUP(Tabela1[[#This Row],[SKU]],SKU!A:D,4,0)</f>
        <v>1000</v>
      </c>
      <c r="Z329" s="18">
        <f>IFERROR((Tabela1[[#This Row],[Média]]-Tabela1[[#This Row],[Meta]])/Tabela1[[#This Row],[Meta]],"")</f>
        <v>-2.8999999999999772E-3</v>
      </c>
      <c r="AA329" s="21">
        <f>Tabela1[[#This Row],[Média]]-Tabela1[[#This Row],[Meta]]</f>
        <v>-2.8999999999999773</v>
      </c>
      <c r="AB329" s="6" t="str">
        <f>VLOOKUP(Tabela1[[#This Row],[SKU]],SKU!A:B,2,0)</f>
        <v>SOBRECOXA CG BDJ SE</v>
      </c>
      <c r="AC329" s="6" t="str">
        <f>VLOOKUP(Tabela1[[#This Row],[SKU]],SKU!A:C,3,0)</f>
        <v>PERNA</v>
      </c>
    </row>
    <row r="330" spans="1:29" x14ac:dyDescent="0.3">
      <c r="A330" s="2">
        <f>INT(Tabela1[[#This Row],[Data e Hora2]])</f>
        <v>46262</v>
      </c>
      <c r="B330" s="6" t="str">
        <f>UPPER(TEXT(Tabela1[[#This Row],[Data Corrigida]],"MMM"))</f>
        <v>AGO</v>
      </c>
      <c r="C330" t="s">
        <v>951</v>
      </c>
      <c r="D330" s="2" t="s">
        <v>952</v>
      </c>
      <c r="E330" s="1" t="s">
        <v>942</v>
      </c>
      <c r="F330" t="s">
        <v>24</v>
      </c>
      <c r="G330" s="2" t="s">
        <v>836</v>
      </c>
      <c r="H330" t="s">
        <v>26</v>
      </c>
      <c r="I330" t="s">
        <v>57</v>
      </c>
      <c r="J330" s="6">
        <v>13188</v>
      </c>
      <c r="K330" s="16">
        <v>1010</v>
      </c>
      <c r="L330" s="16">
        <v>1012</v>
      </c>
      <c r="M330" s="16">
        <v>1006</v>
      </c>
      <c r="N330" s="16">
        <v>997</v>
      </c>
      <c r="O330" s="16">
        <v>1013</v>
      </c>
      <c r="P330" s="16">
        <v>1014</v>
      </c>
      <c r="Q330" s="16">
        <v>1013</v>
      </c>
      <c r="R330" s="16">
        <v>1009</v>
      </c>
      <c r="S330" s="16">
        <v>1008</v>
      </c>
      <c r="T330" s="16">
        <v>1006</v>
      </c>
      <c r="U330" s="15">
        <v>1008.8</v>
      </c>
      <c r="V330" t="s">
        <v>19</v>
      </c>
      <c r="W330" t="s">
        <v>28</v>
      </c>
      <c r="X330">
        <v>208</v>
      </c>
      <c r="Y330" s="16">
        <f>VLOOKUP(Tabela1[[#This Row],[SKU]],SKU!A:D,4,0)</f>
        <v>1000</v>
      </c>
      <c r="Z330" s="18">
        <f>IFERROR((Tabela1[[#This Row],[Média]]-Tabela1[[#This Row],[Meta]])/Tabela1[[#This Row],[Meta]],"")</f>
        <v>8.7999999999999537E-3</v>
      </c>
      <c r="AA330" s="21">
        <f>Tabela1[[#This Row],[Média]]-Tabela1[[#This Row],[Meta]]</f>
        <v>8.7999999999999545</v>
      </c>
      <c r="AB330" s="6" t="str">
        <f>VLOOKUP(Tabela1[[#This Row],[SKU]],SKU!A:B,2,0)</f>
        <v>SOBRECOXA CG BDJ SE</v>
      </c>
      <c r="AC330" s="6" t="str">
        <f>VLOOKUP(Tabela1[[#This Row],[SKU]],SKU!A:C,3,0)</f>
        <v>PERNA</v>
      </c>
    </row>
    <row r="331" spans="1:29" x14ac:dyDescent="0.3">
      <c r="A331" s="2">
        <f>INT(Tabela1[[#This Row],[Data e Hora2]])</f>
        <v>46262</v>
      </c>
      <c r="B331" s="6" t="str">
        <f>UPPER(TEXT(Tabela1[[#This Row],[Data Corrigida]],"MMM"))</f>
        <v>AGO</v>
      </c>
      <c r="C331" t="s">
        <v>953</v>
      </c>
      <c r="D331" s="2" t="s">
        <v>954</v>
      </c>
      <c r="E331" s="1" t="s">
        <v>942</v>
      </c>
      <c r="F331" t="s">
        <v>24</v>
      </c>
      <c r="G331" s="2" t="s">
        <v>836</v>
      </c>
      <c r="H331" t="s">
        <v>26</v>
      </c>
      <c r="I331" t="s">
        <v>57</v>
      </c>
      <c r="J331" s="6">
        <v>40762</v>
      </c>
      <c r="K331" s="16">
        <v>10045</v>
      </c>
      <c r="L331" s="16">
        <v>10070</v>
      </c>
      <c r="M331" s="16">
        <v>10060</v>
      </c>
      <c r="N331" s="16">
        <v>9970</v>
      </c>
      <c r="O331" s="16">
        <v>10125</v>
      </c>
      <c r="P331" s="16">
        <v>10110</v>
      </c>
      <c r="Q331" s="16">
        <v>10025</v>
      </c>
      <c r="R331" s="16">
        <v>10055</v>
      </c>
      <c r="S331" s="16">
        <v>10050</v>
      </c>
      <c r="T331" s="16">
        <v>10085</v>
      </c>
      <c r="U331" s="15">
        <v>10059.5</v>
      </c>
      <c r="V331" t="s">
        <v>19</v>
      </c>
      <c r="W331" t="s">
        <v>28</v>
      </c>
      <c r="X331">
        <v>977</v>
      </c>
      <c r="Y331" s="16">
        <f>VLOOKUP(Tabela1[[#This Row],[SKU]],SKU!A:D,4,0)</f>
        <v>10000</v>
      </c>
      <c r="Z331" s="18">
        <f>IFERROR((Tabela1[[#This Row],[Média]]-Tabela1[[#This Row],[Meta]])/Tabela1[[#This Row],[Meta]],"")</f>
        <v>5.9500000000000004E-3</v>
      </c>
      <c r="AA331" s="21">
        <f>Tabela1[[#This Row],[Média]]-Tabela1[[#This Row],[Meta]]</f>
        <v>59.5</v>
      </c>
      <c r="AB331" s="6" t="str">
        <f>VLOOKUP(Tabela1[[#This Row],[SKU]],SKU!A:B,2,0)</f>
        <v>COXA SBCX LQ FG LP</v>
      </c>
      <c r="AC331" s="6" t="str">
        <f>VLOOKUP(Tabela1[[#This Row],[SKU]],SKU!A:C,3,0)</f>
        <v>PERNA</v>
      </c>
    </row>
    <row r="332" spans="1:29" x14ac:dyDescent="0.3">
      <c r="A332" s="2">
        <f>INT(Tabela1[[#This Row],[Data e Hora2]])</f>
        <v>46262</v>
      </c>
      <c r="B332" s="6" t="str">
        <f>UPPER(TEXT(Tabela1[[#This Row],[Data Corrigida]],"MMM"))</f>
        <v>AGO</v>
      </c>
      <c r="C332" t="s">
        <v>955</v>
      </c>
      <c r="D332" s="2" t="s">
        <v>956</v>
      </c>
      <c r="E332" s="1" t="s">
        <v>942</v>
      </c>
      <c r="F332" t="s">
        <v>24</v>
      </c>
      <c r="G332" s="2" t="s">
        <v>836</v>
      </c>
      <c r="H332" t="s">
        <v>26</v>
      </c>
      <c r="I332" t="s">
        <v>57</v>
      </c>
      <c r="J332" s="6">
        <v>15105</v>
      </c>
      <c r="K332" s="16">
        <v>986</v>
      </c>
      <c r="L332" s="16">
        <v>1038</v>
      </c>
      <c r="M332" s="16">
        <v>1007</v>
      </c>
      <c r="N332" s="16">
        <v>994</v>
      </c>
      <c r="O332" s="16">
        <v>1004</v>
      </c>
      <c r="P332" s="16">
        <v>1004</v>
      </c>
      <c r="Q332" s="16">
        <v>1054</v>
      </c>
      <c r="R332" s="16">
        <v>992</v>
      </c>
      <c r="S332" s="16">
        <v>1053</v>
      </c>
      <c r="T332" s="16">
        <v>1055</v>
      </c>
      <c r="U332" s="15">
        <v>1018.7</v>
      </c>
      <c r="V332" t="s">
        <v>19</v>
      </c>
      <c r="W332" t="s">
        <v>28</v>
      </c>
      <c r="X332">
        <v>2935</v>
      </c>
      <c r="Y332" s="16">
        <f>VLOOKUP(Tabela1[[#This Row],[SKU]],SKU!A:D,4,0)</f>
        <v>1000</v>
      </c>
      <c r="Z332" s="18">
        <f>IFERROR((Tabela1[[#This Row],[Média]]-Tabela1[[#This Row],[Meta]])/Tabela1[[#This Row],[Meta]],"")</f>
        <v>1.8700000000000046E-2</v>
      </c>
      <c r="AA332" s="21">
        <f>Tabela1[[#This Row],[Média]]-Tabela1[[#This Row],[Meta]]</f>
        <v>18.700000000000045</v>
      </c>
      <c r="AB332" s="6" t="str">
        <f>VLOOKUP(Tabela1[[#This Row],[SKU]],SKU!A:B,2,0)</f>
        <v>FILE PEITO MET CG BDJ SE</v>
      </c>
      <c r="AC332" s="6" t="str">
        <f>VLOOKUP(Tabela1[[#This Row],[SKU]],SKU!A:C,3,0)</f>
        <v>PEITO</v>
      </c>
    </row>
    <row r="333" spans="1:29" x14ac:dyDescent="0.3">
      <c r="A333" s="2">
        <f>INT(Tabela1[[#This Row],[Data e Hora2]])</f>
        <v>46266</v>
      </c>
      <c r="B333" s="6" t="str">
        <f>UPPER(TEXT(Tabela1[[#This Row],[Data Corrigida]],"MMM"))</f>
        <v>SET</v>
      </c>
      <c r="C333" t="s">
        <v>957</v>
      </c>
      <c r="D333" s="2" t="s">
        <v>958</v>
      </c>
      <c r="E333" s="1" t="s">
        <v>959</v>
      </c>
      <c r="F333" t="s">
        <v>24</v>
      </c>
      <c r="G333" s="2" t="s">
        <v>960</v>
      </c>
      <c r="H333" t="s">
        <v>142</v>
      </c>
      <c r="I333" t="s">
        <v>462</v>
      </c>
      <c r="J333" s="6">
        <v>864048</v>
      </c>
      <c r="K333" s="16">
        <v>2168</v>
      </c>
      <c r="L333" s="16">
        <v>1943</v>
      </c>
      <c r="M333" s="16">
        <v>2313</v>
      </c>
      <c r="N333" s="16">
        <v>2061</v>
      </c>
      <c r="O333" s="16">
        <v>2253</v>
      </c>
      <c r="P333" s="16">
        <v>2146</v>
      </c>
      <c r="Q333" s="16">
        <v>2267</v>
      </c>
      <c r="R333" s="16">
        <v>2191</v>
      </c>
      <c r="S333" s="16">
        <v>2206</v>
      </c>
      <c r="T333" s="16">
        <v>2080</v>
      </c>
      <c r="U333" s="15">
        <v>2162.8000000000002</v>
      </c>
      <c r="V333" t="s">
        <v>19</v>
      </c>
      <c r="W333" t="s">
        <v>28</v>
      </c>
      <c r="X333">
        <v>347</v>
      </c>
      <c r="Y333" s="16">
        <f>VLOOKUP(Tabela1[[#This Row],[SKU]],SKU!A:D,4,0)</f>
        <v>2000</v>
      </c>
      <c r="Z333" s="18">
        <f>IFERROR((Tabela1[[#This Row],[Média]]-Tabela1[[#This Row],[Meta]])/Tabela1[[#This Row],[Meta]],"")</f>
        <v>8.1400000000000097E-2</v>
      </c>
      <c r="AA333" s="19">
        <f>Tabela1[[#This Row],[Média]]-Tabela1[[#This Row],[Meta]]</f>
        <v>162.80000000000018</v>
      </c>
      <c r="AB333" s="6" t="str">
        <f>VLOOKUP(Tabela1[[#This Row],[SKU]],SKU!A:B,2,0)</f>
        <v>COXA SBCX S/O 200g FG UP PB</v>
      </c>
      <c r="AC333" s="6" t="str">
        <f>VLOOKUP(Tabela1[[#This Row],[SKU]],SKU!A:C,3,0)</f>
        <v>PERNA</v>
      </c>
    </row>
    <row r="334" spans="1:29" x14ac:dyDescent="0.3">
      <c r="A334" s="2">
        <f>INT(Tabela1[[#This Row],[Data e Hora2]])</f>
        <v>46266</v>
      </c>
      <c r="B334" s="6" t="str">
        <f>UPPER(TEXT(Tabela1[[#This Row],[Data Corrigida]],"MMM"))</f>
        <v>SET</v>
      </c>
      <c r="C334" t="s">
        <v>961</v>
      </c>
      <c r="D334" s="2" t="s">
        <v>962</v>
      </c>
      <c r="E334" s="1" t="s">
        <v>959</v>
      </c>
      <c r="F334" t="s">
        <v>24</v>
      </c>
      <c r="G334" s="2" t="s">
        <v>960</v>
      </c>
      <c r="H334" t="s">
        <v>142</v>
      </c>
      <c r="I334" t="s">
        <v>462</v>
      </c>
      <c r="J334" s="6">
        <v>42862</v>
      </c>
      <c r="K334" s="16">
        <v>2023</v>
      </c>
      <c r="L334" s="16">
        <v>2028</v>
      </c>
      <c r="M334" s="16">
        <v>2036</v>
      </c>
      <c r="N334" s="16">
        <v>2047</v>
      </c>
      <c r="O334" s="16">
        <v>2024</v>
      </c>
      <c r="P334" s="16">
        <v>2067</v>
      </c>
      <c r="Q334" s="16">
        <v>2015</v>
      </c>
      <c r="R334" s="16">
        <v>2083</v>
      </c>
      <c r="S334" s="16">
        <v>2012</v>
      </c>
      <c r="T334" s="16">
        <v>2064</v>
      </c>
      <c r="U334" s="15">
        <v>2039.9</v>
      </c>
      <c r="V334" t="s">
        <v>19</v>
      </c>
      <c r="W334" t="s">
        <v>19</v>
      </c>
      <c r="X334">
        <v>143</v>
      </c>
      <c r="Y334" s="16">
        <f>VLOOKUP(Tabela1[[#This Row],[SKU]],SKU!A:D,4,0)</f>
        <v>2000</v>
      </c>
      <c r="Z334" s="18">
        <f>IFERROR((Tabela1[[#This Row],[Média]]-Tabela1[[#This Row],[Meta]])/Tabela1[[#This Row],[Meta]],"")</f>
        <v>1.9950000000000044E-2</v>
      </c>
      <c r="AA334" s="19">
        <f>Tabela1[[#This Row],[Média]]-Tabela1[[#This Row],[Meta]]</f>
        <v>39.900000000000091</v>
      </c>
      <c r="AB334" s="6" t="str">
        <f>VLOOKUP(Tabela1[[#This Row],[SKU]],SKU!A:B,2,0)</f>
        <v>COXA SBCX S/O FG 280-300g PB</v>
      </c>
      <c r="AC334" s="6" t="str">
        <f>VLOOKUP(Tabela1[[#This Row],[SKU]],SKU!A:C,3,0)</f>
        <v>PERNA</v>
      </c>
    </row>
    <row r="335" spans="1:29" x14ac:dyDescent="0.3">
      <c r="A335" s="2">
        <f>INT(Tabela1[[#This Row],[Data e Hora2]])</f>
        <v>46266</v>
      </c>
      <c r="B335" s="6" t="str">
        <f>UPPER(TEXT(Tabela1[[#This Row],[Data Corrigida]],"MMM"))</f>
        <v>SET</v>
      </c>
      <c r="C335" t="s">
        <v>963</v>
      </c>
      <c r="D335" s="2" t="s">
        <v>964</v>
      </c>
      <c r="E335" s="1" t="s">
        <v>959</v>
      </c>
      <c r="F335" t="s">
        <v>24</v>
      </c>
      <c r="G335" s="2" t="s">
        <v>960</v>
      </c>
      <c r="H335" t="s">
        <v>142</v>
      </c>
      <c r="I335" t="s">
        <v>462</v>
      </c>
      <c r="J335" s="6">
        <v>42846</v>
      </c>
      <c r="K335" s="16">
        <v>2043</v>
      </c>
      <c r="L335" s="16">
        <v>2093</v>
      </c>
      <c r="M335" s="16">
        <v>2005</v>
      </c>
      <c r="N335" s="16">
        <v>2060</v>
      </c>
      <c r="O335" s="16">
        <v>1965</v>
      </c>
      <c r="P335" s="16">
        <v>2054</v>
      </c>
      <c r="Q335" s="16">
        <v>2070</v>
      </c>
      <c r="R335" s="16">
        <v>2057</v>
      </c>
      <c r="S335" s="16">
        <v>1998</v>
      </c>
      <c r="T335" s="16">
        <v>2081</v>
      </c>
      <c r="U335" s="15">
        <v>2042.6</v>
      </c>
      <c r="V335" t="s">
        <v>19</v>
      </c>
      <c r="W335" t="s">
        <v>19</v>
      </c>
      <c r="X335">
        <v>204</v>
      </c>
      <c r="Y335" s="16">
        <f>VLOOKUP(Tabela1[[#This Row],[SKU]],SKU!A:D,4,0)</f>
        <v>2000</v>
      </c>
      <c r="Z335" s="18">
        <f>IFERROR((Tabela1[[#This Row],[Média]]-Tabela1[[#This Row],[Meta]])/Tabela1[[#This Row],[Meta]],"")</f>
        <v>2.1299999999999954E-2</v>
      </c>
      <c r="AA335" s="19">
        <f>Tabela1[[#This Row],[Média]]-Tabela1[[#This Row],[Meta]]</f>
        <v>42.599999999999909</v>
      </c>
      <c r="AB335" s="6" t="str">
        <f>VLOOKUP(Tabela1[[#This Row],[SKU]],SKU!A:B,2,0)</f>
        <v>COXA SBCX S/O FG 240-260g PB</v>
      </c>
      <c r="AC335" s="6" t="str">
        <f>VLOOKUP(Tabela1[[#This Row],[SKU]],SKU!A:C,3,0)</f>
        <v>PERNA</v>
      </c>
    </row>
    <row r="336" spans="1:29" x14ac:dyDescent="0.3">
      <c r="A336" s="2">
        <f>INT(Tabela1[[#This Row],[Data e Hora2]])</f>
        <v>46266</v>
      </c>
      <c r="B336" s="6" t="str">
        <f>UPPER(TEXT(Tabela1[[#This Row],[Data Corrigida]],"MMM"))</f>
        <v>SET</v>
      </c>
      <c r="C336" t="s">
        <v>965</v>
      </c>
      <c r="D336" s="2" t="s">
        <v>966</v>
      </c>
      <c r="E336" s="1" t="s">
        <v>959</v>
      </c>
      <c r="F336" t="s">
        <v>24</v>
      </c>
      <c r="G336" s="2" t="s">
        <v>960</v>
      </c>
      <c r="H336" t="s">
        <v>142</v>
      </c>
      <c r="I336" t="s">
        <v>462</v>
      </c>
      <c r="J336" s="6">
        <v>42854</v>
      </c>
      <c r="K336" s="16">
        <v>2131</v>
      </c>
      <c r="L336" s="16">
        <v>2201</v>
      </c>
      <c r="M336" s="16">
        <v>2193</v>
      </c>
      <c r="N336" s="16">
        <v>2123</v>
      </c>
      <c r="O336" s="16">
        <v>2160</v>
      </c>
      <c r="P336" s="16">
        <v>2137</v>
      </c>
      <c r="Q336" s="16">
        <v>2168</v>
      </c>
      <c r="R336" s="16">
        <v>2173</v>
      </c>
      <c r="S336" s="16">
        <v>2174</v>
      </c>
      <c r="T336" s="16">
        <v>2169</v>
      </c>
      <c r="U336" s="15">
        <v>2162.9</v>
      </c>
      <c r="V336" t="s">
        <v>19</v>
      </c>
      <c r="W336" t="s">
        <v>19</v>
      </c>
      <c r="X336">
        <v>391</v>
      </c>
      <c r="Y336" s="16">
        <f>VLOOKUP(Tabela1[[#This Row],[SKU]],SKU!A:D,4,0)</f>
        <v>2080</v>
      </c>
      <c r="Z336" s="18">
        <f>IFERROR((Tabela1[[#This Row],[Média]]-Tabela1[[#This Row],[Meta]])/Tabela1[[#This Row],[Meta]],"")</f>
        <v>3.9855769230769278E-2</v>
      </c>
      <c r="AA336" s="19">
        <f>Tabela1[[#This Row],[Média]]-Tabela1[[#This Row],[Meta]]</f>
        <v>82.900000000000091</v>
      </c>
      <c r="AB336" s="6" t="str">
        <f>VLOOKUP(Tabela1[[#This Row],[SKU]],SKU!A:B,2,0)</f>
        <v>COXA SBCX S/O FG 260-280g PB</v>
      </c>
      <c r="AC336" s="6" t="str">
        <f>VLOOKUP(Tabela1[[#This Row],[SKU]],SKU!A:C,3,0)</f>
        <v>PERNA</v>
      </c>
    </row>
    <row r="337" spans="1:29" x14ac:dyDescent="0.3">
      <c r="A337" s="2">
        <f>INT(Tabela1[[#This Row],[Data e Hora2]])</f>
        <v>46266</v>
      </c>
      <c r="B337" s="6" t="str">
        <f>UPPER(TEXT(Tabela1[[#This Row],[Data Corrigida]],"MMM"))</f>
        <v>SET</v>
      </c>
      <c r="C337" t="s">
        <v>967</v>
      </c>
      <c r="D337" s="2" t="s">
        <v>968</v>
      </c>
      <c r="E337" s="1" t="s">
        <v>969</v>
      </c>
      <c r="F337" t="s">
        <v>24</v>
      </c>
      <c r="G337" s="2" t="s">
        <v>960</v>
      </c>
      <c r="H337" t="s">
        <v>142</v>
      </c>
      <c r="I337" t="s">
        <v>19</v>
      </c>
      <c r="J337" s="6">
        <v>18163</v>
      </c>
      <c r="K337" s="16">
        <v>1005</v>
      </c>
      <c r="L337" s="16">
        <v>1006</v>
      </c>
      <c r="M337" s="16">
        <v>1005</v>
      </c>
      <c r="N337" s="16">
        <v>995</v>
      </c>
      <c r="O337" s="16">
        <v>997</v>
      </c>
      <c r="P337" s="16">
        <v>995</v>
      </c>
      <c r="Q337" s="16">
        <v>1005</v>
      </c>
      <c r="R337" s="16">
        <v>1000</v>
      </c>
      <c r="S337" s="16">
        <v>1003</v>
      </c>
      <c r="T337" s="16">
        <v>998</v>
      </c>
      <c r="U337" s="15">
        <v>1000.9</v>
      </c>
      <c r="V337" t="s">
        <v>19</v>
      </c>
      <c r="W337" t="s">
        <v>19</v>
      </c>
      <c r="X337">
        <v>317</v>
      </c>
      <c r="Y337" s="16">
        <f>VLOOKUP(Tabela1[[#This Row],[SKU]],SKU!A:D,4,0)</f>
        <v>1000</v>
      </c>
      <c r="Z337" s="18">
        <f>IFERROR((Tabela1[[#This Row],[Média]]-Tabela1[[#This Row],[Meta]])/Tabela1[[#This Row],[Meta]],"")</f>
        <v>8.9999999999997732E-4</v>
      </c>
      <c r="AA337" s="19">
        <f>Tabela1[[#This Row],[Média]]-Tabela1[[#This Row],[Meta]]</f>
        <v>0.89999999999997726</v>
      </c>
      <c r="AB337" s="6" t="str">
        <f>VLOOKUP(Tabela1[[#This Row],[SKU]],SKU!A:B,2,0)</f>
        <v>CORACAO FGO CG ALM SE</v>
      </c>
      <c r="AC337" s="6" t="str">
        <f>VLOOKUP(Tabela1[[#This Row],[SKU]],SKU!A:C,3,0)</f>
        <v>CORAÇÃO</v>
      </c>
    </row>
    <row r="338" spans="1:29" x14ac:dyDescent="0.3">
      <c r="A338" s="2">
        <f>INT(Tabela1[[#This Row],[Data e Hora2]])</f>
        <v>46265</v>
      </c>
      <c r="B338" s="6" t="str">
        <f>UPPER(TEXT(Tabela1[[#This Row],[Data Corrigida]],"MMM"))</f>
        <v>AGO</v>
      </c>
      <c r="C338" t="s">
        <v>970</v>
      </c>
      <c r="D338" s="2" t="s">
        <v>971</v>
      </c>
      <c r="E338" s="1" t="s">
        <v>972</v>
      </c>
      <c r="F338" t="s">
        <v>24</v>
      </c>
      <c r="G338" s="2" t="s">
        <v>973</v>
      </c>
      <c r="H338" t="s">
        <v>26</v>
      </c>
      <c r="I338" t="s">
        <v>27</v>
      </c>
      <c r="J338" s="6">
        <v>54632</v>
      </c>
      <c r="K338" s="16">
        <v>1005</v>
      </c>
      <c r="L338" s="16">
        <v>999</v>
      </c>
      <c r="M338" s="16">
        <v>998</v>
      </c>
      <c r="N338" s="16">
        <v>1009</v>
      </c>
      <c r="O338" s="16">
        <v>999</v>
      </c>
      <c r="P338" s="16">
        <v>997</v>
      </c>
      <c r="Q338" s="16">
        <v>1001</v>
      </c>
      <c r="R338" s="16">
        <v>1006</v>
      </c>
      <c r="S338" s="16">
        <v>995</v>
      </c>
      <c r="T338" s="16">
        <v>1000</v>
      </c>
      <c r="U338" s="15">
        <v>1000.9</v>
      </c>
      <c r="V338" t="s">
        <v>19</v>
      </c>
      <c r="W338" t="s">
        <v>28</v>
      </c>
      <c r="X338">
        <v>310</v>
      </c>
      <c r="Y338" s="16">
        <f>VLOOKUP(Tabela1[[#This Row],[SKU]],SKU!A:D,4,0)</f>
        <v>1000</v>
      </c>
      <c r="Z338" s="18">
        <f>IFERROR((Tabela1[[#This Row],[Média]]-Tabela1[[#This Row],[Meta]])/Tabela1[[#This Row],[Meta]],"")</f>
        <v>8.9999999999997732E-4</v>
      </c>
      <c r="AA338" s="19">
        <f>Tabela1[[#This Row],[Média]]-Tabela1[[#This Row],[Meta]]</f>
        <v>0.89999999999997726</v>
      </c>
      <c r="AB338" s="6" t="str">
        <f>VLOOKUP(Tabela1[[#This Row],[SKU]],SKU!A:B,2,0)</f>
        <v>COXA SBCX S/O BDJ CG</v>
      </c>
      <c r="AC338" s="6" t="str">
        <f>VLOOKUP(Tabela1[[#This Row],[SKU]],SKU!A:C,3,0)</f>
        <v>PERNA</v>
      </c>
    </row>
    <row r="339" spans="1:29" x14ac:dyDescent="0.3">
      <c r="A339" s="2">
        <f>INT(Tabela1[[#This Row],[Data e Hora2]])</f>
        <v>46265</v>
      </c>
      <c r="B339" s="6" t="str">
        <f>UPPER(TEXT(Tabela1[[#This Row],[Data Corrigida]],"MMM"))</f>
        <v>AGO</v>
      </c>
      <c r="C339" t="s">
        <v>974</v>
      </c>
      <c r="D339" s="2" t="s">
        <v>975</v>
      </c>
      <c r="E339" s="1" t="s">
        <v>972</v>
      </c>
      <c r="F339" t="s">
        <v>24</v>
      </c>
      <c r="G339" s="2" t="s">
        <v>973</v>
      </c>
      <c r="H339" t="s">
        <v>26</v>
      </c>
      <c r="I339" t="s">
        <v>27</v>
      </c>
      <c r="J339" s="6">
        <v>13188</v>
      </c>
      <c r="K339" s="16">
        <v>1006</v>
      </c>
      <c r="L339" s="16">
        <v>995</v>
      </c>
      <c r="M339" s="16">
        <v>1014</v>
      </c>
      <c r="N339" s="16">
        <v>1002</v>
      </c>
      <c r="O339" s="16">
        <v>1008</v>
      </c>
      <c r="P339" s="16">
        <v>996</v>
      </c>
      <c r="Q339" s="16">
        <v>1013</v>
      </c>
      <c r="R339" s="16">
        <v>1015</v>
      </c>
      <c r="S339" s="16">
        <v>1016</v>
      </c>
      <c r="T339" s="16">
        <v>1016</v>
      </c>
      <c r="U339" s="15">
        <v>1008.1</v>
      </c>
      <c r="V339" t="s">
        <v>19</v>
      </c>
      <c r="W339" t="s">
        <v>19</v>
      </c>
      <c r="X339">
        <v>345</v>
      </c>
      <c r="Y339" s="16">
        <f>VLOOKUP(Tabela1[[#This Row],[SKU]],SKU!A:D,4,0)</f>
        <v>1000</v>
      </c>
      <c r="Z339" s="18">
        <f>IFERROR((Tabela1[[#This Row],[Média]]-Tabela1[[#This Row],[Meta]])/Tabela1[[#This Row],[Meta]],"")</f>
        <v>8.1000000000000221E-3</v>
      </c>
      <c r="AA339" s="19">
        <f>Tabela1[[#This Row],[Média]]-Tabela1[[#This Row],[Meta]]</f>
        <v>8.1000000000000227</v>
      </c>
      <c r="AB339" s="6" t="str">
        <f>VLOOKUP(Tabela1[[#This Row],[SKU]],SKU!A:B,2,0)</f>
        <v>SOBRECOXA CG BDJ SE</v>
      </c>
      <c r="AC339" s="6" t="str">
        <f>VLOOKUP(Tabela1[[#This Row],[SKU]],SKU!A:C,3,0)</f>
        <v>PERNA</v>
      </c>
    </row>
    <row r="340" spans="1:29" x14ac:dyDescent="0.3">
      <c r="A340" s="2">
        <f>INT(Tabela1[[#This Row],[Data e Hora2]])</f>
        <v>46265</v>
      </c>
      <c r="B340" s="6" t="str">
        <f>UPPER(TEXT(Tabela1[[#This Row],[Data Corrigida]],"MMM"))</f>
        <v>AGO</v>
      </c>
      <c r="C340" t="s">
        <v>976</v>
      </c>
      <c r="D340" s="2" t="s">
        <v>977</v>
      </c>
      <c r="E340" s="1" t="s">
        <v>972</v>
      </c>
      <c r="F340" t="s">
        <v>24</v>
      </c>
      <c r="G340" s="2" t="s">
        <v>973</v>
      </c>
      <c r="H340" t="s">
        <v>26</v>
      </c>
      <c r="I340" t="s">
        <v>27</v>
      </c>
      <c r="J340" s="6">
        <v>15229</v>
      </c>
      <c r="K340" s="16">
        <v>1013</v>
      </c>
      <c r="L340" s="16">
        <v>1012</v>
      </c>
      <c r="M340" s="16">
        <v>1012</v>
      </c>
      <c r="N340" s="16">
        <v>1014</v>
      </c>
      <c r="O340" s="16">
        <v>1012</v>
      </c>
      <c r="P340" s="16">
        <v>1014</v>
      </c>
      <c r="Q340" s="16">
        <v>1011</v>
      </c>
      <c r="R340" s="16">
        <v>1016</v>
      </c>
      <c r="S340" s="16">
        <v>1016</v>
      </c>
      <c r="T340" s="16">
        <v>1015</v>
      </c>
      <c r="U340" s="15">
        <v>1013.5</v>
      </c>
      <c r="V340" t="s">
        <v>19</v>
      </c>
      <c r="W340" t="s">
        <v>28</v>
      </c>
      <c r="X340">
        <v>464</v>
      </c>
      <c r="Y340" s="16">
        <f>VLOOKUP(Tabela1[[#This Row],[SKU]],SKU!A:D,4,0)</f>
        <v>1000</v>
      </c>
      <c r="Z340" s="18">
        <f>IFERROR((Tabela1[[#This Row],[Média]]-Tabela1[[#This Row],[Meta]])/Tabela1[[#This Row],[Meta]],"")</f>
        <v>1.35E-2</v>
      </c>
      <c r="AA340" s="19">
        <f>Tabela1[[#This Row],[Média]]-Tabela1[[#This Row],[Meta]]</f>
        <v>13.5</v>
      </c>
      <c r="AB340" s="6" t="str">
        <f>VLOOKUP(Tabela1[[#This Row],[SKU]],SKU!A:B,2,0)</f>
        <v>COXA CG BDJ SE</v>
      </c>
      <c r="AC340" s="6" t="str">
        <f>VLOOKUP(Tabela1[[#This Row],[SKU]],SKU!A:C,3,0)</f>
        <v>PERNA</v>
      </c>
    </row>
    <row r="341" spans="1:29" x14ac:dyDescent="0.3">
      <c r="A341" s="2">
        <f>INT(Tabela1[[#This Row],[Data e Hora2]])</f>
        <v>46265</v>
      </c>
      <c r="B341" s="6" t="str">
        <f>UPPER(TEXT(Tabela1[[#This Row],[Data Corrigida]],"MMM"))</f>
        <v>AGO</v>
      </c>
      <c r="C341" t="s">
        <v>978</v>
      </c>
      <c r="D341" s="2" t="s">
        <v>979</v>
      </c>
      <c r="E341" s="1" t="s">
        <v>972</v>
      </c>
      <c r="F341" t="s">
        <v>24</v>
      </c>
      <c r="G341" s="2" t="s">
        <v>973</v>
      </c>
      <c r="H341" t="s">
        <v>26</v>
      </c>
      <c r="I341" t="s">
        <v>27</v>
      </c>
      <c r="J341" s="6">
        <v>15105</v>
      </c>
      <c r="K341" s="16">
        <v>996</v>
      </c>
      <c r="L341" s="16">
        <v>1009</v>
      </c>
      <c r="M341" s="16">
        <v>1023</v>
      </c>
      <c r="N341" s="16">
        <v>1043</v>
      </c>
      <c r="O341" s="16">
        <v>1015</v>
      </c>
      <c r="P341" s="16">
        <v>1006</v>
      </c>
      <c r="Q341" s="16">
        <v>1023</v>
      </c>
      <c r="R341" s="16">
        <v>1019</v>
      </c>
      <c r="S341" s="16">
        <v>1008</v>
      </c>
      <c r="T341" s="16">
        <v>1069</v>
      </c>
      <c r="U341" s="15">
        <v>1021.1</v>
      </c>
      <c r="V341" t="s">
        <v>19</v>
      </c>
      <c r="W341" t="s">
        <v>19</v>
      </c>
      <c r="X341">
        <v>271</v>
      </c>
      <c r="Y341" s="16">
        <f>VLOOKUP(Tabela1[[#This Row],[SKU]],SKU!A:D,4,0)</f>
        <v>1000</v>
      </c>
      <c r="Z341" s="18">
        <f>IFERROR((Tabela1[[#This Row],[Média]]-Tabela1[[#This Row],[Meta]])/Tabela1[[#This Row],[Meta]],"")</f>
        <v>2.1100000000000022E-2</v>
      </c>
      <c r="AA341" s="19">
        <f>Tabela1[[#This Row],[Média]]-Tabela1[[#This Row],[Meta]]</f>
        <v>21.100000000000023</v>
      </c>
      <c r="AB341" s="6" t="str">
        <f>VLOOKUP(Tabela1[[#This Row],[SKU]],SKU!A:B,2,0)</f>
        <v>FILE PEITO MET CG BDJ SE</v>
      </c>
      <c r="AC341" s="6" t="str">
        <f>VLOOKUP(Tabela1[[#This Row],[SKU]],SKU!A:C,3,0)</f>
        <v>PEITO</v>
      </c>
    </row>
    <row r="342" spans="1:29" x14ac:dyDescent="0.3">
      <c r="A342" s="2">
        <f>INT(Tabela1[[#This Row],[Data e Hora2]])</f>
        <v>46265</v>
      </c>
      <c r="B342" s="6" t="str">
        <f>UPPER(TEXT(Tabela1[[#This Row],[Data Corrigida]],"MMM"))</f>
        <v>AGO</v>
      </c>
      <c r="C342" t="s">
        <v>980</v>
      </c>
      <c r="D342" s="2" t="s">
        <v>981</v>
      </c>
      <c r="E342" s="1" t="s">
        <v>972</v>
      </c>
      <c r="F342" t="s">
        <v>24</v>
      </c>
      <c r="G342" s="2" t="s">
        <v>973</v>
      </c>
      <c r="H342" t="s">
        <v>26</v>
      </c>
      <c r="I342" t="s">
        <v>27</v>
      </c>
      <c r="J342" s="6">
        <v>792306</v>
      </c>
      <c r="K342" s="16">
        <v>1006</v>
      </c>
      <c r="L342" s="16">
        <v>997</v>
      </c>
      <c r="M342" s="16">
        <v>1004</v>
      </c>
      <c r="N342" s="16">
        <v>1049</v>
      </c>
      <c r="O342" s="16">
        <v>1005</v>
      </c>
      <c r="P342" s="16">
        <v>999</v>
      </c>
      <c r="Q342" s="16">
        <v>1099</v>
      </c>
      <c r="R342" s="16">
        <v>1053</v>
      </c>
      <c r="S342" s="16">
        <v>991</v>
      </c>
      <c r="T342" s="16">
        <v>1007</v>
      </c>
      <c r="U342" s="15">
        <v>1021</v>
      </c>
      <c r="V342" t="s">
        <v>19</v>
      </c>
      <c r="W342" t="s">
        <v>28</v>
      </c>
      <c r="X342">
        <v>983</v>
      </c>
      <c r="Y342" s="16">
        <f>VLOOKUP(Tabela1[[#This Row],[SKU]],SKU!A:D,4,0)</f>
        <v>1000</v>
      </c>
      <c r="Z342" s="18">
        <f>IFERROR((Tabela1[[#This Row],[Média]]-Tabela1[[#This Row],[Meta]])/Tabela1[[#This Row],[Meta]],"")</f>
        <v>2.1000000000000001E-2</v>
      </c>
      <c r="AA342" s="19">
        <f>Tabela1[[#This Row],[Média]]-Tabela1[[#This Row],[Meta]]</f>
        <v>21</v>
      </c>
      <c r="AB342" s="6" t="str">
        <f>VLOOKUP(Tabela1[[#This Row],[SKU]],SKU!A:B,2,0)</f>
        <v>FILE PEITO  CG IQF</v>
      </c>
      <c r="AC342" s="6" t="str">
        <f>VLOOKUP(Tabela1[[#This Row],[SKU]],SKU!A:C,3,0)</f>
        <v>PEITO</v>
      </c>
    </row>
    <row r="343" spans="1:29" x14ac:dyDescent="0.3">
      <c r="A343" s="2">
        <f>INT(Tabela1[[#This Row],[Data e Hora2]])</f>
        <v>46265</v>
      </c>
      <c r="B343" s="6" t="str">
        <f>UPPER(TEXT(Tabela1[[#This Row],[Data Corrigida]],"MMM"))</f>
        <v>AGO</v>
      </c>
      <c r="C343" t="s">
        <v>982</v>
      </c>
      <c r="D343" s="2" t="s">
        <v>983</v>
      </c>
      <c r="E343" s="1" t="s">
        <v>972</v>
      </c>
      <c r="F343" t="s">
        <v>24</v>
      </c>
      <c r="G343" s="2" t="s">
        <v>973</v>
      </c>
      <c r="H343" t="s">
        <v>26</v>
      </c>
      <c r="I343" t="s">
        <v>27</v>
      </c>
      <c r="J343" s="6">
        <v>995638</v>
      </c>
      <c r="K343" s="16">
        <v>14995</v>
      </c>
      <c r="L343" s="16">
        <v>15035</v>
      </c>
      <c r="M343" s="16">
        <v>15010</v>
      </c>
      <c r="N343" s="16">
        <v>15030</v>
      </c>
      <c r="O343" s="16">
        <v>15030</v>
      </c>
      <c r="P343" s="16">
        <v>15045</v>
      </c>
      <c r="Q343" s="16">
        <v>15045</v>
      </c>
      <c r="R343" s="16">
        <v>15055</v>
      </c>
      <c r="S343" s="16">
        <v>15035</v>
      </c>
      <c r="T343" s="16">
        <v>15020</v>
      </c>
      <c r="U343" s="15">
        <v>15030</v>
      </c>
      <c r="V343" t="s">
        <v>19</v>
      </c>
      <c r="W343" t="s">
        <v>28</v>
      </c>
      <c r="X343">
        <v>1785</v>
      </c>
      <c r="Y343" s="16">
        <f>VLOOKUP(Tabela1[[#This Row],[SKU]],SKU!A:D,4,0)</f>
        <v>15000</v>
      </c>
      <c r="Z343" s="18">
        <f>IFERROR((Tabela1[[#This Row],[Média]]-Tabela1[[#This Row],[Meta]])/Tabela1[[#This Row],[Meta]],"")</f>
        <v>2E-3</v>
      </c>
      <c r="AA343" s="19">
        <f>Tabela1[[#This Row],[Média]]-Tabela1[[#This Row],[Meta]]</f>
        <v>30</v>
      </c>
      <c r="AB343" s="6" t="str">
        <f>VLOOKUP(Tabela1[[#This Row],[SKU]],SKU!A:B,2,0)</f>
        <v>MEIO DA ASA 40-50G LP</v>
      </c>
      <c r="AC343" s="6" t="str">
        <f>VLOOKUP(Tabela1[[#This Row],[SKU]],SKU!A:C,3,0)</f>
        <v>ASA</v>
      </c>
    </row>
    <row r="344" spans="1:29" x14ac:dyDescent="0.3">
      <c r="A344" s="2">
        <f>INT(Tabela1[[#This Row],[Data e Hora2]])</f>
        <v>46265</v>
      </c>
      <c r="B344" s="6" t="str">
        <f>UPPER(TEXT(Tabela1[[#This Row],[Data Corrigida]],"MMM"))</f>
        <v>AGO</v>
      </c>
      <c r="C344" t="s">
        <v>984</v>
      </c>
      <c r="D344" s="2" t="s">
        <v>985</v>
      </c>
      <c r="E344" s="1" t="s">
        <v>986</v>
      </c>
      <c r="F344" t="s">
        <v>24</v>
      </c>
      <c r="G344" s="2" t="s">
        <v>973</v>
      </c>
      <c r="H344" t="s">
        <v>26</v>
      </c>
      <c r="I344" t="s">
        <v>27</v>
      </c>
      <c r="J344" s="6">
        <v>42854</v>
      </c>
      <c r="K344" s="16">
        <v>2033</v>
      </c>
      <c r="L344" s="16">
        <v>2080</v>
      </c>
      <c r="M344" s="16">
        <v>2087</v>
      </c>
      <c r="N344" s="16">
        <v>2099</v>
      </c>
      <c r="O344" s="16">
        <v>2083</v>
      </c>
      <c r="P344" s="16">
        <v>2096</v>
      </c>
      <c r="Q344" s="16">
        <v>2087</v>
      </c>
      <c r="R344" s="16">
        <v>2091</v>
      </c>
      <c r="S344" s="16">
        <v>2078</v>
      </c>
      <c r="T344" s="16">
        <v>2106</v>
      </c>
      <c r="U344" s="15">
        <v>2084</v>
      </c>
      <c r="V344" t="s">
        <v>19</v>
      </c>
      <c r="W344" t="s">
        <v>19</v>
      </c>
      <c r="X344">
        <v>95</v>
      </c>
      <c r="Y344" s="16">
        <f>VLOOKUP(Tabela1[[#This Row],[SKU]],SKU!A:D,4,0)</f>
        <v>2080</v>
      </c>
      <c r="Z344" s="18">
        <f>IFERROR((Tabela1[[#This Row],[Média]]-Tabela1[[#This Row],[Meta]])/Tabela1[[#This Row],[Meta]],"")</f>
        <v>1.9230769230769232E-3</v>
      </c>
      <c r="AA344" s="19">
        <f>Tabela1[[#This Row],[Média]]-Tabela1[[#This Row],[Meta]]</f>
        <v>4</v>
      </c>
      <c r="AB344" s="6" t="str">
        <f>VLOOKUP(Tabela1[[#This Row],[SKU]],SKU!A:B,2,0)</f>
        <v>COXA SBCX S/O FG 260-280g PB</v>
      </c>
      <c r="AC344" s="6" t="str">
        <f>VLOOKUP(Tabela1[[#This Row],[SKU]],SKU!A:C,3,0)</f>
        <v>PERNA</v>
      </c>
    </row>
    <row r="345" spans="1:29" x14ac:dyDescent="0.3">
      <c r="A345" s="2">
        <f>INT(Tabela1[[#This Row],[Data e Hora2]])</f>
        <v>46265</v>
      </c>
      <c r="B345" s="6" t="str">
        <f>UPPER(TEXT(Tabela1[[#This Row],[Data Corrigida]],"MMM"))</f>
        <v>AGO</v>
      </c>
      <c r="C345" t="s">
        <v>987</v>
      </c>
      <c r="D345" s="2" t="s">
        <v>988</v>
      </c>
      <c r="E345" s="1" t="s">
        <v>986</v>
      </c>
      <c r="F345" t="s">
        <v>24</v>
      </c>
      <c r="G345" s="2" t="s">
        <v>973</v>
      </c>
      <c r="H345" t="s">
        <v>26</v>
      </c>
      <c r="I345" t="s">
        <v>27</v>
      </c>
      <c r="J345" s="6">
        <v>42846</v>
      </c>
      <c r="K345" s="16">
        <v>2003</v>
      </c>
      <c r="L345" s="16">
        <v>2012</v>
      </c>
      <c r="M345" s="16">
        <v>2021</v>
      </c>
      <c r="N345" s="16">
        <v>2017</v>
      </c>
      <c r="O345" s="16">
        <v>2007</v>
      </c>
      <c r="P345" s="16">
        <v>2012</v>
      </c>
      <c r="Q345" s="16">
        <v>2005</v>
      </c>
      <c r="R345" s="16">
        <v>2020</v>
      </c>
      <c r="S345" s="16">
        <v>2012</v>
      </c>
      <c r="T345" s="16">
        <v>2008</v>
      </c>
      <c r="U345" s="15">
        <v>2011.7</v>
      </c>
      <c r="V345" t="s">
        <v>19</v>
      </c>
      <c r="W345" t="s">
        <v>28</v>
      </c>
      <c r="X345">
        <v>102</v>
      </c>
      <c r="Y345" s="16">
        <f>VLOOKUP(Tabela1[[#This Row],[SKU]],SKU!A:D,4,0)</f>
        <v>2000</v>
      </c>
      <c r="Z345" s="18">
        <f>IFERROR((Tabela1[[#This Row],[Média]]-Tabela1[[#This Row],[Meta]])/Tabela1[[#This Row],[Meta]],"")</f>
        <v>5.8500000000000227E-3</v>
      </c>
      <c r="AA345" s="19">
        <f>Tabela1[[#This Row],[Média]]-Tabela1[[#This Row],[Meta]]</f>
        <v>11.700000000000045</v>
      </c>
      <c r="AB345" s="6" t="str">
        <f>VLOOKUP(Tabela1[[#This Row],[SKU]],SKU!A:B,2,0)</f>
        <v>COXA SBCX S/O FG 240-260g PB</v>
      </c>
      <c r="AC345" s="6" t="str">
        <f>VLOOKUP(Tabela1[[#This Row],[SKU]],SKU!A:C,3,0)</f>
        <v>PERNA</v>
      </c>
    </row>
    <row r="346" spans="1:29" x14ac:dyDescent="0.3">
      <c r="A346" s="2">
        <f>INT(Tabela1[[#This Row],[Data e Hora2]])</f>
        <v>46265</v>
      </c>
      <c r="B346" s="6" t="str">
        <f>UPPER(TEXT(Tabela1[[#This Row],[Data Corrigida]],"MMM"))</f>
        <v>AGO</v>
      </c>
      <c r="C346" t="s">
        <v>989</v>
      </c>
      <c r="D346" s="2" t="s">
        <v>990</v>
      </c>
      <c r="E346" s="1" t="s">
        <v>986</v>
      </c>
      <c r="F346" t="s">
        <v>24</v>
      </c>
      <c r="G346" s="2" t="s">
        <v>973</v>
      </c>
      <c r="H346" t="s">
        <v>26</v>
      </c>
      <c r="I346" t="s">
        <v>27</v>
      </c>
      <c r="J346" s="6">
        <v>42862</v>
      </c>
      <c r="K346" s="16">
        <v>2015</v>
      </c>
      <c r="L346" s="16">
        <v>1983</v>
      </c>
      <c r="M346" s="16">
        <v>1999</v>
      </c>
      <c r="N346" s="16">
        <v>2002</v>
      </c>
      <c r="O346" s="16">
        <v>2019</v>
      </c>
      <c r="P346" s="16">
        <v>2014</v>
      </c>
      <c r="Q346" s="16">
        <v>2000</v>
      </c>
      <c r="R346" s="16">
        <v>2013</v>
      </c>
      <c r="S346" s="16">
        <v>2008</v>
      </c>
      <c r="T346" s="16">
        <v>2011</v>
      </c>
      <c r="U346" s="15">
        <v>2006.4</v>
      </c>
      <c r="V346" t="s">
        <v>19</v>
      </c>
      <c r="W346" t="s">
        <v>19</v>
      </c>
      <c r="X346">
        <v>96</v>
      </c>
      <c r="Y346" s="16">
        <f>VLOOKUP(Tabela1[[#This Row],[SKU]],SKU!A:D,4,0)</f>
        <v>2000</v>
      </c>
      <c r="Z346" s="18">
        <f>IFERROR((Tabela1[[#This Row],[Média]]-Tabela1[[#This Row],[Meta]])/Tabela1[[#This Row],[Meta]],"")</f>
        <v>3.2000000000000457E-3</v>
      </c>
      <c r="AA346" s="19">
        <f>Tabela1[[#This Row],[Média]]-Tabela1[[#This Row],[Meta]]</f>
        <v>6.4000000000000909</v>
      </c>
      <c r="AB346" s="6" t="str">
        <f>VLOOKUP(Tabela1[[#This Row],[SKU]],SKU!A:B,2,0)</f>
        <v>COXA SBCX S/O FG 280-300g PB</v>
      </c>
      <c r="AC346" s="6" t="str">
        <f>VLOOKUP(Tabela1[[#This Row],[SKU]],SKU!A:C,3,0)</f>
        <v>PERNA</v>
      </c>
    </row>
    <row r="347" spans="1:29" x14ac:dyDescent="0.3">
      <c r="A347" s="2">
        <f>INT(Tabela1[[#This Row],[Data e Hora2]])</f>
        <v>46265</v>
      </c>
      <c r="B347" s="6" t="str">
        <f>UPPER(TEXT(Tabela1[[#This Row],[Data Corrigida]],"MMM"))</f>
        <v>AGO</v>
      </c>
      <c r="C347" t="s">
        <v>991</v>
      </c>
      <c r="D347" s="2" t="s">
        <v>992</v>
      </c>
      <c r="E347" s="1" t="s">
        <v>986</v>
      </c>
      <c r="F347" t="s">
        <v>24</v>
      </c>
      <c r="G347" s="2" t="s">
        <v>973</v>
      </c>
      <c r="H347" t="s">
        <v>26</v>
      </c>
      <c r="I347" t="s">
        <v>27</v>
      </c>
      <c r="J347" s="6">
        <v>42820</v>
      </c>
      <c r="K347" s="16">
        <v>2031</v>
      </c>
      <c r="L347" s="16">
        <v>2055</v>
      </c>
      <c r="M347" s="16">
        <v>2032</v>
      </c>
      <c r="N347" s="16">
        <v>2024</v>
      </c>
      <c r="O347" s="16">
        <v>2035</v>
      </c>
      <c r="P347" s="16">
        <v>2025</v>
      </c>
      <c r="Q347" s="16">
        <v>2020</v>
      </c>
      <c r="R347" s="16">
        <v>2031</v>
      </c>
      <c r="S347" s="16">
        <v>2041</v>
      </c>
      <c r="T347" s="16">
        <v>2030</v>
      </c>
      <c r="U347" s="15">
        <v>2032.4</v>
      </c>
      <c r="V347" t="s">
        <v>19</v>
      </c>
      <c r="W347" t="s">
        <v>28</v>
      </c>
      <c r="X347">
        <v>207</v>
      </c>
      <c r="Y347" s="16">
        <f>VLOOKUP(Tabela1[[#This Row],[SKU]],SKU!A:D,4,0)</f>
        <v>2000</v>
      </c>
      <c r="Z347" s="18">
        <f>IFERROR((Tabela1[[#This Row],[Média]]-Tabela1[[#This Row],[Meta]])/Tabela1[[#This Row],[Meta]],"")</f>
        <v>1.6200000000000044E-2</v>
      </c>
      <c r="AA347" s="19">
        <f>Tabela1[[#This Row],[Média]]-Tabela1[[#This Row],[Meta]]</f>
        <v>32.400000000000091</v>
      </c>
      <c r="AB347" s="6" t="str">
        <f>VLOOKUP(Tabela1[[#This Row],[SKU]],SKU!A:B,2,0)</f>
        <v>COXA SBCX S/O FG 200-220g PB</v>
      </c>
      <c r="AC347" s="6" t="str">
        <f>VLOOKUP(Tabela1[[#This Row],[SKU]],SKU!A:C,3,0)</f>
        <v>PERNA</v>
      </c>
    </row>
    <row r="348" spans="1:29" x14ac:dyDescent="0.3">
      <c r="A348" s="2">
        <f>INT(Tabela1[[#This Row],[Data e Hora2]])</f>
        <v>46265</v>
      </c>
      <c r="B348" s="6" t="str">
        <f>UPPER(TEXT(Tabela1[[#This Row],[Data Corrigida]],"MMM"))</f>
        <v>AGO</v>
      </c>
      <c r="C348" t="s">
        <v>993</v>
      </c>
      <c r="D348" s="2" t="s">
        <v>994</v>
      </c>
      <c r="E348" s="1" t="s">
        <v>986</v>
      </c>
      <c r="F348" t="s">
        <v>24</v>
      </c>
      <c r="G348" s="2" t="s">
        <v>973</v>
      </c>
      <c r="H348" t="s">
        <v>26</v>
      </c>
      <c r="I348" t="s">
        <v>27</v>
      </c>
      <c r="J348" s="6">
        <v>42838</v>
      </c>
      <c r="K348" s="16">
        <v>2052</v>
      </c>
      <c r="L348" s="16">
        <v>2025</v>
      </c>
      <c r="M348" s="16">
        <v>2010</v>
      </c>
      <c r="N348" s="16">
        <v>2046</v>
      </c>
      <c r="O348" s="16">
        <v>2045</v>
      </c>
      <c r="P348" s="16">
        <v>2054</v>
      </c>
      <c r="Q348" s="16">
        <v>2050</v>
      </c>
      <c r="R348" s="16">
        <v>2046</v>
      </c>
      <c r="S348" s="16">
        <v>2045</v>
      </c>
      <c r="T348" s="16">
        <v>2039</v>
      </c>
      <c r="U348" s="15">
        <v>2041.2</v>
      </c>
      <c r="V348" t="s">
        <v>19</v>
      </c>
      <c r="W348" t="s">
        <v>19</v>
      </c>
      <c r="X348">
        <v>417</v>
      </c>
      <c r="Y348" s="16">
        <f>VLOOKUP(Tabela1[[#This Row],[SKU]],SKU!A:D,4,0)</f>
        <v>2000</v>
      </c>
      <c r="Z348" s="18">
        <f>IFERROR((Tabela1[[#This Row],[Média]]-Tabela1[[#This Row],[Meta]])/Tabela1[[#This Row],[Meta]],"")</f>
        <v>2.0600000000000021E-2</v>
      </c>
      <c r="AA348" s="19">
        <f>Tabela1[[#This Row],[Média]]-Tabela1[[#This Row],[Meta]]</f>
        <v>41.200000000000045</v>
      </c>
      <c r="AB348" s="6" t="str">
        <f>VLOOKUP(Tabela1[[#This Row],[SKU]],SKU!A:B,2,0)</f>
        <v>COXA SBCX S/O FG 220-240g PB</v>
      </c>
      <c r="AC348" s="6" t="str">
        <f>VLOOKUP(Tabela1[[#This Row],[SKU]],SKU!A:C,3,0)</f>
        <v>PERNA</v>
      </c>
    </row>
    <row r="349" spans="1:29" x14ac:dyDescent="0.3">
      <c r="A349" s="2">
        <f>INT(Tabela1[[#This Row],[Data e Hora2]])</f>
        <v>46265</v>
      </c>
      <c r="B349" s="6" t="str">
        <f>UPPER(TEXT(Tabela1[[#This Row],[Data Corrigida]],"MMM"))</f>
        <v>AGO</v>
      </c>
      <c r="C349" t="s">
        <v>995</v>
      </c>
      <c r="D349" s="2" t="s">
        <v>996</v>
      </c>
      <c r="E349" s="1" t="s">
        <v>986</v>
      </c>
      <c r="F349" t="s">
        <v>24</v>
      </c>
      <c r="G349" s="2" t="s">
        <v>973</v>
      </c>
      <c r="H349" t="s">
        <v>26</v>
      </c>
      <c r="I349" t="s">
        <v>27</v>
      </c>
      <c r="J349" s="6">
        <v>40762</v>
      </c>
      <c r="K349" s="16">
        <v>9970</v>
      </c>
      <c r="L349" s="16">
        <v>10025</v>
      </c>
      <c r="M349" s="16">
        <v>10050</v>
      </c>
      <c r="N349" s="16">
        <v>9995</v>
      </c>
      <c r="O349" s="16">
        <v>10055</v>
      </c>
      <c r="P349" s="16">
        <v>10060</v>
      </c>
      <c r="Q349" s="16">
        <v>10035</v>
      </c>
      <c r="R349" s="16">
        <v>10035</v>
      </c>
      <c r="S349" s="16">
        <v>9980</v>
      </c>
      <c r="T349" s="16">
        <v>10065</v>
      </c>
      <c r="U349" s="15">
        <v>10027</v>
      </c>
      <c r="V349" t="s">
        <v>19</v>
      </c>
      <c r="W349" t="s">
        <v>28</v>
      </c>
      <c r="X349">
        <v>666</v>
      </c>
      <c r="Y349" s="16">
        <f>VLOOKUP(Tabela1[[#This Row],[SKU]],SKU!A:D,4,0)</f>
        <v>10000</v>
      </c>
      <c r="Z349" s="18">
        <f>IFERROR((Tabela1[[#This Row],[Média]]-Tabela1[[#This Row],[Meta]])/Tabela1[[#This Row],[Meta]],"")</f>
        <v>2.7000000000000001E-3</v>
      </c>
      <c r="AA349" s="19">
        <f>Tabela1[[#This Row],[Média]]-Tabela1[[#This Row],[Meta]]</f>
        <v>27</v>
      </c>
      <c r="AB349" s="6" t="str">
        <f>VLOOKUP(Tabela1[[#This Row],[SKU]],SKU!A:B,2,0)</f>
        <v>COXA SBCX LQ FG LP</v>
      </c>
      <c r="AC349" s="6" t="str">
        <f>VLOOKUP(Tabela1[[#This Row],[SKU]],SKU!A:C,3,0)</f>
        <v>PERNA</v>
      </c>
    </row>
    <row r="350" spans="1:29" x14ac:dyDescent="0.3">
      <c r="A350" s="2">
        <f>INT(Tabela1[[#This Row],[Data e Hora2]])</f>
        <v>46265</v>
      </c>
      <c r="B350" s="6" t="str">
        <f>UPPER(TEXT(Tabela1[[#This Row],[Data Corrigida]],"MMM"))</f>
        <v>AGO</v>
      </c>
      <c r="C350" t="s">
        <v>997</v>
      </c>
      <c r="D350" s="2" t="s">
        <v>998</v>
      </c>
      <c r="E350" s="1" t="s">
        <v>986</v>
      </c>
      <c r="F350" t="s">
        <v>24</v>
      </c>
      <c r="G350" s="2" t="s">
        <v>973</v>
      </c>
      <c r="H350" t="s">
        <v>26</v>
      </c>
      <c r="I350" t="s">
        <v>27</v>
      </c>
      <c r="J350" s="6">
        <v>992093</v>
      </c>
      <c r="K350" s="16">
        <v>5003</v>
      </c>
      <c r="L350" s="16">
        <v>5001</v>
      </c>
      <c r="M350" s="16">
        <v>5005</v>
      </c>
      <c r="N350" s="16">
        <v>5012</v>
      </c>
      <c r="O350" s="16">
        <v>5010</v>
      </c>
      <c r="P350" s="16">
        <v>5000</v>
      </c>
      <c r="Q350" s="16">
        <v>5007</v>
      </c>
      <c r="R350" s="16">
        <v>5009</v>
      </c>
      <c r="S350" s="16">
        <v>5008</v>
      </c>
      <c r="T350" s="16">
        <v>5006</v>
      </c>
      <c r="U350" s="15">
        <v>5006.1000000000004</v>
      </c>
      <c r="V350" t="s">
        <v>19</v>
      </c>
      <c r="W350" t="s">
        <v>19</v>
      </c>
      <c r="X350">
        <v>241</v>
      </c>
      <c r="Y350" s="16">
        <f>VLOOKUP(Tabela1[[#This Row],[SKU]],SKU!A:D,4,0)</f>
        <v>5000</v>
      </c>
      <c r="Z350" s="18">
        <f>IFERROR((Tabela1[[#This Row],[Média]]-Tabela1[[#This Row],[Meta]])/Tabela1[[#This Row],[Meta]],"")</f>
        <v>1.2200000000000728E-3</v>
      </c>
      <c r="AA350" s="19">
        <f>Tabela1[[#This Row],[Média]]-Tabela1[[#This Row],[Meta]]</f>
        <v>6.1000000000003638</v>
      </c>
      <c r="AB350" s="6" t="str">
        <f>VLOOKUP(Tabela1[[#This Row],[SKU]],SKU!A:B,2,0)</f>
        <v>PONTA ASA FG PB CG</v>
      </c>
      <c r="AC350" s="6" t="str">
        <f>VLOOKUP(Tabela1[[#This Row],[SKU]],SKU!A:C,3,0)</f>
        <v>ASA</v>
      </c>
    </row>
    <row r="351" spans="1:29" x14ac:dyDescent="0.3">
      <c r="A351" s="2">
        <f>INT(Tabela1[[#This Row],[Data e Hora2]])</f>
        <v>46265</v>
      </c>
      <c r="B351" s="6" t="str">
        <f>UPPER(TEXT(Tabela1[[#This Row],[Data Corrigida]],"MMM"))</f>
        <v>AGO</v>
      </c>
      <c r="C351" t="s">
        <v>999</v>
      </c>
      <c r="D351" s="2" t="s">
        <v>1000</v>
      </c>
      <c r="E351" s="1" t="s">
        <v>986</v>
      </c>
      <c r="F351" t="s">
        <v>24</v>
      </c>
      <c r="G351" s="2" t="s">
        <v>973</v>
      </c>
      <c r="H351" t="s">
        <v>26</v>
      </c>
      <c r="I351" t="s">
        <v>27</v>
      </c>
      <c r="J351" s="6">
        <v>15105</v>
      </c>
      <c r="K351" s="16">
        <v>1034</v>
      </c>
      <c r="L351" s="16">
        <v>1042</v>
      </c>
      <c r="M351" s="16">
        <v>995</v>
      </c>
      <c r="N351" s="16">
        <v>1117</v>
      </c>
      <c r="O351" s="16">
        <v>1088</v>
      </c>
      <c r="P351" s="16">
        <v>998</v>
      </c>
      <c r="Q351" s="16">
        <v>1004</v>
      </c>
      <c r="R351" s="16">
        <v>1035</v>
      </c>
      <c r="S351" s="16">
        <v>1008</v>
      </c>
      <c r="T351" s="16">
        <v>1043</v>
      </c>
      <c r="U351" s="15">
        <v>1036.4000000000001</v>
      </c>
      <c r="V351" t="s">
        <v>19</v>
      </c>
      <c r="W351" t="s">
        <v>28</v>
      </c>
      <c r="X351">
        <v>653</v>
      </c>
      <c r="Y351" s="16">
        <f>VLOOKUP(Tabela1[[#This Row],[SKU]],SKU!A:D,4,0)</f>
        <v>1000</v>
      </c>
      <c r="Z351" s="18">
        <f>IFERROR((Tabela1[[#This Row],[Média]]-Tabela1[[#This Row],[Meta]])/Tabela1[[#This Row],[Meta]],"")</f>
        <v>3.6400000000000092E-2</v>
      </c>
      <c r="AA351" s="19">
        <f>Tabela1[[#This Row],[Média]]-Tabela1[[#This Row],[Meta]]</f>
        <v>36.400000000000091</v>
      </c>
      <c r="AB351" s="6" t="str">
        <f>VLOOKUP(Tabela1[[#This Row],[SKU]],SKU!A:B,2,0)</f>
        <v>FILE PEITO MET CG BDJ SE</v>
      </c>
      <c r="AC351" s="6" t="str">
        <f>VLOOKUP(Tabela1[[#This Row],[SKU]],SKU!A:C,3,0)</f>
        <v>PEITO</v>
      </c>
    </row>
    <row r="352" spans="1:29" x14ac:dyDescent="0.3">
      <c r="A352" s="2">
        <f>INT(Tabela1[[#This Row],[Data e Hora2]])</f>
        <v>46265</v>
      </c>
      <c r="B352" s="6" t="str">
        <f>UPPER(TEXT(Tabela1[[#This Row],[Data Corrigida]],"MMM"))</f>
        <v>AGO</v>
      </c>
      <c r="C352" t="s">
        <v>1001</v>
      </c>
      <c r="D352" s="2" t="s">
        <v>1002</v>
      </c>
      <c r="E352" s="1" t="s">
        <v>1003</v>
      </c>
      <c r="F352" t="s">
        <v>24</v>
      </c>
      <c r="G352" s="2" t="s">
        <v>973</v>
      </c>
      <c r="H352" t="s">
        <v>26</v>
      </c>
      <c r="I352" t="s">
        <v>57</v>
      </c>
      <c r="J352" s="6">
        <v>40762</v>
      </c>
      <c r="K352" s="16">
        <v>10060</v>
      </c>
      <c r="L352" s="16">
        <v>10080</v>
      </c>
      <c r="M352" s="16">
        <v>10180</v>
      </c>
      <c r="N352" s="16">
        <v>10065</v>
      </c>
      <c r="O352" s="16">
        <v>10070</v>
      </c>
      <c r="P352" s="16">
        <v>10050</v>
      </c>
      <c r="Q352" s="16">
        <v>10065</v>
      </c>
      <c r="R352" s="16">
        <v>10045</v>
      </c>
      <c r="S352" s="16">
        <v>10030</v>
      </c>
      <c r="T352" s="16">
        <v>10045</v>
      </c>
      <c r="U352" s="15">
        <v>10069</v>
      </c>
      <c r="V352" t="s">
        <v>19</v>
      </c>
      <c r="W352" t="s">
        <v>28</v>
      </c>
      <c r="X352">
        <v>389</v>
      </c>
      <c r="Y352" s="16">
        <f>VLOOKUP(Tabela1[[#This Row],[SKU]],SKU!A:D,4,0)</f>
        <v>10000</v>
      </c>
      <c r="Z352" s="18">
        <f>IFERROR((Tabela1[[#This Row],[Média]]-Tabela1[[#This Row],[Meta]])/Tabela1[[#This Row],[Meta]],"")</f>
        <v>6.8999999999999999E-3</v>
      </c>
      <c r="AA352" s="19">
        <f>Tabela1[[#This Row],[Média]]-Tabela1[[#This Row],[Meta]]</f>
        <v>69</v>
      </c>
      <c r="AB352" s="6" t="str">
        <f>VLOOKUP(Tabela1[[#This Row],[SKU]],SKU!A:B,2,0)</f>
        <v>COXA SBCX LQ FG LP</v>
      </c>
      <c r="AC352" s="6" t="str">
        <f>VLOOKUP(Tabela1[[#This Row],[SKU]],SKU!A:C,3,0)</f>
        <v>PERNA</v>
      </c>
    </row>
    <row r="353" spans="1:29" x14ac:dyDescent="0.3">
      <c r="A353" s="2">
        <f>INT(Tabela1[[#This Row],[Data e Hora2]])</f>
        <v>46265</v>
      </c>
      <c r="B353" s="6" t="str">
        <f>UPPER(TEXT(Tabela1[[#This Row],[Data Corrigida]],"MMM"))</f>
        <v>AGO</v>
      </c>
      <c r="C353" t="s">
        <v>1004</v>
      </c>
      <c r="D353" s="2" t="s">
        <v>1005</v>
      </c>
      <c r="E353" s="1" t="s">
        <v>1006</v>
      </c>
      <c r="F353" t="s">
        <v>24</v>
      </c>
      <c r="G353" s="2" t="s">
        <v>973</v>
      </c>
      <c r="H353" t="s">
        <v>26</v>
      </c>
      <c r="I353" t="s">
        <v>57</v>
      </c>
      <c r="J353" s="6">
        <v>15105</v>
      </c>
      <c r="K353" s="16">
        <v>1016</v>
      </c>
      <c r="L353" s="16">
        <v>1070</v>
      </c>
      <c r="M353" s="16">
        <v>1006</v>
      </c>
      <c r="N353" s="16">
        <v>1012</v>
      </c>
      <c r="O353" s="16">
        <v>1047</v>
      </c>
      <c r="P353" s="16">
        <v>1020</v>
      </c>
      <c r="Q353" s="16">
        <v>1008</v>
      </c>
      <c r="R353" s="16">
        <v>1027</v>
      </c>
      <c r="S353" s="16">
        <v>1016</v>
      </c>
      <c r="T353" s="16">
        <v>1007</v>
      </c>
      <c r="U353" s="15">
        <v>1022.9</v>
      </c>
      <c r="V353" t="s">
        <v>19</v>
      </c>
      <c r="W353" t="s">
        <v>28</v>
      </c>
      <c r="X353">
        <v>236</v>
      </c>
      <c r="Y353" s="16">
        <f>VLOOKUP(Tabela1[[#This Row],[SKU]],SKU!A:D,4,0)</f>
        <v>1000</v>
      </c>
      <c r="Z353" s="18">
        <f>IFERROR((Tabela1[[#This Row],[Média]]-Tabela1[[#This Row],[Meta]])/Tabela1[[#This Row],[Meta]],"")</f>
        <v>2.2899999999999976E-2</v>
      </c>
      <c r="AA353" s="19">
        <f>Tabela1[[#This Row],[Média]]-Tabela1[[#This Row],[Meta]]</f>
        <v>22.899999999999977</v>
      </c>
      <c r="AB353" s="6" t="str">
        <f>VLOOKUP(Tabela1[[#This Row],[SKU]],SKU!A:B,2,0)</f>
        <v>FILE PEITO MET CG BDJ SE</v>
      </c>
      <c r="AC353" s="6" t="str">
        <f>VLOOKUP(Tabela1[[#This Row],[SKU]],SKU!A:C,3,0)</f>
        <v>PEITO</v>
      </c>
    </row>
    <row r="354" spans="1:29" x14ac:dyDescent="0.3">
      <c r="A354" s="2">
        <f>INT(Tabela1[[#This Row],[Data e Hora2]])</f>
        <v>46265</v>
      </c>
      <c r="B354" s="6" t="str">
        <f>UPPER(TEXT(Tabela1[[#This Row],[Data Corrigida]],"MMM"))</f>
        <v>AGO</v>
      </c>
      <c r="C354" t="s">
        <v>1007</v>
      </c>
      <c r="D354" s="2" t="s">
        <v>1008</v>
      </c>
      <c r="E354" s="1" t="s">
        <v>1006</v>
      </c>
      <c r="F354" t="s">
        <v>24</v>
      </c>
      <c r="G354" s="2" t="s">
        <v>973</v>
      </c>
      <c r="H354" t="s">
        <v>26</v>
      </c>
      <c r="I354" t="s">
        <v>57</v>
      </c>
      <c r="J354" s="6">
        <v>15105</v>
      </c>
      <c r="K354" s="16">
        <v>1018</v>
      </c>
      <c r="L354" s="16">
        <v>1023</v>
      </c>
      <c r="M354" s="16">
        <v>964</v>
      </c>
      <c r="N354" s="16">
        <v>1011</v>
      </c>
      <c r="O354" s="16">
        <v>1008</v>
      </c>
      <c r="P354" s="16">
        <v>999</v>
      </c>
      <c r="Q354" s="16">
        <v>1015</v>
      </c>
      <c r="R354" s="16">
        <v>1041</v>
      </c>
      <c r="S354" s="16">
        <v>1023</v>
      </c>
      <c r="T354" s="16">
        <v>1016</v>
      </c>
      <c r="U354" s="15">
        <v>1011.8</v>
      </c>
      <c r="V354" t="s">
        <v>19</v>
      </c>
      <c r="W354" t="s">
        <v>28</v>
      </c>
      <c r="X354">
        <v>361</v>
      </c>
      <c r="Y354" s="16">
        <f>VLOOKUP(Tabela1[[#This Row],[SKU]],SKU!A:D,4,0)</f>
        <v>1000</v>
      </c>
      <c r="Z354" s="18">
        <f>IFERROR((Tabela1[[#This Row],[Média]]-Tabela1[[#This Row],[Meta]])/Tabela1[[#This Row],[Meta]],"")</f>
        <v>1.1799999999999955E-2</v>
      </c>
      <c r="AA354" s="19">
        <f>Tabela1[[#This Row],[Média]]-Tabela1[[#This Row],[Meta]]</f>
        <v>11.799999999999955</v>
      </c>
      <c r="AB354" s="6" t="str">
        <f>VLOOKUP(Tabela1[[#This Row],[SKU]],SKU!A:B,2,0)</f>
        <v>FILE PEITO MET CG BDJ SE</v>
      </c>
      <c r="AC354" s="6" t="str">
        <f>VLOOKUP(Tabela1[[#This Row],[SKU]],SKU!A:C,3,0)</f>
        <v>PEITO</v>
      </c>
    </row>
    <row r="355" spans="1:29" x14ac:dyDescent="0.3">
      <c r="A355" s="2">
        <f>INT(Tabela1[[#This Row],[Data e Hora2]])</f>
        <v>46265</v>
      </c>
      <c r="B355" s="6" t="str">
        <f>UPPER(TEXT(Tabela1[[#This Row],[Data Corrigida]],"MMM"))</f>
        <v>AGO</v>
      </c>
      <c r="C355" t="s">
        <v>1009</v>
      </c>
      <c r="D355" s="2" t="s">
        <v>1010</v>
      </c>
      <c r="E355" s="1" t="s">
        <v>1006</v>
      </c>
      <c r="F355" t="s">
        <v>24</v>
      </c>
      <c r="G355" s="2" t="s">
        <v>973</v>
      </c>
      <c r="H355" t="s">
        <v>26</v>
      </c>
      <c r="I355" t="s">
        <v>57</v>
      </c>
      <c r="J355" s="6">
        <v>15229</v>
      </c>
      <c r="K355" s="16">
        <v>1003</v>
      </c>
      <c r="L355" s="16">
        <v>1005</v>
      </c>
      <c r="M355" s="16">
        <v>1006</v>
      </c>
      <c r="N355" s="16">
        <v>993</v>
      </c>
      <c r="O355" s="16">
        <v>1002</v>
      </c>
      <c r="P355" s="16">
        <v>1008</v>
      </c>
      <c r="Q355" s="16">
        <v>1012</v>
      </c>
      <c r="R355" s="16">
        <v>1007</v>
      </c>
      <c r="S355" s="16">
        <v>1033</v>
      </c>
      <c r="T355" s="16">
        <v>1008</v>
      </c>
      <c r="U355" s="15">
        <v>1007.7</v>
      </c>
      <c r="V355" t="s">
        <v>19</v>
      </c>
      <c r="W355" t="s">
        <v>28</v>
      </c>
      <c r="X355">
        <v>13538</v>
      </c>
      <c r="Y355" s="16">
        <f>VLOOKUP(Tabela1[[#This Row],[SKU]],SKU!A:D,4,0)</f>
        <v>1000</v>
      </c>
      <c r="Z355" s="18">
        <f>IFERROR((Tabela1[[#This Row],[Média]]-Tabela1[[#This Row],[Meta]])/Tabela1[[#This Row],[Meta]],"")</f>
        <v>7.7000000000000453E-3</v>
      </c>
      <c r="AA355" s="19">
        <f>Tabela1[[#This Row],[Média]]-Tabela1[[#This Row],[Meta]]</f>
        <v>7.7000000000000455</v>
      </c>
      <c r="AB355" s="6" t="str">
        <f>VLOOKUP(Tabela1[[#This Row],[SKU]],SKU!A:B,2,0)</f>
        <v>COXA CG BDJ SE</v>
      </c>
      <c r="AC355" s="6" t="str">
        <f>VLOOKUP(Tabela1[[#This Row],[SKU]],SKU!A:C,3,0)</f>
        <v>PERNA</v>
      </c>
    </row>
    <row r="356" spans="1:29" x14ac:dyDescent="0.3">
      <c r="A356" s="2">
        <f>INT(Tabela1[[#This Row],[Data e Hora2]])</f>
        <v>46265</v>
      </c>
      <c r="B356" s="6" t="str">
        <f>UPPER(TEXT(Tabela1[[#This Row],[Data Corrigida]],"MMM"))</f>
        <v>AGO</v>
      </c>
      <c r="C356" t="s">
        <v>1011</v>
      </c>
      <c r="D356" s="2" t="s">
        <v>1012</v>
      </c>
      <c r="E356" s="1" t="s">
        <v>1013</v>
      </c>
      <c r="F356" t="s">
        <v>24</v>
      </c>
      <c r="G356" s="2" t="s">
        <v>973</v>
      </c>
      <c r="H356" t="s">
        <v>26</v>
      </c>
      <c r="I356" t="s">
        <v>57</v>
      </c>
      <c r="J356" s="6">
        <v>15105</v>
      </c>
      <c r="K356" s="16">
        <v>1025</v>
      </c>
      <c r="L356" s="16">
        <v>992</v>
      </c>
      <c r="M356" s="16">
        <v>994</v>
      </c>
      <c r="N356" s="16">
        <v>1002</v>
      </c>
      <c r="O356" s="16">
        <v>1011</v>
      </c>
      <c r="P356" s="16">
        <v>1008</v>
      </c>
      <c r="Q356" s="16">
        <v>998</v>
      </c>
      <c r="R356" s="16">
        <v>1038</v>
      </c>
      <c r="S356" s="16">
        <v>992</v>
      </c>
      <c r="T356" s="16">
        <v>1002</v>
      </c>
      <c r="U356" s="15">
        <v>1006.2</v>
      </c>
      <c r="V356" t="s">
        <v>19</v>
      </c>
      <c r="W356" t="s">
        <v>28</v>
      </c>
      <c r="X356">
        <v>175</v>
      </c>
      <c r="Y356" s="16">
        <f>VLOOKUP(Tabela1[[#This Row],[SKU]],SKU!A:D,4,0)</f>
        <v>1000</v>
      </c>
      <c r="Z356" s="18">
        <f>IFERROR((Tabela1[[#This Row],[Média]]-Tabela1[[#This Row],[Meta]])/Tabela1[[#This Row],[Meta]],"")</f>
        <v>6.2000000000000458E-3</v>
      </c>
      <c r="AA356" s="19">
        <f>Tabela1[[#This Row],[Média]]-Tabela1[[#This Row],[Meta]]</f>
        <v>6.2000000000000455</v>
      </c>
      <c r="AB356" s="6" t="str">
        <f>VLOOKUP(Tabela1[[#This Row],[SKU]],SKU!A:B,2,0)</f>
        <v>FILE PEITO MET CG BDJ SE</v>
      </c>
      <c r="AC356" s="6" t="str">
        <f>VLOOKUP(Tabela1[[#This Row],[SKU]],SKU!A:C,3,0)</f>
        <v>PEITO</v>
      </c>
    </row>
    <row r="357" spans="1:29" x14ac:dyDescent="0.3">
      <c r="A357" s="2">
        <f>INT(Tabela1[[#This Row],[Data e Hora2]])</f>
        <v>46265</v>
      </c>
      <c r="B357" s="6" t="str">
        <f>UPPER(TEXT(Tabela1[[#This Row],[Data Corrigida]],"MMM"))</f>
        <v>AGO</v>
      </c>
      <c r="C357" t="s">
        <v>1014</v>
      </c>
      <c r="D357" s="2" t="s">
        <v>1015</v>
      </c>
      <c r="E357" s="1" t="s">
        <v>1013</v>
      </c>
      <c r="F357" t="s">
        <v>24</v>
      </c>
      <c r="G357" s="2" t="s">
        <v>973</v>
      </c>
      <c r="H357" t="s">
        <v>26</v>
      </c>
      <c r="I357" t="s">
        <v>57</v>
      </c>
      <c r="J357" s="6">
        <v>15105</v>
      </c>
      <c r="K357" s="16">
        <v>1034</v>
      </c>
      <c r="L357" s="16">
        <v>1036</v>
      </c>
      <c r="M357" s="16">
        <v>1038</v>
      </c>
      <c r="N357" s="16">
        <v>1058</v>
      </c>
      <c r="O357" s="16">
        <v>1047</v>
      </c>
      <c r="P357" s="16">
        <v>1035</v>
      </c>
      <c r="Q357" s="16">
        <v>1002</v>
      </c>
      <c r="R357" s="16">
        <v>1045</v>
      </c>
      <c r="S357" s="16">
        <v>1007</v>
      </c>
      <c r="T357" s="16">
        <v>1010</v>
      </c>
      <c r="U357" s="15">
        <v>1031.2</v>
      </c>
      <c r="V357" t="s">
        <v>19</v>
      </c>
      <c r="W357" t="s">
        <v>28</v>
      </c>
      <c r="X357">
        <v>382</v>
      </c>
      <c r="Y357" s="16">
        <f>VLOOKUP(Tabela1[[#This Row],[SKU]],SKU!A:D,4,0)</f>
        <v>1000</v>
      </c>
      <c r="Z357" s="18">
        <f>IFERROR((Tabela1[[#This Row],[Média]]-Tabela1[[#This Row],[Meta]])/Tabela1[[#This Row],[Meta]],"")</f>
        <v>3.1200000000000047E-2</v>
      </c>
      <c r="AA357" s="19">
        <f>Tabela1[[#This Row],[Média]]-Tabela1[[#This Row],[Meta]]</f>
        <v>31.200000000000045</v>
      </c>
      <c r="AB357" s="6" t="str">
        <f>VLOOKUP(Tabela1[[#This Row],[SKU]],SKU!A:B,2,0)</f>
        <v>FILE PEITO MET CG BDJ SE</v>
      </c>
      <c r="AC357" s="6" t="str">
        <f>VLOOKUP(Tabela1[[#This Row],[SKU]],SKU!A:C,3,0)</f>
        <v>PEITO</v>
      </c>
    </row>
    <row r="358" spans="1:29" x14ac:dyDescent="0.3">
      <c r="A358" s="2">
        <f>INT(Tabela1[[#This Row],[Data e Hora2]])</f>
        <v>46265</v>
      </c>
      <c r="B358" s="6" t="str">
        <f>UPPER(TEXT(Tabela1[[#This Row],[Data Corrigida]],"MMM"))</f>
        <v>AGO</v>
      </c>
      <c r="C358" t="s">
        <v>1016</v>
      </c>
      <c r="D358" s="2" t="s">
        <v>1017</v>
      </c>
      <c r="E358" s="1" t="s">
        <v>1018</v>
      </c>
      <c r="F358" t="s">
        <v>24</v>
      </c>
      <c r="G358" s="2" t="s">
        <v>973</v>
      </c>
      <c r="H358" t="s">
        <v>26</v>
      </c>
      <c r="I358" t="s">
        <v>57</v>
      </c>
      <c r="J358" s="6">
        <v>18228</v>
      </c>
      <c r="K358" s="16">
        <v>1005</v>
      </c>
      <c r="L358" s="16">
        <v>1000</v>
      </c>
      <c r="M358" s="16">
        <v>1000</v>
      </c>
      <c r="N358" s="16">
        <v>1005</v>
      </c>
      <c r="O358" s="16">
        <v>1005</v>
      </c>
      <c r="P358" s="16">
        <v>1010</v>
      </c>
      <c r="Q358" s="16">
        <v>1000</v>
      </c>
      <c r="R358" s="16">
        <v>1010</v>
      </c>
      <c r="S358" s="16">
        <v>1005</v>
      </c>
      <c r="T358" s="16">
        <v>1000</v>
      </c>
      <c r="U358" s="15">
        <v>1004</v>
      </c>
      <c r="V358" t="s">
        <v>19</v>
      </c>
      <c r="W358" t="s">
        <v>28</v>
      </c>
      <c r="X358">
        <v>586</v>
      </c>
      <c r="Y358" s="16">
        <f>VLOOKUP(Tabela1[[#This Row],[SKU]],SKU!A:D,4,0)</f>
        <v>1000</v>
      </c>
      <c r="Z358" s="18">
        <f>IFERROR((Tabela1[[#This Row],[Média]]-Tabela1[[#This Row],[Meta]])/Tabela1[[#This Row],[Meta]],"")</f>
        <v>4.0000000000000001E-3</v>
      </c>
      <c r="AA358" s="19">
        <f>Tabela1[[#This Row],[Média]]-Tabela1[[#This Row],[Meta]]</f>
        <v>4</v>
      </c>
      <c r="AB358" s="6" t="str">
        <f>VLOOKUP(Tabela1[[#This Row],[SKU]],SKU!A:B,2,0)</f>
        <v>MOELA FRANGO CG ALM SE</v>
      </c>
      <c r="AC358" s="6" t="str">
        <f>VLOOKUP(Tabela1[[#This Row],[SKU]],SKU!A:C,3,0)</f>
        <v>MOELA</v>
      </c>
    </row>
    <row r="359" spans="1:29" x14ac:dyDescent="0.3">
      <c r="A359" s="2">
        <f>INT(Tabela1[[#This Row],[Data e Hora2]])</f>
        <v>46265</v>
      </c>
      <c r="B359" s="6" t="str">
        <f>UPPER(TEXT(Tabela1[[#This Row],[Data Corrigida]],"MMM"))</f>
        <v>AGO</v>
      </c>
      <c r="C359" t="s">
        <v>1019</v>
      </c>
      <c r="D359" s="2" t="s">
        <v>1020</v>
      </c>
      <c r="E359" s="1" t="s">
        <v>1021</v>
      </c>
      <c r="F359" t="s">
        <v>24</v>
      </c>
      <c r="G359" s="2" t="s">
        <v>973</v>
      </c>
      <c r="H359" t="s">
        <v>26</v>
      </c>
      <c r="I359" t="s">
        <v>57</v>
      </c>
      <c r="J359" s="6">
        <v>18228</v>
      </c>
      <c r="K359" s="16">
        <v>1005</v>
      </c>
      <c r="L359" s="16">
        <v>1014</v>
      </c>
      <c r="M359" s="16">
        <v>1013</v>
      </c>
      <c r="N359" s="16">
        <v>1011</v>
      </c>
      <c r="O359" s="16">
        <v>1003</v>
      </c>
      <c r="P359" s="16">
        <v>1000</v>
      </c>
      <c r="Q359" s="16">
        <v>1006</v>
      </c>
      <c r="R359" s="16">
        <v>1010</v>
      </c>
      <c r="S359" s="16">
        <v>1009</v>
      </c>
      <c r="T359" s="16">
        <v>1011</v>
      </c>
      <c r="U359" s="15">
        <v>1008.2</v>
      </c>
      <c r="V359" t="s">
        <v>19</v>
      </c>
      <c r="W359" t="s">
        <v>28</v>
      </c>
      <c r="X359">
        <v>425</v>
      </c>
      <c r="Y359" s="16">
        <f>VLOOKUP(Tabela1[[#This Row],[SKU]],SKU!A:D,4,0)</f>
        <v>1000</v>
      </c>
      <c r="Z359" s="18">
        <f>IFERROR((Tabela1[[#This Row],[Média]]-Tabela1[[#This Row],[Meta]])/Tabela1[[#This Row],[Meta]],"")</f>
        <v>8.2000000000000458E-3</v>
      </c>
      <c r="AA359" s="19">
        <f>Tabela1[[#This Row],[Média]]-Tabela1[[#This Row],[Meta]]</f>
        <v>8.2000000000000455</v>
      </c>
      <c r="AB359" s="6" t="str">
        <f>VLOOKUP(Tabela1[[#This Row],[SKU]],SKU!A:B,2,0)</f>
        <v>MOELA FRANGO CG ALM SE</v>
      </c>
      <c r="AC359" s="6" t="str">
        <f>VLOOKUP(Tabela1[[#This Row],[SKU]],SKU!A:C,3,0)</f>
        <v>MOELA</v>
      </c>
    </row>
    <row r="360" spans="1:29" x14ac:dyDescent="0.3">
      <c r="A360" s="2">
        <f>INT(Tabela1[[#This Row],[Data e Hora2]])</f>
        <v>46265</v>
      </c>
      <c r="B360" s="6" t="str">
        <f>UPPER(TEXT(Tabela1[[#This Row],[Data Corrigida]],"MMM"))</f>
        <v>AGO</v>
      </c>
      <c r="C360" t="s">
        <v>1022</v>
      </c>
      <c r="D360" s="2" t="s">
        <v>1023</v>
      </c>
      <c r="E360" s="1" t="s">
        <v>1021</v>
      </c>
      <c r="F360" t="s">
        <v>24</v>
      </c>
      <c r="G360" s="2" t="s">
        <v>973</v>
      </c>
      <c r="H360" t="s">
        <v>26</v>
      </c>
      <c r="I360" t="s">
        <v>57</v>
      </c>
      <c r="J360" s="6">
        <v>18228</v>
      </c>
      <c r="K360" s="16">
        <v>1015</v>
      </c>
      <c r="L360" s="16">
        <v>1023</v>
      </c>
      <c r="M360" s="16">
        <v>995</v>
      </c>
      <c r="N360" s="16">
        <v>1018</v>
      </c>
      <c r="O360" s="16">
        <v>1000</v>
      </c>
      <c r="P360" s="16">
        <v>1010</v>
      </c>
      <c r="Q360" s="16">
        <v>1003</v>
      </c>
      <c r="R360" s="16">
        <v>1013</v>
      </c>
      <c r="S360" s="16">
        <v>1010</v>
      </c>
      <c r="T360" s="16">
        <v>1013</v>
      </c>
      <c r="U360" s="15">
        <v>1010</v>
      </c>
      <c r="V360" t="s">
        <v>19</v>
      </c>
      <c r="W360" t="s">
        <v>28</v>
      </c>
      <c r="X360">
        <v>643</v>
      </c>
      <c r="Y360" s="16">
        <f>VLOOKUP(Tabela1[[#This Row],[SKU]],SKU!A:D,4,0)</f>
        <v>1000</v>
      </c>
      <c r="Z360" s="18">
        <f>IFERROR((Tabela1[[#This Row],[Média]]-Tabela1[[#This Row],[Meta]])/Tabela1[[#This Row],[Meta]],"")</f>
        <v>0.01</v>
      </c>
      <c r="AA360" s="19">
        <f>Tabela1[[#This Row],[Média]]-Tabela1[[#This Row],[Meta]]</f>
        <v>10</v>
      </c>
      <c r="AB360" s="6" t="str">
        <f>VLOOKUP(Tabela1[[#This Row],[SKU]],SKU!A:B,2,0)</f>
        <v>MOELA FRANGO CG ALM SE</v>
      </c>
      <c r="AC360" s="6" t="str">
        <f>VLOOKUP(Tabela1[[#This Row],[SKU]],SKU!A:C,3,0)</f>
        <v>MOELA</v>
      </c>
    </row>
    <row r="361" spans="1:29" x14ac:dyDescent="0.3">
      <c r="A361" s="2">
        <f>INT(Tabela1[[#This Row],[Data e Hora2]])</f>
        <v>46265</v>
      </c>
      <c r="B361" s="6" t="str">
        <f>UPPER(TEXT(Tabela1[[#This Row],[Data Corrigida]],"MMM"))</f>
        <v>AGO</v>
      </c>
      <c r="C361" t="s">
        <v>1024</v>
      </c>
      <c r="D361" s="2" t="s">
        <v>1025</v>
      </c>
      <c r="E361" s="1" t="s">
        <v>1021</v>
      </c>
      <c r="F361" t="s">
        <v>24</v>
      </c>
      <c r="G361" s="2" t="s">
        <v>973</v>
      </c>
      <c r="H361" t="s">
        <v>26</v>
      </c>
      <c r="I361" t="s">
        <v>57</v>
      </c>
      <c r="J361" s="6">
        <v>13188</v>
      </c>
      <c r="K361" s="16">
        <v>999</v>
      </c>
      <c r="L361" s="16">
        <v>1016</v>
      </c>
      <c r="M361" s="16">
        <v>1007</v>
      </c>
      <c r="N361" s="16">
        <v>1018</v>
      </c>
      <c r="O361" s="16">
        <v>1003</v>
      </c>
      <c r="P361" s="16">
        <v>999</v>
      </c>
      <c r="Q361" s="16">
        <v>1008</v>
      </c>
      <c r="R361" s="16">
        <v>1018</v>
      </c>
      <c r="S361" s="16">
        <v>1012</v>
      </c>
      <c r="T361" s="16">
        <v>1005</v>
      </c>
      <c r="U361" s="15">
        <v>1008.5</v>
      </c>
      <c r="V361" t="s">
        <v>19</v>
      </c>
      <c r="W361" t="s">
        <v>28</v>
      </c>
      <c r="X361">
        <v>909</v>
      </c>
      <c r="Y361" s="16">
        <f>VLOOKUP(Tabela1[[#This Row],[SKU]],SKU!A:D,4,0)</f>
        <v>1000</v>
      </c>
      <c r="Z361" s="18">
        <f>IFERROR((Tabela1[[#This Row],[Média]]-Tabela1[[#This Row],[Meta]])/Tabela1[[#This Row],[Meta]],"")</f>
        <v>8.5000000000000006E-3</v>
      </c>
      <c r="AA361" s="19">
        <f>Tabela1[[#This Row],[Média]]-Tabela1[[#This Row],[Meta]]</f>
        <v>8.5</v>
      </c>
      <c r="AB361" s="6" t="str">
        <f>VLOOKUP(Tabela1[[#This Row],[SKU]],SKU!A:B,2,0)</f>
        <v>SOBRECOXA CG BDJ SE</v>
      </c>
      <c r="AC361" s="6" t="str">
        <f>VLOOKUP(Tabela1[[#This Row],[SKU]],SKU!A:C,3,0)</f>
        <v>PERNA</v>
      </c>
    </row>
    <row r="362" spans="1:29" x14ac:dyDescent="0.3">
      <c r="A362" s="2">
        <f>INT(Tabela1[[#This Row],[Data e Hora2]])</f>
        <v>46265</v>
      </c>
      <c r="B362" s="6" t="str">
        <f>UPPER(TEXT(Tabela1[[#This Row],[Data Corrigida]],"MMM"))</f>
        <v>AGO</v>
      </c>
      <c r="C362" t="s">
        <v>1026</v>
      </c>
      <c r="D362" s="2" t="s">
        <v>1027</v>
      </c>
      <c r="E362" s="1" t="s">
        <v>1028</v>
      </c>
      <c r="F362" t="s">
        <v>24</v>
      </c>
      <c r="G362" s="2" t="s">
        <v>973</v>
      </c>
      <c r="H362" t="s">
        <v>26</v>
      </c>
      <c r="I362" t="s">
        <v>57</v>
      </c>
      <c r="J362" s="6">
        <v>15229</v>
      </c>
      <c r="K362" s="16">
        <v>1010</v>
      </c>
      <c r="L362" s="16">
        <v>1006</v>
      </c>
      <c r="M362" s="16">
        <v>1008</v>
      </c>
      <c r="N362" s="16">
        <v>1012</v>
      </c>
      <c r="O362" s="16">
        <v>1014</v>
      </c>
      <c r="P362" s="16">
        <v>1012</v>
      </c>
      <c r="Q362" s="16">
        <v>995</v>
      </c>
      <c r="R362" s="16">
        <v>1015</v>
      </c>
      <c r="S362" s="16">
        <v>1008</v>
      </c>
      <c r="T362" s="16">
        <v>1001</v>
      </c>
      <c r="U362" s="15">
        <v>1008.1</v>
      </c>
      <c r="V362" t="s">
        <v>19</v>
      </c>
      <c r="W362" t="s">
        <v>28</v>
      </c>
      <c r="X362">
        <v>296</v>
      </c>
      <c r="Y362" s="16">
        <f>VLOOKUP(Tabela1[[#This Row],[SKU]],SKU!A:D,4,0)</f>
        <v>1000</v>
      </c>
      <c r="Z362" s="18">
        <f>IFERROR((Tabela1[[#This Row],[Média]]-Tabela1[[#This Row],[Meta]])/Tabela1[[#This Row],[Meta]],"")</f>
        <v>8.1000000000000221E-3</v>
      </c>
      <c r="AA362" s="19">
        <f>Tabela1[[#This Row],[Média]]-Tabela1[[#This Row],[Meta]]</f>
        <v>8.1000000000000227</v>
      </c>
      <c r="AB362" s="6" t="str">
        <f>VLOOKUP(Tabela1[[#This Row],[SKU]],SKU!A:B,2,0)</f>
        <v>COXA CG BDJ SE</v>
      </c>
      <c r="AC362" s="6" t="str">
        <f>VLOOKUP(Tabela1[[#This Row],[SKU]],SKU!A:C,3,0)</f>
        <v>PERNA</v>
      </c>
    </row>
    <row r="363" spans="1:29" x14ac:dyDescent="0.3">
      <c r="A363" s="2">
        <f>INT(Tabela1[[#This Row],[Data e Hora2]])</f>
        <v>46265</v>
      </c>
      <c r="B363" s="6" t="str">
        <f>UPPER(TEXT(Tabela1[[#This Row],[Data Corrigida]],"MMM"))</f>
        <v>AGO</v>
      </c>
      <c r="C363" t="s">
        <v>1029</v>
      </c>
      <c r="D363" s="2" t="s">
        <v>1030</v>
      </c>
      <c r="E363" s="1" t="s">
        <v>1028</v>
      </c>
      <c r="F363" t="s">
        <v>24</v>
      </c>
      <c r="G363" s="2" t="s">
        <v>973</v>
      </c>
      <c r="H363" t="s">
        <v>26</v>
      </c>
      <c r="I363" t="s">
        <v>57</v>
      </c>
      <c r="J363" s="6">
        <v>15229</v>
      </c>
      <c r="K363" s="16">
        <v>1014</v>
      </c>
      <c r="L363" s="16">
        <v>1011</v>
      </c>
      <c r="M363" s="16">
        <v>1003</v>
      </c>
      <c r="N363" s="16">
        <v>1008</v>
      </c>
      <c r="O363" s="16">
        <v>1015</v>
      </c>
      <c r="P363" s="16">
        <v>1013</v>
      </c>
      <c r="Q363" s="16">
        <v>1008</v>
      </c>
      <c r="R363" s="16">
        <v>1005</v>
      </c>
      <c r="S363" s="16">
        <v>1004</v>
      </c>
      <c r="T363" s="16">
        <v>1010</v>
      </c>
      <c r="U363" s="15">
        <v>1009.1</v>
      </c>
      <c r="V363" t="s">
        <v>19</v>
      </c>
      <c r="W363" t="s">
        <v>19</v>
      </c>
      <c r="X363">
        <v>145</v>
      </c>
      <c r="Y363" s="16">
        <f>VLOOKUP(Tabela1[[#This Row],[SKU]],SKU!A:D,4,0)</f>
        <v>1000</v>
      </c>
      <c r="Z363" s="18">
        <f>IFERROR((Tabela1[[#This Row],[Média]]-Tabela1[[#This Row],[Meta]])/Tabela1[[#This Row],[Meta]],"")</f>
        <v>9.100000000000023E-3</v>
      </c>
      <c r="AA363" s="19">
        <f>Tabela1[[#This Row],[Média]]-Tabela1[[#This Row],[Meta]]</f>
        <v>9.1000000000000227</v>
      </c>
      <c r="AB363" s="6" t="str">
        <f>VLOOKUP(Tabela1[[#This Row],[SKU]],SKU!A:B,2,0)</f>
        <v>COXA CG BDJ SE</v>
      </c>
      <c r="AC363" s="6" t="str">
        <f>VLOOKUP(Tabela1[[#This Row],[SKU]],SKU!A:C,3,0)</f>
        <v>PERNA</v>
      </c>
    </row>
    <row r="364" spans="1:29" x14ac:dyDescent="0.3">
      <c r="A364" s="2">
        <f>INT(Tabela1[[#This Row],[Data e Hora2]])</f>
        <v>46265</v>
      </c>
      <c r="B364" s="6" t="str">
        <f>UPPER(TEXT(Tabela1[[#This Row],[Data Corrigida]],"MMM"))</f>
        <v>AGO</v>
      </c>
      <c r="C364" t="s">
        <v>1031</v>
      </c>
      <c r="D364" s="2" t="s">
        <v>1032</v>
      </c>
      <c r="E364" s="1" t="s">
        <v>1028</v>
      </c>
      <c r="F364" t="s">
        <v>24</v>
      </c>
      <c r="G364" s="2" t="s">
        <v>973</v>
      </c>
      <c r="H364" t="s">
        <v>26</v>
      </c>
      <c r="I364" t="s">
        <v>57</v>
      </c>
      <c r="J364" s="6">
        <v>15229</v>
      </c>
      <c r="K364" s="16">
        <v>1010</v>
      </c>
      <c r="L364" s="16">
        <v>998</v>
      </c>
      <c r="M364" s="16">
        <v>1007</v>
      </c>
      <c r="N364" s="16">
        <v>1014</v>
      </c>
      <c r="O364" s="16">
        <v>1008</v>
      </c>
      <c r="P364" s="16">
        <v>1007</v>
      </c>
      <c r="Q364" s="16">
        <v>1012</v>
      </c>
      <c r="R364" s="16">
        <v>998</v>
      </c>
      <c r="S364" s="16">
        <v>1013</v>
      </c>
      <c r="T364" s="16">
        <v>1010</v>
      </c>
      <c r="U364" s="15">
        <v>1007.7</v>
      </c>
      <c r="V364" t="s">
        <v>19</v>
      </c>
      <c r="W364" t="s">
        <v>28</v>
      </c>
      <c r="X364">
        <v>236</v>
      </c>
      <c r="Y364" s="16">
        <f>VLOOKUP(Tabela1[[#This Row],[SKU]],SKU!A:D,4,0)</f>
        <v>1000</v>
      </c>
      <c r="Z364" s="18">
        <f>IFERROR((Tabela1[[#This Row],[Média]]-Tabela1[[#This Row],[Meta]])/Tabela1[[#This Row],[Meta]],"")</f>
        <v>7.7000000000000453E-3</v>
      </c>
      <c r="AA364" s="19">
        <f>Tabela1[[#This Row],[Média]]-Tabela1[[#This Row],[Meta]]</f>
        <v>7.7000000000000455</v>
      </c>
      <c r="AB364" s="6" t="str">
        <f>VLOOKUP(Tabela1[[#This Row],[SKU]],SKU!A:B,2,0)</f>
        <v>COXA CG BDJ SE</v>
      </c>
      <c r="AC364" s="6" t="str">
        <f>VLOOKUP(Tabela1[[#This Row],[SKU]],SKU!A:C,3,0)</f>
        <v>PERNA</v>
      </c>
    </row>
    <row r="365" spans="1:29" x14ac:dyDescent="0.3">
      <c r="A365" s="2">
        <f>INT(Tabela1[[#This Row],[Data e Hora2]])</f>
        <v>46265</v>
      </c>
      <c r="B365" s="6" t="str">
        <f>UPPER(TEXT(Tabela1[[#This Row],[Data Corrigida]],"MMM"))</f>
        <v>AGO</v>
      </c>
      <c r="C365" t="s">
        <v>1033</v>
      </c>
      <c r="D365" s="2" t="s">
        <v>1034</v>
      </c>
      <c r="E365" s="1" t="s">
        <v>1035</v>
      </c>
      <c r="F365" t="s">
        <v>24</v>
      </c>
      <c r="G365" s="2" t="s">
        <v>973</v>
      </c>
      <c r="H365" t="s">
        <v>26</v>
      </c>
      <c r="I365" t="s">
        <v>57</v>
      </c>
      <c r="J365" s="6">
        <v>40762</v>
      </c>
      <c r="K365" s="16">
        <v>10035</v>
      </c>
      <c r="L365" s="16">
        <v>10025</v>
      </c>
      <c r="M365" s="16">
        <v>10050</v>
      </c>
      <c r="N365" s="16">
        <v>9995</v>
      </c>
      <c r="O365" s="16">
        <v>10090</v>
      </c>
      <c r="P365" s="16">
        <v>10000</v>
      </c>
      <c r="Q365" s="16">
        <v>10070</v>
      </c>
      <c r="R365" s="16">
        <v>10075</v>
      </c>
      <c r="S365" s="16">
        <v>10030</v>
      </c>
      <c r="T365" s="16">
        <v>9985</v>
      </c>
      <c r="U365" s="15">
        <v>10035.5</v>
      </c>
      <c r="V365" t="s">
        <v>19</v>
      </c>
      <c r="W365" t="s">
        <v>28</v>
      </c>
      <c r="X365">
        <v>390</v>
      </c>
      <c r="Y365" s="16">
        <f>VLOOKUP(Tabela1[[#This Row],[SKU]],SKU!A:D,4,0)</f>
        <v>10000</v>
      </c>
      <c r="Z365" s="18">
        <f>IFERROR((Tabela1[[#This Row],[Média]]-Tabela1[[#This Row],[Meta]])/Tabela1[[#This Row],[Meta]],"")</f>
        <v>3.5500000000000002E-3</v>
      </c>
      <c r="AA365" s="19">
        <f>Tabela1[[#This Row],[Média]]-Tabela1[[#This Row],[Meta]]</f>
        <v>35.5</v>
      </c>
      <c r="AB365" s="6" t="str">
        <f>VLOOKUP(Tabela1[[#This Row],[SKU]],SKU!A:B,2,0)</f>
        <v>COXA SBCX LQ FG LP</v>
      </c>
      <c r="AC365" s="6" t="str">
        <f>VLOOKUP(Tabela1[[#This Row],[SKU]],SKU!A:C,3,0)</f>
        <v>PERNA</v>
      </c>
    </row>
    <row r="366" spans="1:29" x14ac:dyDescent="0.3">
      <c r="A366" s="2">
        <f>INT(Tabela1[[#This Row],[Data e Hora2]])</f>
        <v>46265</v>
      </c>
      <c r="B366" s="6" t="str">
        <f>UPPER(TEXT(Tabela1[[#This Row],[Data Corrigida]],"MMM"))</f>
        <v>AGO</v>
      </c>
      <c r="C366" t="s">
        <v>1036</v>
      </c>
      <c r="D366" s="2" t="s">
        <v>1037</v>
      </c>
      <c r="E366" s="1" t="s">
        <v>1035</v>
      </c>
      <c r="F366" t="s">
        <v>24</v>
      </c>
      <c r="G366" s="2" t="s">
        <v>973</v>
      </c>
      <c r="H366" t="s">
        <v>26</v>
      </c>
      <c r="I366" t="s">
        <v>57</v>
      </c>
      <c r="J366" s="6">
        <v>40762</v>
      </c>
      <c r="K366" s="16">
        <v>10010</v>
      </c>
      <c r="L366" s="16">
        <v>10070</v>
      </c>
      <c r="M366" s="16">
        <v>10075</v>
      </c>
      <c r="N366" s="16">
        <v>10115</v>
      </c>
      <c r="O366" s="16">
        <v>10110</v>
      </c>
      <c r="P366" s="16">
        <v>10085</v>
      </c>
      <c r="Q366" s="16">
        <v>10055</v>
      </c>
      <c r="R366" s="16">
        <v>10055</v>
      </c>
      <c r="S366" s="16">
        <v>10075</v>
      </c>
      <c r="T366" s="16">
        <v>10095</v>
      </c>
      <c r="U366" s="15">
        <v>10074.5</v>
      </c>
      <c r="V366" t="s">
        <v>19</v>
      </c>
      <c r="W366" t="s">
        <v>28</v>
      </c>
      <c r="X366">
        <v>1010</v>
      </c>
      <c r="Y366" s="16">
        <f>VLOOKUP(Tabela1[[#This Row],[SKU]],SKU!A:D,4,0)</f>
        <v>10000</v>
      </c>
      <c r="Z366" s="18">
        <f>IFERROR((Tabela1[[#This Row],[Média]]-Tabela1[[#This Row],[Meta]])/Tabela1[[#This Row],[Meta]],"")</f>
        <v>7.45E-3</v>
      </c>
      <c r="AA366" s="19">
        <f>Tabela1[[#This Row],[Média]]-Tabela1[[#This Row],[Meta]]</f>
        <v>74.5</v>
      </c>
      <c r="AB366" s="6" t="str">
        <f>VLOOKUP(Tabela1[[#This Row],[SKU]],SKU!A:B,2,0)</f>
        <v>COXA SBCX LQ FG LP</v>
      </c>
      <c r="AC366" s="6" t="str">
        <f>VLOOKUP(Tabela1[[#This Row],[SKU]],SKU!A:C,3,0)</f>
        <v>PERNA</v>
      </c>
    </row>
    <row r="367" spans="1:29" x14ac:dyDescent="0.3">
      <c r="A367" s="2">
        <f>INT(Tabela1[[#This Row],[Data e Hora2]])</f>
        <v>46265</v>
      </c>
      <c r="B367" s="6" t="str">
        <f>UPPER(TEXT(Tabela1[[#This Row],[Data Corrigida]],"MMM"))</f>
        <v>AGO</v>
      </c>
      <c r="C367" t="s">
        <v>1038</v>
      </c>
      <c r="D367" s="2" t="s">
        <v>1039</v>
      </c>
      <c r="E367" s="1" t="s">
        <v>1035</v>
      </c>
      <c r="F367" t="s">
        <v>24</v>
      </c>
      <c r="G367" s="2" t="s">
        <v>973</v>
      </c>
      <c r="H367" t="s">
        <v>26</v>
      </c>
      <c r="I367" t="s">
        <v>57</v>
      </c>
      <c r="J367" s="6">
        <v>40762</v>
      </c>
      <c r="K367" s="16">
        <v>10015</v>
      </c>
      <c r="L367" s="16">
        <v>10075</v>
      </c>
      <c r="M367" s="16">
        <v>9920</v>
      </c>
      <c r="N367" s="16">
        <v>10090</v>
      </c>
      <c r="O367" s="16">
        <v>10010</v>
      </c>
      <c r="P367" s="16">
        <v>10085</v>
      </c>
      <c r="Q367" s="16">
        <v>10005</v>
      </c>
      <c r="R367" s="16">
        <v>9965</v>
      </c>
      <c r="S367" s="16">
        <v>10050</v>
      </c>
      <c r="T367" s="16">
        <v>10080</v>
      </c>
      <c r="U367" s="15">
        <v>10029.5</v>
      </c>
      <c r="V367" t="s">
        <v>19</v>
      </c>
      <c r="W367" t="s">
        <v>28</v>
      </c>
      <c r="X367">
        <v>2169</v>
      </c>
      <c r="Y367" s="16">
        <f>VLOOKUP(Tabela1[[#This Row],[SKU]],SKU!A:D,4,0)</f>
        <v>10000</v>
      </c>
      <c r="Z367" s="18">
        <f>IFERROR((Tabela1[[#This Row],[Média]]-Tabela1[[#This Row],[Meta]])/Tabela1[[#This Row],[Meta]],"")</f>
        <v>2.9499999999999999E-3</v>
      </c>
      <c r="AA367" s="19">
        <f>Tabela1[[#This Row],[Média]]-Tabela1[[#This Row],[Meta]]</f>
        <v>29.5</v>
      </c>
      <c r="AB367" s="6" t="str">
        <f>VLOOKUP(Tabela1[[#This Row],[SKU]],SKU!A:B,2,0)</f>
        <v>COXA SBCX LQ FG LP</v>
      </c>
      <c r="AC367" s="6" t="str">
        <f>VLOOKUP(Tabela1[[#This Row],[SKU]],SKU!A:C,3,0)</f>
        <v>PERNA</v>
      </c>
    </row>
    <row r="368" spans="1:29" x14ac:dyDescent="0.3">
      <c r="A368" s="2">
        <f>INT(Tabela1[[#This Row],[Data e Hora2]])</f>
        <v>46265</v>
      </c>
      <c r="B368" s="6" t="str">
        <f>UPPER(TEXT(Tabela1[[#This Row],[Data Corrigida]],"MMM"))</f>
        <v>AGO</v>
      </c>
      <c r="C368" t="s">
        <v>1040</v>
      </c>
      <c r="D368" s="2" t="s">
        <v>1041</v>
      </c>
      <c r="E368" s="1" t="s">
        <v>1042</v>
      </c>
      <c r="F368" t="s">
        <v>24</v>
      </c>
      <c r="G368" s="2" t="s">
        <v>973</v>
      </c>
      <c r="H368" t="s">
        <v>26</v>
      </c>
      <c r="I368" t="s">
        <v>57</v>
      </c>
      <c r="J368" s="6">
        <v>15105</v>
      </c>
      <c r="K368" s="16">
        <v>1009</v>
      </c>
      <c r="L368" s="16">
        <v>986</v>
      </c>
      <c r="M368" s="16">
        <v>1033</v>
      </c>
      <c r="N368" s="16">
        <v>1020</v>
      </c>
      <c r="O368" s="16">
        <v>1006</v>
      </c>
      <c r="P368" s="16">
        <v>1011</v>
      </c>
      <c r="Q368" s="16">
        <v>995</v>
      </c>
      <c r="R368" s="16">
        <v>1004</v>
      </c>
      <c r="S368" s="16">
        <v>1099</v>
      </c>
      <c r="T368" s="16">
        <v>1019</v>
      </c>
      <c r="U368" s="15">
        <v>1018.2</v>
      </c>
      <c r="V368" t="s">
        <v>19</v>
      </c>
      <c r="W368" t="s">
        <v>28</v>
      </c>
      <c r="X368">
        <v>232</v>
      </c>
      <c r="Y368" s="16">
        <f>VLOOKUP(Tabela1[[#This Row],[SKU]],SKU!A:D,4,0)</f>
        <v>1000</v>
      </c>
      <c r="Z368" s="18">
        <f>IFERROR((Tabela1[[#This Row],[Média]]-Tabela1[[#This Row],[Meta]])/Tabela1[[#This Row],[Meta]],"")</f>
        <v>1.8200000000000046E-2</v>
      </c>
      <c r="AA368" s="19">
        <f>Tabela1[[#This Row],[Média]]-Tabela1[[#This Row],[Meta]]</f>
        <v>18.200000000000045</v>
      </c>
      <c r="AB368" s="6" t="str">
        <f>VLOOKUP(Tabela1[[#This Row],[SKU]],SKU!A:B,2,0)</f>
        <v>FILE PEITO MET CG BDJ SE</v>
      </c>
      <c r="AC368" s="6" t="str">
        <f>VLOOKUP(Tabela1[[#This Row],[SKU]],SKU!A:C,3,0)</f>
        <v>PEITO</v>
      </c>
    </row>
    <row r="369" spans="1:29" x14ac:dyDescent="0.3">
      <c r="A369" s="2">
        <f>INT(Tabela1[[#This Row],[Data e Hora2]])</f>
        <v>46265</v>
      </c>
      <c r="B369" s="6" t="str">
        <f>UPPER(TEXT(Tabela1[[#This Row],[Data Corrigida]],"MMM"))</f>
        <v>AGO</v>
      </c>
      <c r="C369" t="s">
        <v>1043</v>
      </c>
      <c r="D369" s="2" t="s">
        <v>1044</v>
      </c>
      <c r="E369" s="1" t="s">
        <v>1042</v>
      </c>
      <c r="F369" t="s">
        <v>24</v>
      </c>
      <c r="G369" s="2" t="s">
        <v>973</v>
      </c>
      <c r="H369" t="s">
        <v>26</v>
      </c>
      <c r="I369" t="s">
        <v>57</v>
      </c>
      <c r="J369" s="6">
        <v>15105</v>
      </c>
      <c r="K369" s="16">
        <v>1091</v>
      </c>
      <c r="L369" s="16">
        <v>995</v>
      </c>
      <c r="M369" s="16">
        <v>1149</v>
      </c>
      <c r="N369" s="16">
        <v>1057</v>
      </c>
      <c r="O369" s="16">
        <v>1016</v>
      </c>
      <c r="P369" s="16">
        <v>1002</v>
      </c>
      <c r="Q369" s="16">
        <v>1003</v>
      </c>
      <c r="R369" s="16">
        <v>1018</v>
      </c>
      <c r="S369" s="16">
        <v>986</v>
      </c>
      <c r="T369" s="16">
        <v>1015</v>
      </c>
      <c r="U369" s="15">
        <v>1033.2</v>
      </c>
      <c r="V369" t="s">
        <v>19</v>
      </c>
      <c r="W369" t="s">
        <v>28</v>
      </c>
      <c r="X369">
        <v>541</v>
      </c>
      <c r="Y369" s="16">
        <f>VLOOKUP(Tabela1[[#This Row],[SKU]],SKU!A:D,4,0)</f>
        <v>1000</v>
      </c>
      <c r="Z369" s="18">
        <f>IFERROR((Tabela1[[#This Row],[Média]]-Tabela1[[#This Row],[Meta]])/Tabela1[[#This Row],[Meta]],"")</f>
        <v>3.3200000000000049E-2</v>
      </c>
      <c r="AA369" s="19">
        <f>Tabela1[[#This Row],[Média]]-Tabela1[[#This Row],[Meta]]</f>
        <v>33.200000000000045</v>
      </c>
      <c r="AB369" s="6" t="str">
        <f>VLOOKUP(Tabela1[[#This Row],[SKU]],SKU!A:B,2,0)</f>
        <v>FILE PEITO MET CG BDJ SE</v>
      </c>
      <c r="AC369" s="6" t="str">
        <f>VLOOKUP(Tabela1[[#This Row],[SKU]],SKU!A:C,3,0)</f>
        <v>PEITO</v>
      </c>
    </row>
    <row r="370" spans="1:29" x14ac:dyDescent="0.3">
      <c r="A370" s="2">
        <f>INT(Tabela1[[#This Row],[Data e Hora2]])</f>
        <v>46265</v>
      </c>
      <c r="B370" s="6" t="str">
        <f>UPPER(TEXT(Tabela1[[#This Row],[Data Corrigida]],"MMM"))</f>
        <v>AGO</v>
      </c>
      <c r="C370" t="s">
        <v>1045</v>
      </c>
      <c r="D370" s="2" t="s">
        <v>1046</v>
      </c>
      <c r="E370" s="1" t="s">
        <v>1042</v>
      </c>
      <c r="F370" t="s">
        <v>24</v>
      </c>
      <c r="G370" s="2" t="s">
        <v>973</v>
      </c>
      <c r="H370" t="s">
        <v>26</v>
      </c>
      <c r="I370" t="s">
        <v>57</v>
      </c>
      <c r="J370" s="6">
        <v>15105</v>
      </c>
      <c r="K370" s="16">
        <v>1015</v>
      </c>
      <c r="L370" s="16">
        <v>995</v>
      </c>
      <c r="M370" s="16">
        <v>1023</v>
      </c>
      <c r="N370" s="16">
        <v>1037</v>
      </c>
      <c r="O370" s="16">
        <v>994</v>
      </c>
      <c r="P370" s="16">
        <v>993</v>
      </c>
      <c r="Q370" s="16">
        <v>1053</v>
      </c>
      <c r="R370" s="16">
        <v>1030</v>
      </c>
      <c r="S370" s="16">
        <v>1009</v>
      </c>
      <c r="T370" s="16">
        <v>1005</v>
      </c>
      <c r="U370" s="15">
        <v>1015.4</v>
      </c>
      <c r="V370" t="s">
        <v>19</v>
      </c>
      <c r="W370" t="s">
        <v>28</v>
      </c>
      <c r="X370">
        <v>707</v>
      </c>
      <c r="Y370" s="16">
        <f>VLOOKUP(Tabela1[[#This Row],[SKU]],SKU!A:D,4,0)</f>
        <v>1000</v>
      </c>
      <c r="Z370" s="18">
        <f>IFERROR((Tabela1[[#This Row],[Média]]-Tabela1[[#This Row],[Meta]])/Tabela1[[#This Row],[Meta]],"")</f>
        <v>1.5399999999999978E-2</v>
      </c>
      <c r="AA370" s="19">
        <f>Tabela1[[#This Row],[Média]]-Tabela1[[#This Row],[Meta]]</f>
        <v>15.399999999999977</v>
      </c>
      <c r="AB370" s="6" t="str">
        <f>VLOOKUP(Tabela1[[#This Row],[SKU]],SKU!A:B,2,0)</f>
        <v>FILE PEITO MET CG BDJ SE</v>
      </c>
      <c r="AC370" s="6" t="str">
        <f>VLOOKUP(Tabela1[[#This Row],[SKU]],SKU!A:C,3,0)</f>
        <v>PEITO</v>
      </c>
    </row>
    <row r="371" spans="1:29" x14ac:dyDescent="0.3">
      <c r="A371" s="2">
        <f>INT(Tabela1[[#This Row],[Data e Hora2]])</f>
        <v>46262</v>
      </c>
      <c r="B371" s="6" t="str">
        <f>UPPER(TEXT(Tabela1[[#This Row],[Data Corrigida]],"MMM"))</f>
        <v>AGO</v>
      </c>
      <c r="C371" t="s">
        <v>1047</v>
      </c>
      <c r="D371" s="2" t="s">
        <v>1048</v>
      </c>
      <c r="E371" s="1" t="s">
        <v>1042</v>
      </c>
      <c r="F371" t="s">
        <v>24</v>
      </c>
      <c r="G371" s="2" t="s">
        <v>836</v>
      </c>
      <c r="H371" t="s">
        <v>26</v>
      </c>
      <c r="I371" t="s">
        <v>57</v>
      </c>
      <c r="J371" s="6">
        <v>15105</v>
      </c>
      <c r="K371" s="16">
        <v>1027</v>
      </c>
      <c r="L371" s="16">
        <v>1015</v>
      </c>
      <c r="M371" s="16">
        <v>1113</v>
      </c>
      <c r="N371" s="16">
        <v>1030</v>
      </c>
      <c r="O371" s="16">
        <v>1015</v>
      </c>
      <c r="P371" s="16">
        <v>999</v>
      </c>
      <c r="Q371" s="16">
        <v>1178</v>
      </c>
      <c r="R371" s="16">
        <v>1033</v>
      </c>
      <c r="S371" s="16">
        <v>999</v>
      </c>
      <c r="T371" s="16">
        <v>1019</v>
      </c>
      <c r="U371" s="15">
        <v>1042.8</v>
      </c>
      <c r="V371" t="s">
        <v>19</v>
      </c>
      <c r="W371" t="s">
        <v>19</v>
      </c>
      <c r="X371">
        <v>254</v>
      </c>
      <c r="Y371" s="16">
        <f>VLOOKUP(Tabela1[[#This Row],[SKU]],SKU!A:D,4,0)</f>
        <v>1000</v>
      </c>
      <c r="Z371" s="18">
        <f>IFERROR((Tabela1[[#This Row],[Média]]-Tabela1[[#This Row],[Meta]])/Tabela1[[#This Row],[Meta]],"")</f>
        <v>4.2799999999999956E-2</v>
      </c>
      <c r="AA371" s="19">
        <f>Tabela1[[#This Row],[Média]]-Tabela1[[#This Row],[Meta]]</f>
        <v>42.799999999999955</v>
      </c>
      <c r="AB371" s="6" t="str">
        <f>VLOOKUP(Tabela1[[#This Row],[SKU]],SKU!A:B,2,0)</f>
        <v>FILE PEITO MET CG BDJ SE</v>
      </c>
      <c r="AC371" s="6" t="str">
        <f>VLOOKUP(Tabela1[[#This Row],[SKU]],SKU!A:C,3,0)</f>
        <v>PEITO</v>
      </c>
    </row>
    <row r="372" spans="1:29" x14ac:dyDescent="0.3">
      <c r="A372" s="2">
        <f>INT(Tabela1[[#This Row],[Data e Hora2]])</f>
        <v>46262</v>
      </c>
      <c r="B372" s="6" t="str">
        <f>UPPER(TEXT(Tabela1[[#This Row],[Data Corrigida]],"MMM"))</f>
        <v>AGO</v>
      </c>
      <c r="C372" t="s">
        <v>1049</v>
      </c>
      <c r="D372" s="2" t="s">
        <v>1050</v>
      </c>
      <c r="E372" s="1" t="s">
        <v>1042</v>
      </c>
      <c r="F372" t="s">
        <v>24</v>
      </c>
      <c r="G372" s="2" t="s">
        <v>836</v>
      </c>
      <c r="H372" t="s">
        <v>26</v>
      </c>
      <c r="I372" t="s">
        <v>57</v>
      </c>
      <c r="J372" s="6">
        <v>15105</v>
      </c>
      <c r="K372" s="16">
        <v>1012</v>
      </c>
      <c r="L372" s="16">
        <v>1020</v>
      </c>
      <c r="M372" s="16">
        <v>990</v>
      </c>
      <c r="N372" s="16">
        <v>897</v>
      </c>
      <c r="O372" s="16">
        <v>1003</v>
      </c>
      <c r="P372" s="16">
        <v>997</v>
      </c>
      <c r="Q372" s="16">
        <v>1006</v>
      </c>
      <c r="R372" s="16">
        <v>1005</v>
      </c>
      <c r="S372" s="16">
        <v>1025</v>
      </c>
      <c r="T372" s="16">
        <v>1017</v>
      </c>
      <c r="U372" s="15">
        <v>997.2</v>
      </c>
      <c r="V372" t="s">
        <v>19</v>
      </c>
      <c r="W372" t="s">
        <v>28</v>
      </c>
      <c r="X372">
        <v>236</v>
      </c>
      <c r="Y372" s="16">
        <f>VLOOKUP(Tabela1[[#This Row],[SKU]],SKU!A:D,4,0)</f>
        <v>1000</v>
      </c>
      <c r="Z372" s="18">
        <f>IFERROR((Tabela1[[#This Row],[Média]]-Tabela1[[#This Row],[Meta]])/Tabela1[[#This Row],[Meta]],"")</f>
        <v>-2.7999999999999544E-3</v>
      </c>
      <c r="AA372" s="19">
        <f>Tabela1[[#This Row],[Média]]-Tabela1[[#This Row],[Meta]]</f>
        <v>-2.7999999999999545</v>
      </c>
      <c r="AB372" s="6" t="str">
        <f>VLOOKUP(Tabela1[[#This Row],[SKU]],SKU!A:B,2,0)</f>
        <v>FILE PEITO MET CG BDJ SE</v>
      </c>
      <c r="AC372" s="6" t="str">
        <f>VLOOKUP(Tabela1[[#This Row],[SKU]],SKU!A:C,3,0)</f>
        <v>PEITO</v>
      </c>
    </row>
    <row r="373" spans="1:29" x14ac:dyDescent="0.3">
      <c r="A373" s="2">
        <f>INT(Tabela1[[#This Row],[Data e Hora2]])</f>
        <v>46265</v>
      </c>
      <c r="B373" s="6" t="str">
        <f>UPPER(TEXT(Tabela1[[#This Row],[Data Corrigida]],"MMM"))</f>
        <v>AGO</v>
      </c>
      <c r="C373" t="s">
        <v>1051</v>
      </c>
      <c r="D373" s="2" t="s">
        <v>1052</v>
      </c>
      <c r="E373" s="1" t="s">
        <v>1053</v>
      </c>
      <c r="F373" t="s">
        <v>24</v>
      </c>
      <c r="G373" s="2" t="s">
        <v>973</v>
      </c>
      <c r="H373" t="s">
        <v>142</v>
      </c>
      <c r="I373" t="s">
        <v>462</v>
      </c>
      <c r="J373" s="6">
        <v>31454</v>
      </c>
      <c r="K373" s="16">
        <v>2528</v>
      </c>
      <c r="L373" s="16">
        <v>2532</v>
      </c>
      <c r="M373" s="16">
        <v>2592</v>
      </c>
      <c r="N373" s="16">
        <v>2500</v>
      </c>
      <c r="O373" s="16">
        <v>2510</v>
      </c>
      <c r="P373" s="16">
        <v>2529</v>
      </c>
      <c r="Q373" s="16">
        <v>2521</v>
      </c>
      <c r="R373" s="16">
        <v>2520</v>
      </c>
      <c r="S373" s="16">
        <v>2512</v>
      </c>
      <c r="T373" s="16">
        <v>2525</v>
      </c>
      <c r="U373" s="15">
        <v>2526.9</v>
      </c>
      <c r="V373" t="s">
        <v>19</v>
      </c>
      <c r="W373" t="s">
        <v>28</v>
      </c>
      <c r="X373">
        <v>148</v>
      </c>
      <c r="Y373" s="16">
        <f>VLOOKUP(Tabela1[[#This Row],[SKU]],SKU!A:D,4,0)</f>
        <v>2500</v>
      </c>
      <c r="Z373" s="18">
        <f>IFERROR((Tabela1[[#This Row],[Média]]-Tabela1[[#This Row],[Meta]])/Tabela1[[#This Row],[Meta]],"")</f>
        <v>1.0760000000000037E-2</v>
      </c>
      <c r="AA373" s="19">
        <f>Tabela1[[#This Row],[Média]]-Tabela1[[#This Row],[Meta]]</f>
        <v>26.900000000000091</v>
      </c>
      <c r="AB373" s="6" t="str">
        <f>VLOOKUP(Tabela1[[#This Row],[SKU]],SKU!A:B,2,0)</f>
        <v>MEIO DE ASA 2,5KG  IQF</v>
      </c>
      <c r="AC373" s="6" t="str">
        <f>VLOOKUP(Tabela1[[#This Row],[SKU]],SKU!A:C,3,0)</f>
        <v>ASA</v>
      </c>
    </row>
    <row r="374" spans="1:29" x14ac:dyDescent="0.3">
      <c r="A374" s="2">
        <f>INT(Tabela1[[#This Row],[Data e Hora2]])</f>
        <v>46265</v>
      </c>
      <c r="B374" s="6" t="str">
        <f>UPPER(TEXT(Tabela1[[#This Row],[Data Corrigida]],"MMM"))</f>
        <v>AGO</v>
      </c>
      <c r="C374" t="s">
        <v>1054</v>
      </c>
      <c r="D374" s="2" t="s">
        <v>1055</v>
      </c>
      <c r="E374" s="1" t="s">
        <v>1053</v>
      </c>
      <c r="F374" t="s">
        <v>24</v>
      </c>
      <c r="G374" s="2" t="s">
        <v>973</v>
      </c>
      <c r="H374" t="s">
        <v>142</v>
      </c>
      <c r="I374" t="s">
        <v>462</v>
      </c>
      <c r="J374" s="6">
        <v>992014</v>
      </c>
      <c r="K374" s="16">
        <v>698</v>
      </c>
      <c r="L374" s="16">
        <v>699</v>
      </c>
      <c r="M374" s="16">
        <v>697</v>
      </c>
      <c r="N374" s="16">
        <v>699</v>
      </c>
      <c r="O374" s="16">
        <v>700</v>
      </c>
      <c r="P374" s="16">
        <v>696</v>
      </c>
      <c r="Q374" s="16">
        <v>704</v>
      </c>
      <c r="R374" s="16">
        <v>691</v>
      </c>
      <c r="S374" s="16">
        <v>701</v>
      </c>
      <c r="T374" s="16">
        <v>698</v>
      </c>
      <c r="U374" s="15">
        <v>698.3</v>
      </c>
      <c r="V374" t="s">
        <v>19</v>
      </c>
      <c r="W374" t="s">
        <v>28</v>
      </c>
      <c r="X374">
        <v>216</v>
      </c>
      <c r="Y374" s="16">
        <f>VLOOKUP(Tabela1[[#This Row],[SKU]],SKU!A:D,4,0)</f>
        <v>700</v>
      </c>
      <c r="Z374" s="18">
        <f>IFERROR((Tabela1[[#This Row],[Média]]-Tabela1[[#This Row],[Meta]])/Tabela1[[#This Row],[Meta]],"")</f>
        <v>-2.4285714285714934E-3</v>
      </c>
      <c r="AA374" s="19">
        <f>Tabela1[[#This Row],[Média]]-Tabela1[[#This Row],[Meta]]</f>
        <v>-1.7000000000000455</v>
      </c>
      <c r="AB374" s="6" t="str">
        <f>VLOOKUP(Tabela1[[#This Row],[SKU]],SKU!A:B,2,0)</f>
        <v>OSTRINHA CG PCT 700G SWIFT</v>
      </c>
      <c r="AC374" s="6" t="str">
        <f>VLOOKUP(Tabela1[[#This Row],[SKU]],SKU!A:C,3,0)</f>
        <v>PERNA</v>
      </c>
    </row>
    <row r="375" spans="1:29" x14ac:dyDescent="0.3">
      <c r="A375" s="2">
        <f>INT(Tabela1[[#This Row],[Data e Hora2]])</f>
        <v>46265</v>
      </c>
      <c r="B375" s="6" t="str">
        <f>UPPER(TEXT(Tabela1[[#This Row],[Data Corrigida]],"MMM"))</f>
        <v>AGO</v>
      </c>
      <c r="C375" t="s">
        <v>1056</v>
      </c>
      <c r="D375" s="2" t="s">
        <v>1057</v>
      </c>
      <c r="E375" s="1" t="s">
        <v>1053</v>
      </c>
      <c r="F375" t="s">
        <v>24</v>
      </c>
      <c r="G375" s="2" t="s">
        <v>973</v>
      </c>
      <c r="H375" t="s">
        <v>142</v>
      </c>
      <c r="I375" t="s">
        <v>462</v>
      </c>
      <c r="J375" s="6">
        <v>42846</v>
      </c>
      <c r="K375" s="16">
        <v>2059</v>
      </c>
      <c r="L375" s="16">
        <v>2074</v>
      </c>
      <c r="M375" s="16">
        <v>2003</v>
      </c>
      <c r="N375" s="16">
        <v>2050</v>
      </c>
      <c r="O375" s="16">
        <v>2001</v>
      </c>
      <c r="P375" s="16">
        <v>2041</v>
      </c>
      <c r="Q375" s="16">
        <v>2006</v>
      </c>
      <c r="R375" s="16">
        <v>2048</v>
      </c>
      <c r="S375" s="16">
        <v>2038</v>
      </c>
      <c r="T375" s="16">
        <v>2011</v>
      </c>
      <c r="U375" s="15">
        <v>2033.1</v>
      </c>
      <c r="V375" t="s">
        <v>19</v>
      </c>
      <c r="W375" t="s">
        <v>19</v>
      </c>
      <c r="X375">
        <v>177</v>
      </c>
      <c r="Y375" s="16">
        <f>VLOOKUP(Tabela1[[#This Row],[SKU]],SKU!A:D,4,0)</f>
        <v>2000</v>
      </c>
      <c r="Z375" s="18">
        <f>IFERROR((Tabela1[[#This Row],[Média]]-Tabela1[[#This Row],[Meta]])/Tabela1[[#This Row],[Meta]],"")</f>
        <v>1.6549999999999954E-2</v>
      </c>
      <c r="AA375" s="19">
        <f>Tabela1[[#This Row],[Média]]-Tabela1[[#This Row],[Meta]]</f>
        <v>33.099999999999909</v>
      </c>
      <c r="AB375" s="6" t="str">
        <f>VLOOKUP(Tabela1[[#This Row],[SKU]],SKU!A:B,2,0)</f>
        <v>COXA SBCX S/O FG 240-260g PB</v>
      </c>
      <c r="AC375" s="6" t="str">
        <f>VLOOKUP(Tabela1[[#This Row],[SKU]],SKU!A:C,3,0)</f>
        <v>PERNA</v>
      </c>
    </row>
    <row r="376" spans="1:29" x14ac:dyDescent="0.3">
      <c r="A376" s="2">
        <f>INT(Tabela1[[#This Row],[Data e Hora2]])</f>
        <v>46265</v>
      </c>
      <c r="B376" s="6" t="str">
        <f>UPPER(TEXT(Tabela1[[#This Row],[Data Corrigida]],"MMM"))</f>
        <v>AGO</v>
      </c>
      <c r="C376" t="s">
        <v>1058</v>
      </c>
      <c r="D376" s="2" t="s">
        <v>1059</v>
      </c>
      <c r="E376" s="1" t="s">
        <v>1053</v>
      </c>
      <c r="F376" t="s">
        <v>24</v>
      </c>
      <c r="G376" s="2" t="s">
        <v>973</v>
      </c>
      <c r="H376" t="s">
        <v>142</v>
      </c>
      <c r="I376" t="s">
        <v>462</v>
      </c>
      <c r="J376" s="6">
        <v>42862</v>
      </c>
      <c r="K376" s="16">
        <v>2128</v>
      </c>
      <c r="L376" s="16">
        <v>2063</v>
      </c>
      <c r="M376" s="16">
        <v>2026</v>
      </c>
      <c r="N376" s="16">
        <v>2034</v>
      </c>
      <c r="O376" s="16">
        <v>2005</v>
      </c>
      <c r="P376" s="16">
        <v>2001</v>
      </c>
      <c r="Q376" s="16">
        <v>2035</v>
      </c>
      <c r="R376" s="16">
        <v>2055</v>
      </c>
      <c r="S376" s="16">
        <v>2012</v>
      </c>
      <c r="T376" s="16">
        <v>2269</v>
      </c>
      <c r="U376" s="15">
        <v>2062.8000000000002</v>
      </c>
      <c r="V376" t="s">
        <v>19</v>
      </c>
      <c r="W376" t="s">
        <v>28</v>
      </c>
      <c r="X376">
        <v>415</v>
      </c>
      <c r="Y376" s="16">
        <f>VLOOKUP(Tabela1[[#This Row],[SKU]],SKU!A:D,4,0)</f>
        <v>2000</v>
      </c>
      <c r="Z376" s="18">
        <f>IFERROR((Tabela1[[#This Row],[Média]]-Tabela1[[#This Row],[Meta]])/Tabela1[[#This Row],[Meta]],"")</f>
        <v>3.1400000000000088E-2</v>
      </c>
      <c r="AA376" s="19">
        <f>Tabela1[[#This Row],[Média]]-Tabela1[[#This Row],[Meta]]</f>
        <v>62.800000000000182</v>
      </c>
      <c r="AB376" s="6" t="str">
        <f>VLOOKUP(Tabela1[[#This Row],[SKU]],SKU!A:B,2,0)</f>
        <v>COXA SBCX S/O FG 280-300g PB</v>
      </c>
      <c r="AC376" s="6" t="str">
        <f>VLOOKUP(Tabela1[[#This Row],[SKU]],SKU!A:C,3,0)</f>
        <v>PERNA</v>
      </c>
    </row>
    <row r="377" spans="1:29" x14ac:dyDescent="0.3">
      <c r="A377" s="2">
        <f>INT(Tabela1[[#This Row],[Data e Hora2]])</f>
        <v>46265</v>
      </c>
      <c r="B377" s="6" t="str">
        <f>UPPER(TEXT(Tabela1[[#This Row],[Data Corrigida]],"MMM"))</f>
        <v>AGO</v>
      </c>
      <c r="C377" t="s">
        <v>1060</v>
      </c>
      <c r="D377" s="2" t="s">
        <v>1061</v>
      </c>
      <c r="E377" s="1" t="s">
        <v>1053</v>
      </c>
      <c r="F377" t="s">
        <v>24</v>
      </c>
      <c r="G377" s="2" t="s">
        <v>973</v>
      </c>
      <c r="H377" t="s">
        <v>142</v>
      </c>
      <c r="I377" t="s">
        <v>462</v>
      </c>
      <c r="J377" s="6">
        <v>42854</v>
      </c>
      <c r="K377" s="16">
        <v>2188</v>
      </c>
      <c r="L377" s="16">
        <v>2169</v>
      </c>
      <c r="M377" s="16">
        <v>2153</v>
      </c>
      <c r="N377" s="16">
        <v>2154</v>
      </c>
      <c r="O377" s="16">
        <v>2062</v>
      </c>
      <c r="P377" s="16">
        <v>2140</v>
      </c>
      <c r="Q377" s="16">
        <v>2170</v>
      </c>
      <c r="R377" s="16">
        <v>2165</v>
      </c>
      <c r="S377" s="16">
        <v>2133</v>
      </c>
      <c r="T377" s="16">
        <v>2150</v>
      </c>
      <c r="U377" s="15">
        <v>2148.4</v>
      </c>
      <c r="V377" t="s">
        <v>19</v>
      </c>
      <c r="W377" t="s">
        <v>28</v>
      </c>
      <c r="X377">
        <v>582</v>
      </c>
      <c r="Y377" s="16">
        <f>VLOOKUP(Tabela1[[#This Row],[SKU]],SKU!A:D,4,0)</f>
        <v>2080</v>
      </c>
      <c r="Z377" s="18">
        <f>IFERROR((Tabela1[[#This Row],[Média]]-Tabela1[[#This Row],[Meta]])/Tabela1[[#This Row],[Meta]],"")</f>
        <v>3.2884615384615429E-2</v>
      </c>
      <c r="AA377" s="19">
        <f>Tabela1[[#This Row],[Média]]-Tabela1[[#This Row],[Meta]]</f>
        <v>68.400000000000091</v>
      </c>
      <c r="AB377" s="6" t="str">
        <f>VLOOKUP(Tabela1[[#This Row],[SKU]],SKU!A:B,2,0)</f>
        <v>COXA SBCX S/O FG 260-280g PB</v>
      </c>
      <c r="AC377" s="6" t="str">
        <f>VLOOKUP(Tabela1[[#This Row],[SKU]],SKU!A:C,3,0)</f>
        <v>PERNA</v>
      </c>
    </row>
    <row r="378" spans="1:29" x14ac:dyDescent="0.3">
      <c r="A378" s="2">
        <f>INT(Tabela1[[#This Row],[Data e Hora2]])</f>
        <v>46265</v>
      </c>
      <c r="B378" s="6" t="str">
        <f>UPPER(TEXT(Tabela1[[#This Row],[Data Corrigida]],"MMM"))</f>
        <v>AGO</v>
      </c>
      <c r="C378" t="s">
        <v>1062</v>
      </c>
      <c r="D378" s="2" t="s">
        <v>1063</v>
      </c>
      <c r="E378" s="1" t="s">
        <v>1053</v>
      </c>
      <c r="F378" t="s">
        <v>24</v>
      </c>
      <c r="G378" s="2" t="s">
        <v>973</v>
      </c>
      <c r="H378" t="s">
        <v>142</v>
      </c>
      <c r="I378" t="s">
        <v>462</v>
      </c>
      <c r="J378" s="6">
        <v>15105</v>
      </c>
      <c r="K378" s="16">
        <v>1001</v>
      </c>
      <c r="L378" s="16">
        <v>1018</v>
      </c>
      <c r="M378" s="16">
        <v>1147</v>
      </c>
      <c r="N378" s="16">
        <v>1034</v>
      </c>
      <c r="O378" s="16">
        <v>1006</v>
      </c>
      <c r="P378" s="16">
        <v>999</v>
      </c>
      <c r="Q378" s="16">
        <v>1196</v>
      </c>
      <c r="R378" s="16">
        <v>1016</v>
      </c>
      <c r="S378" s="16">
        <v>995</v>
      </c>
      <c r="T378" s="16">
        <v>1044</v>
      </c>
      <c r="U378" s="15">
        <v>1045.5999999999999</v>
      </c>
      <c r="V378" t="s">
        <v>19</v>
      </c>
      <c r="W378" t="s">
        <v>28</v>
      </c>
      <c r="X378">
        <v>340</v>
      </c>
      <c r="Y378" s="16">
        <f>VLOOKUP(Tabela1[[#This Row],[SKU]],SKU!A:D,4,0)</f>
        <v>1000</v>
      </c>
      <c r="Z378" s="18">
        <f>IFERROR((Tabela1[[#This Row],[Média]]-Tabela1[[#This Row],[Meta]])/Tabela1[[#This Row],[Meta]],"")</f>
        <v>4.5599999999999911E-2</v>
      </c>
      <c r="AA378" s="19">
        <f>Tabela1[[#This Row],[Média]]-Tabela1[[#This Row],[Meta]]</f>
        <v>45.599999999999909</v>
      </c>
      <c r="AB378" s="6" t="str">
        <f>VLOOKUP(Tabela1[[#This Row],[SKU]],SKU!A:B,2,0)</f>
        <v>FILE PEITO MET CG BDJ SE</v>
      </c>
      <c r="AC378" s="6" t="str">
        <f>VLOOKUP(Tabela1[[#This Row],[SKU]],SKU!A:C,3,0)</f>
        <v>PEITO</v>
      </c>
    </row>
    <row r="379" spans="1:29" x14ac:dyDescent="0.3">
      <c r="A379" s="2">
        <f>INT(Tabela1[[#This Row],[Data e Hora2]])</f>
        <v>46266</v>
      </c>
      <c r="B379" s="6" t="str">
        <f>UPPER(TEXT(Tabela1[[#This Row],[Data Corrigida]],"MMM"))</f>
        <v>SET</v>
      </c>
      <c r="C379" t="s">
        <v>1064</v>
      </c>
      <c r="D379" s="2" t="s">
        <v>1065</v>
      </c>
      <c r="E379" s="1" t="s">
        <v>1066</v>
      </c>
      <c r="F379" t="s">
        <v>24</v>
      </c>
      <c r="G379" s="2" t="s">
        <v>960</v>
      </c>
      <c r="H379" t="s">
        <v>26</v>
      </c>
      <c r="I379" t="s">
        <v>27</v>
      </c>
      <c r="J379" s="6">
        <v>15105</v>
      </c>
      <c r="K379" s="16">
        <v>994</v>
      </c>
      <c r="L379" s="16">
        <v>1027</v>
      </c>
      <c r="M379" s="16">
        <v>987</v>
      </c>
      <c r="N379" s="16">
        <v>1020</v>
      </c>
      <c r="O379" s="16">
        <v>1019</v>
      </c>
      <c r="P379" s="16">
        <v>1050</v>
      </c>
      <c r="Q379" s="16">
        <v>1080</v>
      </c>
      <c r="R379" s="16">
        <v>1021</v>
      </c>
      <c r="S379" s="16">
        <v>983</v>
      </c>
      <c r="T379" s="16">
        <v>969</v>
      </c>
      <c r="U379" s="15">
        <v>1015</v>
      </c>
      <c r="V379" t="s">
        <v>19</v>
      </c>
      <c r="W379" t="s">
        <v>19</v>
      </c>
      <c r="X379">
        <v>1576</v>
      </c>
      <c r="Y379" s="16">
        <f>VLOOKUP(Tabela1[[#This Row],[SKU]],SKU!A:D,4,0)</f>
        <v>1000</v>
      </c>
      <c r="Z379" s="18">
        <f>IFERROR((Tabela1[[#This Row],[Média]]-Tabela1[[#This Row],[Meta]])/Tabela1[[#This Row],[Meta]],"")</f>
        <v>1.4999999999999999E-2</v>
      </c>
      <c r="AA379" s="22">
        <f>Tabela1[[#This Row],[Média]]-Tabela1[[#This Row],[Meta]]</f>
        <v>15</v>
      </c>
      <c r="AB379" s="6" t="str">
        <f>VLOOKUP(Tabela1[[#This Row],[SKU]],SKU!A:B,2,0)</f>
        <v>FILE PEITO MET CG BDJ SE</v>
      </c>
      <c r="AC379" s="6" t="str">
        <f>VLOOKUP(Tabela1[[#This Row],[SKU]],SKU!A:C,3,0)</f>
        <v>PEITO</v>
      </c>
    </row>
    <row r="380" spans="1:29" x14ac:dyDescent="0.3">
      <c r="A380" s="2">
        <f>INT(Tabela1[[#This Row],[Data e Hora2]])</f>
        <v>46266</v>
      </c>
      <c r="B380" s="6" t="str">
        <f>UPPER(TEXT(Tabela1[[#This Row],[Data Corrigida]],"MMM"))</f>
        <v>SET</v>
      </c>
      <c r="C380" t="s">
        <v>1067</v>
      </c>
      <c r="D380" s="2" t="s">
        <v>1068</v>
      </c>
      <c r="E380" s="1" t="s">
        <v>1066</v>
      </c>
      <c r="F380" t="s">
        <v>24</v>
      </c>
      <c r="G380" s="2" t="s">
        <v>960</v>
      </c>
      <c r="H380" t="s">
        <v>26</v>
      </c>
      <c r="I380" t="s">
        <v>27</v>
      </c>
      <c r="J380" s="6">
        <v>209069</v>
      </c>
      <c r="K380" s="16">
        <v>1031</v>
      </c>
      <c r="L380" s="16">
        <v>993</v>
      </c>
      <c r="M380" s="16">
        <v>1000</v>
      </c>
      <c r="N380" s="16">
        <v>1002</v>
      </c>
      <c r="O380" s="16">
        <v>1074</v>
      </c>
      <c r="P380" s="16">
        <v>999</v>
      </c>
      <c r="Q380" s="16">
        <v>994</v>
      </c>
      <c r="R380" s="16">
        <v>1026</v>
      </c>
      <c r="S380" s="16">
        <v>1015</v>
      </c>
      <c r="T380" s="16">
        <v>998</v>
      </c>
      <c r="U380" s="15">
        <v>1013.2</v>
      </c>
      <c r="V380" t="s">
        <v>19</v>
      </c>
      <c r="W380" t="s">
        <v>28</v>
      </c>
      <c r="X380">
        <v>1903</v>
      </c>
      <c r="Y380" s="16">
        <f>VLOOKUP(Tabela1[[#This Row],[SKU]],SKU!A:D,4,0)</f>
        <v>1000</v>
      </c>
      <c r="Z380" s="18">
        <f>IFERROR((Tabela1[[#This Row],[Média]]-Tabela1[[#This Row],[Meta]])/Tabela1[[#This Row],[Meta]],"")</f>
        <v>1.3200000000000045E-2</v>
      </c>
      <c r="AA380" s="22">
        <f>Tabela1[[#This Row],[Média]]-Tabela1[[#This Row],[Meta]]</f>
        <v>13.200000000000045</v>
      </c>
      <c r="AB380" s="6" t="str">
        <f>VLOOKUP(Tabela1[[#This Row],[SKU]],SKU!A:B,2,0)</f>
        <v>FILE PEITO CG IQF1KG</v>
      </c>
      <c r="AC380" s="6" t="str">
        <f>VLOOKUP(Tabela1[[#This Row],[SKU]],SKU!A:C,3,0)</f>
        <v>PEITO</v>
      </c>
    </row>
    <row r="381" spans="1:29" x14ac:dyDescent="0.3">
      <c r="A381" s="2">
        <f>INT(Tabela1[[#This Row],[Data e Hora2]])</f>
        <v>46266</v>
      </c>
      <c r="B381" s="6" t="str">
        <f>UPPER(TEXT(Tabela1[[#This Row],[Data Corrigida]],"MMM"))</f>
        <v>SET</v>
      </c>
      <c r="C381" t="s">
        <v>1069</v>
      </c>
      <c r="D381" s="2" t="s">
        <v>1070</v>
      </c>
      <c r="E381" s="1" t="s">
        <v>1066</v>
      </c>
      <c r="F381" t="s">
        <v>24</v>
      </c>
      <c r="G381" s="2" t="s">
        <v>960</v>
      </c>
      <c r="H381" t="s">
        <v>26</v>
      </c>
      <c r="I381" t="s">
        <v>27</v>
      </c>
      <c r="J381" s="6">
        <v>13188</v>
      </c>
      <c r="K381" s="16">
        <v>1009</v>
      </c>
      <c r="L381" s="16">
        <v>1017</v>
      </c>
      <c r="M381" s="16">
        <v>1006</v>
      </c>
      <c r="N381" s="16">
        <v>1010</v>
      </c>
      <c r="O381" s="16">
        <v>1012</v>
      </c>
      <c r="P381" s="16">
        <v>1008</v>
      </c>
      <c r="Q381" s="16">
        <v>1012</v>
      </c>
      <c r="R381" s="16">
        <v>1003</v>
      </c>
      <c r="S381" s="16">
        <v>1003</v>
      </c>
      <c r="T381" s="16">
        <v>1014</v>
      </c>
      <c r="U381" s="15">
        <v>1009.4</v>
      </c>
      <c r="V381" t="s">
        <v>19</v>
      </c>
      <c r="W381" t="s">
        <v>28</v>
      </c>
      <c r="X381">
        <v>1748</v>
      </c>
      <c r="Y381" s="16">
        <f>VLOOKUP(Tabela1[[#This Row],[SKU]],SKU!A:D,4,0)</f>
        <v>1000</v>
      </c>
      <c r="Z381" s="18">
        <f>IFERROR((Tabela1[[#This Row],[Média]]-Tabela1[[#This Row],[Meta]])/Tabela1[[#This Row],[Meta]],"")</f>
        <v>9.3999999999999778E-3</v>
      </c>
      <c r="AA381" s="22">
        <f>Tabela1[[#This Row],[Média]]-Tabela1[[#This Row],[Meta]]</f>
        <v>9.3999999999999773</v>
      </c>
      <c r="AB381" s="6" t="str">
        <f>VLOOKUP(Tabela1[[#This Row],[SKU]],SKU!A:B,2,0)</f>
        <v>SOBRECOXA CG BDJ SE</v>
      </c>
      <c r="AC381" s="6" t="str">
        <f>VLOOKUP(Tabela1[[#This Row],[SKU]],SKU!A:C,3,0)</f>
        <v>PERNA</v>
      </c>
    </row>
    <row r="382" spans="1:29" x14ac:dyDescent="0.3">
      <c r="A382" s="2">
        <f>INT(Tabela1[[#This Row],[Data e Hora2]])</f>
        <v>46266</v>
      </c>
      <c r="B382" s="6" t="str">
        <f>UPPER(TEXT(Tabela1[[#This Row],[Data Corrigida]],"MMM"))</f>
        <v>SET</v>
      </c>
      <c r="C382" t="s">
        <v>1071</v>
      </c>
      <c r="D382" s="2" t="s">
        <v>1072</v>
      </c>
      <c r="E382" s="1" t="s">
        <v>1066</v>
      </c>
      <c r="F382" t="s">
        <v>24</v>
      </c>
      <c r="G382" s="2" t="s">
        <v>960</v>
      </c>
      <c r="H382" t="s">
        <v>26</v>
      </c>
      <c r="I382" t="s">
        <v>27</v>
      </c>
      <c r="J382" s="6">
        <v>864048</v>
      </c>
      <c r="K382" s="16">
        <v>2013</v>
      </c>
      <c r="L382" s="16">
        <v>2026</v>
      </c>
      <c r="M382" s="16">
        <v>2010</v>
      </c>
      <c r="N382" s="16">
        <v>2004</v>
      </c>
      <c r="O382" s="16">
        <v>2023</v>
      </c>
      <c r="P382" s="16">
        <v>2013</v>
      </c>
      <c r="Q382" s="16">
        <v>2014</v>
      </c>
      <c r="R382" s="16">
        <v>2024</v>
      </c>
      <c r="S382" s="16">
        <v>2016</v>
      </c>
      <c r="T382" s="16">
        <v>2016</v>
      </c>
      <c r="U382" s="15">
        <v>2015.9</v>
      </c>
      <c r="V382" t="s">
        <v>19</v>
      </c>
      <c r="W382" t="s">
        <v>19</v>
      </c>
      <c r="X382">
        <v>155</v>
      </c>
      <c r="Y382" s="16">
        <f>VLOOKUP(Tabela1[[#This Row],[SKU]],SKU!A:D,4,0)</f>
        <v>2000</v>
      </c>
      <c r="Z382" s="18">
        <f>IFERROR((Tabela1[[#This Row],[Média]]-Tabela1[[#This Row],[Meta]])/Tabela1[[#This Row],[Meta]],"")</f>
        <v>7.9500000000000456E-3</v>
      </c>
      <c r="AA382" s="22">
        <f>Tabela1[[#This Row],[Média]]-Tabela1[[#This Row],[Meta]]</f>
        <v>15.900000000000091</v>
      </c>
      <c r="AB382" s="6" t="str">
        <f>VLOOKUP(Tabela1[[#This Row],[SKU]],SKU!A:B,2,0)</f>
        <v>COXA SBCX S/O 200g FG UP PB</v>
      </c>
      <c r="AC382" s="6" t="str">
        <f>VLOOKUP(Tabela1[[#This Row],[SKU]],SKU!A:C,3,0)</f>
        <v>PERNA</v>
      </c>
    </row>
    <row r="383" spans="1:29" x14ac:dyDescent="0.3">
      <c r="A383" s="2">
        <f>INT(Tabela1[[#This Row],[Data e Hora2]])</f>
        <v>46266</v>
      </c>
      <c r="B383" s="6" t="str">
        <f>UPPER(TEXT(Tabela1[[#This Row],[Data Corrigida]],"MMM"))</f>
        <v>SET</v>
      </c>
      <c r="C383" t="s">
        <v>1073</v>
      </c>
      <c r="D383" s="2" t="s">
        <v>1074</v>
      </c>
      <c r="E383" s="1" t="s">
        <v>1066</v>
      </c>
      <c r="F383" t="s">
        <v>24</v>
      </c>
      <c r="G383" s="2" t="s">
        <v>960</v>
      </c>
      <c r="H383" t="s">
        <v>26</v>
      </c>
      <c r="I383" t="s">
        <v>27</v>
      </c>
      <c r="J383" s="6">
        <v>42846</v>
      </c>
      <c r="K383" s="16">
        <v>2012</v>
      </c>
      <c r="L383" s="16">
        <v>2017</v>
      </c>
      <c r="M383" s="16">
        <v>1988</v>
      </c>
      <c r="N383" s="16">
        <v>2039</v>
      </c>
      <c r="O383" s="16">
        <v>2016</v>
      </c>
      <c r="P383" s="16">
        <v>2005</v>
      </c>
      <c r="Q383" s="16">
        <v>2032</v>
      </c>
      <c r="R383" s="16">
        <v>2014</v>
      </c>
      <c r="S383" s="16">
        <v>2004</v>
      </c>
      <c r="T383" s="16">
        <v>2018</v>
      </c>
      <c r="U383" s="15">
        <v>2014.5</v>
      </c>
      <c r="V383" t="s">
        <v>19</v>
      </c>
      <c r="W383" t="s">
        <v>28</v>
      </c>
      <c r="X383">
        <v>299</v>
      </c>
      <c r="Y383" s="16">
        <f>VLOOKUP(Tabela1[[#This Row],[SKU]],SKU!A:D,4,0)</f>
        <v>2000</v>
      </c>
      <c r="Z383" s="18">
        <f>IFERROR((Tabela1[[#This Row],[Média]]-Tabela1[[#This Row],[Meta]])/Tabela1[[#This Row],[Meta]],"")</f>
        <v>7.2500000000000004E-3</v>
      </c>
      <c r="AA383" s="22">
        <f>Tabela1[[#This Row],[Média]]-Tabela1[[#This Row],[Meta]]</f>
        <v>14.5</v>
      </c>
      <c r="AB383" s="6" t="str">
        <f>VLOOKUP(Tabela1[[#This Row],[SKU]],SKU!A:B,2,0)</f>
        <v>COXA SBCX S/O FG 240-260g PB</v>
      </c>
      <c r="AC383" s="6" t="str">
        <f>VLOOKUP(Tabela1[[#This Row],[SKU]],SKU!A:C,3,0)</f>
        <v>PERNA</v>
      </c>
    </row>
    <row r="384" spans="1:29" x14ac:dyDescent="0.3">
      <c r="A384" s="2">
        <f>INT(Tabela1[[#This Row],[Data e Hora2]])</f>
        <v>46266</v>
      </c>
      <c r="B384" s="6" t="str">
        <f>UPPER(TEXT(Tabela1[[#This Row],[Data Corrigida]],"MMM"))</f>
        <v>SET</v>
      </c>
      <c r="C384" t="s">
        <v>1075</v>
      </c>
      <c r="D384" s="2" t="s">
        <v>1076</v>
      </c>
      <c r="E384" s="1" t="s">
        <v>1066</v>
      </c>
      <c r="F384" t="s">
        <v>24</v>
      </c>
      <c r="G384" s="2" t="s">
        <v>960</v>
      </c>
      <c r="H384" t="s">
        <v>26</v>
      </c>
      <c r="I384" t="s">
        <v>27</v>
      </c>
      <c r="J384" s="6">
        <v>42838</v>
      </c>
      <c r="K384" s="16">
        <v>2058</v>
      </c>
      <c r="L384" s="16">
        <v>2055</v>
      </c>
      <c r="M384" s="16">
        <v>2060</v>
      </c>
      <c r="N384" s="16">
        <v>2056</v>
      </c>
      <c r="O384" s="16">
        <v>2073</v>
      </c>
      <c r="P384" s="16">
        <v>2055</v>
      </c>
      <c r="Q384" s="16">
        <v>2033</v>
      </c>
      <c r="R384" s="16">
        <v>2054</v>
      </c>
      <c r="S384" s="16">
        <v>2049</v>
      </c>
      <c r="T384" s="16">
        <v>2033</v>
      </c>
      <c r="U384" s="15">
        <v>2052.6</v>
      </c>
      <c r="V384" t="s">
        <v>19</v>
      </c>
      <c r="W384" t="s">
        <v>19</v>
      </c>
      <c r="X384">
        <v>116</v>
      </c>
      <c r="Y384" s="16">
        <f>VLOOKUP(Tabela1[[#This Row],[SKU]],SKU!A:D,4,0)</f>
        <v>2000</v>
      </c>
      <c r="Z384" s="18">
        <f>IFERROR((Tabela1[[#This Row],[Média]]-Tabela1[[#This Row],[Meta]])/Tabela1[[#This Row],[Meta]],"")</f>
        <v>2.6299999999999955E-2</v>
      </c>
      <c r="AA384" s="22">
        <f>Tabela1[[#This Row],[Média]]-Tabela1[[#This Row],[Meta]]</f>
        <v>52.599999999999909</v>
      </c>
      <c r="AB384" s="6" t="str">
        <f>VLOOKUP(Tabela1[[#This Row],[SKU]],SKU!A:B,2,0)</f>
        <v>COXA SBCX S/O FG 220-240g PB</v>
      </c>
      <c r="AC384" s="6" t="str">
        <f>VLOOKUP(Tabela1[[#This Row],[SKU]],SKU!A:C,3,0)</f>
        <v>PERNA</v>
      </c>
    </row>
    <row r="385" spans="1:29" x14ac:dyDescent="0.3">
      <c r="A385" s="2">
        <f>INT(Tabela1[[#This Row],[Data e Hora2]])</f>
        <v>46266</v>
      </c>
      <c r="B385" s="6" t="str">
        <f>UPPER(TEXT(Tabela1[[#This Row],[Data Corrigida]],"MMM"))</f>
        <v>SET</v>
      </c>
      <c r="C385" t="s">
        <v>1077</v>
      </c>
      <c r="D385" s="2" t="s">
        <v>1078</v>
      </c>
      <c r="E385" s="1" t="s">
        <v>1079</v>
      </c>
      <c r="F385" t="s">
        <v>24</v>
      </c>
      <c r="G385" s="2" t="s">
        <v>960</v>
      </c>
      <c r="H385" t="s">
        <v>26</v>
      </c>
      <c r="I385" t="s">
        <v>27</v>
      </c>
      <c r="J385" s="6">
        <v>42862</v>
      </c>
      <c r="K385" s="16">
        <v>2060</v>
      </c>
      <c r="L385" s="16">
        <v>2053</v>
      </c>
      <c r="M385" s="16">
        <v>2042</v>
      </c>
      <c r="N385" s="16">
        <v>2019</v>
      </c>
      <c r="O385" s="16">
        <v>2031</v>
      </c>
      <c r="P385" s="16">
        <v>2012</v>
      </c>
      <c r="Q385" s="16">
        <v>2058</v>
      </c>
      <c r="R385" s="16">
        <v>2053</v>
      </c>
      <c r="S385" s="16">
        <v>2018</v>
      </c>
      <c r="T385" s="16">
        <v>2025</v>
      </c>
      <c r="U385" s="15">
        <v>2037.1</v>
      </c>
      <c r="V385" t="s">
        <v>19</v>
      </c>
      <c r="W385" t="s">
        <v>19</v>
      </c>
      <c r="X385">
        <v>158</v>
      </c>
      <c r="Y385" s="16">
        <f>VLOOKUP(Tabela1[[#This Row],[SKU]],SKU!A:D,4,0)</f>
        <v>2000</v>
      </c>
      <c r="Z385" s="18">
        <f>IFERROR((Tabela1[[#This Row],[Média]]-Tabela1[[#This Row],[Meta]])/Tabela1[[#This Row],[Meta]],"")</f>
        <v>1.8549999999999955E-2</v>
      </c>
      <c r="AA385" s="22">
        <f>Tabela1[[#This Row],[Média]]-Tabela1[[#This Row],[Meta]]</f>
        <v>37.099999999999909</v>
      </c>
      <c r="AB385" s="6" t="str">
        <f>VLOOKUP(Tabela1[[#This Row],[SKU]],SKU!A:B,2,0)</f>
        <v>COXA SBCX S/O FG 280-300g PB</v>
      </c>
      <c r="AC385" s="6" t="str">
        <f>VLOOKUP(Tabela1[[#This Row],[SKU]],SKU!A:C,3,0)</f>
        <v>PERNA</v>
      </c>
    </row>
    <row r="386" spans="1:29" x14ac:dyDescent="0.3">
      <c r="A386" s="2">
        <f>INT(Tabela1[[#This Row],[Data e Hora2]])</f>
        <v>46266</v>
      </c>
      <c r="B386" s="6" t="str">
        <f>UPPER(TEXT(Tabela1[[#This Row],[Data Corrigida]],"MMM"))</f>
        <v>SET</v>
      </c>
      <c r="C386" t="s">
        <v>1080</v>
      </c>
      <c r="D386" s="2" t="s">
        <v>1081</v>
      </c>
      <c r="E386" s="1" t="s">
        <v>1079</v>
      </c>
      <c r="F386" t="s">
        <v>24</v>
      </c>
      <c r="G386" s="2" t="s">
        <v>960</v>
      </c>
      <c r="H386" t="s">
        <v>26</v>
      </c>
      <c r="I386" t="s">
        <v>27</v>
      </c>
      <c r="J386" s="6">
        <v>42854</v>
      </c>
      <c r="K386" s="16">
        <v>2094</v>
      </c>
      <c r="L386" s="16">
        <v>2110</v>
      </c>
      <c r="M386" s="16">
        <v>2070</v>
      </c>
      <c r="N386" s="16">
        <v>2075</v>
      </c>
      <c r="O386" s="16">
        <v>2081</v>
      </c>
      <c r="P386" s="16">
        <v>2019</v>
      </c>
      <c r="Q386" s="16">
        <v>2084</v>
      </c>
      <c r="R386" s="16">
        <v>2092</v>
      </c>
      <c r="S386" s="16">
        <v>2096</v>
      </c>
      <c r="T386" s="16">
        <v>2100</v>
      </c>
      <c r="U386" s="15">
        <v>2082.1</v>
      </c>
      <c r="V386" t="s">
        <v>19</v>
      </c>
      <c r="W386" t="s">
        <v>28</v>
      </c>
      <c r="X386">
        <v>708</v>
      </c>
      <c r="Y386" s="16">
        <f>VLOOKUP(Tabela1[[#This Row],[SKU]],SKU!A:D,4,0)</f>
        <v>2080</v>
      </c>
      <c r="Z386" s="18">
        <f>IFERROR((Tabela1[[#This Row],[Média]]-Tabela1[[#This Row],[Meta]])/Tabela1[[#This Row],[Meta]],"")</f>
        <v>1.0096153846153408E-3</v>
      </c>
      <c r="AA386" s="22">
        <f>Tabela1[[#This Row],[Média]]-Tabela1[[#This Row],[Meta]]</f>
        <v>2.0999999999999091</v>
      </c>
      <c r="AB386" s="6" t="str">
        <f>VLOOKUP(Tabela1[[#This Row],[SKU]],SKU!A:B,2,0)</f>
        <v>COXA SBCX S/O FG 260-280g PB</v>
      </c>
      <c r="AC386" s="6" t="str">
        <f>VLOOKUP(Tabela1[[#This Row],[SKU]],SKU!A:C,3,0)</f>
        <v>PERNA</v>
      </c>
    </row>
    <row r="387" spans="1:29" x14ac:dyDescent="0.3">
      <c r="A387" s="2">
        <f>INT(Tabela1[[#This Row],[Data e Hora2]])</f>
        <v>46266</v>
      </c>
      <c r="B387" s="6" t="str">
        <f>UPPER(TEXT(Tabela1[[#This Row],[Data Corrigida]],"MMM"))</f>
        <v>SET</v>
      </c>
      <c r="C387" t="s">
        <v>1082</v>
      </c>
      <c r="D387" s="2" t="s">
        <v>1083</v>
      </c>
      <c r="E387" s="1" t="s">
        <v>1079</v>
      </c>
      <c r="F387" t="s">
        <v>24</v>
      </c>
      <c r="G387" s="2" t="s">
        <v>960</v>
      </c>
      <c r="H387" t="s">
        <v>26</v>
      </c>
      <c r="I387" t="s">
        <v>27</v>
      </c>
      <c r="J387" s="6">
        <v>13188</v>
      </c>
      <c r="K387" s="16">
        <v>1014</v>
      </c>
      <c r="L387" s="16">
        <v>1010</v>
      </c>
      <c r="M387" s="16">
        <v>1003</v>
      </c>
      <c r="N387" s="16">
        <v>1020</v>
      </c>
      <c r="O387" s="16">
        <v>1002</v>
      </c>
      <c r="P387" s="16">
        <v>1021</v>
      </c>
      <c r="Q387" s="16">
        <v>1023</v>
      </c>
      <c r="R387" s="16">
        <v>1008</v>
      </c>
      <c r="S387" s="16">
        <v>1024</v>
      </c>
      <c r="T387" s="16">
        <v>1025</v>
      </c>
      <c r="U387" s="15">
        <v>1015</v>
      </c>
      <c r="V387" t="s">
        <v>19</v>
      </c>
      <c r="W387" t="s">
        <v>28</v>
      </c>
      <c r="X387">
        <v>137</v>
      </c>
      <c r="Y387" s="16">
        <f>VLOOKUP(Tabela1[[#This Row],[SKU]],SKU!A:D,4,0)</f>
        <v>1000</v>
      </c>
      <c r="Z387" s="18">
        <f>IFERROR((Tabela1[[#This Row],[Média]]-Tabela1[[#This Row],[Meta]])/Tabela1[[#This Row],[Meta]],"")</f>
        <v>1.4999999999999999E-2</v>
      </c>
      <c r="AA387" s="22">
        <f>Tabela1[[#This Row],[Média]]-Tabela1[[#This Row],[Meta]]</f>
        <v>15</v>
      </c>
      <c r="AB387" s="6" t="str">
        <f>VLOOKUP(Tabela1[[#This Row],[SKU]],SKU!A:B,2,0)</f>
        <v>SOBRECOXA CG BDJ SE</v>
      </c>
      <c r="AC387" s="6" t="str">
        <f>VLOOKUP(Tabela1[[#This Row],[SKU]],SKU!A:C,3,0)</f>
        <v>PERNA</v>
      </c>
    </row>
    <row r="388" spans="1:29" x14ac:dyDescent="0.3">
      <c r="A388" s="2">
        <f>INT(Tabela1[[#This Row],[Data e Hora2]])</f>
        <v>46266</v>
      </c>
      <c r="B388" s="6" t="str">
        <f>UPPER(TEXT(Tabela1[[#This Row],[Data Corrigida]],"MMM"))</f>
        <v>SET</v>
      </c>
      <c r="C388" t="s">
        <v>1084</v>
      </c>
      <c r="D388" s="2" t="s">
        <v>1085</v>
      </c>
      <c r="E388" s="1" t="s">
        <v>1079</v>
      </c>
      <c r="F388" t="s">
        <v>24</v>
      </c>
      <c r="G388" s="2" t="s">
        <v>960</v>
      </c>
      <c r="H388" t="s">
        <v>26</v>
      </c>
      <c r="I388" t="s">
        <v>27</v>
      </c>
      <c r="J388" s="6">
        <v>15229</v>
      </c>
      <c r="K388" s="16">
        <v>1015</v>
      </c>
      <c r="L388" s="16">
        <v>1008</v>
      </c>
      <c r="M388" s="16">
        <v>1005</v>
      </c>
      <c r="N388" s="16">
        <v>1004</v>
      </c>
      <c r="O388" s="16">
        <v>1016</v>
      </c>
      <c r="P388" s="16">
        <v>1018</v>
      </c>
      <c r="Q388" s="16">
        <v>1006</v>
      </c>
      <c r="R388" s="16">
        <v>1008</v>
      </c>
      <c r="S388" s="16">
        <v>1017</v>
      </c>
      <c r="T388" s="16">
        <v>1016</v>
      </c>
      <c r="U388" s="15">
        <v>1011.3</v>
      </c>
      <c r="V388" t="s">
        <v>19</v>
      </c>
      <c r="W388" t="s">
        <v>19</v>
      </c>
      <c r="X388">
        <v>191</v>
      </c>
      <c r="Y388" s="16">
        <f>VLOOKUP(Tabela1[[#This Row],[SKU]],SKU!A:D,4,0)</f>
        <v>1000</v>
      </c>
      <c r="Z388" s="18">
        <f>IFERROR((Tabela1[[#This Row],[Média]]-Tabela1[[#This Row],[Meta]])/Tabela1[[#This Row],[Meta]],"")</f>
        <v>1.1299999999999954E-2</v>
      </c>
      <c r="AA388" s="22">
        <f>Tabela1[[#This Row],[Média]]-Tabela1[[#This Row],[Meta]]</f>
        <v>11.299999999999955</v>
      </c>
      <c r="AB388" s="6" t="str">
        <f>VLOOKUP(Tabela1[[#This Row],[SKU]],SKU!A:B,2,0)</f>
        <v>COXA CG BDJ SE</v>
      </c>
      <c r="AC388" s="6" t="str">
        <f>VLOOKUP(Tabela1[[#This Row],[SKU]],SKU!A:C,3,0)</f>
        <v>PERNA</v>
      </c>
    </row>
    <row r="389" spans="1:29" x14ac:dyDescent="0.3">
      <c r="A389" s="2">
        <f>INT(Tabela1[[#This Row],[Data e Hora2]])</f>
        <v>46266</v>
      </c>
      <c r="B389" s="6" t="str">
        <f>UPPER(TEXT(Tabela1[[#This Row],[Data Corrigida]],"MMM"))</f>
        <v>SET</v>
      </c>
      <c r="C389" t="s">
        <v>1086</v>
      </c>
      <c r="D389" s="2" t="s">
        <v>1087</v>
      </c>
      <c r="E389" s="1" t="s">
        <v>1079</v>
      </c>
      <c r="F389" t="s">
        <v>24</v>
      </c>
      <c r="G389" s="2" t="s">
        <v>960</v>
      </c>
      <c r="H389" t="s">
        <v>26</v>
      </c>
      <c r="I389" t="s">
        <v>27</v>
      </c>
      <c r="J389" s="6">
        <v>992093</v>
      </c>
      <c r="K389" s="16">
        <v>5010</v>
      </c>
      <c r="L389" s="16">
        <v>5017</v>
      </c>
      <c r="M389" s="16">
        <v>5002</v>
      </c>
      <c r="N389" s="16">
        <v>5014</v>
      </c>
      <c r="O389" s="16">
        <v>5008</v>
      </c>
      <c r="P389" s="16">
        <v>5012</v>
      </c>
      <c r="Q389" s="16">
        <v>5003</v>
      </c>
      <c r="R389" s="16">
        <v>5011</v>
      </c>
      <c r="S389" s="16">
        <v>5008</v>
      </c>
      <c r="T389" s="16">
        <v>5009</v>
      </c>
      <c r="U389" s="15">
        <v>5009.3999999999996</v>
      </c>
      <c r="V389" t="s">
        <v>19</v>
      </c>
      <c r="W389" t="s">
        <v>28</v>
      </c>
      <c r="X389">
        <v>482</v>
      </c>
      <c r="Y389" s="16">
        <f>VLOOKUP(Tabela1[[#This Row],[SKU]],SKU!A:D,4,0)</f>
        <v>5000</v>
      </c>
      <c r="Z389" s="18">
        <f>IFERROR((Tabela1[[#This Row],[Média]]-Tabela1[[#This Row],[Meta]])/Tabela1[[#This Row],[Meta]],"")</f>
        <v>1.8799999999999273E-3</v>
      </c>
      <c r="AA389" s="22">
        <f>Tabela1[[#This Row],[Média]]-Tabela1[[#This Row],[Meta]]</f>
        <v>9.3999999999996362</v>
      </c>
      <c r="AB389" s="6" t="str">
        <f>VLOOKUP(Tabela1[[#This Row],[SKU]],SKU!A:B,2,0)</f>
        <v>PONTA ASA FG PB CG</v>
      </c>
      <c r="AC389" s="6" t="str">
        <f>VLOOKUP(Tabela1[[#This Row],[SKU]],SKU!A:C,3,0)</f>
        <v>ASA</v>
      </c>
    </row>
    <row r="390" spans="1:29" x14ac:dyDescent="0.3">
      <c r="A390" s="2">
        <f>INT(Tabela1[[#This Row],[Data e Hora2]])</f>
        <v>46266</v>
      </c>
      <c r="B390" s="6" t="str">
        <f>UPPER(TEXT(Tabela1[[#This Row],[Data Corrigida]],"MMM"))</f>
        <v>SET</v>
      </c>
      <c r="C390" t="s">
        <v>1088</v>
      </c>
      <c r="D390" s="2" t="s">
        <v>1089</v>
      </c>
      <c r="E390" s="1" t="s">
        <v>1079</v>
      </c>
      <c r="F390" t="s">
        <v>24</v>
      </c>
      <c r="G390" s="2" t="s">
        <v>960</v>
      </c>
      <c r="H390" t="s">
        <v>26</v>
      </c>
      <c r="I390" t="s">
        <v>27</v>
      </c>
      <c r="J390" s="6">
        <v>15105</v>
      </c>
      <c r="K390" s="16">
        <v>1015</v>
      </c>
      <c r="L390" s="16">
        <v>1011</v>
      </c>
      <c r="M390" s="16">
        <v>999</v>
      </c>
      <c r="N390" s="16">
        <v>1043</v>
      </c>
      <c r="O390" s="16">
        <v>1006</v>
      </c>
      <c r="P390" s="16">
        <v>1017</v>
      </c>
      <c r="Q390" s="16">
        <v>1047</v>
      </c>
      <c r="R390" s="16">
        <v>1021</v>
      </c>
      <c r="S390" s="16">
        <v>975</v>
      </c>
      <c r="T390" s="16">
        <v>1022</v>
      </c>
      <c r="U390" s="15">
        <v>1015.6</v>
      </c>
      <c r="V390" t="s">
        <v>19</v>
      </c>
      <c r="W390" t="s">
        <v>28</v>
      </c>
      <c r="X390">
        <v>239</v>
      </c>
      <c r="Y390" s="16">
        <f>VLOOKUP(Tabela1[[#This Row],[SKU]],SKU!A:D,4,0)</f>
        <v>1000</v>
      </c>
      <c r="Z390" s="18">
        <f>IFERROR((Tabela1[[#This Row],[Média]]-Tabela1[[#This Row],[Meta]])/Tabela1[[#This Row],[Meta]],"")</f>
        <v>1.5600000000000024E-2</v>
      </c>
      <c r="AA390" s="22">
        <f>Tabela1[[#This Row],[Média]]-Tabela1[[#This Row],[Meta]]</f>
        <v>15.600000000000023</v>
      </c>
      <c r="AB390" s="6" t="str">
        <f>VLOOKUP(Tabela1[[#This Row],[SKU]],SKU!A:B,2,0)</f>
        <v>FILE PEITO MET CG BDJ SE</v>
      </c>
      <c r="AC390" s="6" t="str">
        <f>VLOOKUP(Tabela1[[#This Row],[SKU]],SKU!A:C,3,0)</f>
        <v>PEITO</v>
      </c>
    </row>
    <row r="391" spans="1:29" x14ac:dyDescent="0.3">
      <c r="A391" s="2">
        <f>INT(Tabela1[[#This Row],[Data e Hora2]])</f>
        <v>46266</v>
      </c>
      <c r="B391" s="6" t="str">
        <f>UPPER(TEXT(Tabela1[[#This Row],[Data Corrigida]],"MMM"))</f>
        <v>SET</v>
      </c>
      <c r="C391" t="s">
        <v>1090</v>
      </c>
      <c r="D391" s="2" t="s">
        <v>1091</v>
      </c>
      <c r="E391" s="1" t="s">
        <v>1092</v>
      </c>
      <c r="F391" t="s">
        <v>24</v>
      </c>
      <c r="G391" s="2" t="s">
        <v>960</v>
      </c>
      <c r="H391" t="s">
        <v>26</v>
      </c>
      <c r="I391" t="s">
        <v>57</v>
      </c>
      <c r="J391" s="6">
        <v>40762</v>
      </c>
      <c r="K391" s="16">
        <v>9990</v>
      </c>
      <c r="L391" s="16">
        <v>10050</v>
      </c>
      <c r="M391" s="16">
        <v>10050</v>
      </c>
      <c r="N391" s="16">
        <v>9950</v>
      </c>
      <c r="O391" s="16">
        <v>10055</v>
      </c>
      <c r="P391" s="16">
        <v>9975</v>
      </c>
      <c r="Q391" s="16">
        <v>10020</v>
      </c>
      <c r="R391" s="16">
        <v>10005</v>
      </c>
      <c r="S391" s="16">
        <v>10030</v>
      </c>
      <c r="T391" s="16">
        <v>10060</v>
      </c>
      <c r="U391" s="15">
        <v>10018.5</v>
      </c>
      <c r="V391" t="s">
        <v>19</v>
      </c>
      <c r="W391" t="s">
        <v>28</v>
      </c>
      <c r="X391">
        <v>886</v>
      </c>
      <c r="Y391" s="16">
        <f>VLOOKUP(Tabela1[[#This Row],[SKU]],SKU!A:D,4,0)</f>
        <v>10000</v>
      </c>
      <c r="Z391" s="18">
        <f>IFERROR((Tabela1[[#This Row],[Média]]-Tabela1[[#This Row],[Meta]])/Tabela1[[#This Row],[Meta]],"")</f>
        <v>1.8500000000000001E-3</v>
      </c>
      <c r="AA391" s="22">
        <f>Tabela1[[#This Row],[Média]]-Tabela1[[#This Row],[Meta]]</f>
        <v>18.5</v>
      </c>
      <c r="AB391" s="6" t="str">
        <f>VLOOKUP(Tabela1[[#This Row],[SKU]],SKU!A:B,2,0)</f>
        <v>COXA SBCX LQ FG LP</v>
      </c>
      <c r="AC391" s="6" t="str">
        <f>VLOOKUP(Tabela1[[#This Row],[SKU]],SKU!A:C,3,0)</f>
        <v>PERNA</v>
      </c>
    </row>
    <row r="392" spans="1:29" x14ac:dyDescent="0.3">
      <c r="A392" s="2">
        <f>INT(Tabela1[[#This Row],[Data e Hora2]])</f>
        <v>46266</v>
      </c>
      <c r="B392" s="6" t="str">
        <f>UPPER(TEXT(Tabela1[[#This Row],[Data Corrigida]],"MMM"))</f>
        <v>SET</v>
      </c>
      <c r="C392" t="s">
        <v>1093</v>
      </c>
      <c r="D392" s="2" t="s">
        <v>1094</v>
      </c>
      <c r="E392" s="1" t="s">
        <v>1092</v>
      </c>
      <c r="F392" t="s">
        <v>24</v>
      </c>
      <c r="G392" s="2" t="s">
        <v>960</v>
      </c>
      <c r="H392" t="s">
        <v>26</v>
      </c>
      <c r="I392" t="s">
        <v>57</v>
      </c>
      <c r="J392" s="6">
        <v>40762</v>
      </c>
      <c r="K392" s="16">
        <v>9990</v>
      </c>
      <c r="L392" s="16">
        <v>9975</v>
      </c>
      <c r="M392" s="16">
        <v>9965</v>
      </c>
      <c r="N392" s="16">
        <v>10040</v>
      </c>
      <c r="O392" s="16">
        <v>10035</v>
      </c>
      <c r="P392" s="16">
        <v>10065</v>
      </c>
      <c r="Q392" s="16">
        <v>10035</v>
      </c>
      <c r="R392" s="16">
        <v>10060</v>
      </c>
      <c r="S392" s="16">
        <v>10090</v>
      </c>
      <c r="T392" s="16">
        <v>9985</v>
      </c>
      <c r="U392" s="15">
        <v>10024</v>
      </c>
      <c r="V392" t="s">
        <v>19</v>
      </c>
      <c r="W392" t="s">
        <v>28</v>
      </c>
      <c r="X392">
        <v>1262</v>
      </c>
      <c r="Y392" s="16">
        <f>VLOOKUP(Tabela1[[#This Row],[SKU]],SKU!A:D,4,0)</f>
        <v>10000</v>
      </c>
      <c r="Z392" s="18">
        <f>IFERROR((Tabela1[[#This Row],[Média]]-Tabela1[[#This Row],[Meta]])/Tabela1[[#This Row],[Meta]],"")</f>
        <v>2.3999999999999998E-3</v>
      </c>
      <c r="AA392" s="22">
        <f>Tabela1[[#This Row],[Média]]-Tabela1[[#This Row],[Meta]]</f>
        <v>24</v>
      </c>
      <c r="AB392" s="6" t="str">
        <f>VLOOKUP(Tabela1[[#This Row],[SKU]],SKU!A:B,2,0)</f>
        <v>COXA SBCX LQ FG LP</v>
      </c>
      <c r="AC392" s="6" t="str">
        <f>VLOOKUP(Tabela1[[#This Row],[SKU]],SKU!A:C,3,0)</f>
        <v>PERNA</v>
      </c>
    </row>
    <row r="393" spans="1:29" x14ac:dyDescent="0.3">
      <c r="A393" s="2">
        <f>INT(Tabela1[[#This Row],[Data e Hora2]])</f>
        <v>46266</v>
      </c>
      <c r="B393" s="6" t="str">
        <f>UPPER(TEXT(Tabela1[[#This Row],[Data Corrigida]],"MMM"))</f>
        <v>SET</v>
      </c>
      <c r="C393" t="s">
        <v>1095</v>
      </c>
      <c r="D393" s="2" t="s">
        <v>1096</v>
      </c>
      <c r="E393" s="1" t="s">
        <v>1092</v>
      </c>
      <c r="F393" t="s">
        <v>24</v>
      </c>
      <c r="G393" s="2" t="s">
        <v>960</v>
      </c>
      <c r="H393" t="s">
        <v>26</v>
      </c>
      <c r="I393" t="s">
        <v>57</v>
      </c>
      <c r="J393" s="6">
        <v>40762</v>
      </c>
      <c r="K393" s="16">
        <v>9980</v>
      </c>
      <c r="L393" s="16">
        <v>10115</v>
      </c>
      <c r="M393" s="16">
        <v>10005</v>
      </c>
      <c r="N393" s="16">
        <v>10025</v>
      </c>
      <c r="O393" s="16">
        <v>10065</v>
      </c>
      <c r="P393" s="16">
        <v>10055</v>
      </c>
      <c r="Q393" s="16">
        <v>10045</v>
      </c>
      <c r="R393" s="16">
        <v>9960</v>
      </c>
      <c r="S393" s="16">
        <v>10005</v>
      </c>
      <c r="T393" s="16">
        <v>10040</v>
      </c>
      <c r="U393" s="15">
        <v>10029.5</v>
      </c>
      <c r="V393" t="s">
        <v>19</v>
      </c>
      <c r="W393" t="s">
        <v>28</v>
      </c>
      <c r="X393">
        <v>1669</v>
      </c>
      <c r="Y393" s="16">
        <f>VLOOKUP(Tabela1[[#This Row],[SKU]],SKU!A:D,4,0)</f>
        <v>10000</v>
      </c>
      <c r="Z393" s="18">
        <f>IFERROR((Tabela1[[#This Row],[Média]]-Tabela1[[#This Row],[Meta]])/Tabela1[[#This Row],[Meta]],"")</f>
        <v>2.9499999999999999E-3</v>
      </c>
      <c r="AA393" s="22">
        <f>Tabela1[[#This Row],[Média]]-Tabela1[[#This Row],[Meta]]</f>
        <v>29.5</v>
      </c>
      <c r="AB393" s="6" t="str">
        <f>VLOOKUP(Tabela1[[#This Row],[SKU]],SKU!A:B,2,0)</f>
        <v>COXA SBCX LQ FG LP</v>
      </c>
      <c r="AC393" s="6" t="str">
        <f>VLOOKUP(Tabela1[[#This Row],[SKU]],SKU!A:C,3,0)</f>
        <v>PERNA</v>
      </c>
    </row>
    <row r="394" spans="1:29" x14ac:dyDescent="0.3">
      <c r="A394" s="2">
        <f>INT(Tabela1[[#This Row],[Data e Hora2]])</f>
        <v>46266</v>
      </c>
      <c r="B394" s="6" t="str">
        <f>UPPER(TEXT(Tabela1[[#This Row],[Data Corrigida]],"MMM"))</f>
        <v>SET</v>
      </c>
      <c r="C394" t="s">
        <v>1097</v>
      </c>
      <c r="D394" s="2" t="s">
        <v>1098</v>
      </c>
      <c r="E394" s="1" t="s">
        <v>1099</v>
      </c>
      <c r="F394" t="s">
        <v>24</v>
      </c>
      <c r="G394" s="2" t="s">
        <v>960</v>
      </c>
      <c r="H394" t="s">
        <v>26</v>
      </c>
      <c r="I394" t="s">
        <v>57</v>
      </c>
      <c r="J394" s="6">
        <v>15105</v>
      </c>
      <c r="K394" s="16">
        <v>1025</v>
      </c>
      <c r="L394" s="16">
        <v>1017</v>
      </c>
      <c r="M394" s="16">
        <v>1005</v>
      </c>
      <c r="N394" s="16">
        <v>1021</v>
      </c>
      <c r="O394" s="16">
        <v>996</v>
      </c>
      <c r="P394" s="16">
        <v>997</v>
      </c>
      <c r="Q394" s="16">
        <v>1000</v>
      </c>
      <c r="R394" s="16">
        <v>1004</v>
      </c>
      <c r="S394" s="16">
        <v>993</v>
      </c>
      <c r="T394" s="16">
        <v>1008</v>
      </c>
      <c r="U394" s="15">
        <v>1006.6</v>
      </c>
      <c r="V394" t="s">
        <v>19</v>
      </c>
      <c r="W394" t="s">
        <v>28</v>
      </c>
      <c r="X394">
        <v>277</v>
      </c>
      <c r="Y394" s="16">
        <f>VLOOKUP(Tabela1[[#This Row],[SKU]],SKU!A:D,4,0)</f>
        <v>1000</v>
      </c>
      <c r="Z394" s="18">
        <f>IFERROR((Tabela1[[#This Row],[Média]]-Tabela1[[#This Row],[Meta]])/Tabela1[[#This Row],[Meta]],"")</f>
        <v>6.6000000000000225E-3</v>
      </c>
      <c r="AA394" s="22">
        <f>Tabela1[[#This Row],[Média]]-Tabela1[[#This Row],[Meta]]</f>
        <v>6.6000000000000227</v>
      </c>
      <c r="AB394" s="6" t="str">
        <f>VLOOKUP(Tabela1[[#This Row],[SKU]],SKU!A:B,2,0)</f>
        <v>FILE PEITO MET CG BDJ SE</v>
      </c>
      <c r="AC394" s="6" t="str">
        <f>VLOOKUP(Tabela1[[#This Row],[SKU]],SKU!A:C,3,0)</f>
        <v>PEITO</v>
      </c>
    </row>
    <row r="395" spans="1:29" x14ac:dyDescent="0.3">
      <c r="A395" s="2">
        <f>INT(Tabela1[[#This Row],[Data e Hora2]])</f>
        <v>46266</v>
      </c>
      <c r="B395" s="6" t="str">
        <f>UPPER(TEXT(Tabela1[[#This Row],[Data Corrigida]],"MMM"))</f>
        <v>SET</v>
      </c>
      <c r="C395" t="s">
        <v>1100</v>
      </c>
      <c r="D395" s="2" t="s">
        <v>1101</v>
      </c>
      <c r="E395" s="1" t="s">
        <v>1102</v>
      </c>
      <c r="F395" t="s">
        <v>24</v>
      </c>
      <c r="G395" s="2" t="s">
        <v>960</v>
      </c>
      <c r="H395" t="s">
        <v>26</v>
      </c>
      <c r="I395" t="s">
        <v>57</v>
      </c>
      <c r="J395" s="6">
        <v>15105</v>
      </c>
      <c r="K395" s="16">
        <v>1016</v>
      </c>
      <c r="L395" s="16">
        <v>991</v>
      </c>
      <c r="M395" s="16">
        <v>996</v>
      </c>
      <c r="N395" s="16">
        <v>1035</v>
      </c>
      <c r="O395" s="16">
        <v>1020</v>
      </c>
      <c r="P395" s="16">
        <v>1012</v>
      </c>
      <c r="Q395" s="16">
        <v>995</v>
      </c>
      <c r="R395" s="16">
        <v>1005</v>
      </c>
      <c r="S395" s="16">
        <v>1046</v>
      </c>
      <c r="T395" s="16">
        <v>1013</v>
      </c>
      <c r="U395" s="15">
        <v>1012.9</v>
      </c>
      <c r="V395" t="s">
        <v>19</v>
      </c>
      <c r="W395" t="s">
        <v>28</v>
      </c>
      <c r="X395">
        <v>375</v>
      </c>
      <c r="Y395" s="16">
        <f>VLOOKUP(Tabela1[[#This Row],[SKU]],SKU!A:D,4,0)</f>
        <v>1000</v>
      </c>
      <c r="Z395" s="18">
        <f>IFERROR((Tabela1[[#This Row],[Média]]-Tabela1[[#This Row],[Meta]])/Tabela1[[#This Row],[Meta]],"")</f>
        <v>1.2899999999999977E-2</v>
      </c>
      <c r="AA395" s="22">
        <f>Tabela1[[#This Row],[Média]]-Tabela1[[#This Row],[Meta]]</f>
        <v>12.899999999999977</v>
      </c>
      <c r="AB395" s="6" t="str">
        <f>VLOOKUP(Tabela1[[#This Row],[SKU]],SKU!A:B,2,0)</f>
        <v>FILE PEITO MET CG BDJ SE</v>
      </c>
      <c r="AC395" s="6" t="str">
        <f>VLOOKUP(Tabela1[[#This Row],[SKU]],SKU!A:C,3,0)</f>
        <v>PEITO</v>
      </c>
    </row>
    <row r="396" spans="1:29" x14ac:dyDescent="0.3">
      <c r="A396" s="2">
        <f>INT(Tabela1[[#This Row],[Data e Hora2]])</f>
        <v>46266</v>
      </c>
      <c r="B396" s="6" t="str">
        <f>UPPER(TEXT(Tabela1[[#This Row],[Data Corrigida]],"MMM"))</f>
        <v>SET</v>
      </c>
      <c r="C396" t="s">
        <v>1103</v>
      </c>
      <c r="D396" s="2" t="s">
        <v>1104</v>
      </c>
      <c r="E396" s="1" t="s">
        <v>1102</v>
      </c>
      <c r="F396" t="s">
        <v>24</v>
      </c>
      <c r="G396" s="2" t="s">
        <v>960</v>
      </c>
      <c r="H396" t="s">
        <v>26</v>
      </c>
      <c r="I396" t="s">
        <v>57</v>
      </c>
      <c r="J396" s="6">
        <v>15105</v>
      </c>
      <c r="K396" s="16">
        <v>997</v>
      </c>
      <c r="L396" s="16">
        <v>1022</v>
      </c>
      <c r="M396" s="16">
        <v>1052</v>
      </c>
      <c r="N396" s="16">
        <v>1009</v>
      </c>
      <c r="O396" s="16">
        <v>1006</v>
      </c>
      <c r="P396" s="16">
        <v>1007</v>
      </c>
      <c r="Q396" s="16">
        <v>1008</v>
      </c>
      <c r="R396" s="16">
        <v>1034</v>
      </c>
      <c r="S396" s="16">
        <v>990</v>
      </c>
      <c r="T396" s="16">
        <v>1015</v>
      </c>
      <c r="U396" s="15">
        <v>1014</v>
      </c>
      <c r="V396" t="s">
        <v>19</v>
      </c>
      <c r="W396" t="s">
        <v>28</v>
      </c>
      <c r="X396">
        <v>155</v>
      </c>
      <c r="Y396" s="16">
        <f>VLOOKUP(Tabela1[[#This Row],[SKU]],SKU!A:D,4,0)</f>
        <v>1000</v>
      </c>
      <c r="Z396" s="18">
        <f>IFERROR((Tabela1[[#This Row],[Média]]-Tabela1[[#This Row],[Meta]])/Tabela1[[#This Row],[Meta]],"")</f>
        <v>1.4E-2</v>
      </c>
      <c r="AA396" s="22">
        <f>Tabela1[[#This Row],[Média]]-Tabela1[[#This Row],[Meta]]</f>
        <v>14</v>
      </c>
      <c r="AB396" s="6" t="str">
        <f>VLOOKUP(Tabela1[[#This Row],[SKU]],SKU!A:B,2,0)</f>
        <v>FILE PEITO MET CG BDJ SE</v>
      </c>
      <c r="AC396" s="6" t="str">
        <f>VLOOKUP(Tabela1[[#This Row],[SKU]],SKU!A:C,3,0)</f>
        <v>PEITO</v>
      </c>
    </row>
    <row r="397" spans="1:29" x14ac:dyDescent="0.3">
      <c r="A397" s="2">
        <f>INT(Tabela1[[#This Row],[Data e Hora2]])</f>
        <v>46266</v>
      </c>
      <c r="B397" s="6" t="str">
        <f>UPPER(TEXT(Tabela1[[#This Row],[Data Corrigida]],"MMM"))</f>
        <v>SET</v>
      </c>
      <c r="C397" t="s">
        <v>1105</v>
      </c>
      <c r="D397" s="2" t="s">
        <v>1106</v>
      </c>
      <c r="E397" s="1" t="s">
        <v>1102</v>
      </c>
      <c r="F397" t="s">
        <v>24</v>
      </c>
      <c r="G397" s="2" t="s">
        <v>960</v>
      </c>
      <c r="H397" t="s">
        <v>26</v>
      </c>
      <c r="I397" t="s">
        <v>57</v>
      </c>
      <c r="J397" s="6">
        <v>15105</v>
      </c>
      <c r="K397" s="16">
        <v>997</v>
      </c>
      <c r="L397" s="16">
        <v>1030</v>
      </c>
      <c r="M397" s="16">
        <v>996</v>
      </c>
      <c r="N397" s="16">
        <v>1030</v>
      </c>
      <c r="O397" s="16">
        <v>1051</v>
      </c>
      <c r="P397" s="16">
        <v>1036</v>
      </c>
      <c r="Q397" s="16">
        <v>1011</v>
      </c>
      <c r="R397" s="16">
        <v>995</v>
      </c>
      <c r="S397" s="16">
        <v>1020</v>
      </c>
      <c r="T397" s="16">
        <v>983</v>
      </c>
      <c r="U397" s="15">
        <v>1014.9</v>
      </c>
      <c r="V397" t="s">
        <v>19</v>
      </c>
      <c r="W397" t="s">
        <v>28</v>
      </c>
      <c r="X397">
        <v>168</v>
      </c>
      <c r="Y397" s="16">
        <f>VLOOKUP(Tabela1[[#This Row],[SKU]],SKU!A:D,4,0)</f>
        <v>1000</v>
      </c>
      <c r="Z397" s="18">
        <f>IFERROR((Tabela1[[#This Row],[Média]]-Tabela1[[#This Row],[Meta]])/Tabela1[[#This Row],[Meta]],"")</f>
        <v>1.4899999999999977E-2</v>
      </c>
      <c r="AA397" s="22">
        <f>Tabela1[[#This Row],[Média]]-Tabela1[[#This Row],[Meta]]</f>
        <v>14.899999999999977</v>
      </c>
      <c r="AB397" s="6" t="str">
        <f>VLOOKUP(Tabela1[[#This Row],[SKU]],SKU!A:B,2,0)</f>
        <v>FILE PEITO MET CG BDJ SE</v>
      </c>
      <c r="AC397" s="6" t="str">
        <f>VLOOKUP(Tabela1[[#This Row],[SKU]],SKU!A:C,3,0)</f>
        <v>PEITO</v>
      </c>
    </row>
    <row r="398" spans="1:29" x14ac:dyDescent="0.3">
      <c r="A398" s="2">
        <f>INT(Tabela1[[#This Row],[Data e Hora2]])</f>
        <v>46266</v>
      </c>
      <c r="B398" s="6" t="str">
        <f>UPPER(TEXT(Tabela1[[#This Row],[Data Corrigida]],"MMM"))</f>
        <v>SET</v>
      </c>
      <c r="C398" t="s">
        <v>1107</v>
      </c>
      <c r="D398" s="2" t="s">
        <v>1108</v>
      </c>
      <c r="E398" s="1" t="s">
        <v>1109</v>
      </c>
      <c r="F398" t="s">
        <v>24</v>
      </c>
      <c r="G398" s="2" t="s">
        <v>960</v>
      </c>
      <c r="H398" t="s">
        <v>26</v>
      </c>
      <c r="I398" t="s">
        <v>57</v>
      </c>
      <c r="J398" s="6">
        <v>13188</v>
      </c>
      <c r="K398" s="16">
        <v>1020</v>
      </c>
      <c r="L398" s="16">
        <v>1016</v>
      </c>
      <c r="M398" s="16">
        <v>1019</v>
      </c>
      <c r="N398" s="16">
        <v>1021</v>
      </c>
      <c r="O398" s="16">
        <v>1016</v>
      </c>
      <c r="P398" s="16">
        <v>1003</v>
      </c>
      <c r="Q398" s="16">
        <v>1011</v>
      </c>
      <c r="R398" s="16">
        <v>1024</v>
      </c>
      <c r="S398" s="16">
        <v>1013</v>
      </c>
      <c r="T398" s="16">
        <v>1010</v>
      </c>
      <c r="U398" s="15">
        <v>1015.3</v>
      </c>
      <c r="V398" t="s">
        <v>19</v>
      </c>
      <c r="W398" t="s">
        <v>28</v>
      </c>
      <c r="X398">
        <v>403</v>
      </c>
      <c r="Y398" s="16">
        <f>VLOOKUP(Tabela1[[#This Row],[SKU]],SKU!A:D,4,0)</f>
        <v>1000</v>
      </c>
      <c r="Z398" s="18">
        <f>IFERROR((Tabela1[[#This Row],[Média]]-Tabela1[[#This Row],[Meta]])/Tabela1[[#This Row],[Meta]],"")</f>
        <v>1.5299999999999954E-2</v>
      </c>
      <c r="AA398" s="22">
        <f>Tabela1[[#This Row],[Média]]-Tabela1[[#This Row],[Meta]]</f>
        <v>15.299999999999955</v>
      </c>
      <c r="AB398" s="6" t="str">
        <f>VLOOKUP(Tabela1[[#This Row],[SKU]],SKU!A:B,2,0)</f>
        <v>SOBRECOXA CG BDJ SE</v>
      </c>
      <c r="AC398" s="6" t="str">
        <f>VLOOKUP(Tabela1[[#This Row],[SKU]],SKU!A:C,3,0)</f>
        <v>PERNA</v>
      </c>
    </row>
    <row r="399" spans="1:29" x14ac:dyDescent="0.3">
      <c r="A399" s="2">
        <f>INT(Tabela1[[#This Row],[Data e Hora2]])</f>
        <v>46266</v>
      </c>
      <c r="B399" s="6" t="str">
        <f>UPPER(TEXT(Tabela1[[#This Row],[Data Corrigida]],"MMM"))</f>
        <v>SET</v>
      </c>
      <c r="C399" t="s">
        <v>1110</v>
      </c>
      <c r="D399" s="2" t="s">
        <v>1111</v>
      </c>
      <c r="E399" s="1" t="s">
        <v>1109</v>
      </c>
      <c r="F399" t="s">
        <v>24</v>
      </c>
      <c r="G399" s="2" t="s">
        <v>960</v>
      </c>
      <c r="H399" t="s">
        <v>26</v>
      </c>
      <c r="I399" t="s">
        <v>57</v>
      </c>
      <c r="J399" s="6">
        <v>13188</v>
      </c>
      <c r="K399" s="16">
        <v>1022</v>
      </c>
      <c r="L399" s="16">
        <v>1013</v>
      </c>
      <c r="M399" s="16">
        <v>1025</v>
      </c>
      <c r="N399" s="16">
        <v>1012</v>
      </c>
      <c r="O399" s="16">
        <v>1014</v>
      </c>
      <c r="P399" s="16">
        <v>1022</v>
      </c>
      <c r="Q399" s="16">
        <v>1010</v>
      </c>
      <c r="R399" s="16">
        <v>1022</v>
      </c>
      <c r="S399" s="16">
        <v>1005</v>
      </c>
      <c r="T399" s="16">
        <v>1023</v>
      </c>
      <c r="U399" s="15">
        <v>1016.8</v>
      </c>
      <c r="V399" t="s">
        <v>19</v>
      </c>
      <c r="W399" t="s">
        <v>28</v>
      </c>
      <c r="X399">
        <v>1131</v>
      </c>
      <c r="Y399" s="16">
        <f>VLOOKUP(Tabela1[[#This Row],[SKU]],SKU!A:D,4,0)</f>
        <v>1000</v>
      </c>
      <c r="Z399" s="18">
        <f>IFERROR((Tabela1[[#This Row],[Média]]-Tabela1[[#This Row],[Meta]])/Tabela1[[#This Row],[Meta]],"")</f>
        <v>1.6799999999999954E-2</v>
      </c>
      <c r="AA399" s="22">
        <f>Tabela1[[#This Row],[Média]]-Tabela1[[#This Row],[Meta]]</f>
        <v>16.799999999999955</v>
      </c>
      <c r="AB399" s="6" t="str">
        <f>VLOOKUP(Tabela1[[#This Row],[SKU]],SKU!A:B,2,0)</f>
        <v>SOBRECOXA CG BDJ SE</v>
      </c>
      <c r="AC399" s="6" t="str">
        <f>VLOOKUP(Tabela1[[#This Row],[SKU]],SKU!A:C,3,0)</f>
        <v>PERNA</v>
      </c>
    </row>
    <row r="400" spans="1:29" x14ac:dyDescent="0.3">
      <c r="A400" s="2">
        <f>INT(Tabela1[[#This Row],[Data e Hora2]])</f>
        <v>46266</v>
      </c>
      <c r="B400" s="6" t="str">
        <f>UPPER(TEXT(Tabela1[[#This Row],[Data Corrigida]],"MMM"))</f>
        <v>SET</v>
      </c>
      <c r="C400" t="s">
        <v>1112</v>
      </c>
      <c r="D400" s="2" t="s">
        <v>1113</v>
      </c>
      <c r="E400" s="1" t="s">
        <v>1109</v>
      </c>
      <c r="F400" t="s">
        <v>24</v>
      </c>
      <c r="G400" s="2" t="s">
        <v>960</v>
      </c>
      <c r="H400" t="s">
        <v>26</v>
      </c>
      <c r="I400" t="s">
        <v>57</v>
      </c>
      <c r="J400" s="6">
        <v>13188</v>
      </c>
      <c r="K400" s="16">
        <v>1026</v>
      </c>
      <c r="L400" s="16">
        <v>1027</v>
      </c>
      <c r="M400" s="16">
        <v>1015</v>
      </c>
      <c r="N400" s="16">
        <v>1018</v>
      </c>
      <c r="O400" s="16">
        <v>1012</v>
      </c>
      <c r="P400" s="16">
        <v>1025</v>
      </c>
      <c r="Q400" s="16">
        <v>1016</v>
      </c>
      <c r="R400" s="16">
        <v>1028</v>
      </c>
      <c r="S400" s="16">
        <v>1021</v>
      </c>
      <c r="T400" s="16">
        <v>1015</v>
      </c>
      <c r="U400" s="15">
        <v>1020.3</v>
      </c>
      <c r="V400" t="s">
        <v>19</v>
      </c>
      <c r="W400" t="s">
        <v>28</v>
      </c>
      <c r="X400">
        <v>1371</v>
      </c>
      <c r="Y400" s="16">
        <f>VLOOKUP(Tabela1[[#This Row],[SKU]],SKU!A:D,4,0)</f>
        <v>1000</v>
      </c>
      <c r="Z400" s="18">
        <f>IFERROR((Tabela1[[#This Row],[Média]]-Tabela1[[#This Row],[Meta]])/Tabela1[[#This Row],[Meta]],"")</f>
        <v>2.0299999999999953E-2</v>
      </c>
      <c r="AA400" s="22">
        <f>Tabela1[[#This Row],[Média]]-Tabela1[[#This Row],[Meta]]</f>
        <v>20.299999999999955</v>
      </c>
      <c r="AB400" s="6" t="str">
        <f>VLOOKUP(Tabela1[[#This Row],[SKU]],SKU!A:B,2,0)</f>
        <v>SOBRECOXA CG BDJ SE</v>
      </c>
      <c r="AC400" s="6" t="str">
        <f>VLOOKUP(Tabela1[[#This Row],[SKU]],SKU!A:C,3,0)</f>
        <v>PERNA</v>
      </c>
    </row>
    <row r="401" spans="1:29" x14ac:dyDescent="0.3">
      <c r="A401" s="2">
        <f>INT(Tabela1[[#This Row],[Data e Hora2]])</f>
        <v>46266</v>
      </c>
      <c r="B401" s="6" t="str">
        <f>UPPER(TEXT(Tabela1[[#This Row],[Data Corrigida]],"MMM"))</f>
        <v>SET</v>
      </c>
      <c r="C401" t="s">
        <v>1114</v>
      </c>
      <c r="D401" s="2" t="s">
        <v>1115</v>
      </c>
      <c r="E401" s="1" t="s">
        <v>1116</v>
      </c>
      <c r="F401" t="s">
        <v>24</v>
      </c>
      <c r="G401" s="2" t="s">
        <v>960</v>
      </c>
      <c r="H401" t="s">
        <v>26</v>
      </c>
      <c r="I401" t="s">
        <v>57</v>
      </c>
      <c r="J401" s="6">
        <v>13188</v>
      </c>
      <c r="K401" s="16">
        <v>983</v>
      </c>
      <c r="L401" s="16">
        <v>980</v>
      </c>
      <c r="M401" s="16">
        <v>975</v>
      </c>
      <c r="N401" s="16">
        <v>988</v>
      </c>
      <c r="O401" s="16">
        <v>1000</v>
      </c>
      <c r="P401" s="16">
        <v>985</v>
      </c>
      <c r="Q401" s="16">
        <v>976</v>
      </c>
      <c r="R401" s="16">
        <v>966</v>
      </c>
      <c r="S401" s="16">
        <v>986</v>
      </c>
      <c r="T401" s="16">
        <v>982</v>
      </c>
      <c r="U401" s="15">
        <v>982.1</v>
      </c>
      <c r="V401" t="s">
        <v>19</v>
      </c>
      <c r="W401" t="s">
        <v>28</v>
      </c>
      <c r="X401">
        <v>1852</v>
      </c>
      <c r="Y401" s="16">
        <f>VLOOKUP(Tabela1[[#This Row],[SKU]],SKU!A:D,4,0)</f>
        <v>1000</v>
      </c>
      <c r="Z401" s="18">
        <f>IFERROR((Tabela1[[#This Row],[Média]]-Tabela1[[#This Row],[Meta]])/Tabela1[[#This Row],[Meta]],"")</f>
        <v>-1.7899999999999978E-2</v>
      </c>
      <c r="AA401" s="22">
        <f>Tabela1[[#This Row],[Média]]-Tabela1[[#This Row],[Meta]]</f>
        <v>-17.899999999999977</v>
      </c>
      <c r="AB401" s="6" t="str">
        <f>VLOOKUP(Tabela1[[#This Row],[SKU]],SKU!A:B,2,0)</f>
        <v>SOBRECOXA CG BDJ SE</v>
      </c>
      <c r="AC401" s="6" t="str">
        <f>VLOOKUP(Tabela1[[#This Row],[SKU]],SKU!A:C,3,0)</f>
        <v>PERNA</v>
      </c>
    </row>
    <row r="402" spans="1:29" x14ac:dyDescent="0.3">
      <c r="A402" s="2">
        <f>INT(Tabela1[[#This Row],[Data e Hora2]])</f>
        <v>46266</v>
      </c>
      <c r="B402" s="6" t="str">
        <f>UPPER(TEXT(Tabela1[[#This Row],[Data Corrigida]],"MMM"))</f>
        <v>SET</v>
      </c>
      <c r="C402" t="s">
        <v>1117</v>
      </c>
      <c r="D402" s="2" t="s">
        <v>1118</v>
      </c>
      <c r="E402" s="1" t="s">
        <v>1116</v>
      </c>
      <c r="F402" t="s">
        <v>24</v>
      </c>
      <c r="G402" s="2" t="s">
        <v>960</v>
      </c>
      <c r="H402" t="s">
        <v>26</v>
      </c>
      <c r="I402" t="s">
        <v>57</v>
      </c>
      <c r="J402" s="6">
        <v>13188</v>
      </c>
      <c r="K402" s="16">
        <v>972</v>
      </c>
      <c r="L402" s="16">
        <v>1017</v>
      </c>
      <c r="M402" s="16">
        <v>1015</v>
      </c>
      <c r="N402" s="16">
        <v>1020</v>
      </c>
      <c r="O402" s="16">
        <v>985</v>
      </c>
      <c r="P402" s="16">
        <v>973</v>
      </c>
      <c r="Q402" s="16">
        <v>1013</v>
      </c>
      <c r="R402" s="16">
        <v>1016</v>
      </c>
      <c r="S402" s="16">
        <v>974</v>
      </c>
      <c r="T402" s="16">
        <v>1020</v>
      </c>
      <c r="U402" s="15">
        <v>1000.5</v>
      </c>
      <c r="V402" t="s">
        <v>19</v>
      </c>
      <c r="W402" t="s">
        <v>28</v>
      </c>
      <c r="X402">
        <v>2161</v>
      </c>
      <c r="Y402" s="16">
        <f>VLOOKUP(Tabela1[[#This Row],[SKU]],SKU!A:D,4,0)</f>
        <v>1000</v>
      </c>
      <c r="Z402" s="18">
        <f>IFERROR((Tabela1[[#This Row],[Média]]-Tabela1[[#This Row],[Meta]])/Tabela1[[#This Row],[Meta]],"")</f>
        <v>5.0000000000000001E-4</v>
      </c>
      <c r="AA402" s="22">
        <f>Tabela1[[#This Row],[Média]]-Tabela1[[#This Row],[Meta]]</f>
        <v>0.5</v>
      </c>
      <c r="AB402" s="6" t="str">
        <f>VLOOKUP(Tabela1[[#This Row],[SKU]],SKU!A:B,2,0)</f>
        <v>SOBRECOXA CG BDJ SE</v>
      </c>
      <c r="AC402" s="6" t="str">
        <f>VLOOKUP(Tabela1[[#This Row],[SKU]],SKU!A:C,3,0)</f>
        <v>PERNA</v>
      </c>
    </row>
    <row r="403" spans="1:29" x14ac:dyDescent="0.3">
      <c r="A403" s="2">
        <f>INT(Tabela1[[#This Row],[Data e Hora2]])</f>
        <v>46266</v>
      </c>
      <c r="B403" s="6" t="str">
        <f>UPPER(TEXT(Tabela1[[#This Row],[Data Corrigida]],"MMM"))</f>
        <v>SET</v>
      </c>
      <c r="C403" t="s">
        <v>1119</v>
      </c>
      <c r="D403" s="2" t="s">
        <v>1120</v>
      </c>
      <c r="E403" s="1" t="s">
        <v>1116</v>
      </c>
      <c r="F403" t="s">
        <v>24</v>
      </c>
      <c r="G403" s="2" t="s">
        <v>960</v>
      </c>
      <c r="H403" t="s">
        <v>26</v>
      </c>
      <c r="I403" t="s">
        <v>57</v>
      </c>
      <c r="J403" s="6">
        <v>40762</v>
      </c>
      <c r="K403" s="16">
        <v>10040</v>
      </c>
      <c r="L403" s="16">
        <v>10000</v>
      </c>
      <c r="M403" s="16">
        <v>10070</v>
      </c>
      <c r="N403" s="16">
        <v>10045</v>
      </c>
      <c r="O403" s="16">
        <v>9995</v>
      </c>
      <c r="P403" s="16">
        <v>9985</v>
      </c>
      <c r="Q403" s="16">
        <v>9980</v>
      </c>
      <c r="R403" s="16">
        <v>9990</v>
      </c>
      <c r="S403" s="16">
        <v>10080</v>
      </c>
      <c r="T403" s="16">
        <v>10010</v>
      </c>
      <c r="U403" s="15">
        <v>10019.5</v>
      </c>
      <c r="V403" t="s">
        <v>19</v>
      </c>
      <c r="W403" t="s">
        <v>28</v>
      </c>
      <c r="X403">
        <v>2615</v>
      </c>
      <c r="Y403" s="16">
        <f>VLOOKUP(Tabela1[[#This Row],[SKU]],SKU!A:D,4,0)</f>
        <v>10000</v>
      </c>
      <c r="Z403" s="18">
        <f>IFERROR((Tabela1[[#This Row],[Média]]-Tabela1[[#This Row],[Meta]])/Tabela1[[#This Row],[Meta]],"")</f>
        <v>1.9499999999999999E-3</v>
      </c>
      <c r="AA403" s="22">
        <f>Tabela1[[#This Row],[Média]]-Tabela1[[#This Row],[Meta]]</f>
        <v>19.5</v>
      </c>
      <c r="AB403" s="6" t="str">
        <f>VLOOKUP(Tabela1[[#This Row],[SKU]],SKU!A:B,2,0)</f>
        <v>COXA SBCX LQ FG LP</v>
      </c>
      <c r="AC403" s="6" t="str">
        <f>VLOOKUP(Tabela1[[#This Row],[SKU]],SKU!A:C,3,0)</f>
        <v>PERNA</v>
      </c>
    </row>
    <row r="404" spans="1:29" x14ac:dyDescent="0.3">
      <c r="A404" s="2">
        <f>INT(Tabela1[[#This Row],[Data e Hora2]])</f>
        <v>46266</v>
      </c>
      <c r="B404" s="6" t="str">
        <f>UPPER(TEXT(Tabela1[[#This Row],[Data Corrigida]],"MMM"))</f>
        <v>SET</v>
      </c>
      <c r="C404" t="s">
        <v>1121</v>
      </c>
      <c r="D404" s="2" t="s">
        <v>1122</v>
      </c>
      <c r="E404" s="1" t="s">
        <v>1116</v>
      </c>
      <c r="F404" t="s">
        <v>24</v>
      </c>
      <c r="G404" s="2" t="s">
        <v>960</v>
      </c>
      <c r="H404" t="s">
        <v>26</v>
      </c>
      <c r="I404" t="s">
        <v>57</v>
      </c>
      <c r="J404" s="6">
        <v>40762</v>
      </c>
      <c r="K404" s="16">
        <v>10040</v>
      </c>
      <c r="L404" s="16">
        <v>10055</v>
      </c>
      <c r="M404" s="16">
        <v>10015</v>
      </c>
      <c r="N404" s="16">
        <v>10025</v>
      </c>
      <c r="O404" s="16">
        <v>9970</v>
      </c>
      <c r="P404" s="16">
        <v>10000</v>
      </c>
      <c r="Q404" s="16">
        <v>9960</v>
      </c>
      <c r="R404" s="16">
        <v>10050</v>
      </c>
      <c r="S404" s="16">
        <v>9990</v>
      </c>
      <c r="T404" s="16">
        <v>10040</v>
      </c>
      <c r="U404" s="15">
        <v>10014.5</v>
      </c>
      <c r="V404" t="s">
        <v>19</v>
      </c>
      <c r="W404" t="s">
        <v>28</v>
      </c>
      <c r="X404">
        <v>2795</v>
      </c>
      <c r="Y404" s="16">
        <f>VLOOKUP(Tabela1[[#This Row],[SKU]],SKU!A:D,4,0)</f>
        <v>10000</v>
      </c>
      <c r="Z404" s="18">
        <f>IFERROR((Tabela1[[#This Row],[Média]]-Tabela1[[#This Row],[Meta]])/Tabela1[[#This Row],[Meta]],"")</f>
        <v>1.4499999999999999E-3</v>
      </c>
      <c r="AA404" s="22">
        <f>Tabela1[[#This Row],[Média]]-Tabela1[[#This Row],[Meta]]</f>
        <v>14.5</v>
      </c>
      <c r="AB404" s="6" t="str">
        <f>VLOOKUP(Tabela1[[#This Row],[SKU]],SKU!A:B,2,0)</f>
        <v>COXA SBCX LQ FG LP</v>
      </c>
      <c r="AC404" s="6" t="str">
        <f>VLOOKUP(Tabela1[[#This Row],[SKU]],SKU!A:C,3,0)</f>
        <v>PERNA</v>
      </c>
    </row>
    <row r="405" spans="1:29" x14ac:dyDescent="0.3">
      <c r="A405" s="2">
        <f>INT(Tabela1[[#This Row],[Data e Hora2]])</f>
        <v>46266</v>
      </c>
      <c r="B405" s="6" t="str">
        <f>UPPER(TEXT(Tabela1[[#This Row],[Data Corrigida]],"MMM"))</f>
        <v>SET</v>
      </c>
      <c r="C405" t="s">
        <v>1123</v>
      </c>
      <c r="D405" s="2" t="s">
        <v>1124</v>
      </c>
      <c r="E405" s="1" t="s">
        <v>1116</v>
      </c>
      <c r="F405" t="s">
        <v>24</v>
      </c>
      <c r="G405" s="2" t="s">
        <v>960</v>
      </c>
      <c r="H405" t="s">
        <v>26</v>
      </c>
      <c r="I405" t="s">
        <v>57</v>
      </c>
      <c r="J405" s="6">
        <v>40762</v>
      </c>
      <c r="K405" s="16">
        <v>10080</v>
      </c>
      <c r="L405" s="16">
        <v>10015</v>
      </c>
      <c r="M405" s="16">
        <v>10065</v>
      </c>
      <c r="N405" s="16">
        <v>10050</v>
      </c>
      <c r="O405" s="16">
        <v>10080</v>
      </c>
      <c r="P405" s="16">
        <v>10070</v>
      </c>
      <c r="Q405" s="16">
        <v>10050</v>
      </c>
      <c r="R405" s="16">
        <v>10005</v>
      </c>
      <c r="S405" s="16">
        <v>10035</v>
      </c>
      <c r="T405" s="16">
        <v>10040</v>
      </c>
      <c r="U405" s="15">
        <v>10049</v>
      </c>
      <c r="V405" t="s">
        <v>19</v>
      </c>
      <c r="W405" t="s">
        <v>28</v>
      </c>
      <c r="X405">
        <v>2944</v>
      </c>
      <c r="Y405" s="16">
        <f>VLOOKUP(Tabela1[[#This Row],[SKU]],SKU!A:D,4,0)</f>
        <v>10000</v>
      </c>
      <c r="Z405" s="18">
        <f>IFERROR((Tabela1[[#This Row],[Média]]-Tabela1[[#This Row],[Meta]])/Tabela1[[#This Row],[Meta]],"")</f>
        <v>4.8999999999999998E-3</v>
      </c>
      <c r="AA405" s="22">
        <f>Tabela1[[#This Row],[Média]]-Tabela1[[#This Row],[Meta]]</f>
        <v>49</v>
      </c>
      <c r="AB405" s="6" t="str">
        <f>VLOOKUP(Tabela1[[#This Row],[SKU]],SKU!A:B,2,0)</f>
        <v>COXA SBCX LQ FG LP</v>
      </c>
      <c r="AC405" s="6" t="str">
        <f>VLOOKUP(Tabela1[[#This Row],[SKU]],SKU!A:C,3,0)</f>
        <v>PERNA</v>
      </c>
    </row>
    <row r="406" spans="1:29" x14ac:dyDescent="0.3">
      <c r="A406" s="2">
        <f>INT(Tabela1[[#This Row],[Data e Hora2]])</f>
        <v>46266</v>
      </c>
      <c r="B406" s="6" t="str">
        <f>UPPER(TEXT(Tabela1[[#This Row],[Data Corrigida]],"MMM"))</f>
        <v>SET</v>
      </c>
      <c r="C406" t="s">
        <v>1125</v>
      </c>
      <c r="D406" s="2" t="s">
        <v>1126</v>
      </c>
      <c r="E406" s="1" t="s">
        <v>1116</v>
      </c>
      <c r="F406" t="s">
        <v>24</v>
      </c>
      <c r="G406" s="2" t="s">
        <v>960</v>
      </c>
      <c r="H406" t="s">
        <v>26</v>
      </c>
      <c r="I406" t="s">
        <v>57</v>
      </c>
      <c r="J406" s="6">
        <v>40762</v>
      </c>
      <c r="K406" s="16">
        <v>10025</v>
      </c>
      <c r="L406" s="16">
        <v>10000</v>
      </c>
      <c r="M406" s="16">
        <v>10075</v>
      </c>
      <c r="N406" s="16">
        <v>10020</v>
      </c>
      <c r="O406" s="16">
        <v>10075</v>
      </c>
      <c r="P406" s="16">
        <v>10020</v>
      </c>
      <c r="Q406" s="16">
        <v>10050</v>
      </c>
      <c r="R406" s="16">
        <v>10030</v>
      </c>
      <c r="S406" s="16">
        <v>10075</v>
      </c>
      <c r="T406" s="16">
        <v>10055</v>
      </c>
      <c r="U406" s="15">
        <v>10042.5</v>
      </c>
      <c r="V406" t="s">
        <v>19</v>
      </c>
      <c r="W406" t="s">
        <v>28</v>
      </c>
      <c r="X406">
        <v>3110</v>
      </c>
      <c r="Y406" s="16">
        <f>VLOOKUP(Tabela1[[#This Row],[SKU]],SKU!A:D,4,0)</f>
        <v>10000</v>
      </c>
      <c r="Z406" s="18">
        <f>IFERROR((Tabela1[[#This Row],[Média]]-Tabela1[[#This Row],[Meta]])/Tabela1[[#This Row],[Meta]],"")</f>
        <v>4.2500000000000003E-3</v>
      </c>
      <c r="AA406" s="22">
        <f>Tabela1[[#This Row],[Média]]-Tabela1[[#This Row],[Meta]]</f>
        <v>42.5</v>
      </c>
      <c r="AB406" s="6" t="str">
        <f>VLOOKUP(Tabela1[[#This Row],[SKU]],SKU!A:B,2,0)</f>
        <v>COXA SBCX LQ FG LP</v>
      </c>
      <c r="AC406" s="6" t="str">
        <f>VLOOKUP(Tabela1[[#This Row],[SKU]],SKU!A:C,3,0)</f>
        <v>PERNA</v>
      </c>
    </row>
    <row r="407" spans="1:29" x14ac:dyDescent="0.3">
      <c r="A407" s="2">
        <f>INT(Tabela1[[#This Row],[Data e Hora2]])</f>
        <v>46268</v>
      </c>
      <c r="B407" s="6" t="str">
        <f>UPPER(TEXT(Tabela1[[#This Row],[Data Corrigida]],"MMM"))</f>
        <v>SET</v>
      </c>
      <c r="C407" t="s">
        <v>1127</v>
      </c>
      <c r="D407" s="2" t="s">
        <v>1128</v>
      </c>
      <c r="E407" s="1" t="s">
        <v>1129</v>
      </c>
      <c r="F407" t="s">
        <v>24</v>
      </c>
      <c r="G407" s="2" t="s">
        <v>1130</v>
      </c>
      <c r="H407" t="s">
        <v>142</v>
      </c>
      <c r="I407" t="s">
        <v>462</v>
      </c>
      <c r="J407" s="6">
        <v>197734</v>
      </c>
      <c r="K407" s="16">
        <v>967</v>
      </c>
      <c r="L407" s="16">
        <v>1010</v>
      </c>
      <c r="M407" s="16">
        <v>1017</v>
      </c>
      <c r="N407" s="16">
        <v>995</v>
      </c>
      <c r="O407" s="16">
        <v>1012</v>
      </c>
      <c r="P407" s="16">
        <v>974</v>
      </c>
      <c r="Q407" s="16">
        <v>1012</v>
      </c>
      <c r="R407" s="16">
        <v>1008</v>
      </c>
      <c r="S407" s="16">
        <v>1004</v>
      </c>
      <c r="T407" s="16">
        <v>990</v>
      </c>
      <c r="U407" s="15">
        <v>998.9</v>
      </c>
      <c r="V407" t="s">
        <v>19</v>
      </c>
      <c r="W407" t="s">
        <v>28</v>
      </c>
      <c r="X407">
        <v>227</v>
      </c>
      <c r="Y407" s="16">
        <f>VLOOKUP(Tabela1[[#This Row],[SKU]],SKU!A:D,4,0)</f>
        <v>1000</v>
      </c>
      <c r="Z407" s="18">
        <f>IFERROR((Tabela1[[#This Row],[Média]]-Tabela1[[#This Row],[Meta]])/Tabela1[[#This Row],[Meta]],"")</f>
        <v>-1.1000000000000228E-3</v>
      </c>
      <c r="AA407" s="22">
        <f>Tabela1[[#This Row],[Média]]-Tabela1[[#This Row],[Meta]]</f>
        <v>-1.1000000000000227</v>
      </c>
      <c r="AB407" s="6" t="str">
        <f>VLOOKUP(Tabela1[[#This Row],[SKU]],SKU!A:B,2,0)</f>
        <v>FILEZINHO FRANGO IQF ALM SE</v>
      </c>
      <c r="AC407" s="6" t="str">
        <f>VLOOKUP(Tabela1[[#This Row],[SKU]],SKU!A:C,3,0)</f>
        <v>SASSAMI</v>
      </c>
    </row>
    <row r="408" spans="1:29" x14ac:dyDescent="0.3">
      <c r="A408" s="2">
        <f>INT(Tabela1[[#This Row],[Data e Hora2]])</f>
        <v>46268</v>
      </c>
      <c r="B408" s="6" t="str">
        <f>UPPER(TEXT(Tabela1[[#This Row],[Data Corrigida]],"MMM"))</f>
        <v>SET</v>
      </c>
      <c r="C408" t="s">
        <v>1131</v>
      </c>
      <c r="D408" s="2" t="s">
        <v>1132</v>
      </c>
      <c r="E408" s="1" t="s">
        <v>1133</v>
      </c>
      <c r="F408" t="s">
        <v>24</v>
      </c>
      <c r="G408" s="2" t="s">
        <v>1130</v>
      </c>
      <c r="H408" t="s">
        <v>142</v>
      </c>
      <c r="I408" t="s">
        <v>143</v>
      </c>
      <c r="J408" s="6">
        <v>18163</v>
      </c>
      <c r="K408" s="16">
        <v>1000</v>
      </c>
      <c r="L408" s="16">
        <v>1006</v>
      </c>
      <c r="M408" s="16">
        <v>995</v>
      </c>
      <c r="N408" s="16">
        <v>1002</v>
      </c>
      <c r="O408" s="16">
        <v>1003</v>
      </c>
      <c r="P408" s="16">
        <v>1010</v>
      </c>
      <c r="Q408" s="16">
        <v>1001</v>
      </c>
      <c r="R408" s="16">
        <v>998</v>
      </c>
      <c r="S408" s="16">
        <v>999</v>
      </c>
      <c r="T408" s="16">
        <v>995</v>
      </c>
      <c r="U408" s="15">
        <v>1000.9</v>
      </c>
      <c r="V408" t="s">
        <v>19</v>
      </c>
      <c r="W408" t="s">
        <v>28</v>
      </c>
      <c r="X408">
        <v>243</v>
      </c>
      <c r="Y408" s="16">
        <f>VLOOKUP(Tabela1[[#This Row],[SKU]],SKU!A:D,4,0)</f>
        <v>1000</v>
      </c>
      <c r="Z408" s="18">
        <f>IFERROR((Tabela1[[#This Row],[Média]]-Tabela1[[#This Row],[Meta]])/Tabela1[[#This Row],[Meta]],"")</f>
        <v>8.9999999999997732E-4</v>
      </c>
      <c r="AA408" s="22">
        <f>Tabela1[[#This Row],[Média]]-Tabela1[[#This Row],[Meta]]</f>
        <v>0.89999999999997726</v>
      </c>
      <c r="AB408" s="6" t="str">
        <f>VLOOKUP(Tabela1[[#This Row],[SKU]],SKU!A:B,2,0)</f>
        <v>CORACAO FGO CG ALM SE</v>
      </c>
      <c r="AC408" s="6" t="str">
        <f>VLOOKUP(Tabela1[[#This Row],[SKU]],SKU!A:C,3,0)</f>
        <v>CORAÇÃO</v>
      </c>
    </row>
    <row r="409" spans="1:29" x14ac:dyDescent="0.3">
      <c r="A409" s="2">
        <f>INT(Tabela1[[#This Row],[Data e Hora2]])</f>
        <v>46268</v>
      </c>
      <c r="B409" s="6" t="str">
        <f>UPPER(TEXT(Tabela1[[#This Row],[Data Corrigida]],"MMM"))</f>
        <v>SET</v>
      </c>
      <c r="C409" t="s">
        <v>1134</v>
      </c>
      <c r="D409" s="2" t="s">
        <v>1135</v>
      </c>
      <c r="E409" s="1" t="s">
        <v>1136</v>
      </c>
      <c r="F409" t="s">
        <v>24</v>
      </c>
      <c r="G409" s="2" t="s">
        <v>1130</v>
      </c>
      <c r="H409" t="s">
        <v>142</v>
      </c>
      <c r="I409" t="s">
        <v>143</v>
      </c>
      <c r="J409" s="6">
        <v>197734</v>
      </c>
      <c r="K409" s="16">
        <v>1007</v>
      </c>
      <c r="L409" s="16">
        <v>1013</v>
      </c>
      <c r="M409" s="16">
        <v>1016</v>
      </c>
      <c r="N409" s="16">
        <v>885</v>
      </c>
      <c r="O409" s="16">
        <v>1004</v>
      </c>
      <c r="P409" s="16">
        <v>999</v>
      </c>
      <c r="Q409" s="16">
        <v>1013</v>
      </c>
      <c r="R409" s="16">
        <v>1008</v>
      </c>
      <c r="S409" s="16">
        <v>1003</v>
      </c>
      <c r="T409" s="16">
        <v>1005</v>
      </c>
      <c r="U409" s="15">
        <v>995.3</v>
      </c>
      <c r="V409" t="s">
        <v>19</v>
      </c>
      <c r="W409" t="s">
        <v>28</v>
      </c>
      <c r="X409">
        <v>259</v>
      </c>
      <c r="Y409" s="16">
        <f>VLOOKUP(Tabela1[[#This Row],[SKU]],SKU!A:D,4,0)</f>
        <v>1000</v>
      </c>
      <c r="Z409" s="18">
        <f>IFERROR((Tabela1[[#This Row],[Média]]-Tabela1[[#This Row],[Meta]])/Tabela1[[#This Row],[Meta]],"")</f>
        <v>-4.7000000000000453E-3</v>
      </c>
      <c r="AA409" s="22">
        <f>Tabela1[[#This Row],[Média]]-Tabela1[[#This Row],[Meta]]</f>
        <v>-4.7000000000000455</v>
      </c>
      <c r="AB409" s="6" t="str">
        <f>VLOOKUP(Tabela1[[#This Row],[SKU]],SKU!A:B,2,0)</f>
        <v>FILEZINHO FRANGO IQF ALM SE</v>
      </c>
      <c r="AC409" s="6" t="str">
        <f>VLOOKUP(Tabela1[[#This Row],[SKU]],SKU!A:C,3,0)</f>
        <v>SASSAMI</v>
      </c>
    </row>
    <row r="410" spans="1:29" x14ac:dyDescent="0.3">
      <c r="A410" s="2">
        <f>INT(Tabela1[[#This Row],[Data e Hora2]])</f>
        <v>46268</v>
      </c>
      <c r="B410" s="6" t="str">
        <f>UPPER(TEXT(Tabela1[[#This Row],[Data Corrigida]],"MMM"))</f>
        <v>SET</v>
      </c>
      <c r="C410" t="s">
        <v>1137</v>
      </c>
      <c r="D410" s="2" t="s">
        <v>1138</v>
      </c>
      <c r="E410" s="1" t="s">
        <v>1136</v>
      </c>
      <c r="F410" t="s">
        <v>24</v>
      </c>
      <c r="G410" s="2" t="s">
        <v>1130</v>
      </c>
      <c r="H410" t="s">
        <v>142</v>
      </c>
      <c r="I410" t="s">
        <v>143</v>
      </c>
      <c r="J410" s="6">
        <v>15105</v>
      </c>
      <c r="K410" s="16">
        <v>1021</v>
      </c>
      <c r="L410" s="16">
        <v>1211</v>
      </c>
      <c r="M410" s="16">
        <v>1010</v>
      </c>
      <c r="N410" s="16">
        <v>1000</v>
      </c>
      <c r="O410" s="16">
        <v>988</v>
      </c>
      <c r="P410" s="16">
        <v>1052</v>
      </c>
      <c r="Q410" s="16">
        <v>1010</v>
      </c>
      <c r="R410" s="16">
        <v>1045</v>
      </c>
      <c r="S410" s="16">
        <v>994</v>
      </c>
      <c r="T410" s="16">
        <v>1002</v>
      </c>
      <c r="U410" s="15">
        <v>1033.3</v>
      </c>
      <c r="V410" t="s">
        <v>19</v>
      </c>
      <c r="W410" t="s">
        <v>28</v>
      </c>
      <c r="X410">
        <v>326</v>
      </c>
      <c r="Y410" s="16">
        <f>VLOOKUP(Tabela1[[#This Row],[SKU]],SKU!A:D,4,0)</f>
        <v>1000</v>
      </c>
      <c r="Z410" s="18">
        <f>IFERROR((Tabela1[[#This Row],[Média]]-Tabela1[[#This Row],[Meta]])/Tabela1[[#This Row],[Meta]],"")</f>
        <v>3.3299999999999955E-2</v>
      </c>
      <c r="AA410" s="22">
        <f>Tabela1[[#This Row],[Média]]-Tabela1[[#This Row],[Meta]]</f>
        <v>33.299999999999955</v>
      </c>
      <c r="AB410" s="6" t="str">
        <f>VLOOKUP(Tabela1[[#This Row],[SKU]],SKU!A:B,2,0)</f>
        <v>FILE PEITO MET CG BDJ SE</v>
      </c>
      <c r="AC410" s="6" t="str">
        <f>VLOOKUP(Tabela1[[#This Row],[SKU]],SKU!A:C,3,0)</f>
        <v>PEITO</v>
      </c>
    </row>
    <row r="411" spans="1:29" x14ac:dyDescent="0.3">
      <c r="A411" s="2">
        <f>INT(Tabela1[[#This Row],[Data e Hora2]])</f>
        <v>46268</v>
      </c>
      <c r="B411" s="6" t="str">
        <f>UPPER(TEXT(Tabela1[[#This Row],[Data Corrigida]],"MMM"))</f>
        <v>SET</v>
      </c>
      <c r="C411" t="s">
        <v>1139</v>
      </c>
      <c r="D411" s="2" t="s">
        <v>1140</v>
      </c>
      <c r="E411" s="1" t="s">
        <v>1136</v>
      </c>
      <c r="F411" t="s">
        <v>24</v>
      </c>
      <c r="G411" s="2" t="s">
        <v>1130</v>
      </c>
      <c r="H411" t="s">
        <v>142</v>
      </c>
      <c r="I411" t="s">
        <v>143</v>
      </c>
      <c r="J411" s="6">
        <v>864048</v>
      </c>
      <c r="K411" s="16">
        <v>2014</v>
      </c>
      <c r="L411" s="16">
        <v>2062</v>
      </c>
      <c r="M411" s="16">
        <v>2028</v>
      </c>
      <c r="N411" s="16">
        <v>2040</v>
      </c>
      <c r="O411" s="16">
        <v>2008</v>
      </c>
      <c r="P411" s="16">
        <v>1998</v>
      </c>
      <c r="Q411" s="16">
        <v>2014</v>
      </c>
      <c r="R411" s="16">
        <v>2003</v>
      </c>
      <c r="S411" s="16">
        <v>2018</v>
      </c>
      <c r="T411" s="16">
        <v>2000</v>
      </c>
      <c r="U411" s="15">
        <v>2018.5</v>
      </c>
      <c r="V411" t="s">
        <v>19</v>
      </c>
      <c r="W411" t="s">
        <v>28</v>
      </c>
      <c r="X411">
        <v>195</v>
      </c>
      <c r="Y411" s="16">
        <f>VLOOKUP(Tabela1[[#This Row],[SKU]],SKU!A:D,4,0)</f>
        <v>2000</v>
      </c>
      <c r="Z411" s="18">
        <f>IFERROR((Tabela1[[#This Row],[Média]]-Tabela1[[#This Row],[Meta]])/Tabela1[[#This Row],[Meta]],"")</f>
        <v>9.2499999999999995E-3</v>
      </c>
      <c r="AA411" s="22">
        <f>Tabela1[[#This Row],[Média]]-Tabela1[[#This Row],[Meta]]</f>
        <v>18.5</v>
      </c>
      <c r="AB411" s="6" t="str">
        <f>VLOOKUP(Tabela1[[#This Row],[SKU]],SKU!A:B,2,0)</f>
        <v>COXA SBCX S/O 200g FG UP PB</v>
      </c>
      <c r="AC411" s="6" t="str">
        <f>VLOOKUP(Tabela1[[#This Row],[SKU]],SKU!A:C,3,0)</f>
        <v>PERNA</v>
      </c>
    </row>
    <row r="412" spans="1:29" x14ac:dyDescent="0.3">
      <c r="A412" s="2">
        <f>INT(Tabela1[[#This Row],[Data e Hora2]])</f>
        <v>46268</v>
      </c>
      <c r="B412" s="6" t="str">
        <f>UPPER(TEXT(Tabela1[[#This Row],[Data Corrigida]],"MMM"))</f>
        <v>SET</v>
      </c>
      <c r="C412" t="s">
        <v>1141</v>
      </c>
      <c r="D412" s="2" t="s">
        <v>1142</v>
      </c>
      <c r="E412" s="1" t="s">
        <v>1143</v>
      </c>
      <c r="F412" t="s">
        <v>24</v>
      </c>
      <c r="G412" s="2" t="s">
        <v>1130</v>
      </c>
      <c r="H412" t="s">
        <v>142</v>
      </c>
      <c r="I412" t="s">
        <v>143</v>
      </c>
      <c r="J412" s="6">
        <v>15849</v>
      </c>
      <c r="K412" s="16">
        <v>943</v>
      </c>
      <c r="L412" s="16">
        <v>1096</v>
      </c>
      <c r="M412" s="16">
        <v>875</v>
      </c>
      <c r="N412" s="16">
        <v>1030</v>
      </c>
      <c r="O412" s="16">
        <v>1033</v>
      </c>
      <c r="P412" s="16">
        <v>1042</v>
      </c>
      <c r="Q412" s="16">
        <v>1014</v>
      </c>
      <c r="R412" s="16">
        <v>1027</v>
      </c>
      <c r="S412" s="16">
        <v>953</v>
      </c>
      <c r="T412" s="16">
        <v>1041</v>
      </c>
      <c r="U412" s="15">
        <v>1005.4</v>
      </c>
      <c r="V412" t="s">
        <v>19</v>
      </c>
      <c r="W412" t="s">
        <v>19</v>
      </c>
      <c r="X412">
        <v>148</v>
      </c>
      <c r="Y412" s="16">
        <f>VLOOKUP(Tabela1[[#This Row],[SKU]],SKU!A:D,4,0)</f>
        <v>1000</v>
      </c>
      <c r="Z412" s="18">
        <f>IFERROR((Tabela1[[#This Row],[Média]]-Tabela1[[#This Row],[Meta]])/Tabela1[[#This Row],[Meta]],"")</f>
        <v>5.3999999999999769E-3</v>
      </c>
      <c r="AA412" s="22">
        <f>Tabela1[[#This Row],[Média]]-Tabela1[[#This Row],[Meta]]</f>
        <v>5.3999999999999773</v>
      </c>
      <c r="AB412" s="6" t="str">
        <f>VLOOKUP(Tabela1[[#This Row],[SKU]],SKU!A:B,2,0)</f>
        <v>FILEZINHO PEITO CG BDJ SE</v>
      </c>
      <c r="AC412" s="6" t="str">
        <f>VLOOKUP(Tabela1[[#This Row],[SKU]],SKU!A:C,3,0)</f>
        <v>SASSAMI</v>
      </c>
    </row>
    <row r="413" spans="1:29" x14ac:dyDescent="0.3">
      <c r="A413" s="2">
        <f>INT(Tabela1[[#This Row],[Data e Hora2]])</f>
        <v>46268</v>
      </c>
      <c r="B413" s="6" t="str">
        <f>UPPER(TEXT(Tabela1[[#This Row],[Data Corrigida]],"MMM"))</f>
        <v>SET</v>
      </c>
      <c r="C413" t="s">
        <v>1144</v>
      </c>
      <c r="D413" s="2" t="s">
        <v>1145</v>
      </c>
      <c r="E413" s="1" t="s">
        <v>1146</v>
      </c>
      <c r="F413" t="s">
        <v>24</v>
      </c>
      <c r="G413" s="2" t="s">
        <v>1130</v>
      </c>
      <c r="H413" t="s">
        <v>142</v>
      </c>
      <c r="I413" t="s">
        <v>143</v>
      </c>
      <c r="J413" s="6">
        <v>864048</v>
      </c>
      <c r="K413" s="16">
        <v>2021</v>
      </c>
      <c r="L413" s="16">
        <v>2093</v>
      </c>
      <c r="M413" s="16">
        <v>2019</v>
      </c>
      <c r="N413" s="16">
        <v>2013</v>
      </c>
      <c r="O413" s="16">
        <v>2014</v>
      </c>
      <c r="P413" s="16">
        <v>1996</v>
      </c>
      <c r="Q413" s="16">
        <v>2143</v>
      </c>
      <c r="R413" s="16">
        <v>2057</v>
      </c>
      <c r="S413" s="16">
        <v>2187</v>
      </c>
      <c r="T413" s="16">
        <v>2023</v>
      </c>
      <c r="U413" s="15">
        <v>2056.6</v>
      </c>
      <c r="V413" t="s">
        <v>19</v>
      </c>
      <c r="W413" t="s">
        <v>28</v>
      </c>
      <c r="X413">
        <v>704</v>
      </c>
      <c r="Y413" s="16">
        <f>VLOOKUP(Tabela1[[#This Row],[SKU]],SKU!A:D,4,0)</f>
        <v>2000</v>
      </c>
      <c r="Z413" s="18">
        <f>IFERROR((Tabela1[[#This Row],[Média]]-Tabela1[[#This Row],[Meta]])/Tabela1[[#This Row],[Meta]],"")</f>
        <v>2.8299999999999954E-2</v>
      </c>
      <c r="AA413" s="22">
        <f>Tabela1[[#This Row],[Média]]-Tabela1[[#This Row],[Meta]]</f>
        <v>56.599999999999909</v>
      </c>
      <c r="AB413" s="6" t="str">
        <f>VLOOKUP(Tabela1[[#This Row],[SKU]],SKU!A:B,2,0)</f>
        <v>COXA SBCX S/O 200g FG UP PB</v>
      </c>
      <c r="AC413" s="6" t="str">
        <f>VLOOKUP(Tabela1[[#This Row],[SKU]],SKU!A:C,3,0)</f>
        <v>PERNA</v>
      </c>
    </row>
    <row r="414" spans="1:29" x14ac:dyDescent="0.3">
      <c r="A414" s="2">
        <f>INT(Tabela1[[#This Row],[Data e Hora2]])</f>
        <v>46268</v>
      </c>
      <c r="B414" s="6" t="str">
        <f>UPPER(TEXT(Tabela1[[#This Row],[Data Corrigida]],"MMM"))</f>
        <v>SET</v>
      </c>
      <c r="C414" t="s">
        <v>1147</v>
      </c>
      <c r="D414" s="2" t="s">
        <v>1148</v>
      </c>
      <c r="E414" s="1" t="s">
        <v>1146</v>
      </c>
      <c r="F414" t="s">
        <v>24</v>
      </c>
      <c r="G414" s="2" t="s">
        <v>1130</v>
      </c>
      <c r="H414" t="s">
        <v>142</v>
      </c>
      <c r="I414" t="s">
        <v>143</v>
      </c>
      <c r="J414" s="6">
        <v>15105</v>
      </c>
      <c r="K414" s="16">
        <v>1000</v>
      </c>
      <c r="L414" s="16">
        <v>1066</v>
      </c>
      <c r="M414" s="16">
        <v>1017</v>
      </c>
      <c r="N414" s="16">
        <v>1030</v>
      </c>
      <c r="O414" s="16">
        <v>1008</v>
      </c>
      <c r="P414" s="16">
        <v>1018</v>
      </c>
      <c r="Q414" s="16">
        <v>1056</v>
      </c>
      <c r="R414" s="16">
        <v>1006</v>
      </c>
      <c r="S414" s="16">
        <v>1038</v>
      </c>
      <c r="T414" s="16">
        <v>1027</v>
      </c>
      <c r="U414" s="15">
        <v>1026.5999999999999</v>
      </c>
      <c r="V414" t="s">
        <v>19</v>
      </c>
      <c r="W414" t="s">
        <v>28</v>
      </c>
      <c r="X414">
        <v>284</v>
      </c>
      <c r="Y414" s="16">
        <f>VLOOKUP(Tabela1[[#This Row],[SKU]],SKU!A:D,4,0)</f>
        <v>1000</v>
      </c>
      <c r="Z414" s="18">
        <f>IFERROR((Tabela1[[#This Row],[Média]]-Tabela1[[#This Row],[Meta]])/Tabela1[[#This Row],[Meta]],"")</f>
        <v>2.6599999999999908E-2</v>
      </c>
      <c r="AA414" s="22">
        <f>Tabela1[[#This Row],[Média]]-Tabela1[[#This Row],[Meta]]</f>
        <v>26.599999999999909</v>
      </c>
      <c r="AB414" s="6" t="str">
        <f>VLOOKUP(Tabela1[[#This Row],[SKU]],SKU!A:B,2,0)</f>
        <v>FILE PEITO MET CG BDJ SE</v>
      </c>
      <c r="AC414" s="6" t="str">
        <f>VLOOKUP(Tabela1[[#This Row],[SKU]],SKU!A:C,3,0)</f>
        <v>PEITO</v>
      </c>
    </row>
    <row r="415" spans="1:29" x14ac:dyDescent="0.3">
      <c r="A415" s="2">
        <f>INT(Tabela1[[#This Row],[Data e Hora2]])</f>
        <v>46267</v>
      </c>
      <c r="B415" s="6" t="str">
        <f>UPPER(TEXT(Tabela1[[#This Row],[Data Corrigida]],"MMM"))</f>
        <v>SET</v>
      </c>
      <c r="C415" t="s">
        <v>1149</v>
      </c>
      <c r="D415" s="2" t="s">
        <v>1150</v>
      </c>
      <c r="E415" s="1" t="s">
        <v>1151</v>
      </c>
      <c r="F415" t="s">
        <v>24</v>
      </c>
      <c r="G415" s="2" t="s">
        <v>1152</v>
      </c>
      <c r="H415" t="s">
        <v>26</v>
      </c>
      <c r="I415" t="s">
        <v>27</v>
      </c>
      <c r="J415" s="6">
        <v>15229</v>
      </c>
      <c r="K415" s="16">
        <v>1014</v>
      </c>
      <c r="L415" s="16">
        <v>999</v>
      </c>
      <c r="M415" s="16">
        <v>1013</v>
      </c>
      <c r="N415" s="16">
        <v>1016</v>
      </c>
      <c r="O415" s="16">
        <v>1014</v>
      </c>
      <c r="P415" s="16">
        <v>1009</v>
      </c>
      <c r="Q415" s="16">
        <v>995</v>
      </c>
      <c r="R415" s="16">
        <v>1006</v>
      </c>
      <c r="S415" s="16">
        <v>1007</v>
      </c>
      <c r="T415" s="16">
        <v>1002</v>
      </c>
      <c r="U415" s="15">
        <v>1007.5</v>
      </c>
      <c r="V415" t="s">
        <v>19</v>
      </c>
      <c r="W415" t="s">
        <v>19</v>
      </c>
      <c r="X415">
        <v>933</v>
      </c>
      <c r="Y415" s="16">
        <f>VLOOKUP(Tabela1[[#This Row],[SKU]],SKU!A:D,4,0)</f>
        <v>1000</v>
      </c>
      <c r="Z415" s="18">
        <f>IFERROR((Tabela1[[#This Row],[Média]]-Tabela1[[#This Row],[Meta]])/Tabela1[[#This Row],[Meta]],"")</f>
        <v>7.4999999999999997E-3</v>
      </c>
      <c r="AA415" s="22">
        <f>Tabela1[[#This Row],[Média]]-Tabela1[[#This Row],[Meta]]</f>
        <v>7.5</v>
      </c>
      <c r="AB415" s="6" t="str">
        <f>VLOOKUP(Tabela1[[#This Row],[SKU]],SKU!A:B,2,0)</f>
        <v>COXA CG BDJ SE</v>
      </c>
      <c r="AC415" s="6" t="str">
        <f>VLOOKUP(Tabela1[[#This Row],[SKU]],SKU!A:C,3,0)</f>
        <v>PERNA</v>
      </c>
    </row>
    <row r="416" spans="1:29" x14ac:dyDescent="0.3">
      <c r="A416" s="2">
        <f>INT(Tabela1[[#This Row],[Data e Hora2]])</f>
        <v>46267</v>
      </c>
      <c r="B416" s="6" t="str">
        <f>UPPER(TEXT(Tabela1[[#This Row],[Data Corrigida]],"MMM"))</f>
        <v>SET</v>
      </c>
      <c r="C416" t="s">
        <v>1153</v>
      </c>
      <c r="D416" s="2" t="s">
        <v>1154</v>
      </c>
      <c r="E416" s="1" t="s">
        <v>1151</v>
      </c>
      <c r="F416" t="s">
        <v>24</v>
      </c>
      <c r="G416" s="2" t="s">
        <v>1152</v>
      </c>
      <c r="H416" t="s">
        <v>26</v>
      </c>
      <c r="I416" t="s">
        <v>27</v>
      </c>
      <c r="J416" s="6">
        <v>13188</v>
      </c>
      <c r="K416" s="16">
        <v>1028</v>
      </c>
      <c r="L416" s="16">
        <v>1009</v>
      </c>
      <c r="M416" s="16">
        <v>1029</v>
      </c>
      <c r="N416" s="16">
        <v>1018</v>
      </c>
      <c r="O416" s="16">
        <v>1024</v>
      </c>
      <c r="P416" s="16">
        <v>1005</v>
      </c>
      <c r="Q416" s="16">
        <v>1026</v>
      </c>
      <c r="R416" s="16">
        <v>1018</v>
      </c>
      <c r="S416" s="16">
        <v>1015</v>
      </c>
      <c r="T416" s="16">
        <v>1014</v>
      </c>
      <c r="U416" s="15">
        <v>1018.6</v>
      </c>
      <c r="V416" t="s">
        <v>19</v>
      </c>
      <c r="W416" t="s">
        <v>28</v>
      </c>
      <c r="X416">
        <v>274</v>
      </c>
      <c r="Y416" s="16">
        <f>VLOOKUP(Tabela1[[#This Row],[SKU]],SKU!A:D,4,0)</f>
        <v>1000</v>
      </c>
      <c r="Z416" s="18">
        <f>IFERROR((Tabela1[[#This Row],[Média]]-Tabela1[[#This Row],[Meta]])/Tabela1[[#This Row],[Meta]],"")</f>
        <v>1.8600000000000023E-2</v>
      </c>
      <c r="AA416" s="22">
        <f>Tabela1[[#This Row],[Média]]-Tabela1[[#This Row],[Meta]]</f>
        <v>18.600000000000023</v>
      </c>
      <c r="AB416" s="6" t="str">
        <f>VLOOKUP(Tabela1[[#This Row],[SKU]],SKU!A:B,2,0)</f>
        <v>SOBRECOXA CG BDJ SE</v>
      </c>
      <c r="AC416" s="6" t="str">
        <f>VLOOKUP(Tabela1[[#This Row],[SKU]],SKU!A:C,3,0)</f>
        <v>PERNA</v>
      </c>
    </row>
    <row r="417" spans="1:29" x14ac:dyDescent="0.3">
      <c r="A417" s="2">
        <f>INT(Tabela1[[#This Row],[Data e Hora2]])</f>
        <v>46267</v>
      </c>
      <c r="B417" s="6" t="str">
        <f>UPPER(TEXT(Tabela1[[#This Row],[Data Corrigida]],"MMM"))</f>
        <v>SET</v>
      </c>
      <c r="C417" t="s">
        <v>1155</v>
      </c>
      <c r="D417" s="2" t="s">
        <v>1156</v>
      </c>
      <c r="E417" s="1" t="s">
        <v>1151</v>
      </c>
      <c r="F417" t="s">
        <v>24</v>
      </c>
      <c r="G417" s="2" t="s">
        <v>1152</v>
      </c>
      <c r="H417" t="s">
        <v>26</v>
      </c>
      <c r="I417" t="s">
        <v>27</v>
      </c>
      <c r="J417" s="6">
        <v>13188</v>
      </c>
      <c r="K417" s="16">
        <v>1013</v>
      </c>
      <c r="L417" s="16">
        <v>1002</v>
      </c>
      <c r="M417" s="16">
        <v>999</v>
      </c>
      <c r="N417" s="16">
        <v>991</v>
      </c>
      <c r="O417" s="16">
        <v>1009</v>
      </c>
      <c r="P417" s="16">
        <v>1003</v>
      </c>
      <c r="Q417" s="16">
        <v>1015</v>
      </c>
      <c r="R417" s="16">
        <v>1016</v>
      </c>
      <c r="S417" s="16">
        <v>1012</v>
      </c>
      <c r="T417" s="16">
        <v>1004</v>
      </c>
      <c r="U417" s="15">
        <v>1006.4</v>
      </c>
      <c r="V417" t="s">
        <v>19</v>
      </c>
      <c r="W417" t="s">
        <v>28</v>
      </c>
      <c r="X417">
        <v>798</v>
      </c>
      <c r="Y417" s="16">
        <f>VLOOKUP(Tabela1[[#This Row],[SKU]],SKU!A:D,4,0)</f>
        <v>1000</v>
      </c>
      <c r="Z417" s="18">
        <f>IFERROR((Tabela1[[#This Row],[Média]]-Tabela1[[#This Row],[Meta]])/Tabela1[[#This Row],[Meta]],"")</f>
        <v>6.3999999999999769E-3</v>
      </c>
      <c r="AA417" s="22">
        <f>Tabela1[[#This Row],[Média]]-Tabela1[[#This Row],[Meta]]</f>
        <v>6.3999999999999773</v>
      </c>
      <c r="AB417" s="6" t="str">
        <f>VLOOKUP(Tabela1[[#This Row],[SKU]],SKU!A:B,2,0)</f>
        <v>SOBRECOXA CG BDJ SE</v>
      </c>
      <c r="AC417" s="6" t="str">
        <f>VLOOKUP(Tabela1[[#This Row],[SKU]],SKU!A:C,3,0)</f>
        <v>PERNA</v>
      </c>
    </row>
    <row r="418" spans="1:29" x14ac:dyDescent="0.3">
      <c r="A418" s="2">
        <f>INT(Tabela1[[#This Row],[Data e Hora2]])</f>
        <v>46267</v>
      </c>
      <c r="B418" s="6" t="str">
        <f>UPPER(TEXT(Tabela1[[#This Row],[Data Corrigida]],"MMM"))</f>
        <v>SET</v>
      </c>
      <c r="C418" t="s">
        <v>1157</v>
      </c>
      <c r="D418" s="2" t="s">
        <v>1158</v>
      </c>
      <c r="E418" s="1" t="s">
        <v>1151</v>
      </c>
      <c r="F418" t="s">
        <v>24</v>
      </c>
      <c r="G418" s="2" t="s">
        <v>1152</v>
      </c>
      <c r="H418" t="s">
        <v>26</v>
      </c>
      <c r="I418" t="s">
        <v>27</v>
      </c>
      <c r="J418" s="6">
        <v>15229</v>
      </c>
      <c r="K418" s="16">
        <v>993</v>
      </c>
      <c r="L418" s="16">
        <v>1000</v>
      </c>
      <c r="M418" s="16">
        <v>1014</v>
      </c>
      <c r="N418" s="16">
        <v>1003</v>
      </c>
      <c r="O418" s="16">
        <v>1014</v>
      </c>
      <c r="P418" s="16">
        <v>999</v>
      </c>
      <c r="Q418" s="16">
        <v>992</v>
      </c>
      <c r="R418" s="16">
        <v>1006</v>
      </c>
      <c r="S418" s="16">
        <v>1014</v>
      </c>
      <c r="T418" s="16">
        <v>996</v>
      </c>
      <c r="U418" s="15">
        <v>1003.1</v>
      </c>
      <c r="V418" t="s">
        <v>19</v>
      </c>
      <c r="W418" t="s">
        <v>19</v>
      </c>
      <c r="X418">
        <v>426</v>
      </c>
      <c r="Y418" s="16">
        <f>VLOOKUP(Tabela1[[#This Row],[SKU]],SKU!A:D,4,0)</f>
        <v>1000</v>
      </c>
      <c r="Z418" s="18">
        <f>IFERROR((Tabela1[[#This Row],[Média]]-Tabela1[[#This Row],[Meta]])/Tabela1[[#This Row],[Meta]],"")</f>
        <v>3.1000000000000229E-3</v>
      </c>
      <c r="AA418" s="22">
        <f>Tabela1[[#This Row],[Média]]-Tabela1[[#This Row],[Meta]]</f>
        <v>3.1000000000000227</v>
      </c>
      <c r="AB418" s="6" t="str">
        <f>VLOOKUP(Tabela1[[#This Row],[SKU]],SKU!A:B,2,0)</f>
        <v>COXA CG BDJ SE</v>
      </c>
      <c r="AC418" s="6" t="str">
        <f>VLOOKUP(Tabela1[[#This Row],[SKU]],SKU!A:C,3,0)</f>
        <v>PERNA</v>
      </c>
    </row>
    <row r="419" spans="1:29" x14ac:dyDescent="0.3">
      <c r="A419" s="2">
        <f>INT(Tabela1[[#This Row],[Data e Hora2]])</f>
        <v>46267</v>
      </c>
      <c r="B419" s="6" t="str">
        <f>UPPER(TEXT(Tabela1[[#This Row],[Data Corrigida]],"MMM"))</f>
        <v>SET</v>
      </c>
      <c r="C419" t="s">
        <v>1159</v>
      </c>
      <c r="D419" s="2" t="s">
        <v>1160</v>
      </c>
      <c r="E419" s="1" t="s">
        <v>1151</v>
      </c>
      <c r="F419" t="s">
        <v>24</v>
      </c>
      <c r="G419" s="2" t="s">
        <v>1152</v>
      </c>
      <c r="H419" t="s">
        <v>26</v>
      </c>
      <c r="I419" t="s">
        <v>27</v>
      </c>
      <c r="J419" s="6">
        <v>42854</v>
      </c>
      <c r="K419" s="16">
        <v>2107</v>
      </c>
      <c r="L419" s="16">
        <v>2187</v>
      </c>
      <c r="M419" s="16">
        <v>2113</v>
      </c>
      <c r="N419" s="16">
        <v>2087</v>
      </c>
      <c r="O419" s="16">
        <v>2106</v>
      </c>
      <c r="P419" s="16">
        <v>1889</v>
      </c>
      <c r="Q419" s="16">
        <v>2001</v>
      </c>
      <c r="R419" s="16">
        <v>2101</v>
      </c>
      <c r="S419" s="16">
        <v>2123</v>
      </c>
      <c r="T419" s="16">
        <v>2085</v>
      </c>
      <c r="U419" s="15">
        <v>2079.9</v>
      </c>
      <c r="V419" t="s">
        <v>19</v>
      </c>
      <c r="W419" t="s">
        <v>19</v>
      </c>
      <c r="X419">
        <v>340</v>
      </c>
      <c r="Y419" s="16">
        <f>VLOOKUP(Tabela1[[#This Row],[SKU]],SKU!A:D,4,0)</f>
        <v>2080</v>
      </c>
      <c r="Z419" s="18">
        <f>IFERROR((Tabela1[[#This Row],[Média]]-Tabela1[[#This Row],[Meta]])/Tabela1[[#This Row],[Meta]],"")</f>
        <v>-4.807692307687935E-5</v>
      </c>
      <c r="AA419" s="22">
        <f>Tabela1[[#This Row],[Média]]-Tabela1[[#This Row],[Meta]]</f>
        <v>-9.9999999999909051E-2</v>
      </c>
      <c r="AB419" s="6" t="str">
        <f>VLOOKUP(Tabela1[[#This Row],[SKU]],SKU!A:B,2,0)</f>
        <v>COXA SBCX S/O FG 260-280g PB</v>
      </c>
      <c r="AC419" s="6" t="str">
        <f>VLOOKUP(Tabela1[[#This Row],[SKU]],SKU!A:C,3,0)</f>
        <v>PERNA</v>
      </c>
    </row>
    <row r="420" spans="1:29" x14ac:dyDescent="0.3">
      <c r="A420" s="2">
        <f>INT(Tabela1[[#This Row],[Data e Hora2]])</f>
        <v>46267</v>
      </c>
      <c r="B420" s="6" t="str">
        <f>UPPER(TEXT(Tabela1[[#This Row],[Data Corrigida]],"MMM"))</f>
        <v>SET</v>
      </c>
      <c r="C420" t="s">
        <v>1161</v>
      </c>
      <c r="D420" s="2" t="s">
        <v>1162</v>
      </c>
      <c r="E420" s="1" t="s">
        <v>1151</v>
      </c>
      <c r="F420" t="s">
        <v>24</v>
      </c>
      <c r="G420" s="2" t="s">
        <v>1152</v>
      </c>
      <c r="H420" t="s">
        <v>26</v>
      </c>
      <c r="I420" t="s">
        <v>27</v>
      </c>
      <c r="J420" s="6">
        <v>42838</v>
      </c>
      <c r="K420" s="16">
        <v>2011</v>
      </c>
      <c r="L420" s="16">
        <v>2034</v>
      </c>
      <c r="M420" s="16">
        <v>2033</v>
      </c>
      <c r="N420" s="16">
        <v>2010</v>
      </c>
      <c r="O420" s="16">
        <v>2064</v>
      </c>
      <c r="P420" s="16">
        <v>2011</v>
      </c>
      <c r="Q420" s="16">
        <v>2006</v>
      </c>
      <c r="R420" s="16">
        <v>2015</v>
      </c>
      <c r="S420" s="16">
        <v>2009</v>
      </c>
      <c r="T420" s="16">
        <v>2039</v>
      </c>
      <c r="U420" s="15">
        <v>2023.2</v>
      </c>
      <c r="V420" t="s">
        <v>19</v>
      </c>
      <c r="W420" t="s">
        <v>19</v>
      </c>
      <c r="X420">
        <v>110</v>
      </c>
      <c r="Y420" s="16">
        <f>VLOOKUP(Tabela1[[#This Row],[SKU]],SKU!A:D,4,0)</f>
        <v>2000</v>
      </c>
      <c r="Z420" s="18">
        <f>IFERROR((Tabela1[[#This Row],[Média]]-Tabela1[[#This Row],[Meta]])/Tabela1[[#This Row],[Meta]],"")</f>
        <v>1.1600000000000023E-2</v>
      </c>
      <c r="AA420" s="22">
        <f>Tabela1[[#This Row],[Média]]-Tabela1[[#This Row],[Meta]]</f>
        <v>23.200000000000045</v>
      </c>
      <c r="AB420" s="6" t="str">
        <f>VLOOKUP(Tabela1[[#This Row],[SKU]],SKU!A:B,2,0)</f>
        <v>COXA SBCX S/O FG 220-240g PB</v>
      </c>
      <c r="AC420" s="6" t="str">
        <f>VLOOKUP(Tabela1[[#This Row],[SKU]],SKU!A:C,3,0)</f>
        <v>PERNA</v>
      </c>
    </row>
    <row r="421" spans="1:29" x14ac:dyDescent="0.3">
      <c r="A421" s="2">
        <f>INT(Tabela1[[#This Row],[Data e Hora2]])</f>
        <v>46267</v>
      </c>
      <c r="B421" s="6" t="str">
        <f>UPPER(TEXT(Tabela1[[#This Row],[Data Corrigida]],"MMM"))</f>
        <v>SET</v>
      </c>
      <c r="C421" t="s">
        <v>1163</v>
      </c>
      <c r="D421" s="2" t="s">
        <v>1164</v>
      </c>
      <c r="E421" s="1" t="s">
        <v>1151</v>
      </c>
      <c r="F421" t="s">
        <v>24</v>
      </c>
      <c r="G421" s="2" t="s">
        <v>1152</v>
      </c>
      <c r="H421" t="s">
        <v>26</v>
      </c>
      <c r="I421" t="s">
        <v>27</v>
      </c>
      <c r="J421" s="6">
        <v>992093</v>
      </c>
      <c r="K421" s="16">
        <v>5008</v>
      </c>
      <c r="L421" s="16">
        <v>5004</v>
      </c>
      <c r="M421" s="16">
        <v>5008</v>
      </c>
      <c r="N421" s="16">
        <v>5001</v>
      </c>
      <c r="O421" s="16">
        <v>5002</v>
      </c>
      <c r="P421" s="16">
        <v>5008</v>
      </c>
      <c r="Q421" s="16">
        <v>5007</v>
      </c>
      <c r="R421" s="16">
        <v>5005</v>
      </c>
      <c r="S421" s="16">
        <v>5009</v>
      </c>
      <c r="T421" s="16"/>
      <c r="U421" s="15">
        <v>5006</v>
      </c>
      <c r="V421" t="s">
        <v>19</v>
      </c>
      <c r="W421" t="s">
        <v>19</v>
      </c>
      <c r="X421">
        <v>152</v>
      </c>
      <c r="Y421" s="16">
        <f>VLOOKUP(Tabela1[[#This Row],[SKU]],SKU!A:D,4,0)</f>
        <v>5000</v>
      </c>
      <c r="Z421" s="18">
        <f>IFERROR((Tabela1[[#This Row],[Média]]-Tabela1[[#This Row],[Meta]])/Tabela1[[#This Row],[Meta]],"")</f>
        <v>1.1999999999999999E-3</v>
      </c>
      <c r="AA421" s="22">
        <f>Tabela1[[#This Row],[Média]]-Tabela1[[#This Row],[Meta]]</f>
        <v>6</v>
      </c>
      <c r="AB421" s="6" t="str">
        <f>VLOOKUP(Tabela1[[#This Row],[SKU]],SKU!A:B,2,0)</f>
        <v>PONTA ASA FG PB CG</v>
      </c>
      <c r="AC421" s="6" t="str">
        <f>VLOOKUP(Tabela1[[#This Row],[SKU]],SKU!A:C,3,0)</f>
        <v>ASA</v>
      </c>
    </row>
    <row r="422" spans="1:29" x14ac:dyDescent="0.3">
      <c r="A422" s="2">
        <f>INT(Tabela1[[#This Row],[Data e Hora2]])</f>
        <v>46267</v>
      </c>
      <c r="B422" s="6" t="str">
        <f>UPPER(TEXT(Tabela1[[#This Row],[Data Corrigida]],"MMM"))</f>
        <v>SET</v>
      </c>
      <c r="C422" t="s">
        <v>1165</v>
      </c>
      <c r="D422" s="2" t="s">
        <v>1166</v>
      </c>
      <c r="E422" s="1" t="s">
        <v>1167</v>
      </c>
      <c r="F422" t="s">
        <v>24</v>
      </c>
      <c r="G422" s="2" t="s">
        <v>1152</v>
      </c>
      <c r="H422" t="s">
        <v>26</v>
      </c>
      <c r="I422" t="s">
        <v>57</v>
      </c>
      <c r="J422" s="6">
        <v>15105</v>
      </c>
      <c r="K422" s="16">
        <v>1165</v>
      </c>
      <c r="L422" s="16">
        <v>1008</v>
      </c>
      <c r="M422" s="16">
        <v>999</v>
      </c>
      <c r="N422" s="16">
        <v>1022</v>
      </c>
      <c r="O422" s="16">
        <v>1033</v>
      </c>
      <c r="P422" s="16">
        <v>1004</v>
      </c>
      <c r="Q422" s="16">
        <v>1026</v>
      </c>
      <c r="R422" s="16">
        <v>1042</v>
      </c>
      <c r="S422" s="16">
        <v>1025</v>
      </c>
      <c r="T422" s="16">
        <v>1003</v>
      </c>
      <c r="U422" s="15">
        <v>1032.7</v>
      </c>
      <c r="V422" t="s">
        <v>19</v>
      </c>
      <c r="W422" t="s">
        <v>28</v>
      </c>
      <c r="X422">
        <v>683</v>
      </c>
      <c r="Y422" s="16">
        <f>VLOOKUP(Tabela1[[#This Row],[SKU]],SKU!A:D,4,0)</f>
        <v>1000</v>
      </c>
      <c r="Z422" s="18">
        <f>IFERROR((Tabela1[[#This Row],[Média]]-Tabela1[[#This Row],[Meta]])/Tabela1[[#This Row],[Meta]],"")</f>
        <v>3.2700000000000048E-2</v>
      </c>
      <c r="AA422" s="22">
        <f>Tabela1[[#This Row],[Média]]-Tabela1[[#This Row],[Meta]]</f>
        <v>32.700000000000045</v>
      </c>
      <c r="AB422" s="6" t="str">
        <f>VLOOKUP(Tabela1[[#This Row],[SKU]],SKU!A:B,2,0)</f>
        <v>FILE PEITO MET CG BDJ SE</v>
      </c>
      <c r="AC422" s="6" t="str">
        <f>VLOOKUP(Tabela1[[#This Row],[SKU]],SKU!A:C,3,0)</f>
        <v>PEITO</v>
      </c>
    </row>
    <row r="423" spans="1:29" x14ac:dyDescent="0.3">
      <c r="A423" s="2">
        <f>INT(Tabela1[[#This Row],[Data e Hora2]])</f>
        <v>46267</v>
      </c>
      <c r="B423" s="6" t="str">
        <f>UPPER(TEXT(Tabela1[[#This Row],[Data Corrigida]],"MMM"))</f>
        <v>SET</v>
      </c>
      <c r="C423" t="s">
        <v>1168</v>
      </c>
      <c r="D423" s="2" t="s">
        <v>1169</v>
      </c>
      <c r="E423" s="1" t="s">
        <v>1167</v>
      </c>
      <c r="F423" t="s">
        <v>24</v>
      </c>
      <c r="G423" s="2" t="s">
        <v>1152</v>
      </c>
      <c r="H423" t="s">
        <v>26</v>
      </c>
      <c r="I423" t="s">
        <v>57</v>
      </c>
      <c r="J423" s="6">
        <v>15105</v>
      </c>
      <c r="K423" s="16">
        <v>1024</v>
      </c>
      <c r="L423" s="16">
        <v>980</v>
      </c>
      <c r="M423" s="16">
        <v>1016</v>
      </c>
      <c r="N423" s="16">
        <v>1001</v>
      </c>
      <c r="O423" s="16">
        <v>829</v>
      </c>
      <c r="P423" s="16">
        <v>1009</v>
      </c>
      <c r="Q423" s="16">
        <v>951</v>
      </c>
      <c r="R423" s="16">
        <v>997</v>
      </c>
      <c r="S423" s="16">
        <v>1002</v>
      </c>
      <c r="T423" s="16">
        <v>1000</v>
      </c>
      <c r="U423" s="15">
        <v>980.9</v>
      </c>
      <c r="V423" t="s">
        <v>19</v>
      </c>
      <c r="W423" t="s">
        <v>28</v>
      </c>
      <c r="X423">
        <v>843</v>
      </c>
      <c r="Y423" s="16">
        <f>VLOOKUP(Tabela1[[#This Row],[SKU]],SKU!A:D,4,0)</f>
        <v>1000</v>
      </c>
      <c r="Z423" s="18">
        <f>IFERROR((Tabela1[[#This Row],[Média]]-Tabela1[[#This Row],[Meta]])/Tabela1[[#This Row],[Meta]],"")</f>
        <v>-1.9100000000000023E-2</v>
      </c>
      <c r="AA423" s="22">
        <f>Tabela1[[#This Row],[Média]]-Tabela1[[#This Row],[Meta]]</f>
        <v>-19.100000000000023</v>
      </c>
      <c r="AB423" s="6" t="str">
        <f>VLOOKUP(Tabela1[[#This Row],[SKU]],SKU!A:B,2,0)</f>
        <v>FILE PEITO MET CG BDJ SE</v>
      </c>
      <c r="AC423" s="6" t="str">
        <f>VLOOKUP(Tabela1[[#This Row],[SKU]],SKU!A:C,3,0)</f>
        <v>PEITO</v>
      </c>
    </row>
    <row r="424" spans="1:29" x14ac:dyDescent="0.3">
      <c r="A424" s="2">
        <f>INT(Tabela1[[#This Row],[Data e Hora2]])</f>
        <v>46267</v>
      </c>
      <c r="B424" s="6" t="str">
        <f>UPPER(TEXT(Tabela1[[#This Row],[Data Corrigida]],"MMM"))</f>
        <v>SET</v>
      </c>
      <c r="C424" t="s">
        <v>1170</v>
      </c>
      <c r="D424" s="2" t="s">
        <v>1171</v>
      </c>
      <c r="E424" s="1" t="s">
        <v>1167</v>
      </c>
      <c r="F424" t="s">
        <v>24</v>
      </c>
      <c r="G424" s="2" t="s">
        <v>1152</v>
      </c>
      <c r="H424" t="s">
        <v>26</v>
      </c>
      <c r="I424" t="s">
        <v>57</v>
      </c>
      <c r="J424" s="6">
        <v>15105</v>
      </c>
      <c r="K424" s="16">
        <v>1008</v>
      </c>
      <c r="L424" s="16">
        <v>1025</v>
      </c>
      <c r="M424" s="16">
        <v>1032</v>
      </c>
      <c r="N424" s="16">
        <v>1032</v>
      </c>
      <c r="O424" s="16">
        <v>1021</v>
      </c>
      <c r="P424" s="16">
        <v>985</v>
      </c>
      <c r="Q424" s="16">
        <v>990</v>
      </c>
      <c r="R424" s="16">
        <v>1008</v>
      </c>
      <c r="S424" s="16">
        <v>1018</v>
      </c>
      <c r="T424" s="16">
        <v>1053</v>
      </c>
      <c r="U424" s="15">
        <v>1017.2</v>
      </c>
      <c r="V424" t="s">
        <v>19</v>
      </c>
      <c r="W424" t="s">
        <v>28</v>
      </c>
      <c r="X424">
        <v>951</v>
      </c>
      <c r="Y424" s="16">
        <f>VLOOKUP(Tabela1[[#This Row],[SKU]],SKU!A:D,4,0)</f>
        <v>1000</v>
      </c>
      <c r="Z424" s="18">
        <f>IFERROR((Tabela1[[#This Row],[Média]]-Tabela1[[#This Row],[Meta]])/Tabela1[[#This Row],[Meta]],"")</f>
        <v>1.7200000000000045E-2</v>
      </c>
      <c r="AA424" s="22">
        <f>Tabela1[[#This Row],[Média]]-Tabela1[[#This Row],[Meta]]</f>
        <v>17.200000000000045</v>
      </c>
      <c r="AB424" s="6" t="str">
        <f>VLOOKUP(Tabela1[[#This Row],[SKU]],SKU!A:B,2,0)</f>
        <v>FILE PEITO MET CG BDJ SE</v>
      </c>
      <c r="AC424" s="6" t="str">
        <f>VLOOKUP(Tabela1[[#This Row],[SKU]],SKU!A:C,3,0)</f>
        <v>PEITO</v>
      </c>
    </row>
    <row r="425" spans="1:29" x14ac:dyDescent="0.3">
      <c r="A425" s="2">
        <f>INT(Tabela1[[#This Row],[Data e Hora2]])</f>
        <v>46267</v>
      </c>
      <c r="B425" s="6" t="str">
        <f>UPPER(TEXT(Tabela1[[#This Row],[Data Corrigida]],"MMM"))</f>
        <v>SET</v>
      </c>
      <c r="C425" t="s">
        <v>1172</v>
      </c>
      <c r="D425" s="2" t="s">
        <v>1173</v>
      </c>
      <c r="E425" s="1" t="s">
        <v>1174</v>
      </c>
      <c r="F425" t="s">
        <v>24</v>
      </c>
      <c r="G425" s="2" t="s">
        <v>1152</v>
      </c>
      <c r="H425" t="s">
        <v>26</v>
      </c>
      <c r="I425" t="s">
        <v>57</v>
      </c>
      <c r="J425" s="6">
        <v>15105</v>
      </c>
      <c r="K425" s="16">
        <v>1021</v>
      </c>
      <c r="L425" s="16">
        <v>1013</v>
      </c>
      <c r="M425" s="16">
        <v>1005</v>
      </c>
      <c r="N425" s="16">
        <v>1011</v>
      </c>
      <c r="O425" s="16">
        <v>1060</v>
      </c>
      <c r="P425" s="16">
        <v>934</v>
      </c>
      <c r="Q425" s="16">
        <v>1023</v>
      </c>
      <c r="R425" s="16">
        <v>1031</v>
      </c>
      <c r="S425" s="16">
        <v>1014</v>
      </c>
      <c r="T425" s="16">
        <v>1032</v>
      </c>
      <c r="U425" s="15">
        <v>1014.4</v>
      </c>
      <c r="V425" t="s">
        <v>19</v>
      </c>
      <c r="W425" t="s">
        <v>28</v>
      </c>
      <c r="X425">
        <v>288</v>
      </c>
      <c r="Y425" s="16">
        <f>VLOOKUP(Tabela1[[#This Row],[SKU]],SKU!A:D,4,0)</f>
        <v>1000</v>
      </c>
      <c r="Z425" s="18">
        <f>IFERROR((Tabela1[[#This Row],[Média]]-Tabela1[[#This Row],[Meta]])/Tabela1[[#This Row],[Meta]],"")</f>
        <v>1.4399999999999977E-2</v>
      </c>
      <c r="AA425" s="22">
        <f>Tabela1[[#This Row],[Média]]-Tabela1[[#This Row],[Meta]]</f>
        <v>14.399999999999977</v>
      </c>
      <c r="AB425" s="6" t="str">
        <f>VLOOKUP(Tabela1[[#This Row],[SKU]],SKU!A:B,2,0)</f>
        <v>FILE PEITO MET CG BDJ SE</v>
      </c>
      <c r="AC425" s="6" t="str">
        <f>VLOOKUP(Tabela1[[#This Row],[SKU]],SKU!A:C,3,0)</f>
        <v>PEITO</v>
      </c>
    </row>
    <row r="426" spans="1:29" x14ac:dyDescent="0.3">
      <c r="A426" s="2">
        <f>INT(Tabela1[[#This Row],[Data e Hora2]])</f>
        <v>46267</v>
      </c>
      <c r="B426" s="6" t="str">
        <f>UPPER(TEXT(Tabela1[[#This Row],[Data Corrigida]],"MMM"))</f>
        <v>SET</v>
      </c>
      <c r="C426" t="s">
        <v>1175</v>
      </c>
      <c r="D426" s="2" t="s">
        <v>1176</v>
      </c>
      <c r="E426" s="1" t="s">
        <v>1174</v>
      </c>
      <c r="F426" t="s">
        <v>24</v>
      </c>
      <c r="G426" s="2" t="s">
        <v>1152</v>
      </c>
      <c r="H426" t="s">
        <v>26</v>
      </c>
      <c r="I426" t="s">
        <v>57</v>
      </c>
      <c r="J426" s="6">
        <v>15105</v>
      </c>
      <c r="K426" s="16">
        <v>1128</v>
      </c>
      <c r="L426" s="16">
        <v>1038</v>
      </c>
      <c r="M426" s="16">
        <v>930</v>
      </c>
      <c r="N426" s="16">
        <v>1010</v>
      </c>
      <c r="O426" s="16">
        <v>1004</v>
      </c>
      <c r="P426" s="16">
        <v>1019</v>
      </c>
      <c r="Q426" s="16">
        <v>1009</v>
      </c>
      <c r="R426" s="16">
        <v>886</v>
      </c>
      <c r="S426" s="16">
        <v>1002</v>
      </c>
      <c r="T426" s="16">
        <v>1011</v>
      </c>
      <c r="U426" s="15">
        <v>1003.7</v>
      </c>
      <c r="V426" t="s">
        <v>19</v>
      </c>
      <c r="W426" t="s">
        <v>28</v>
      </c>
      <c r="X426">
        <v>527</v>
      </c>
      <c r="Y426" s="16">
        <f>VLOOKUP(Tabela1[[#This Row],[SKU]],SKU!A:D,4,0)</f>
        <v>1000</v>
      </c>
      <c r="Z426" s="18">
        <f>IFERROR((Tabela1[[#This Row],[Média]]-Tabela1[[#This Row],[Meta]])/Tabela1[[#This Row],[Meta]],"")</f>
        <v>3.7000000000000453E-3</v>
      </c>
      <c r="AA426" s="22">
        <f>Tabela1[[#This Row],[Média]]-Tabela1[[#This Row],[Meta]]</f>
        <v>3.7000000000000455</v>
      </c>
      <c r="AB426" s="6" t="str">
        <f>VLOOKUP(Tabela1[[#This Row],[SKU]],SKU!A:B,2,0)</f>
        <v>FILE PEITO MET CG BDJ SE</v>
      </c>
      <c r="AC426" s="6" t="str">
        <f>VLOOKUP(Tabela1[[#This Row],[SKU]],SKU!A:C,3,0)</f>
        <v>PEITO</v>
      </c>
    </row>
    <row r="427" spans="1:29" x14ac:dyDescent="0.3">
      <c r="A427" s="2">
        <f>INT(Tabela1[[#This Row],[Data e Hora2]])</f>
        <v>46267</v>
      </c>
      <c r="B427" s="6" t="str">
        <f>UPPER(TEXT(Tabela1[[#This Row],[Data Corrigida]],"MMM"))</f>
        <v>SET</v>
      </c>
      <c r="C427" t="s">
        <v>1177</v>
      </c>
      <c r="D427" s="2" t="s">
        <v>1178</v>
      </c>
      <c r="E427" s="1" t="s">
        <v>1179</v>
      </c>
      <c r="F427" t="s">
        <v>24</v>
      </c>
      <c r="G427" s="2" t="s">
        <v>1152</v>
      </c>
      <c r="H427" t="s">
        <v>26</v>
      </c>
      <c r="I427" t="s">
        <v>57</v>
      </c>
      <c r="J427" s="6">
        <v>40762</v>
      </c>
      <c r="K427" s="16">
        <v>10065</v>
      </c>
      <c r="L427" s="16">
        <v>10000</v>
      </c>
      <c r="M427" s="16">
        <v>10095</v>
      </c>
      <c r="N427" s="16">
        <v>10010</v>
      </c>
      <c r="O427" s="16">
        <v>10015</v>
      </c>
      <c r="P427" s="16">
        <v>9960</v>
      </c>
      <c r="Q427" s="16">
        <v>10005</v>
      </c>
      <c r="R427" s="16">
        <v>10110</v>
      </c>
      <c r="S427" s="16">
        <v>10075</v>
      </c>
      <c r="T427" s="16">
        <v>10055</v>
      </c>
      <c r="U427" s="15">
        <v>10039</v>
      </c>
      <c r="V427" t="s">
        <v>19</v>
      </c>
      <c r="W427" t="s">
        <v>28</v>
      </c>
      <c r="X427">
        <v>384</v>
      </c>
      <c r="Y427" s="16">
        <f>VLOOKUP(Tabela1[[#This Row],[SKU]],SKU!A:D,4,0)</f>
        <v>10000</v>
      </c>
      <c r="Z427" s="18">
        <f>IFERROR((Tabela1[[#This Row],[Média]]-Tabela1[[#This Row],[Meta]])/Tabela1[[#This Row],[Meta]],"")</f>
        <v>3.8999999999999998E-3</v>
      </c>
      <c r="AA427" s="22">
        <f>Tabela1[[#This Row],[Média]]-Tabela1[[#This Row],[Meta]]</f>
        <v>39</v>
      </c>
      <c r="AB427" s="6" t="str">
        <f>VLOOKUP(Tabela1[[#This Row],[SKU]],SKU!A:B,2,0)</f>
        <v>COXA SBCX LQ FG LP</v>
      </c>
      <c r="AC427" s="6" t="str">
        <f>VLOOKUP(Tabela1[[#This Row],[SKU]],SKU!A:C,3,0)</f>
        <v>PERNA</v>
      </c>
    </row>
    <row r="428" spans="1:29" x14ac:dyDescent="0.3">
      <c r="A428" s="2">
        <f>INT(Tabela1[[#This Row],[Data e Hora2]])</f>
        <v>46267</v>
      </c>
      <c r="B428" s="6" t="str">
        <f>UPPER(TEXT(Tabela1[[#This Row],[Data Corrigida]],"MMM"))</f>
        <v>SET</v>
      </c>
      <c r="C428" t="s">
        <v>1180</v>
      </c>
      <c r="D428" s="2" t="s">
        <v>1181</v>
      </c>
      <c r="E428" s="1" t="s">
        <v>1179</v>
      </c>
      <c r="F428" t="s">
        <v>24</v>
      </c>
      <c r="G428" s="2" t="s">
        <v>1152</v>
      </c>
      <c r="H428" t="s">
        <v>26</v>
      </c>
      <c r="I428" t="s">
        <v>57</v>
      </c>
      <c r="J428" s="6">
        <v>40762</v>
      </c>
      <c r="K428" s="16">
        <v>10005</v>
      </c>
      <c r="L428" s="16">
        <v>10015</v>
      </c>
      <c r="M428" s="16">
        <v>9985</v>
      </c>
      <c r="N428" s="16">
        <v>10070</v>
      </c>
      <c r="O428" s="16">
        <v>10080</v>
      </c>
      <c r="P428" s="16">
        <v>9980</v>
      </c>
      <c r="Q428" s="16">
        <v>10025</v>
      </c>
      <c r="R428" s="16">
        <v>10035</v>
      </c>
      <c r="S428" s="16">
        <v>9975</v>
      </c>
      <c r="T428" s="16">
        <v>9970</v>
      </c>
      <c r="U428" s="15">
        <v>10014</v>
      </c>
      <c r="V428" t="s">
        <v>19</v>
      </c>
      <c r="W428" t="s">
        <v>28</v>
      </c>
      <c r="X428">
        <v>727</v>
      </c>
      <c r="Y428" s="16">
        <f>VLOOKUP(Tabela1[[#This Row],[SKU]],SKU!A:D,4,0)</f>
        <v>10000</v>
      </c>
      <c r="Z428" s="18">
        <f>IFERROR((Tabela1[[#This Row],[Média]]-Tabela1[[#This Row],[Meta]])/Tabela1[[#This Row],[Meta]],"")</f>
        <v>1.4E-3</v>
      </c>
      <c r="AA428" s="22">
        <f>Tabela1[[#This Row],[Média]]-Tabela1[[#This Row],[Meta]]</f>
        <v>14</v>
      </c>
      <c r="AB428" s="6" t="str">
        <f>VLOOKUP(Tabela1[[#This Row],[SKU]],SKU!A:B,2,0)</f>
        <v>COXA SBCX LQ FG LP</v>
      </c>
      <c r="AC428" s="6" t="str">
        <f>VLOOKUP(Tabela1[[#This Row],[SKU]],SKU!A:C,3,0)</f>
        <v>PERNA</v>
      </c>
    </row>
    <row r="429" spans="1:29" x14ac:dyDescent="0.3">
      <c r="A429" s="2">
        <f>INT(Tabela1[[#This Row],[Data e Hora2]])</f>
        <v>46267</v>
      </c>
      <c r="B429" s="6" t="str">
        <f>UPPER(TEXT(Tabela1[[#This Row],[Data Corrigida]],"MMM"))</f>
        <v>SET</v>
      </c>
      <c r="C429" t="s">
        <v>1182</v>
      </c>
      <c r="D429" s="2" t="s">
        <v>1183</v>
      </c>
      <c r="E429" s="1" t="s">
        <v>1179</v>
      </c>
      <c r="F429" t="s">
        <v>24</v>
      </c>
      <c r="G429" s="2" t="s">
        <v>1152</v>
      </c>
      <c r="H429" t="s">
        <v>26</v>
      </c>
      <c r="I429" t="s">
        <v>57</v>
      </c>
      <c r="J429" s="6">
        <v>40762</v>
      </c>
      <c r="K429" s="16">
        <v>10040</v>
      </c>
      <c r="L429" s="16">
        <v>10010</v>
      </c>
      <c r="M429" s="16">
        <v>10000</v>
      </c>
      <c r="N429" s="16">
        <v>10015</v>
      </c>
      <c r="O429" s="16">
        <v>10075</v>
      </c>
      <c r="P429" s="16">
        <v>10040</v>
      </c>
      <c r="Q429" s="16">
        <v>9990</v>
      </c>
      <c r="R429" s="16">
        <v>10040</v>
      </c>
      <c r="S429" s="16">
        <v>10070</v>
      </c>
      <c r="T429" s="16">
        <v>9965</v>
      </c>
      <c r="U429" s="15">
        <v>10024.5</v>
      </c>
      <c r="V429" t="s">
        <v>19</v>
      </c>
      <c r="W429" t="s">
        <v>28</v>
      </c>
      <c r="X429">
        <v>803</v>
      </c>
      <c r="Y429" s="16">
        <f>VLOOKUP(Tabela1[[#This Row],[SKU]],SKU!A:D,4,0)</f>
        <v>10000</v>
      </c>
      <c r="Z429" s="18">
        <f>IFERROR((Tabela1[[#This Row],[Média]]-Tabela1[[#This Row],[Meta]])/Tabela1[[#This Row],[Meta]],"")</f>
        <v>2.4499999999999999E-3</v>
      </c>
      <c r="AA429" s="22">
        <f>Tabela1[[#This Row],[Média]]-Tabela1[[#This Row],[Meta]]</f>
        <v>24.5</v>
      </c>
      <c r="AB429" s="6" t="str">
        <f>VLOOKUP(Tabela1[[#This Row],[SKU]],SKU!A:B,2,0)</f>
        <v>COXA SBCX LQ FG LP</v>
      </c>
      <c r="AC429" s="6" t="str">
        <f>VLOOKUP(Tabela1[[#This Row],[SKU]],SKU!A:C,3,0)</f>
        <v>PERNA</v>
      </c>
    </row>
    <row r="430" spans="1:29" x14ac:dyDescent="0.3">
      <c r="A430" s="2">
        <f>INT(Tabela1[[#This Row],[Data e Hora2]])</f>
        <v>46267</v>
      </c>
      <c r="B430" s="6" t="str">
        <f>UPPER(TEXT(Tabela1[[#This Row],[Data Corrigida]],"MMM"))</f>
        <v>SET</v>
      </c>
      <c r="C430" t="s">
        <v>1184</v>
      </c>
      <c r="D430" s="2" t="s">
        <v>1185</v>
      </c>
      <c r="E430" s="1" t="s">
        <v>1179</v>
      </c>
      <c r="F430" t="s">
        <v>24</v>
      </c>
      <c r="G430" s="2" t="s">
        <v>1152</v>
      </c>
      <c r="H430" t="s">
        <v>26</v>
      </c>
      <c r="I430" t="s">
        <v>57</v>
      </c>
      <c r="J430" s="6">
        <v>40762</v>
      </c>
      <c r="K430" s="16">
        <v>10100</v>
      </c>
      <c r="L430" s="16">
        <v>10040</v>
      </c>
      <c r="M430" s="16">
        <v>10075</v>
      </c>
      <c r="N430" s="16">
        <v>10070</v>
      </c>
      <c r="O430" s="16">
        <v>10000</v>
      </c>
      <c r="P430" s="16">
        <v>10060</v>
      </c>
      <c r="Q430" s="16">
        <v>10010</v>
      </c>
      <c r="R430" s="16">
        <v>10065</v>
      </c>
      <c r="S430" s="16">
        <v>10085</v>
      </c>
      <c r="T430" s="16">
        <v>10005</v>
      </c>
      <c r="U430" s="15">
        <v>10051</v>
      </c>
      <c r="V430" t="s">
        <v>19</v>
      </c>
      <c r="W430" t="s">
        <v>28</v>
      </c>
      <c r="X430">
        <v>916</v>
      </c>
      <c r="Y430" s="16">
        <f>VLOOKUP(Tabela1[[#This Row],[SKU]],SKU!A:D,4,0)</f>
        <v>10000</v>
      </c>
      <c r="Z430" s="18">
        <f>IFERROR((Tabela1[[#This Row],[Média]]-Tabela1[[#This Row],[Meta]])/Tabela1[[#This Row],[Meta]],"")</f>
        <v>5.1000000000000004E-3</v>
      </c>
      <c r="AA430" s="22">
        <f>Tabela1[[#This Row],[Média]]-Tabela1[[#This Row],[Meta]]</f>
        <v>51</v>
      </c>
      <c r="AB430" s="6" t="str">
        <f>VLOOKUP(Tabela1[[#This Row],[SKU]],SKU!A:B,2,0)</f>
        <v>COXA SBCX LQ FG LP</v>
      </c>
      <c r="AC430" s="6" t="str">
        <f>VLOOKUP(Tabela1[[#This Row],[SKU]],SKU!A:C,3,0)</f>
        <v>PERNA</v>
      </c>
    </row>
    <row r="431" spans="1:29" x14ac:dyDescent="0.3">
      <c r="A431" s="2">
        <f>INT(Tabela1[[#This Row],[Data e Hora2]])</f>
        <v>46267</v>
      </c>
      <c r="B431" s="6" t="str">
        <f>UPPER(TEXT(Tabela1[[#This Row],[Data Corrigida]],"MMM"))</f>
        <v>SET</v>
      </c>
      <c r="C431" t="s">
        <v>1186</v>
      </c>
      <c r="D431" s="2" t="s">
        <v>1187</v>
      </c>
      <c r="E431" s="1" t="s">
        <v>1179</v>
      </c>
      <c r="F431" t="s">
        <v>24</v>
      </c>
      <c r="G431" s="2" t="s">
        <v>1152</v>
      </c>
      <c r="H431" t="s">
        <v>26</v>
      </c>
      <c r="I431" t="s">
        <v>57</v>
      </c>
      <c r="J431" s="6">
        <v>15105</v>
      </c>
      <c r="K431" s="16">
        <v>1005</v>
      </c>
      <c r="L431" s="16">
        <v>1012</v>
      </c>
      <c r="M431" s="16">
        <v>1015</v>
      </c>
      <c r="N431" s="16">
        <v>1000</v>
      </c>
      <c r="O431" s="16">
        <v>1056</v>
      </c>
      <c r="P431" s="16">
        <v>1016</v>
      </c>
      <c r="Q431" s="16">
        <v>1151</v>
      </c>
      <c r="R431" s="16">
        <v>1045</v>
      </c>
      <c r="S431" s="16">
        <v>1015</v>
      </c>
      <c r="T431" s="16">
        <v>1006</v>
      </c>
      <c r="U431" s="15">
        <v>1032.0999999999999</v>
      </c>
      <c r="V431" t="s">
        <v>19</v>
      </c>
      <c r="W431" t="s">
        <v>28</v>
      </c>
      <c r="X431">
        <v>513</v>
      </c>
      <c r="Y431" s="16">
        <f>VLOOKUP(Tabela1[[#This Row],[SKU]],SKU!A:D,4,0)</f>
        <v>1000</v>
      </c>
      <c r="Z431" s="18">
        <f>IFERROR((Tabela1[[#This Row],[Média]]-Tabela1[[#This Row],[Meta]])/Tabela1[[#This Row],[Meta]],"")</f>
        <v>3.2099999999999906E-2</v>
      </c>
      <c r="AA431" s="22">
        <f>Tabela1[[#This Row],[Média]]-Tabela1[[#This Row],[Meta]]</f>
        <v>32.099999999999909</v>
      </c>
      <c r="AB431" s="6" t="str">
        <f>VLOOKUP(Tabela1[[#This Row],[SKU]],SKU!A:B,2,0)</f>
        <v>FILE PEITO MET CG BDJ SE</v>
      </c>
      <c r="AC431" s="6" t="str">
        <f>VLOOKUP(Tabela1[[#This Row],[SKU]],SKU!A:C,3,0)</f>
        <v>PEITO</v>
      </c>
    </row>
    <row r="432" spans="1:29" x14ac:dyDescent="0.3">
      <c r="A432" s="2">
        <f>INT(Tabela1[[#This Row],[Data e Hora2]])</f>
        <v>46267</v>
      </c>
      <c r="B432" s="6" t="str">
        <f>UPPER(TEXT(Tabela1[[#This Row],[Data Corrigida]],"MMM"))</f>
        <v>SET</v>
      </c>
      <c r="C432" t="s">
        <v>1188</v>
      </c>
      <c r="D432" s="2" t="s">
        <v>1189</v>
      </c>
      <c r="E432" s="1" t="s">
        <v>1190</v>
      </c>
      <c r="F432" t="s">
        <v>24</v>
      </c>
      <c r="G432" s="2" t="s">
        <v>1152</v>
      </c>
      <c r="H432" t="s">
        <v>26</v>
      </c>
      <c r="I432" t="s">
        <v>57</v>
      </c>
      <c r="J432" s="6">
        <v>197734</v>
      </c>
      <c r="K432" s="16">
        <v>997</v>
      </c>
      <c r="L432" s="16">
        <v>1018</v>
      </c>
      <c r="M432" s="16">
        <v>1026</v>
      </c>
      <c r="N432" s="16">
        <v>998</v>
      </c>
      <c r="O432" s="16">
        <v>1017</v>
      </c>
      <c r="P432" s="16">
        <v>1004</v>
      </c>
      <c r="Q432" s="16">
        <v>1001</v>
      </c>
      <c r="R432" s="16">
        <v>1006</v>
      </c>
      <c r="S432" s="16">
        <v>998</v>
      </c>
      <c r="T432" s="16">
        <v>1068</v>
      </c>
      <c r="U432" s="15">
        <v>1013.3</v>
      </c>
      <c r="V432" t="s">
        <v>19</v>
      </c>
      <c r="W432" t="s">
        <v>28</v>
      </c>
      <c r="X432">
        <v>225</v>
      </c>
      <c r="Y432" s="16">
        <f>VLOOKUP(Tabela1[[#This Row],[SKU]],SKU!A:D,4,0)</f>
        <v>1000</v>
      </c>
      <c r="Z432" s="18">
        <f>IFERROR((Tabela1[[#This Row],[Média]]-Tabela1[[#This Row],[Meta]])/Tabela1[[#This Row],[Meta]],"")</f>
        <v>1.3299999999999954E-2</v>
      </c>
      <c r="AA432" s="22">
        <f>Tabela1[[#This Row],[Média]]-Tabela1[[#This Row],[Meta]]</f>
        <v>13.299999999999955</v>
      </c>
      <c r="AB432" s="6" t="str">
        <f>VLOOKUP(Tabela1[[#This Row],[SKU]],SKU!A:B,2,0)</f>
        <v>FILEZINHO FRANGO IQF ALM SE</v>
      </c>
      <c r="AC432" s="6" t="str">
        <f>VLOOKUP(Tabela1[[#This Row],[SKU]],SKU!A:C,3,0)</f>
        <v>SASSAMI</v>
      </c>
    </row>
    <row r="433" spans="1:29" x14ac:dyDescent="0.3">
      <c r="A433" s="2">
        <f>INT(Tabela1[[#This Row],[Data e Hora2]])</f>
        <v>46267</v>
      </c>
      <c r="B433" s="6" t="str">
        <f>UPPER(TEXT(Tabela1[[#This Row],[Data Corrigida]],"MMM"))</f>
        <v>SET</v>
      </c>
      <c r="C433" t="s">
        <v>1191</v>
      </c>
      <c r="D433" s="2" t="s">
        <v>1192</v>
      </c>
      <c r="E433" s="1" t="s">
        <v>1190</v>
      </c>
      <c r="F433" t="s">
        <v>24</v>
      </c>
      <c r="G433" s="2" t="s">
        <v>1152</v>
      </c>
      <c r="H433" t="s">
        <v>26</v>
      </c>
      <c r="I433" t="s">
        <v>57</v>
      </c>
      <c r="J433" s="6">
        <v>197734</v>
      </c>
      <c r="K433" s="16">
        <v>1003</v>
      </c>
      <c r="L433" s="16">
        <v>992</v>
      </c>
      <c r="M433" s="16">
        <v>1015</v>
      </c>
      <c r="N433" s="16">
        <v>996</v>
      </c>
      <c r="O433" s="16">
        <v>998</v>
      </c>
      <c r="P433" s="16">
        <v>1012</v>
      </c>
      <c r="Q433" s="16">
        <v>998</v>
      </c>
      <c r="R433" s="16">
        <v>1094</v>
      </c>
      <c r="S433" s="16">
        <v>1035</v>
      </c>
      <c r="T433" s="16">
        <v>992</v>
      </c>
      <c r="U433" s="15">
        <v>1013.5</v>
      </c>
      <c r="V433" t="s">
        <v>19</v>
      </c>
      <c r="W433" t="s">
        <v>28</v>
      </c>
      <c r="X433">
        <v>371</v>
      </c>
      <c r="Y433" s="16">
        <f>VLOOKUP(Tabela1[[#This Row],[SKU]],SKU!A:D,4,0)</f>
        <v>1000</v>
      </c>
      <c r="Z433" s="18">
        <f>IFERROR((Tabela1[[#This Row],[Média]]-Tabela1[[#This Row],[Meta]])/Tabela1[[#This Row],[Meta]],"")</f>
        <v>1.35E-2</v>
      </c>
      <c r="AA433" s="22">
        <f>Tabela1[[#This Row],[Média]]-Tabela1[[#This Row],[Meta]]</f>
        <v>13.5</v>
      </c>
      <c r="AB433" s="6" t="str">
        <f>VLOOKUP(Tabela1[[#This Row],[SKU]],SKU!A:B,2,0)</f>
        <v>FILEZINHO FRANGO IQF ALM SE</v>
      </c>
      <c r="AC433" s="6" t="str">
        <f>VLOOKUP(Tabela1[[#This Row],[SKU]],SKU!A:C,3,0)</f>
        <v>SASSAMI</v>
      </c>
    </row>
    <row r="434" spans="1:29" x14ac:dyDescent="0.3">
      <c r="A434" s="2">
        <f>INT(Tabela1[[#This Row],[Data e Hora2]])</f>
        <v>46267</v>
      </c>
      <c r="B434" s="6" t="str">
        <f>UPPER(TEXT(Tabela1[[#This Row],[Data Corrigida]],"MMM"))</f>
        <v>SET</v>
      </c>
      <c r="C434" t="s">
        <v>1193</v>
      </c>
      <c r="D434" s="2" t="s">
        <v>1194</v>
      </c>
      <c r="E434" s="1" t="s">
        <v>1195</v>
      </c>
      <c r="F434" t="s">
        <v>24</v>
      </c>
      <c r="G434" s="2" t="s">
        <v>1152</v>
      </c>
      <c r="H434" t="s">
        <v>26</v>
      </c>
      <c r="I434" t="s">
        <v>57</v>
      </c>
      <c r="J434" s="6">
        <v>15229</v>
      </c>
      <c r="K434" s="16">
        <v>1022</v>
      </c>
      <c r="L434" s="16">
        <v>1020</v>
      </c>
      <c r="M434" s="16">
        <v>1008</v>
      </c>
      <c r="N434" s="16">
        <v>1010</v>
      </c>
      <c r="O434" s="16">
        <v>1003</v>
      </c>
      <c r="P434" s="16">
        <v>1016</v>
      </c>
      <c r="Q434" s="16">
        <v>1005</v>
      </c>
      <c r="R434" s="16">
        <v>1025</v>
      </c>
      <c r="S434" s="16">
        <v>1019</v>
      </c>
      <c r="T434" s="16">
        <v>1018</v>
      </c>
      <c r="U434" s="15">
        <v>1014.6</v>
      </c>
      <c r="V434" t="s">
        <v>19</v>
      </c>
      <c r="W434" t="s">
        <v>28</v>
      </c>
      <c r="X434">
        <v>283</v>
      </c>
      <c r="Y434" s="16">
        <f>VLOOKUP(Tabela1[[#This Row],[SKU]],SKU!A:D,4,0)</f>
        <v>1000</v>
      </c>
      <c r="Z434" s="18">
        <f>IFERROR((Tabela1[[#This Row],[Média]]-Tabela1[[#This Row],[Meta]])/Tabela1[[#This Row],[Meta]],"")</f>
        <v>1.4600000000000023E-2</v>
      </c>
      <c r="AA434" s="22">
        <f>Tabela1[[#This Row],[Média]]-Tabela1[[#This Row],[Meta]]</f>
        <v>14.600000000000023</v>
      </c>
      <c r="AB434" s="6" t="str">
        <f>VLOOKUP(Tabela1[[#This Row],[SKU]],SKU!A:B,2,0)</f>
        <v>COXA CG BDJ SE</v>
      </c>
      <c r="AC434" s="6" t="str">
        <f>VLOOKUP(Tabela1[[#This Row],[SKU]],SKU!A:C,3,0)</f>
        <v>PERNA</v>
      </c>
    </row>
    <row r="435" spans="1:29" x14ac:dyDescent="0.3">
      <c r="A435" s="2">
        <f>INT(Tabela1[[#This Row],[Data e Hora2]])</f>
        <v>46267</v>
      </c>
      <c r="B435" s="6" t="str">
        <f>UPPER(TEXT(Tabela1[[#This Row],[Data Corrigida]],"MMM"))</f>
        <v>SET</v>
      </c>
      <c r="C435" t="s">
        <v>1196</v>
      </c>
      <c r="D435" s="2" t="s">
        <v>1197</v>
      </c>
      <c r="E435" s="1" t="s">
        <v>1195</v>
      </c>
      <c r="F435" t="s">
        <v>24</v>
      </c>
      <c r="G435" s="2" t="s">
        <v>1152</v>
      </c>
      <c r="H435" t="s">
        <v>26</v>
      </c>
      <c r="I435" t="s">
        <v>57</v>
      </c>
      <c r="J435" s="6">
        <v>15229</v>
      </c>
      <c r="K435" s="16">
        <v>1007</v>
      </c>
      <c r="L435" s="16">
        <v>1022</v>
      </c>
      <c r="M435" s="16">
        <v>1004</v>
      </c>
      <c r="N435" s="16">
        <v>1057</v>
      </c>
      <c r="O435" s="16">
        <v>1013</v>
      </c>
      <c r="P435" s="16">
        <v>1026</v>
      </c>
      <c r="Q435" s="16">
        <v>1009</v>
      </c>
      <c r="R435" s="16">
        <v>1016</v>
      </c>
      <c r="S435" s="16">
        <v>1006</v>
      </c>
      <c r="T435" s="16">
        <v>1011</v>
      </c>
      <c r="U435" s="15">
        <v>1017.1</v>
      </c>
      <c r="V435" t="s">
        <v>19</v>
      </c>
      <c r="W435" t="s">
        <v>28</v>
      </c>
      <c r="X435">
        <v>539</v>
      </c>
      <c r="Y435" s="16">
        <f>VLOOKUP(Tabela1[[#This Row],[SKU]],SKU!A:D,4,0)</f>
        <v>1000</v>
      </c>
      <c r="Z435" s="18">
        <f>IFERROR((Tabela1[[#This Row],[Média]]-Tabela1[[#This Row],[Meta]])/Tabela1[[#This Row],[Meta]],"")</f>
        <v>1.7100000000000021E-2</v>
      </c>
      <c r="AA435" s="22">
        <f>Tabela1[[#This Row],[Média]]-Tabela1[[#This Row],[Meta]]</f>
        <v>17.100000000000023</v>
      </c>
      <c r="AB435" s="6" t="str">
        <f>VLOOKUP(Tabela1[[#This Row],[SKU]],SKU!A:B,2,0)</f>
        <v>COXA CG BDJ SE</v>
      </c>
      <c r="AC435" s="6" t="str">
        <f>VLOOKUP(Tabela1[[#This Row],[SKU]],SKU!A:C,3,0)</f>
        <v>PERNA</v>
      </c>
    </row>
    <row r="436" spans="1:29" x14ac:dyDescent="0.3">
      <c r="A436" s="2">
        <f>INT(Tabela1[[#This Row],[Data e Hora2]])</f>
        <v>46267</v>
      </c>
      <c r="B436" s="6" t="str">
        <f>UPPER(TEXT(Tabela1[[#This Row],[Data Corrigida]],"MMM"))</f>
        <v>SET</v>
      </c>
      <c r="C436" t="s">
        <v>1198</v>
      </c>
      <c r="D436" s="2" t="s">
        <v>1199</v>
      </c>
      <c r="E436" s="1" t="s">
        <v>1195</v>
      </c>
      <c r="F436" t="s">
        <v>24</v>
      </c>
      <c r="G436" s="2" t="s">
        <v>1152</v>
      </c>
      <c r="H436" t="s">
        <v>26</v>
      </c>
      <c r="I436" t="s">
        <v>57</v>
      </c>
      <c r="J436" s="6">
        <v>15229</v>
      </c>
      <c r="K436" s="16">
        <v>1018</v>
      </c>
      <c r="L436" s="16">
        <v>1021</v>
      </c>
      <c r="M436" s="16">
        <v>1016</v>
      </c>
      <c r="N436" s="16">
        <v>1010</v>
      </c>
      <c r="O436" s="16">
        <v>1008</v>
      </c>
      <c r="P436" s="16">
        <v>1013</v>
      </c>
      <c r="Q436" s="16">
        <v>1024</v>
      </c>
      <c r="R436" s="16">
        <v>1004</v>
      </c>
      <c r="S436" s="16">
        <v>1034</v>
      </c>
      <c r="T436" s="16">
        <v>1004</v>
      </c>
      <c r="U436" s="15">
        <v>1015.2</v>
      </c>
      <c r="V436" t="s">
        <v>19</v>
      </c>
      <c r="W436" t="s">
        <v>28</v>
      </c>
      <c r="X436">
        <v>882</v>
      </c>
      <c r="Y436" s="16">
        <f>VLOOKUP(Tabela1[[#This Row],[SKU]],SKU!A:D,4,0)</f>
        <v>1000</v>
      </c>
      <c r="Z436" s="18">
        <f>IFERROR((Tabela1[[#This Row],[Média]]-Tabela1[[#This Row],[Meta]])/Tabela1[[#This Row],[Meta]],"")</f>
        <v>1.5200000000000045E-2</v>
      </c>
      <c r="AA436" s="22">
        <f>Tabela1[[#This Row],[Média]]-Tabela1[[#This Row],[Meta]]</f>
        <v>15.200000000000045</v>
      </c>
      <c r="AB436" s="6" t="str">
        <f>VLOOKUP(Tabela1[[#This Row],[SKU]],SKU!A:B,2,0)</f>
        <v>COXA CG BDJ SE</v>
      </c>
      <c r="AC436" s="6" t="str">
        <f>VLOOKUP(Tabela1[[#This Row],[SKU]],SKU!A:C,3,0)</f>
        <v>PERNA</v>
      </c>
    </row>
    <row r="437" spans="1:29" x14ac:dyDescent="0.3">
      <c r="A437" s="2">
        <f>INT(Tabela1[[#This Row],[Data e Hora2]])</f>
        <v>46267</v>
      </c>
      <c r="B437" s="6" t="str">
        <f>UPPER(TEXT(Tabela1[[#This Row],[Data Corrigida]],"MMM"))</f>
        <v>SET</v>
      </c>
      <c r="C437" t="s">
        <v>1200</v>
      </c>
      <c r="D437" s="2" t="s">
        <v>1201</v>
      </c>
      <c r="E437" s="1" t="s">
        <v>1195</v>
      </c>
      <c r="F437" t="s">
        <v>24</v>
      </c>
      <c r="G437" s="2" t="s">
        <v>1152</v>
      </c>
      <c r="H437" t="s">
        <v>26</v>
      </c>
      <c r="I437" t="s">
        <v>57</v>
      </c>
      <c r="J437" s="6">
        <v>15229</v>
      </c>
      <c r="K437" s="16">
        <v>1019</v>
      </c>
      <c r="L437" s="16">
        <v>1016</v>
      </c>
      <c r="M437" s="16">
        <v>1004</v>
      </c>
      <c r="N437" s="16">
        <v>1008</v>
      </c>
      <c r="O437" s="16">
        <v>1019</v>
      </c>
      <c r="P437" s="16">
        <v>1015</v>
      </c>
      <c r="Q437" s="16">
        <v>999</v>
      </c>
      <c r="R437" s="16">
        <v>1018</v>
      </c>
      <c r="S437" s="16">
        <v>1001</v>
      </c>
      <c r="T437" s="16">
        <v>1130</v>
      </c>
      <c r="U437" s="15">
        <v>1022.9</v>
      </c>
      <c r="V437" t="s">
        <v>19</v>
      </c>
      <c r="W437" t="s">
        <v>28</v>
      </c>
      <c r="X437">
        <v>2427</v>
      </c>
      <c r="Y437" s="16">
        <f>VLOOKUP(Tabela1[[#This Row],[SKU]],SKU!A:D,4,0)</f>
        <v>1000</v>
      </c>
      <c r="Z437" s="18">
        <f>IFERROR((Tabela1[[#This Row],[Média]]-Tabela1[[#This Row],[Meta]])/Tabela1[[#This Row],[Meta]],"")</f>
        <v>2.2899999999999976E-2</v>
      </c>
      <c r="AA437" s="22">
        <f>Tabela1[[#This Row],[Média]]-Tabela1[[#This Row],[Meta]]</f>
        <v>22.899999999999977</v>
      </c>
      <c r="AB437" s="6" t="str">
        <f>VLOOKUP(Tabela1[[#This Row],[SKU]],SKU!A:B,2,0)</f>
        <v>COXA CG BDJ SE</v>
      </c>
      <c r="AC437" s="6" t="str">
        <f>VLOOKUP(Tabela1[[#This Row],[SKU]],SKU!A:C,3,0)</f>
        <v>PERNA</v>
      </c>
    </row>
    <row r="438" spans="1:29" x14ac:dyDescent="0.3">
      <c r="A438" s="2">
        <f>INT(Tabela1[[#This Row],[Data e Hora2]])</f>
        <v>46267</v>
      </c>
      <c r="B438" s="6" t="str">
        <f>UPPER(TEXT(Tabela1[[#This Row],[Data Corrigida]],"MMM"))</f>
        <v>SET</v>
      </c>
      <c r="C438" t="s">
        <v>1202</v>
      </c>
      <c r="D438" s="2" t="s">
        <v>1158</v>
      </c>
      <c r="E438" s="1" t="s">
        <v>1203</v>
      </c>
      <c r="F438" t="s">
        <v>24</v>
      </c>
      <c r="G438" s="2" t="s">
        <v>1152</v>
      </c>
      <c r="H438" t="s">
        <v>26</v>
      </c>
      <c r="I438" t="s">
        <v>57</v>
      </c>
      <c r="J438" s="6">
        <v>13188</v>
      </c>
      <c r="K438" s="16">
        <v>1007</v>
      </c>
      <c r="L438" s="16">
        <v>1009</v>
      </c>
      <c r="M438" s="16">
        <v>996</v>
      </c>
      <c r="N438" s="16">
        <v>1004</v>
      </c>
      <c r="O438" s="16">
        <v>1015</v>
      </c>
      <c r="P438" s="16">
        <v>1014</v>
      </c>
      <c r="Q438" s="16">
        <v>1007</v>
      </c>
      <c r="R438" s="16">
        <v>997</v>
      </c>
      <c r="S438" s="16">
        <v>1009</v>
      </c>
      <c r="T438" s="16">
        <v>1007</v>
      </c>
      <c r="U438" s="15">
        <v>1006.5</v>
      </c>
      <c r="V438" t="s">
        <v>19</v>
      </c>
      <c r="W438" t="s">
        <v>19</v>
      </c>
      <c r="X438">
        <v>98</v>
      </c>
      <c r="Y438" s="16">
        <f>VLOOKUP(Tabela1[[#This Row],[SKU]],SKU!A:D,4,0)</f>
        <v>1000</v>
      </c>
      <c r="Z438" s="18">
        <f>IFERROR((Tabela1[[#This Row],[Média]]-Tabela1[[#This Row],[Meta]])/Tabela1[[#This Row],[Meta]],"")</f>
        <v>6.4999999999999997E-3</v>
      </c>
      <c r="AA438" s="22">
        <f>Tabela1[[#This Row],[Média]]-Tabela1[[#This Row],[Meta]]</f>
        <v>6.5</v>
      </c>
      <c r="AB438" s="6" t="str">
        <f>VLOOKUP(Tabela1[[#This Row],[SKU]],SKU!A:B,2,0)</f>
        <v>SOBRECOXA CG BDJ SE</v>
      </c>
      <c r="AC438" s="6" t="str">
        <f>VLOOKUP(Tabela1[[#This Row],[SKU]],SKU!A:C,3,0)</f>
        <v>PERNA</v>
      </c>
    </row>
    <row r="439" spans="1:29" x14ac:dyDescent="0.3">
      <c r="A439" s="2">
        <f>INT(Tabela1[[#This Row],[Data e Hora2]])</f>
        <v>46267</v>
      </c>
      <c r="B439" s="6" t="str">
        <f>UPPER(TEXT(Tabela1[[#This Row],[Data Corrigida]],"MMM"))</f>
        <v>SET</v>
      </c>
      <c r="C439" t="s">
        <v>1204</v>
      </c>
      <c r="D439" s="2" t="s">
        <v>1205</v>
      </c>
      <c r="E439" s="1" t="s">
        <v>1206</v>
      </c>
      <c r="F439" t="s">
        <v>24</v>
      </c>
      <c r="G439" s="2" t="s">
        <v>1152</v>
      </c>
      <c r="H439" t="s">
        <v>26</v>
      </c>
      <c r="I439" t="s">
        <v>57</v>
      </c>
      <c r="J439" s="6">
        <v>15105</v>
      </c>
      <c r="K439" s="16">
        <v>987</v>
      </c>
      <c r="L439" s="16">
        <v>1018</v>
      </c>
      <c r="M439" s="16">
        <v>1010</v>
      </c>
      <c r="N439" s="16">
        <v>1033</v>
      </c>
      <c r="O439" s="16">
        <v>1006</v>
      </c>
      <c r="P439" s="16">
        <v>1029</v>
      </c>
      <c r="Q439" s="16">
        <v>1048</v>
      </c>
      <c r="R439" s="16">
        <v>1070</v>
      </c>
      <c r="S439" s="16">
        <v>1021</v>
      </c>
      <c r="T439" s="16">
        <v>1015</v>
      </c>
      <c r="U439" s="15">
        <v>1023.7</v>
      </c>
      <c r="V439" t="s">
        <v>19</v>
      </c>
      <c r="W439" t="s">
        <v>28</v>
      </c>
      <c r="X439">
        <v>313</v>
      </c>
      <c r="Y439" s="16">
        <f>VLOOKUP(Tabela1[[#This Row],[SKU]],SKU!A:D,4,0)</f>
        <v>1000</v>
      </c>
      <c r="Z439" s="18">
        <f>IFERROR((Tabela1[[#This Row],[Média]]-Tabela1[[#This Row],[Meta]])/Tabela1[[#This Row],[Meta]],"")</f>
        <v>2.3700000000000044E-2</v>
      </c>
      <c r="AA439" s="22">
        <f>Tabela1[[#This Row],[Média]]-Tabela1[[#This Row],[Meta]]</f>
        <v>23.700000000000045</v>
      </c>
      <c r="AB439" s="6" t="str">
        <f>VLOOKUP(Tabela1[[#This Row],[SKU]],SKU!A:B,2,0)</f>
        <v>FILE PEITO MET CG BDJ SE</v>
      </c>
      <c r="AC439" s="6" t="str">
        <f>VLOOKUP(Tabela1[[#This Row],[SKU]],SKU!A:C,3,0)</f>
        <v>PEITO</v>
      </c>
    </row>
    <row r="440" spans="1:29" x14ac:dyDescent="0.3">
      <c r="A440" s="2">
        <f>INT(Tabela1[[#This Row],[Data e Hora2]])</f>
        <v>46267</v>
      </c>
      <c r="B440" s="6" t="str">
        <f>UPPER(TEXT(Tabela1[[#This Row],[Data Corrigida]],"MMM"))</f>
        <v>SET</v>
      </c>
      <c r="C440" t="s">
        <v>1207</v>
      </c>
      <c r="D440" s="2" t="s">
        <v>1208</v>
      </c>
      <c r="E440" s="1" t="s">
        <v>1209</v>
      </c>
      <c r="F440" t="s">
        <v>24</v>
      </c>
      <c r="G440" s="2" t="s">
        <v>1152</v>
      </c>
      <c r="H440" t="s">
        <v>142</v>
      </c>
      <c r="I440" t="s">
        <v>462</v>
      </c>
      <c r="J440" s="6">
        <v>209039</v>
      </c>
      <c r="K440" s="16">
        <v>1001</v>
      </c>
      <c r="L440" s="16">
        <v>1073</v>
      </c>
      <c r="M440" s="16">
        <v>999</v>
      </c>
      <c r="N440" s="16">
        <v>997</v>
      </c>
      <c r="O440" s="16">
        <v>1001</v>
      </c>
      <c r="P440" s="16">
        <v>1027</v>
      </c>
      <c r="Q440" s="16">
        <v>999</v>
      </c>
      <c r="R440" s="16">
        <v>948</v>
      </c>
      <c r="S440" s="16">
        <v>1001</v>
      </c>
      <c r="T440" s="16">
        <v>1000</v>
      </c>
      <c r="U440" s="15">
        <v>1004.6</v>
      </c>
      <c r="V440" t="s">
        <v>19</v>
      </c>
      <c r="W440" t="s">
        <v>28</v>
      </c>
      <c r="X440">
        <v>152</v>
      </c>
      <c r="Y440" s="16">
        <f>VLOOKUP(Tabela1[[#This Row],[SKU]],SKU!A:D,4,0)</f>
        <v>1000</v>
      </c>
      <c r="Z440" s="18">
        <f>IFERROR((Tabela1[[#This Row],[Média]]-Tabela1[[#This Row],[Meta]])/Tabela1[[#This Row],[Meta]],"")</f>
        <v>4.6000000000000225E-3</v>
      </c>
      <c r="AA440" s="22">
        <f>Tabela1[[#This Row],[Média]]-Tabela1[[#This Row],[Meta]]</f>
        <v>4.6000000000000227</v>
      </c>
      <c r="AB440" s="6" t="str">
        <f>VLOOKUP(Tabela1[[#This Row],[SKU]],SKU!A:B,2,0)</f>
        <v>COXINHA ASA IQF ALM 1KG</v>
      </c>
      <c r="AC440" s="6" t="str">
        <f>VLOOKUP(Tabela1[[#This Row],[SKU]],SKU!A:C,3,0)</f>
        <v>ASA</v>
      </c>
    </row>
    <row r="441" spans="1:29" x14ac:dyDescent="0.3">
      <c r="A441" s="2">
        <f>INT(Tabela1[[#This Row],[Data e Hora2]])</f>
        <v>46266</v>
      </c>
      <c r="B441" s="6" t="str">
        <f>UPPER(TEXT(Tabela1[[#This Row],[Data Corrigida]],"MMM"))</f>
        <v>SET</v>
      </c>
      <c r="C441" t="s">
        <v>1210</v>
      </c>
      <c r="D441" s="2" t="s">
        <v>1211</v>
      </c>
      <c r="E441" s="1" t="s">
        <v>1209</v>
      </c>
      <c r="F441" t="s">
        <v>24</v>
      </c>
      <c r="G441" s="2" t="s">
        <v>960</v>
      </c>
      <c r="H441" t="s">
        <v>142</v>
      </c>
      <c r="I441" t="s">
        <v>462</v>
      </c>
      <c r="J441" s="6">
        <v>209009</v>
      </c>
      <c r="K441" s="16">
        <v>994</v>
      </c>
      <c r="L441" s="16">
        <v>1029</v>
      </c>
      <c r="M441" s="16">
        <v>909</v>
      </c>
      <c r="N441" s="16">
        <v>1001</v>
      </c>
      <c r="O441" s="16">
        <v>1142</v>
      </c>
      <c r="P441" s="16">
        <v>1000</v>
      </c>
      <c r="Q441" s="16">
        <v>1039</v>
      </c>
      <c r="R441" s="16">
        <v>992</v>
      </c>
      <c r="S441" s="16">
        <v>990</v>
      </c>
      <c r="T441" s="16">
        <v>992</v>
      </c>
      <c r="U441" s="15">
        <v>1008.8</v>
      </c>
      <c r="V441" t="s">
        <v>19</v>
      </c>
      <c r="W441" t="s">
        <v>28</v>
      </c>
      <c r="X441">
        <v>304</v>
      </c>
      <c r="Y441" s="16">
        <f>VLOOKUP(Tabela1[[#This Row],[SKU]],SKU!A:D,4,0)</f>
        <v>1000</v>
      </c>
      <c r="Z441" s="18">
        <f>IFERROR((Tabela1[[#This Row],[Média]]-Tabela1[[#This Row],[Meta]])/Tabela1[[#This Row],[Meta]],"")</f>
        <v>8.7999999999999537E-3</v>
      </c>
      <c r="AA441" s="22">
        <f>Tabela1[[#This Row],[Média]]-Tabela1[[#This Row],[Meta]]</f>
        <v>8.7999999999999545</v>
      </c>
      <c r="AB441" s="6" t="str">
        <f>VLOOKUP(Tabela1[[#This Row],[SKU]],SKU!A:B,2,0)</f>
        <v>COXA SEM PELE IQF 1KG</v>
      </c>
      <c r="AC441" s="6" t="str">
        <f>VLOOKUP(Tabela1[[#This Row],[SKU]],SKU!A:C,3,0)</f>
        <v>PERNA</v>
      </c>
    </row>
    <row r="442" spans="1:29" x14ac:dyDescent="0.3">
      <c r="A442" s="2">
        <f>INT(Tabela1[[#This Row],[Data e Hora2]])</f>
        <v>46266</v>
      </c>
      <c r="B442" s="6" t="str">
        <f>UPPER(TEXT(Tabela1[[#This Row],[Data Corrigida]],"MMM"))</f>
        <v>SET</v>
      </c>
      <c r="C442" t="s">
        <v>1212</v>
      </c>
      <c r="D442" s="2" t="s">
        <v>1213</v>
      </c>
      <c r="E442" s="1" t="s">
        <v>1214</v>
      </c>
      <c r="F442" t="s">
        <v>24</v>
      </c>
      <c r="G442" s="2" t="s">
        <v>960</v>
      </c>
      <c r="H442" t="s">
        <v>142</v>
      </c>
      <c r="I442" t="s">
        <v>462</v>
      </c>
      <c r="J442" s="6">
        <v>15105</v>
      </c>
      <c r="K442" s="16">
        <v>1054</v>
      </c>
      <c r="L442" s="16">
        <v>997</v>
      </c>
      <c r="M442" s="16">
        <v>1005</v>
      </c>
      <c r="N442" s="16">
        <v>1016</v>
      </c>
      <c r="O442" s="16">
        <v>1001</v>
      </c>
      <c r="P442" s="16">
        <v>1000</v>
      </c>
      <c r="Q442" s="16">
        <v>1005</v>
      </c>
      <c r="R442" s="16">
        <v>1022</v>
      </c>
      <c r="S442" s="16">
        <v>1023</v>
      </c>
      <c r="T442" s="16">
        <v>1000</v>
      </c>
      <c r="U442" s="15">
        <v>1012.3</v>
      </c>
      <c r="V442" t="s">
        <v>19</v>
      </c>
      <c r="W442" t="s">
        <v>28</v>
      </c>
      <c r="X442">
        <v>226</v>
      </c>
      <c r="Y442" s="16">
        <f>VLOOKUP(Tabela1[[#This Row],[SKU]],SKU!A:D,4,0)</f>
        <v>1000</v>
      </c>
      <c r="Z442" s="18">
        <f>IFERROR((Tabela1[[#This Row],[Média]]-Tabela1[[#This Row],[Meta]])/Tabela1[[#This Row],[Meta]],"")</f>
        <v>1.2299999999999955E-2</v>
      </c>
      <c r="AA442" s="22">
        <f>Tabela1[[#This Row],[Média]]-Tabela1[[#This Row],[Meta]]</f>
        <v>12.299999999999955</v>
      </c>
      <c r="AB442" s="6" t="str">
        <f>VLOOKUP(Tabela1[[#This Row],[SKU]],SKU!A:B,2,0)</f>
        <v>FILE PEITO MET CG BDJ SE</v>
      </c>
      <c r="AC442" s="6" t="str">
        <f>VLOOKUP(Tabela1[[#This Row],[SKU]],SKU!A:C,3,0)</f>
        <v>PEITO</v>
      </c>
    </row>
    <row r="443" spans="1:29" x14ac:dyDescent="0.3">
      <c r="A443" s="2">
        <f>INT(Tabela1[[#This Row],[Data e Hora2]])</f>
        <v>46266</v>
      </c>
      <c r="B443" s="6" t="str">
        <f>UPPER(TEXT(Tabela1[[#This Row],[Data Corrigida]],"MMM"))</f>
        <v>SET</v>
      </c>
      <c r="C443" t="s">
        <v>1215</v>
      </c>
      <c r="D443" s="2" t="s">
        <v>1216</v>
      </c>
      <c r="E443" s="1" t="s">
        <v>1214</v>
      </c>
      <c r="F443" t="s">
        <v>24</v>
      </c>
      <c r="G443" s="2" t="s">
        <v>960</v>
      </c>
      <c r="H443" t="s">
        <v>142</v>
      </c>
      <c r="I443" t="s">
        <v>462</v>
      </c>
      <c r="J443" s="6">
        <v>15105</v>
      </c>
      <c r="K443" s="16">
        <v>1112</v>
      </c>
      <c r="L443" s="16">
        <v>997</v>
      </c>
      <c r="M443" s="16">
        <v>1013</v>
      </c>
      <c r="N443" s="16">
        <v>1033</v>
      </c>
      <c r="O443" s="16">
        <v>1007</v>
      </c>
      <c r="P443" s="16">
        <v>1002</v>
      </c>
      <c r="Q443" s="16">
        <v>1064</v>
      </c>
      <c r="R443" s="16">
        <v>1017</v>
      </c>
      <c r="S443" s="16">
        <v>1011</v>
      </c>
      <c r="T443" s="16">
        <v>1012</v>
      </c>
      <c r="U443" s="15">
        <v>1026.8</v>
      </c>
      <c r="V443" t="s">
        <v>19</v>
      </c>
      <c r="W443" t="s">
        <v>28</v>
      </c>
      <c r="X443">
        <v>482</v>
      </c>
      <c r="Y443" s="16">
        <f>VLOOKUP(Tabela1[[#This Row],[SKU]],SKU!A:D,4,0)</f>
        <v>1000</v>
      </c>
      <c r="Z443" s="18">
        <f>IFERROR((Tabela1[[#This Row],[Média]]-Tabela1[[#This Row],[Meta]])/Tabela1[[#This Row],[Meta]],"")</f>
        <v>2.6799999999999956E-2</v>
      </c>
      <c r="AA443" s="22">
        <f>Tabela1[[#This Row],[Média]]-Tabela1[[#This Row],[Meta]]</f>
        <v>26.799999999999955</v>
      </c>
      <c r="AB443" s="6" t="str">
        <f>VLOOKUP(Tabela1[[#This Row],[SKU]],SKU!A:B,2,0)</f>
        <v>FILE PEITO MET CG BDJ SE</v>
      </c>
      <c r="AC443" s="6" t="str">
        <f>VLOOKUP(Tabela1[[#This Row],[SKU]],SKU!A:C,3,0)</f>
        <v>PEITO</v>
      </c>
    </row>
    <row r="444" spans="1:29" x14ac:dyDescent="0.3">
      <c r="A444" s="2">
        <f>INT(Tabela1[[#This Row],[Data e Hora2]])</f>
        <v>46266</v>
      </c>
      <c r="B444" s="6" t="str">
        <f>UPPER(TEXT(Tabela1[[#This Row],[Data Corrigida]],"MMM"))</f>
        <v>SET</v>
      </c>
      <c r="C444" t="s">
        <v>1217</v>
      </c>
      <c r="D444" s="2" t="s">
        <v>1218</v>
      </c>
      <c r="E444" s="1" t="s">
        <v>1214</v>
      </c>
      <c r="F444" t="s">
        <v>24</v>
      </c>
      <c r="G444" s="2" t="s">
        <v>960</v>
      </c>
      <c r="H444" t="s">
        <v>142</v>
      </c>
      <c r="I444" t="s">
        <v>462</v>
      </c>
      <c r="J444" s="6">
        <v>18163</v>
      </c>
      <c r="K444" s="16">
        <v>1007</v>
      </c>
      <c r="L444" s="16">
        <v>1004</v>
      </c>
      <c r="M444" s="16">
        <v>1005</v>
      </c>
      <c r="N444" s="16">
        <v>995</v>
      </c>
      <c r="O444" s="16">
        <v>983</v>
      </c>
      <c r="P444" s="16">
        <v>1008</v>
      </c>
      <c r="Q444" s="16">
        <v>995</v>
      </c>
      <c r="R444" s="16">
        <v>1004</v>
      </c>
      <c r="S444" s="16">
        <v>971</v>
      </c>
      <c r="T444" s="16">
        <v>999</v>
      </c>
      <c r="U444" s="15">
        <v>997.1</v>
      </c>
      <c r="V444" t="s">
        <v>19</v>
      </c>
      <c r="W444" t="s">
        <v>19</v>
      </c>
      <c r="X444">
        <v>131</v>
      </c>
      <c r="Y444" s="16">
        <f>VLOOKUP(Tabela1[[#This Row],[SKU]],SKU!A:D,4,0)</f>
        <v>1000</v>
      </c>
      <c r="Z444" s="18">
        <f>IFERROR((Tabela1[[#This Row],[Média]]-Tabela1[[#This Row],[Meta]])/Tabela1[[#This Row],[Meta]],"")</f>
        <v>-2.8999999999999772E-3</v>
      </c>
      <c r="AA444" s="22">
        <f>Tabela1[[#This Row],[Média]]-Tabela1[[#This Row],[Meta]]</f>
        <v>-2.8999999999999773</v>
      </c>
      <c r="AB444" s="6" t="str">
        <f>VLOOKUP(Tabela1[[#This Row],[SKU]],SKU!A:B,2,0)</f>
        <v>CORACAO FGO CG ALM SE</v>
      </c>
      <c r="AC444" s="6" t="str">
        <f>VLOOKUP(Tabela1[[#This Row],[SKU]],SKU!A:C,3,0)</f>
        <v>CORAÇÃO</v>
      </c>
    </row>
    <row r="445" spans="1:29" x14ac:dyDescent="0.3">
      <c r="A445" s="2">
        <f>INT(Tabela1[[#This Row],[Data e Hora2]])</f>
        <v>46267</v>
      </c>
      <c r="B445" s="6" t="str">
        <f>UPPER(TEXT(Tabela1[[#This Row],[Data Corrigida]],"MMM"))</f>
        <v>SET</v>
      </c>
      <c r="C445" t="s">
        <v>1219</v>
      </c>
      <c r="D445" s="2" t="s">
        <v>1220</v>
      </c>
      <c r="E445" s="1" t="s">
        <v>1221</v>
      </c>
      <c r="F445" t="s">
        <v>24</v>
      </c>
      <c r="G445" s="2" t="s">
        <v>1152</v>
      </c>
      <c r="H445" t="s">
        <v>26</v>
      </c>
      <c r="I445" t="s">
        <v>57</v>
      </c>
      <c r="J445" s="6">
        <v>40762</v>
      </c>
      <c r="K445" s="16">
        <v>10055</v>
      </c>
      <c r="L445" s="16">
        <v>10030</v>
      </c>
      <c r="M445" s="16">
        <v>10060</v>
      </c>
      <c r="N445" s="16">
        <v>10055</v>
      </c>
      <c r="O445" s="16">
        <v>10095</v>
      </c>
      <c r="P445" s="16">
        <v>10025</v>
      </c>
      <c r="Q445" s="16">
        <v>10035</v>
      </c>
      <c r="R445" s="16">
        <v>10070</v>
      </c>
      <c r="S445" s="16">
        <v>10030</v>
      </c>
      <c r="T445" s="16">
        <v>10035</v>
      </c>
      <c r="U445" s="15">
        <v>10049</v>
      </c>
      <c r="V445" t="s">
        <v>19</v>
      </c>
      <c r="W445" t="s">
        <v>28</v>
      </c>
      <c r="X445">
        <v>289</v>
      </c>
      <c r="Y445" s="16">
        <f>VLOOKUP(Tabela1[[#This Row],[SKU]],SKU!A:D,4,0)</f>
        <v>10000</v>
      </c>
      <c r="Z445" s="18">
        <f>IFERROR((Tabela1[[#This Row],[Média]]-Tabela1[[#This Row],[Meta]])/Tabela1[[#This Row],[Meta]],"")</f>
        <v>4.8999999999999998E-3</v>
      </c>
      <c r="AA445" s="22">
        <f>Tabela1[[#This Row],[Média]]-Tabela1[[#This Row],[Meta]]</f>
        <v>49</v>
      </c>
      <c r="AB445" s="6" t="str">
        <f>VLOOKUP(Tabela1[[#This Row],[SKU]],SKU!A:B,2,0)</f>
        <v>COXA SBCX LQ FG LP</v>
      </c>
      <c r="AC445" s="6" t="str">
        <f>VLOOKUP(Tabela1[[#This Row],[SKU]],SKU!A:C,3,0)</f>
        <v>PERNA</v>
      </c>
    </row>
    <row r="446" spans="1:29" x14ac:dyDescent="0.3">
      <c r="A446" s="2">
        <f>INT(Tabela1[[#This Row],[Data e Hora2]])</f>
        <v>46267</v>
      </c>
      <c r="B446" s="6" t="str">
        <f>UPPER(TEXT(Tabela1[[#This Row],[Data Corrigida]],"MMM"))</f>
        <v>SET</v>
      </c>
      <c r="C446" t="s">
        <v>1222</v>
      </c>
      <c r="D446" s="2" t="s">
        <v>1223</v>
      </c>
      <c r="E446" s="1" t="s">
        <v>1221</v>
      </c>
      <c r="F446" t="s">
        <v>24</v>
      </c>
      <c r="G446" s="2" t="s">
        <v>1152</v>
      </c>
      <c r="H446" t="s">
        <v>26</v>
      </c>
      <c r="I446" t="s">
        <v>57</v>
      </c>
      <c r="J446" s="6">
        <v>40762</v>
      </c>
      <c r="K446" s="16">
        <v>10070</v>
      </c>
      <c r="L446" s="16">
        <v>10060</v>
      </c>
      <c r="M446" s="16">
        <v>9990</v>
      </c>
      <c r="N446" s="16">
        <v>9945</v>
      </c>
      <c r="O446" s="16">
        <v>10115</v>
      </c>
      <c r="P446" s="16">
        <v>10040</v>
      </c>
      <c r="Q446" s="16">
        <v>10025</v>
      </c>
      <c r="R446" s="16">
        <v>10070</v>
      </c>
      <c r="S446" s="16">
        <v>10050</v>
      </c>
      <c r="T446" s="16">
        <v>10050</v>
      </c>
      <c r="U446" s="15">
        <v>10041.5</v>
      </c>
      <c r="V446" t="s">
        <v>19</v>
      </c>
      <c r="W446" t="s">
        <v>28</v>
      </c>
      <c r="X446">
        <v>452</v>
      </c>
      <c r="Y446" s="16">
        <f>VLOOKUP(Tabela1[[#This Row],[SKU]],SKU!A:D,4,0)</f>
        <v>10000</v>
      </c>
      <c r="Z446" s="18">
        <f>IFERROR((Tabela1[[#This Row],[Média]]-Tabela1[[#This Row],[Meta]])/Tabela1[[#This Row],[Meta]],"")</f>
        <v>4.15E-3</v>
      </c>
      <c r="AA446" s="22">
        <f>Tabela1[[#This Row],[Média]]-Tabela1[[#This Row],[Meta]]</f>
        <v>41.5</v>
      </c>
      <c r="AB446" s="6" t="str">
        <f>VLOOKUP(Tabela1[[#This Row],[SKU]],SKU!A:B,2,0)</f>
        <v>COXA SBCX LQ FG LP</v>
      </c>
      <c r="AC446" s="6" t="str">
        <f>VLOOKUP(Tabela1[[#This Row],[SKU]],SKU!A:C,3,0)</f>
        <v>PERNA</v>
      </c>
    </row>
    <row r="447" spans="1:29" x14ac:dyDescent="0.3">
      <c r="A447" s="2">
        <f>INT(Tabela1[[#This Row],[Data e Hora2]])</f>
        <v>46267</v>
      </c>
      <c r="B447" s="6" t="str">
        <f>UPPER(TEXT(Tabela1[[#This Row],[Data Corrigida]],"MMM"))</f>
        <v>SET</v>
      </c>
      <c r="C447" t="s">
        <v>1224</v>
      </c>
      <c r="D447" s="2" t="s">
        <v>1225</v>
      </c>
      <c r="E447" s="1" t="s">
        <v>1221</v>
      </c>
      <c r="F447" t="s">
        <v>24</v>
      </c>
      <c r="G447" s="2" t="s">
        <v>1152</v>
      </c>
      <c r="H447" t="s">
        <v>26</v>
      </c>
      <c r="I447" t="s">
        <v>57</v>
      </c>
      <c r="J447" s="6">
        <v>40762</v>
      </c>
      <c r="K447" s="16">
        <v>10080</v>
      </c>
      <c r="L447" s="16">
        <v>10140</v>
      </c>
      <c r="M447" s="16">
        <v>10065</v>
      </c>
      <c r="N447" s="16">
        <v>10055</v>
      </c>
      <c r="O447" s="16">
        <v>10040</v>
      </c>
      <c r="P447" s="16">
        <v>10015</v>
      </c>
      <c r="Q447" s="16">
        <v>10135</v>
      </c>
      <c r="R447" s="16">
        <v>10085</v>
      </c>
      <c r="S447" s="16">
        <v>9990</v>
      </c>
      <c r="T447" s="16">
        <v>10050</v>
      </c>
      <c r="U447" s="15">
        <v>10065.5</v>
      </c>
      <c r="V447" t="s">
        <v>19</v>
      </c>
      <c r="W447" t="s">
        <v>28</v>
      </c>
      <c r="X447">
        <v>663</v>
      </c>
      <c r="Y447" s="16">
        <f>VLOOKUP(Tabela1[[#This Row],[SKU]],SKU!A:D,4,0)</f>
        <v>10000</v>
      </c>
      <c r="Z447" s="18">
        <f>IFERROR((Tabela1[[#This Row],[Média]]-Tabela1[[#This Row],[Meta]])/Tabela1[[#This Row],[Meta]],"")</f>
        <v>6.5500000000000003E-3</v>
      </c>
      <c r="AA447" s="22">
        <f>Tabela1[[#This Row],[Média]]-Tabela1[[#This Row],[Meta]]</f>
        <v>65.5</v>
      </c>
      <c r="AB447" s="6" t="str">
        <f>VLOOKUP(Tabela1[[#This Row],[SKU]],SKU!A:B,2,0)</f>
        <v>COXA SBCX LQ FG LP</v>
      </c>
      <c r="AC447" s="6" t="str">
        <f>VLOOKUP(Tabela1[[#This Row],[SKU]],SKU!A:C,3,0)</f>
        <v>PERNA</v>
      </c>
    </row>
    <row r="448" spans="1:29" x14ac:dyDescent="0.3">
      <c r="A448" s="2">
        <f>INT(Tabela1[[#This Row],[Data e Hora2]])</f>
        <v>46267</v>
      </c>
      <c r="B448" s="6" t="str">
        <f>UPPER(TEXT(Tabela1[[#This Row],[Data Corrigida]],"MMM"))</f>
        <v>SET</v>
      </c>
      <c r="C448" t="s">
        <v>1226</v>
      </c>
      <c r="D448" s="2" t="s">
        <v>1227</v>
      </c>
      <c r="E448" s="1" t="s">
        <v>1221</v>
      </c>
      <c r="F448" t="s">
        <v>24</v>
      </c>
      <c r="G448" s="2" t="s">
        <v>1152</v>
      </c>
      <c r="H448" t="s">
        <v>26</v>
      </c>
      <c r="I448" t="s">
        <v>57</v>
      </c>
      <c r="J448" s="6">
        <v>15229</v>
      </c>
      <c r="K448" s="16">
        <v>935</v>
      </c>
      <c r="L448" s="16">
        <v>988</v>
      </c>
      <c r="M448" s="16">
        <v>975</v>
      </c>
      <c r="N448" s="16">
        <v>989</v>
      </c>
      <c r="O448" s="16">
        <v>1016</v>
      </c>
      <c r="P448" s="16">
        <v>972</v>
      </c>
      <c r="Q448" s="16">
        <v>1007</v>
      </c>
      <c r="R448" s="16">
        <v>980</v>
      </c>
      <c r="S448" s="16">
        <v>978</v>
      </c>
      <c r="T448" s="16">
        <v>1054</v>
      </c>
      <c r="U448" s="15">
        <v>989.4</v>
      </c>
      <c r="V448" t="s">
        <v>19</v>
      </c>
      <c r="W448" t="s">
        <v>28</v>
      </c>
      <c r="X448">
        <v>469</v>
      </c>
      <c r="Y448" s="16">
        <f>VLOOKUP(Tabela1[[#This Row],[SKU]],SKU!A:D,4,0)</f>
        <v>1000</v>
      </c>
      <c r="Z448" s="18">
        <f>IFERROR((Tabela1[[#This Row],[Média]]-Tabela1[[#This Row],[Meta]])/Tabela1[[#This Row],[Meta]],"")</f>
        <v>-1.0600000000000023E-2</v>
      </c>
      <c r="AA448" s="22">
        <f>Tabela1[[#This Row],[Média]]-Tabela1[[#This Row],[Meta]]</f>
        <v>-10.600000000000023</v>
      </c>
      <c r="AB448" s="6" t="str">
        <f>VLOOKUP(Tabela1[[#This Row],[SKU]],SKU!A:B,2,0)</f>
        <v>COXA CG BDJ SE</v>
      </c>
      <c r="AC448" s="6" t="str">
        <f>VLOOKUP(Tabela1[[#This Row],[SKU]],SKU!A:C,3,0)</f>
        <v>PERNA</v>
      </c>
    </row>
    <row r="449" spans="1:29" x14ac:dyDescent="0.3">
      <c r="A449" s="2">
        <f>INT(Tabela1[[#This Row],[Data e Hora2]])</f>
        <v>46267</v>
      </c>
      <c r="B449" s="6" t="str">
        <f>UPPER(TEXT(Tabela1[[#This Row],[Data Corrigida]],"MMM"))</f>
        <v>SET</v>
      </c>
      <c r="C449" t="s">
        <v>1228</v>
      </c>
      <c r="D449" s="2" t="s">
        <v>1229</v>
      </c>
      <c r="E449" s="1" t="s">
        <v>1221</v>
      </c>
      <c r="F449" t="s">
        <v>24</v>
      </c>
      <c r="G449" s="2" t="s">
        <v>1152</v>
      </c>
      <c r="H449" t="s">
        <v>26</v>
      </c>
      <c r="I449" t="s">
        <v>57</v>
      </c>
      <c r="J449" s="6">
        <v>15229</v>
      </c>
      <c r="K449" s="16">
        <v>982</v>
      </c>
      <c r="L449" s="16">
        <v>1017</v>
      </c>
      <c r="M449" s="16">
        <v>1029</v>
      </c>
      <c r="N449" s="16">
        <v>940</v>
      </c>
      <c r="O449" s="16">
        <v>985</v>
      </c>
      <c r="P449" s="16">
        <v>1016</v>
      </c>
      <c r="Q449" s="16">
        <v>993</v>
      </c>
      <c r="R449" s="16">
        <v>977</v>
      </c>
      <c r="S449" s="16">
        <v>1014</v>
      </c>
      <c r="T449" s="16">
        <v>1037</v>
      </c>
      <c r="U449" s="15">
        <v>999</v>
      </c>
      <c r="V449" t="s">
        <v>19</v>
      </c>
      <c r="W449" t="s">
        <v>28</v>
      </c>
      <c r="X449">
        <v>395</v>
      </c>
      <c r="Y449" s="16">
        <f>VLOOKUP(Tabela1[[#This Row],[SKU]],SKU!A:D,4,0)</f>
        <v>1000</v>
      </c>
      <c r="Z449" s="18">
        <f>IFERROR((Tabela1[[#This Row],[Média]]-Tabela1[[#This Row],[Meta]])/Tabela1[[#This Row],[Meta]],"")</f>
        <v>-1E-3</v>
      </c>
      <c r="AA449" s="22">
        <f>Tabela1[[#This Row],[Média]]-Tabela1[[#This Row],[Meta]]</f>
        <v>-1</v>
      </c>
      <c r="AB449" s="6" t="str">
        <f>VLOOKUP(Tabela1[[#This Row],[SKU]],SKU!A:B,2,0)</f>
        <v>COXA CG BDJ SE</v>
      </c>
      <c r="AC449" s="6" t="str">
        <f>VLOOKUP(Tabela1[[#This Row],[SKU]],SKU!A:C,3,0)</f>
        <v>PERNA</v>
      </c>
    </row>
    <row r="450" spans="1:29" x14ac:dyDescent="0.3">
      <c r="A450" s="2">
        <f>INT(Tabela1[[#This Row],[Data e Hora2]])</f>
        <v>46267</v>
      </c>
      <c r="B450" s="6" t="str">
        <f>UPPER(TEXT(Tabela1[[#This Row],[Data Corrigida]],"MMM"))</f>
        <v>SET</v>
      </c>
      <c r="C450" t="s">
        <v>1230</v>
      </c>
      <c r="D450" s="2" t="s">
        <v>1231</v>
      </c>
      <c r="E450" s="1" t="s">
        <v>1232</v>
      </c>
      <c r="F450" t="s">
        <v>24</v>
      </c>
      <c r="G450" s="2" t="s">
        <v>1152</v>
      </c>
      <c r="H450" t="s">
        <v>26</v>
      </c>
      <c r="I450" t="s">
        <v>57</v>
      </c>
      <c r="J450" s="6">
        <v>15105</v>
      </c>
      <c r="K450" s="16">
        <v>1028</v>
      </c>
      <c r="L450" s="16">
        <v>1007</v>
      </c>
      <c r="M450" s="16">
        <v>1041</v>
      </c>
      <c r="N450" s="16">
        <v>1021</v>
      </c>
      <c r="O450" s="16">
        <v>1022</v>
      </c>
      <c r="P450" s="16">
        <v>1068</v>
      </c>
      <c r="Q450" s="16">
        <v>1048</v>
      </c>
      <c r="R450" s="16">
        <v>1018</v>
      </c>
      <c r="S450" s="16">
        <v>1043</v>
      </c>
      <c r="T450" s="16">
        <v>1028</v>
      </c>
      <c r="U450" s="15">
        <v>1032.4000000000001</v>
      </c>
      <c r="V450" t="s">
        <v>19</v>
      </c>
      <c r="W450" t="s">
        <v>28</v>
      </c>
      <c r="X450">
        <v>285</v>
      </c>
      <c r="Y450" s="16">
        <f>VLOOKUP(Tabela1[[#This Row],[SKU]],SKU!A:D,4,0)</f>
        <v>1000</v>
      </c>
      <c r="Z450" s="18">
        <f>IFERROR((Tabela1[[#This Row],[Média]]-Tabela1[[#This Row],[Meta]])/Tabela1[[#This Row],[Meta]],"")</f>
        <v>3.2400000000000088E-2</v>
      </c>
      <c r="AA450" s="22">
        <f>Tabela1[[#This Row],[Média]]-Tabela1[[#This Row],[Meta]]</f>
        <v>32.400000000000091</v>
      </c>
      <c r="AB450" s="6" t="str">
        <f>VLOOKUP(Tabela1[[#This Row],[SKU]],SKU!A:B,2,0)</f>
        <v>FILE PEITO MET CG BDJ SE</v>
      </c>
      <c r="AC450" s="6" t="str">
        <f>VLOOKUP(Tabela1[[#This Row],[SKU]],SKU!A:C,3,0)</f>
        <v>PEITO</v>
      </c>
    </row>
    <row r="451" spans="1:29" x14ac:dyDescent="0.3">
      <c r="A451" s="2">
        <f>INT(Tabela1[[#This Row],[Data e Hora2]])</f>
        <v>46267</v>
      </c>
      <c r="B451" s="6" t="str">
        <f>UPPER(TEXT(Tabela1[[#This Row],[Data Corrigida]],"MMM"))</f>
        <v>SET</v>
      </c>
      <c r="C451" t="s">
        <v>1233</v>
      </c>
      <c r="D451" s="2" t="s">
        <v>1234</v>
      </c>
      <c r="E451" s="1" t="s">
        <v>1232</v>
      </c>
      <c r="F451" t="s">
        <v>24</v>
      </c>
      <c r="G451" s="2" t="s">
        <v>1152</v>
      </c>
      <c r="H451" t="s">
        <v>26</v>
      </c>
      <c r="I451" t="s">
        <v>57</v>
      </c>
      <c r="J451" s="6">
        <v>15105</v>
      </c>
      <c r="K451" s="16">
        <v>1005</v>
      </c>
      <c r="L451" s="16">
        <v>985</v>
      </c>
      <c r="M451" s="16">
        <v>1019</v>
      </c>
      <c r="N451" s="16">
        <v>1032</v>
      </c>
      <c r="O451" s="16">
        <v>992</v>
      </c>
      <c r="P451" s="16">
        <v>1016</v>
      </c>
      <c r="Q451" s="16">
        <v>1023</v>
      </c>
      <c r="R451" s="16">
        <v>1026</v>
      </c>
      <c r="S451" s="16">
        <v>1022</v>
      </c>
      <c r="T451" s="16">
        <v>1017</v>
      </c>
      <c r="U451" s="15">
        <v>1013.7</v>
      </c>
      <c r="V451" t="s">
        <v>19</v>
      </c>
      <c r="W451" t="s">
        <v>28</v>
      </c>
      <c r="X451">
        <v>544</v>
      </c>
      <c r="Y451" s="16">
        <f>VLOOKUP(Tabela1[[#This Row],[SKU]],SKU!A:D,4,0)</f>
        <v>1000</v>
      </c>
      <c r="Z451" s="18">
        <f>IFERROR((Tabela1[[#This Row],[Média]]-Tabela1[[#This Row],[Meta]])/Tabela1[[#This Row],[Meta]],"")</f>
        <v>1.3700000000000045E-2</v>
      </c>
      <c r="AA451" s="22">
        <f>Tabela1[[#This Row],[Média]]-Tabela1[[#This Row],[Meta]]</f>
        <v>13.700000000000045</v>
      </c>
      <c r="AB451" s="6" t="str">
        <f>VLOOKUP(Tabela1[[#This Row],[SKU]],SKU!A:B,2,0)</f>
        <v>FILE PEITO MET CG BDJ SE</v>
      </c>
      <c r="AC451" s="6" t="str">
        <f>VLOOKUP(Tabela1[[#This Row],[SKU]],SKU!A:C,3,0)</f>
        <v>PEITO</v>
      </c>
    </row>
    <row r="452" spans="1:29" x14ac:dyDescent="0.3">
      <c r="A452" s="2">
        <f>INT(Tabela1[[#This Row],[Data e Hora2]])</f>
        <v>46267</v>
      </c>
      <c r="B452" s="6" t="str">
        <f>UPPER(TEXT(Tabela1[[#This Row],[Data Corrigida]],"MMM"))</f>
        <v>SET</v>
      </c>
      <c r="C452" t="s">
        <v>1235</v>
      </c>
      <c r="D452" s="2" t="s">
        <v>1236</v>
      </c>
      <c r="E452" s="1" t="s">
        <v>1232</v>
      </c>
      <c r="F452" t="s">
        <v>24</v>
      </c>
      <c r="G452" s="2" t="s">
        <v>1152</v>
      </c>
      <c r="H452" t="s">
        <v>26</v>
      </c>
      <c r="I452" t="s">
        <v>57</v>
      </c>
      <c r="J452" s="6">
        <v>15105</v>
      </c>
      <c r="K452" s="16">
        <v>999</v>
      </c>
      <c r="L452" s="16">
        <v>1012</v>
      </c>
      <c r="M452" s="16">
        <v>1016</v>
      </c>
      <c r="N452" s="16">
        <v>999</v>
      </c>
      <c r="O452" s="16">
        <v>1000</v>
      </c>
      <c r="P452" s="16">
        <v>995</v>
      </c>
      <c r="Q452" s="16">
        <v>915</v>
      </c>
      <c r="R452" s="16">
        <v>1091</v>
      </c>
      <c r="S452" s="16">
        <v>1030</v>
      </c>
      <c r="T452" s="16">
        <v>1061</v>
      </c>
      <c r="U452" s="15">
        <v>1011.8</v>
      </c>
      <c r="V452" t="s">
        <v>19</v>
      </c>
      <c r="W452" t="s">
        <v>28</v>
      </c>
      <c r="X452">
        <v>781</v>
      </c>
      <c r="Y452" s="16">
        <f>VLOOKUP(Tabela1[[#This Row],[SKU]],SKU!A:D,4,0)</f>
        <v>1000</v>
      </c>
      <c r="Z452" s="18">
        <f>IFERROR((Tabela1[[#This Row],[Média]]-Tabela1[[#This Row],[Meta]])/Tabela1[[#This Row],[Meta]],"")</f>
        <v>1.1799999999999955E-2</v>
      </c>
      <c r="AA452" s="22">
        <f>Tabela1[[#This Row],[Média]]-Tabela1[[#This Row],[Meta]]</f>
        <v>11.799999999999955</v>
      </c>
      <c r="AB452" s="6" t="str">
        <f>VLOOKUP(Tabela1[[#This Row],[SKU]],SKU!A:B,2,0)</f>
        <v>FILE PEITO MET CG BDJ SE</v>
      </c>
      <c r="AC452" s="6" t="str">
        <f>VLOOKUP(Tabela1[[#This Row],[SKU]],SKU!A:C,3,0)</f>
        <v>PEITO</v>
      </c>
    </row>
    <row r="453" spans="1:29" x14ac:dyDescent="0.3">
      <c r="A453" s="2">
        <f>INT(Tabela1[[#This Row],[Data e Hora2]])</f>
        <v>46267</v>
      </c>
      <c r="B453" s="6" t="str">
        <f>UPPER(TEXT(Tabela1[[#This Row],[Data Corrigida]],"MMM"))</f>
        <v>SET</v>
      </c>
      <c r="C453" t="s">
        <v>1237</v>
      </c>
      <c r="D453" s="2" t="s">
        <v>1238</v>
      </c>
      <c r="E453" s="1" t="s">
        <v>1232</v>
      </c>
      <c r="F453" t="s">
        <v>24</v>
      </c>
      <c r="G453" s="2" t="s">
        <v>1152</v>
      </c>
      <c r="H453" t="s">
        <v>26</v>
      </c>
      <c r="I453" t="s">
        <v>57</v>
      </c>
      <c r="J453" s="6">
        <v>15105</v>
      </c>
      <c r="K453" s="16">
        <v>1027</v>
      </c>
      <c r="L453" s="16">
        <v>1004</v>
      </c>
      <c r="M453" s="16">
        <v>1016</v>
      </c>
      <c r="N453" s="16">
        <v>1033</v>
      </c>
      <c r="O453" s="16">
        <v>1025</v>
      </c>
      <c r="P453" s="16">
        <v>1045</v>
      </c>
      <c r="Q453" s="16">
        <v>943</v>
      </c>
      <c r="R453" s="16">
        <v>1009</v>
      </c>
      <c r="S453" s="16">
        <v>1041</v>
      </c>
      <c r="T453" s="16">
        <v>1013</v>
      </c>
      <c r="U453" s="15">
        <v>1015.6</v>
      </c>
      <c r="V453" t="s">
        <v>19</v>
      </c>
      <c r="W453" t="s">
        <v>28</v>
      </c>
      <c r="X453">
        <v>939</v>
      </c>
      <c r="Y453" s="16">
        <f>VLOOKUP(Tabela1[[#This Row],[SKU]],SKU!A:D,4,0)</f>
        <v>1000</v>
      </c>
      <c r="Z453" s="18">
        <f>IFERROR((Tabela1[[#This Row],[Média]]-Tabela1[[#This Row],[Meta]])/Tabela1[[#This Row],[Meta]],"")</f>
        <v>1.5600000000000024E-2</v>
      </c>
      <c r="AA453" s="22">
        <f>Tabela1[[#This Row],[Média]]-Tabela1[[#This Row],[Meta]]</f>
        <v>15.600000000000023</v>
      </c>
      <c r="AB453" s="6" t="str">
        <f>VLOOKUP(Tabela1[[#This Row],[SKU]],SKU!A:B,2,0)</f>
        <v>FILE PEITO MET CG BDJ SE</v>
      </c>
      <c r="AC453" s="6" t="str">
        <f>VLOOKUP(Tabela1[[#This Row],[SKU]],SKU!A:C,3,0)</f>
        <v>PEITO</v>
      </c>
    </row>
    <row r="454" spans="1:29" x14ac:dyDescent="0.3">
      <c r="A454" s="2">
        <f>INT(Tabela1[[#This Row],[Data e Hora2]])</f>
        <v>46267</v>
      </c>
      <c r="B454" s="6" t="str">
        <f>UPPER(TEXT(Tabela1[[#This Row],[Data Corrigida]],"MMM"))</f>
        <v>SET</v>
      </c>
      <c r="C454" t="s">
        <v>1239</v>
      </c>
      <c r="D454" s="2" t="s">
        <v>1240</v>
      </c>
      <c r="E454" s="1" t="s">
        <v>1232</v>
      </c>
      <c r="F454" t="s">
        <v>24</v>
      </c>
      <c r="G454" s="2" t="s">
        <v>1152</v>
      </c>
      <c r="H454" t="s">
        <v>26</v>
      </c>
      <c r="I454" t="s">
        <v>57</v>
      </c>
      <c r="J454" s="6">
        <v>15105</v>
      </c>
      <c r="K454" s="16">
        <v>1024</v>
      </c>
      <c r="L454" s="16">
        <v>1009</v>
      </c>
      <c r="M454" s="16">
        <v>1040</v>
      </c>
      <c r="N454" s="16">
        <v>995</v>
      </c>
      <c r="O454" s="16">
        <v>1032</v>
      </c>
      <c r="P454" s="16">
        <v>892</v>
      </c>
      <c r="Q454" s="16">
        <v>927</v>
      </c>
      <c r="R454" s="16">
        <v>949</v>
      </c>
      <c r="S454" s="16">
        <v>972</v>
      </c>
      <c r="T454" s="16">
        <v>990</v>
      </c>
      <c r="U454" s="15">
        <v>983</v>
      </c>
      <c r="V454" t="s">
        <v>19</v>
      </c>
      <c r="W454" t="s">
        <v>28</v>
      </c>
      <c r="X454">
        <v>1340</v>
      </c>
      <c r="Y454" s="16">
        <f>VLOOKUP(Tabela1[[#This Row],[SKU]],SKU!A:D,4,0)</f>
        <v>1000</v>
      </c>
      <c r="Z454" s="18">
        <f>IFERROR((Tabela1[[#This Row],[Média]]-Tabela1[[#This Row],[Meta]])/Tabela1[[#This Row],[Meta]],"")</f>
        <v>-1.7000000000000001E-2</v>
      </c>
      <c r="AA454" s="22">
        <f>Tabela1[[#This Row],[Média]]-Tabela1[[#This Row],[Meta]]</f>
        <v>-17</v>
      </c>
      <c r="AB454" s="6" t="str">
        <f>VLOOKUP(Tabela1[[#This Row],[SKU]],SKU!A:B,2,0)</f>
        <v>FILE PEITO MET CG BDJ SE</v>
      </c>
      <c r="AC454" s="6" t="str">
        <f>VLOOKUP(Tabela1[[#This Row],[SKU]],SKU!A:C,3,0)</f>
        <v>PEITO</v>
      </c>
    </row>
    <row r="455" spans="1:29" x14ac:dyDescent="0.3">
      <c r="A455" s="2">
        <f>INT(Tabela1[[#This Row],[Data e Hora2]])</f>
        <v>46267</v>
      </c>
      <c r="B455" s="6" t="str">
        <f>UPPER(TEXT(Tabela1[[#This Row],[Data Corrigida]],"MMM"))</f>
        <v>SET</v>
      </c>
      <c r="C455" t="s">
        <v>1241</v>
      </c>
      <c r="D455" s="2" t="s">
        <v>1242</v>
      </c>
      <c r="E455" s="1" t="s">
        <v>1243</v>
      </c>
      <c r="F455" t="s">
        <v>24</v>
      </c>
      <c r="G455" s="2" t="s">
        <v>1152</v>
      </c>
      <c r="H455" t="s">
        <v>142</v>
      </c>
      <c r="I455" t="s">
        <v>143</v>
      </c>
      <c r="J455" s="6">
        <v>864048</v>
      </c>
      <c r="K455" s="16">
        <v>2045</v>
      </c>
      <c r="L455" s="16">
        <v>2089</v>
      </c>
      <c r="M455" s="16">
        <v>2068</v>
      </c>
      <c r="N455" s="16">
        <v>2062</v>
      </c>
      <c r="O455" s="16">
        <v>2196</v>
      </c>
      <c r="P455" s="16">
        <v>2035</v>
      </c>
      <c r="Q455" s="16">
        <v>1988</v>
      </c>
      <c r="R455" s="16">
        <v>2050</v>
      </c>
      <c r="S455" s="16">
        <v>2037</v>
      </c>
      <c r="T455" s="16">
        <v>2130</v>
      </c>
      <c r="U455" s="15">
        <v>2070</v>
      </c>
      <c r="V455" t="s">
        <v>19</v>
      </c>
      <c r="W455" t="s">
        <v>28</v>
      </c>
      <c r="X455">
        <v>721</v>
      </c>
      <c r="Y455" s="16">
        <f>VLOOKUP(Tabela1[[#This Row],[SKU]],SKU!A:D,4,0)</f>
        <v>2000</v>
      </c>
      <c r="Z455" s="18">
        <f>IFERROR((Tabela1[[#This Row],[Média]]-Tabela1[[#This Row],[Meta]])/Tabela1[[#This Row],[Meta]],"")</f>
        <v>3.5000000000000003E-2</v>
      </c>
      <c r="AA455" s="22">
        <f>Tabela1[[#This Row],[Média]]-Tabela1[[#This Row],[Meta]]</f>
        <v>70</v>
      </c>
      <c r="AB455" s="6" t="str">
        <f>VLOOKUP(Tabela1[[#This Row],[SKU]],SKU!A:B,2,0)</f>
        <v>COXA SBCX S/O 200g FG UP PB</v>
      </c>
      <c r="AC455" s="6" t="str">
        <f>VLOOKUP(Tabela1[[#This Row],[SKU]],SKU!A:C,3,0)</f>
        <v>PERNA</v>
      </c>
    </row>
    <row r="456" spans="1:29" x14ac:dyDescent="0.3">
      <c r="A456" s="2">
        <f>INT(Tabela1[[#This Row],[Data e Hora2]])</f>
        <v>46267</v>
      </c>
      <c r="B456" s="6" t="str">
        <f>UPPER(TEXT(Tabela1[[#This Row],[Data Corrigida]],"MMM"))</f>
        <v>SET</v>
      </c>
      <c r="C456" t="s">
        <v>1244</v>
      </c>
      <c r="D456" s="2" t="s">
        <v>1245</v>
      </c>
      <c r="E456" s="1" t="s">
        <v>1243</v>
      </c>
      <c r="F456" t="s">
        <v>24</v>
      </c>
      <c r="G456" s="2" t="s">
        <v>1152</v>
      </c>
      <c r="H456" t="s">
        <v>142</v>
      </c>
      <c r="I456" t="s">
        <v>143</v>
      </c>
      <c r="J456" s="6">
        <v>54632</v>
      </c>
      <c r="K456" s="16">
        <v>999</v>
      </c>
      <c r="L456" s="16">
        <v>1015</v>
      </c>
      <c r="M456" s="16">
        <v>996</v>
      </c>
      <c r="N456" s="16">
        <v>1033</v>
      </c>
      <c r="O456" s="16">
        <v>1008</v>
      </c>
      <c r="P456" s="16">
        <v>1013</v>
      </c>
      <c r="Q456" s="16">
        <v>1000</v>
      </c>
      <c r="R456" s="16">
        <v>1000</v>
      </c>
      <c r="S456" s="16">
        <v>1013</v>
      </c>
      <c r="T456" s="16">
        <v>1007</v>
      </c>
      <c r="U456" s="15">
        <v>1008.4</v>
      </c>
      <c r="V456" t="s">
        <v>19</v>
      </c>
      <c r="W456" t="s">
        <v>28</v>
      </c>
      <c r="X456">
        <v>553</v>
      </c>
      <c r="Y456" s="16">
        <f>VLOOKUP(Tabela1[[#This Row],[SKU]],SKU!A:D,4,0)</f>
        <v>1000</v>
      </c>
      <c r="Z456" s="18">
        <f>IFERROR((Tabela1[[#This Row],[Média]]-Tabela1[[#This Row],[Meta]])/Tabela1[[#This Row],[Meta]],"")</f>
        <v>8.3999999999999769E-3</v>
      </c>
      <c r="AA456" s="22">
        <f>Tabela1[[#This Row],[Média]]-Tabela1[[#This Row],[Meta]]</f>
        <v>8.3999999999999773</v>
      </c>
      <c r="AB456" s="6" t="str">
        <f>VLOOKUP(Tabela1[[#This Row],[SKU]],SKU!A:B,2,0)</f>
        <v>COXA SBCX S/O BDJ CG</v>
      </c>
      <c r="AC456" s="6" t="str">
        <f>VLOOKUP(Tabela1[[#This Row],[SKU]],SKU!A:C,3,0)</f>
        <v>PERNA</v>
      </c>
    </row>
    <row r="457" spans="1:29" x14ac:dyDescent="0.3">
      <c r="A457" s="2">
        <f>INT(Tabela1[[#This Row],[Data e Hora2]])</f>
        <v>46267</v>
      </c>
      <c r="B457" s="6" t="str">
        <f>UPPER(TEXT(Tabela1[[#This Row],[Data Corrigida]],"MMM"))</f>
        <v>SET</v>
      </c>
      <c r="C457" t="s">
        <v>1246</v>
      </c>
      <c r="D457" s="2" t="s">
        <v>1247</v>
      </c>
      <c r="E457" s="1" t="s">
        <v>1243</v>
      </c>
      <c r="F457" t="s">
        <v>24</v>
      </c>
      <c r="G457" s="2" t="s">
        <v>1152</v>
      </c>
      <c r="H457" t="s">
        <v>142</v>
      </c>
      <c r="I457" t="s">
        <v>143</v>
      </c>
      <c r="J457" s="6">
        <v>15105</v>
      </c>
      <c r="K457" s="16">
        <v>1014</v>
      </c>
      <c r="L457" s="16">
        <v>1028</v>
      </c>
      <c r="M457" s="16">
        <v>990</v>
      </c>
      <c r="N457" s="16">
        <v>1015</v>
      </c>
      <c r="O457" s="16">
        <v>1166</v>
      </c>
      <c r="P457" s="16">
        <v>1066</v>
      </c>
      <c r="Q457" s="16">
        <v>997</v>
      </c>
      <c r="R457" s="16">
        <v>1027</v>
      </c>
      <c r="S457" s="16">
        <v>1052</v>
      </c>
      <c r="T457" s="16">
        <v>1000</v>
      </c>
      <c r="U457" s="15">
        <v>1035.5</v>
      </c>
      <c r="V457" t="s">
        <v>19</v>
      </c>
      <c r="W457" t="s">
        <v>28</v>
      </c>
      <c r="X457">
        <v>327</v>
      </c>
      <c r="Y457" s="16">
        <f>VLOOKUP(Tabela1[[#This Row],[SKU]],SKU!A:D,4,0)</f>
        <v>1000</v>
      </c>
      <c r="Z457" s="18">
        <f>IFERROR((Tabela1[[#This Row],[Média]]-Tabela1[[#This Row],[Meta]])/Tabela1[[#This Row],[Meta]],"")</f>
        <v>3.5499999999999997E-2</v>
      </c>
      <c r="AA457" s="22">
        <f>Tabela1[[#This Row],[Média]]-Tabela1[[#This Row],[Meta]]</f>
        <v>35.5</v>
      </c>
      <c r="AB457" s="6" t="str">
        <f>VLOOKUP(Tabela1[[#This Row],[SKU]],SKU!A:B,2,0)</f>
        <v>FILE PEITO MET CG BDJ SE</v>
      </c>
      <c r="AC457" s="6" t="str">
        <f>VLOOKUP(Tabela1[[#This Row],[SKU]],SKU!A:C,3,0)</f>
        <v>PEITO</v>
      </c>
    </row>
    <row r="458" spans="1:29" x14ac:dyDescent="0.3">
      <c r="A458" s="2">
        <f>INT(Tabela1[[#This Row],[Data e Hora2]])</f>
        <v>46268</v>
      </c>
      <c r="B458" s="6" t="str">
        <f>UPPER(TEXT(Tabela1[[#This Row],[Data Corrigida]],"MMM"))</f>
        <v>SET</v>
      </c>
      <c r="C458" s="26" t="s">
        <v>1248</v>
      </c>
      <c r="D458" s="2" t="s">
        <v>1249</v>
      </c>
      <c r="E458" s="1" t="s">
        <v>1250</v>
      </c>
      <c r="F458" t="s">
        <v>24</v>
      </c>
      <c r="G458" s="2" t="s">
        <v>1130</v>
      </c>
      <c r="H458" t="s">
        <v>26</v>
      </c>
      <c r="I458" t="s">
        <v>27</v>
      </c>
      <c r="J458" s="6">
        <v>40762</v>
      </c>
      <c r="K458" s="16">
        <v>9980</v>
      </c>
      <c r="L458" s="16">
        <v>10120</v>
      </c>
      <c r="M458" s="16">
        <v>10000</v>
      </c>
      <c r="N458" s="16">
        <v>9995</v>
      </c>
      <c r="O458" s="16">
        <v>10055</v>
      </c>
      <c r="P458" s="16">
        <v>9995</v>
      </c>
      <c r="Q458" s="16">
        <v>9980</v>
      </c>
      <c r="R458" s="16">
        <v>10025</v>
      </c>
      <c r="S458" s="16">
        <v>10005</v>
      </c>
      <c r="T458" s="16">
        <v>10055</v>
      </c>
      <c r="U458" s="15">
        <v>10021</v>
      </c>
      <c r="V458" t="s">
        <v>19</v>
      </c>
      <c r="W458" t="s">
        <v>28</v>
      </c>
      <c r="X458">
        <v>2728</v>
      </c>
      <c r="Y458" s="16">
        <f>VLOOKUP(Tabela1[[#This Row],[SKU]],SKU!A:D,4,0)</f>
        <v>10000</v>
      </c>
      <c r="Z458" s="18">
        <f>IFERROR((Tabela1[[#This Row],[Média]]-Tabela1[[#This Row],[Meta]])/Tabela1[[#This Row],[Meta]],"")</f>
        <v>2.0999999999999999E-3</v>
      </c>
      <c r="AA458" s="22">
        <f>Tabela1[[#This Row],[Média]]-Tabela1[[#This Row],[Meta]]</f>
        <v>21</v>
      </c>
      <c r="AB458" s="6" t="str">
        <f>VLOOKUP(Tabela1[[#This Row],[SKU]],SKU!A:B,2,0)</f>
        <v>COXA SBCX LQ FG LP</v>
      </c>
      <c r="AC458" s="6" t="str">
        <f>VLOOKUP(Tabela1[[#This Row],[SKU]],SKU!A:C,3,0)</f>
        <v>PERNA</v>
      </c>
    </row>
    <row r="459" spans="1:29" x14ac:dyDescent="0.3">
      <c r="A459" s="2">
        <f>INT(Tabela1[[#This Row],[Data e Hora2]])</f>
        <v>46268</v>
      </c>
      <c r="B459" s="6" t="str">
        <f>UPPER(TEXT(Tabela1[[#This Row],[Data Corrigida]],"MMM"))</f>
        <v>SET</v>
      </c>
      <c r="C459" t="s">
        <v>1251</v>
      </c>
      <c r="D459" s="2" t="s">
        <v>1252</v>
      </c>
      <c r="E459" s="1" t="s">
        <v>1250</v>
      </c>
      <c r="F459" t="s">
        <v>24</v>
      </c>
      <c r="G459" s="2" t="s">
        <v>1130</v>
      </c>
      <c r="H459" t="s">
        <v>26</v>
      </c>
      <c r="I459" t="s">
        <v>27</v>
      </c>
      <c r="J459" s="6">
        <v>15229</v>
      </c>
      <c r="K459" s="16">
        <v>1010</v>
      </c>
      <c r="L459" s="16">
        <v>1005</v>
      </c>
      <c r="M459" s="16">
        <v>1006</v>
      </c>
      <c r="N459" s="16">
        <v>997</v>
      </c>
      <c r="O459" s="16">
        <v>1025</v>
      </c>
      <c r="P459" s="16">
        <v>1004</v>
      </c>
      <c r="Q459" s="16">
        <v>994</v>
      </c>
      <c r="R459" s="16">
        <v>990</v>
      </c>
      <c r="S459" s="16">
        <v>1008</v>
      </c>
      <c r="T459" s="16">
        <v>1016</v>
      </c>
      <c r="U459" s="15">
        <v>1005.5</v>
      </c>
      <c r="V459" t="s">
        <v>19</v>
      </c>
      <c r="W459" t="s">
        <v>28</v>
      </c>
      <c r="X459">
        <v>316</v>
      </c>
      <c r="Y459" s="16">
        <f>VLOOKUP(Tabela1[[#This Row],[SKU]],SKU!A:D,4,0)</f>
        <v>1000</v>
      </c>
      <c r="Z459" s="18">
        <f>IFERROR((Tabela1[[#This Row],[Média]]-Tabela1[[#This Row],[Meta]])/Tabela1[[#This Row],[Meta]],"")</f>
        <v>5.4999999999999997E-3</v>
      </c>
      <c r="AA459" s="22">
        <f>Tabela1[[#This Row],[Média]]-Tabela1[[#This Row],[Meta]]</f>
        <v>5.5</v>
      </c>
      <c r="AB459" s="6" t="str">
        <f>VLOOKUP(Tabela1[[#This Row],[SKU]],SKU!A:B,2,0)</f>
        <v>COXA CG BDJ SE</v>
      </c>
      <c r="AC459" s="6" t="str">
        <f>VLOOKUP(Tabela1[[#This Row],[SKU]],SKU!A:C,3,0)</f>
        <v>PERNA</v>
      </c>
    </row>
    <row r="460" spans="1:29" x14ac:dyDescent="0.3">
      <c r="A460" s="2">
        <f>INT(Tabela1[[#This Row],[Data e Hora2]])</f>
        <v>46268</v>
      </c>
      <c r="B460" s="6" t="str">
        <f>UPPER(TEXT(Tabela1[[#This Row],[Data Corrigida]],"MMM"))</f>
        <v>SET</v>
      </c>
      <c r="C460" t="s">
        <v>1253</v>
      </c>
      <c r="D460" s="2" t="s">
        <v>1254</v>
      </c>
      <c r="E460" s="1" t="s">
        <v>1250</v>
      </c>
      <c r="F460" t="s">
        <v>24</v>
      </c>
      <c r="G460" s="2" t="s">
        <v>1130</v>
      </c>
      <c r="H460" t="s">
        <v>26</v>
      </c>
      <c r="I460" t="s">
        <v>27</v>
      </c>
      <c r="J460" s="6">
        <v>13188</v>
      </c>
      <c r="K460" s="16">
        <v>1006</v>
      </c>
      <c r="L460" s="16">
        <v>1013</v>
      </c>
      <c r="M460" s="16">
        <v>1008</v>
      </c>
      <c r="N460" s="16">
        <v>999</v>
      </c>
      <c r="O460" s="16">
        <v>994</v>
      </c>
      <c r="P460" s="16">
        <v>1010</v>
      </c>
      <c r="Q460" s="16">
        <v>1010</v>
      </c>
      <c r="R460" s="16">
        <v>1002</v>
      </c>
      <c r="S460" s="16">
        <v>1014</v>
      </c>
      <c r="T460" s="16">
        <v>1009</v>
      </c>
      <c r="U460" s="15">
        <v>1006.5</v>
      </c>
      <c r="V460" t="s">
        <v>19</v>
      </c>
      <c r="W460" t="s">
        <v>28</v>
      </c>
      <c r="X460">
        <v>954</v>
      </c>
      <c r="Y460" s="16">
        <f>VLOOKUP(Tabela1[[#This Row],[SKU]],SKU!A:D,4,0)</f>
        <v>1000</v>
      </c>
      <c r="Z460" s="18">
        <f>IFERROR((Tabela1[[#This Row],[Média]]-Tabela1[[#This Row],[Meta]])/Tabela1[[#This Row],[Meta]],"")</f>
        <v>6.4999999999999997E-3</v>
      </c>
      <c r="AA460" s="22">
        <f>Tabela1[[#This Row],[Média]]-Tabela1[[#This Row],[Meta]]</f>
        <v>6.5</v>
      </c>
      <c r="AB460" s="6" t="str">
        <f>VLOOKUP(Tabela1[[#This Row],[SKU]],SKU!A:B,2,0)</f>
        <v>SOBRECOXA CG BDJ SE</v>
      </c>
      <c r="AC460" s="6" t="str">
        <f>VLOOKUP(Tabela1[[#This Row],[SKU]],SKU!A:C,3,0)</f>
        <v>PERNA</v>
      </c>
    </row>
    <row r="461" spans="1:29" x14ac:dyDescent="0.3">
      <c r="A461" s="2">
        <f>INT(Tabela1[[#This Row],[Data e Hora2]])</f>
        <v>46268</v>
      </c>
      <c r="B461" s="6" t="str">
        <f>UPPER(TEXT(Tabela1[[#This Row],[Data Corrigida]],"MMM"))</f>
        <v>SET</v>
      </c>
      <c r="C461" t="s">
        <v>1255</v>
      </c>
      <c r="D461" s="2" t="s">
        <v>1256</v>
      </c>
      <c r="E461" s="1" t="s">
        <v>1250</v>
      </c>
      <c r="F461" t="s">
        <v>24</v>
      </c>
      <c r="G461" s="2" t="s">
        <v>1130</v>
      </c>
      <c r="H461" t="s">
        <v>26</v>
      </c>
      <c r="I461" t="s">
        <v>27</v>
      </c>
      <c r="J461" s="6">
        <v>209069</v>
      </c>
      <c r="K461" s="16">
        <v>993</v>
      </c>
      <c r="L461" s="16">
        <v>1046</v>
      </c>
      <c r="M461" s="16">
        <v>1049</v>
      </c>
      <c r="N461" s="16">
        <v>1083</v>
      </c>
      <c r="O461" s="16">
        <v>995</v>
      </c>
      <c r="P461" s="16">
        <v>1048</v>
      </c>
      <c r="Q461" s="16">
        <v>1039</v>
      </c>
      <c r="R461" s="16">
        <v>1020</v>
      </c>
      <c r="S461" s="16">
        <v>1001</v>
      </c>
      <c r="T461" s="16">
        <v>995</v>
      </c>
      <c r="U461" s="15">
        <v>1026.9000000000001</v>
      </c>
      <c r="V461" t="s">
        <v>19</v>
      </c>
      <c r="W461" t="s">
        <v>28</v>
      </c>
      <c r="X461">
        <v>1639</v>
      </c>
      <c r="Y461" s="16">
        <f>VLOOKUP(Tabela1[[#This Row],[SKU]],SKU!A:D,4,0)</f>
        <v>1000</v>
      </c>
      <c r="Z461" s="18">
        <f>IFERROR((Tabela1[[#This Row],[Média]]-Tabela1[[#This Row],[Meta]])/Tabela1[[#This Row],[Meta]],"")</f>
        <v>2.6900000000000091E-2</v>
      </c>
      <c r="AA461" s="22">
        <f>Tabela1[[#This Row],[Média]]-Tabela1[[#This Row],[Meta]]</f>
        <v>26.900000000000091</v>
      </c>
      <c r="AB461" s="6" t="str">
        <f>VLOOKUP(Tabela1[[#This Row],[SKU]],SKU!A:B,2,0)</f>
        <v>FILE PEITO CG IQF1KG</v>
      </c>
      <c r="AC461" s="6" t="str">
        <f>VLOOKUP(Tabela1[[#This Row],[SKU]],SKU!A:C,3,0)</f>
        <v>PEITO</v>
      </c>
    </row>
    <row r="462" spans="1:29" x14ac:dyDescent="0.3">
      <c r="A462" s="2">
        <f>INT(Tabela1[[#This Row],[Data e Hora2]])</f>
        <v>46268</v>
      </c>
      <c r="B462" s="6" t="str">
        <f>UPPER(TEXT(Tabela1[[#This Row],[Data Corrigida]],"MMM"))</f>
        <v>SET</v>
      </c>
      <c r="C462" t="s">
        <v>1257</v>
      </c>
      <c r="D462" s="2" t="s">
        <v>1258</v>
      </c>
      <c r="E462" s="1" t="s">
        <v>1250</v>
      </c>
      <c r="F462" t="s">
        <v>24</v>
      </c>
      <c r="G462" s="2" t="s">
        <v>1130</v>
      </c>
      <c r="H462" t="s">
        <v>26</v>
      </c>
      <c r="I462" t="s">
        <v>27</v>
      </c>
      <c r="J462" s="6">
        <v>15849</v>
      </c>
      <c r="K462" s="16">
        <v>1007</v>
      </c>
      <c r="L462" s="16">
        <v>994</v>
      </c>
      <c r="M462" s="16">
        <v>1021</v>
      </c>
      <c r="N462" s="16">
        <v>996</v>
      </c>
      <c r="O462" s="16">
        <v>1009</v>
      </c>
      <c r="P462" s="16">
        <v>1005</v>
      </c>
      <c r="Q462" s="16">
        <v>1009</v>
      </c>
      <c r="R462" s="16">
        <v>1010</v>
      </c>
      <c r="S462" s="16">
        <v>1014</v>
      </c>
      <c r="T462" s="16">
        <v>1012</v>
      </c>
      <c r="U462" s="15">
        <v>1007.7</v>
      </c>
      <c r="V462" t="s">
        <v>19</v>
      </c>
      <c r="W462" t="s">
        <v>19</v>
      </c>
      <c r="X462">
        <v>1174</v>
      </c>
      <c r="Y462" s="16">
        <f>VLOOKUP(Tabela1[[#This Row],[SKU]],SKU!A:D,4,0)</f>
        <v>1000</v>
      </c>
      <c r="Z462" s="18">
        <f>IFERROR((Tabela1[[#This Row],[Média]]-Tabela1[[#This Row],[Meta]])/Tabela1[[#This Row],[Meta]],"")</f>
        <v>7.7000000000000453E-3</v>
      </c>
      <c r="AA462" s="22">
        <f>Tabela1[[#This Row],[Média]]-Tabela1[[#This Row],[Meta]]</f>
        <v>7.7000000000000455</v>
      </c>
      <c r="AB462" s="6" t="str">
        <f>VLOOKUP(Tabela1[[#This Row],[SKU]],SKU!A:B,2,0)</f>
        <v>FILEZINHO PEITO CG BDJ SE</v>
      </c>
      <c r="AC462" s="6" t="str">
        <f>VLOOKUP(Tabela1[[#This Row],[SKU]],SKU!A:C,3,0)</f>
        <v>SASSAMI</v>
      </c>
    </row>
    <row r="463" spans="1:29" x14ac:dyDescent="0.3">
      <c r="A463" s="2">
        <f>INT(Tabela1[[#This Row],[Data e Hora2]])</f>
        <v>46268</v>
      </c>
      <c r="B463" s="6" t="str">
        <f>UPPER(TEXT(Tabela1[[#This Row],[Data Corrigida]],"MMM"))</f>
        <v>SET</v>
      </c>
      <c r="C463" t="s">
        <v>1259</v>
      </c>
      <c r="D463" s="2" t="s">
        <v>1260</v>
      </c>
      <c r="E463" s="1" t="s">
        <v>1250</v>
      </c>
      <c r="F463" t="s">
        <v>24</v>
      </c>
      <c r="G463" s="2" t="s">
        <v>1130</v>
      </c>
      <c r="H463" t="s">
        <v>26</v>
      </c>
      <c r="I463" t="s">
        <v>27</v>
      </c>
      <c r="J463" s="6">
        <v>15105</v>
      </c>
      <c r="K463" s="16">
        <v>1006</v>
      </c>
      <c r="L463" s="16">
        <v>1027</v>
      </c>
      <c r="M463" s="16">
        <v>1011</v>
      </c>
      <c r="N463" s="16">
        <v>1009</v>
      </c>
      <c r="O463" s="16">
        <v>1005</v>
      </c>
      <c r="P463" s="16">
        <v>998</v>
      </c>
      <c r="Q463" s="16">
        <v>1024</v>
      </c>
      <c r="R463" s="16">
        <v>997</v>
      </c>
      <c r="S463" s="16">
        <v>1050</v>
      </c>
      <c r="T463" s="16">
        <v>1153</v>
      </c>
      <c r="U463" s="15">
        <v>1028</v>
      </c>
      <c r="V463" t="s">
        <v>19</v>
      </c>
      <c r="W463" t="s">
        <v>28</v>
      </c>
      <c r="X463">
        <v>220</v>
      </c>
      <c r="Y463" s="16">
        <f>VLOOKUP(Tabela1[[#This Row],[SKU]],SKU!A:D,4,0)</f>
        <v>1000</v>
      </c>
      <c r="Z463" s="18">
        <f>IFERROR((Tabela1[[#This Row],[Média]]-Tabela1[[#This Row],[Meta]])/Tabela1[[#This Row],[Meta]],"")</f>
        <v>2.8000000000000001E-2</v>
      </c>
      <c r="AA463" s="22">
        <f>Tabela1[[#This Row],[Média]]-Tabela1[[#This Row],[Meta]]</f>
        <v>28</v>
      </c>
      <c r="AB463" s="6" t="str">
        <f>VLOOKUP(Tabela1[[#This Row],[SKU]],SKU!A:B,2,0)</f>
        <v>FILE PEITO MET CG BDJ SE</v>
      </c>
      <c r="AC463" s="6" t="str">
        <f>VLOOKUP(Tabela1[[#This Row],[SKU]],SKU!A:C,3,0)</f>
        <v>PEITO</v>
      </c>
    </row>
    <row r="464" spans="1:29" x14ac:dyDescent="0.3">
      <c r="A464" s="2">
        <f>INT(Tabela1[[#This Row],[Data e Hora2]])</f>
        <v>46268</v>
      </c>
      <c r="B464" s="6" t="str">
        <f>UPPER(TEXT(Tabela1[[#This Row],[Data Corrigida]],"MMM"))</f>
        <v>SET</v>
      </c>
      <c r="C464" t="s">
        <v>1261</v>
      </c>
      <c r="D464" s="2" t="s">
        <v>1262</v>
      </c>
      <c r="E464" s="1" t="s">
        <v>1250</v>
      </c>
      <c r="F464" t="s">
        <v>24</v>
      </c>
      <c r="G464" s="2" t="s">
        <v>1130</v>
      </c>
      <c r="H464" t="s">
        <v>26</v>
      </c>
      <c r="I464" t="s">
        <v>27</v>
      </c>
      <c r="J464" s="6">
        <v>15849</v>
      </c>
      <c r="K464" s="16">
        <v>1023</v>
      </c>
      <c r="L464" s="16">
        <v>996</v>
      </c>
      <c r="M464" s="16">
        <v>992</v>
      </c>
      <c r="N464" s="16">
        <v>1012</v>
      </c>
      <c r="O464" s="16">
        <v>1003</v>
      </c>
      <c r="P464" s="16">
        <v>1020</v>
      </c>
      <c r="Q464" s="16">
        <v>1025</v>
      </c>
      <c r="R464" s="16">
        <v>1019</v>
      </c>
      <c r="S464" s="16">
        <v>1027</v>
      </c>
      <c r="T464" s="16">
        <v>1026</v>
      </c>
      <c r="U464" s="15">
        <v>1014.3</v>
      </c>
      <c r="V464" t="s">
        <v>19</v>
      </c>
      <c r="W464" t="s">
        <v>19</v>
      </c>
      <c r="X464">
        <v>116</v>
      </c>
      <c r="Y464" s="16">
        <f>VLOOKUP(Tabela1[[#This Row],[SKU]],SKU!A:D,4,0)</f>
        <v>1000</v>
      </c>
      <c r="Z464" s="18">
        <f>IFERROR((Tabela1[[#This Row],[Média]]-Tabela1[[#This Row],[Meta]])/Tabela1[[#This Row],[Meta]],"")</f>
        <v>1.4299999999999955E-2</v>
      </c>
      <c r="AA464" s="22">
        <f>Tabela1[[#This Row],[Média]]-Tabela1[[#This Row],[Meta]]</f>
        <v>14.299999999999955</v>
      </c>
      <c r="AB464" s="6" t="str">
        <f>VLOOKUP(Tabela1[[#This Row],[SKU]],SKU!A:B,2,0)</f>
        <v>FILEZINHO PEITO CG BDJ SE</v>
      </c>
      <c r="AC464" s="6" t="str">
        <f>VLOOKUP(Tabela1[[#This Row],[SKU]],SKU!A:C,3,0)</f>
        <v>SASSAMI</v>
      </c>
    </row>
    <row r="465" spans="1:29" x14ac:dyDescent="0.3">
      <c r="A465" s="2">
        <f>INT(Tabela1[[#This Row],[Data e Hora2]])</f>
        <v>46268</v>
      </c>
      <c r="B465" s="6" t="str">
        <f>UPPER(TEXT(Tabela1[[#This Row],[Data Corrigida]],"MMM"))</f>
        <v>SET</v>
      </c>
      <c r="C465" t="s">
        <v>1263</v>
      </c>
      <c r="D465" s="2" t="s">
        <v>1264</v>
      </c>
      <c r="E465" s="1" t="s">
        <v>1250</v>
      </c>
      <c r="F465" t="s">
        <v>24</v>
      </c>
      <c r="G465" s="2" t="s">
        <v>1130</v>
      </c>
      <c r="H465" t="s">
        <v>26</v>
      </c>
      <c r="I465" t="s">
        <v>27</v>
      </c>
      <c r="J465" s="6">
        <v>15105</v>
      </c>
      <c r="K465" s="16">
        <v>978</v>
      </c>
      <c r="L465" s="16">
        <v>1041</v>
      </c>
      <c r="M465" s="16">
        <v>1007</v>
      </c>
      <c r="N465" s="16">
        <v>1042</v>
      </c>
      <c r="O465" s="16">
        <v>1052</v>
      </c>
      <c r="P465" s="16">
        <v>999</v>
      </c>
      <c r="Q465" s="16">
        <v>1017</v>
      </c>
      <c r="R465" s="16">
        <v>971</v>
      </c>
      <c r="S465" s="16">
        <v>1006</v>
      </c>
      <c r="T465" s="16">
        <v>1043</v>
      </c>
      <c r="U465" s="15">
        <v>1015.6</v>
      </c>
      <c r="V465" t="s">
        <v>19</v>
      </c>
      <c r="W465" t="s">
        <v>28</v>
      </c>
      <c r="X465">
        <v>211</v>
      </c>
      <c r="Y465" s="16">
        <f>VLOOKUP(Tabela1[[#This Row],[SKU]],SKU!A:D,4,0)</f>
        <v>1000</v>
      </c>
      <c r="Z465" s="18">
        <f>IFERROR((Tabela1[[#This Row],[Média]]-Tabela1[[#This Row],[Meta]])/Tabela1[[#This Row],[Meta]],"")</f>
        <v>1.5600000000000024E-2</v>
      </c>
      <c r="AA465" s="22">
        <f>Tabela1[[#This Row],[Média]]-Tabela1[[#This Row],[Meta]]</f>
        <v>15.600000000000023</v>
      </c>
      <c r="AB465" s="6" t="str">
        <f>VLOOKUP(Tabela1[[#This Row],[SKU]],SKU!A:B,2,0)</f>
        <v>FILE PEITO MET CG BDJ SE</v>
      </c>
      <c r="AC465" s="6" t="str">
        <f>VLOOKUP(Tabela1[[#This Row],[SKU]],SKU!A:C,3,0)</f>
        <v>PEITO</v>
      </c>
    </row>
    <row r="466" spans="1:29" x14ac:dyDescent="0.3">
      <c r="A466" s="2">
        <f>INT(Tabela1[[#This Row],[Data e Hora2]])</f>
        <v>46268</v>
      </c>
      <c r="B466" s="6" t="str">
        <f>UPPER(TEXT(Tabela1[[#This Row],[Data Corrigida]],"MMM"))</f>
        <v>SET</v>
      </c>
      <c r="C466" t="s">
        <v>1265</v>
      </c>
      <c r="D466" s="2" t="s">
        <v>1266</v>
      </c>
      <c r="E466" s="1" t="s">
        <v>1250</v>
      </c>
      <c r="F466" t="s">
        <v>24</v>
      </c>
      <c r="G466" s="2" t="s">
        <v>1130</v>
      </c>
      <c r="H466" t="s">
        <v>26</v>
      </c>
      <c r="I466" t="s">
        <v>27</v>
      </c>
      <c r="J466" s="6">
        <v>992093</v>
      </c>
      <c r="K466" s="16">
        <v>5008</v>
      </c>
      <c r="L466" s="16">
        <v>5006</v>
      </c>
      <c r="M466" s="16">
        <v>5009</v>
      </c>
      <c r="N466" s="16">
        <v>5009</v>
      </c>
      <c r="O466" s="16">
        <v>5001</v>
      </c>
      <c r="P466" s="16">
        <v>5005</v>
      </c>
      <c r="Q466" s="16">
        <v>5009</v>
      </c>
      <c r="R466" s="16">
        <v>5004</v>
      </c>
      <c r="S466" s="16">
        <v>5008</v>
      </c>
      <c r="T466" s="16">
        <v>5001</v>
      </c>
      <c r="U466" s="15">
        <v>5006</v>
      </c>
      <c r="V466" t="s">
        <v>19</v>
      </c>
      <c r="W466" t="s">
        <v>28</v>
      </c>
      <c r="X466">
        <v>264</v>
      </c>
      <c r="Y466" s="16">
        <f>VLOOKUP(Tabela1[[#This Row],[SKU]],SKU!A:D,4,0)</f>
        <v>5000</v>
      </c>
      <c r="Z466" s="18">
        <f>IFERROR((Tabela1[[#This Row],[Média]]-Tabela1[[#This Row],[Meta]])/Tabela1[[#This Row],[Meta]],"")</f>
        <v>1.1999999999999999E-3</v>
      </c>
      <c r="AA466" s="22">
        <f>Tabela1[[#This Row],[Média]]-Tabela1[[#This Row],[Meta]]</f>
        <v>6</v>
      </c>
      <c r="AB466" s="6" t="str">
        <f>VLOOKUP(Tabela1[[#This Row],[SKU]],SKU!A:B,2,0)</f>
        <v>PONTA ASA FG PB CG</v>
      </c>
      <c r="AC466" s="6" t="str">
        <f>VLOOKUP(Tabela1[[#This Row],[SKU]],SKU!A:C,3,0)</f>
        <v>ASA</v>
      </c>
    </row>
    <row r="467" spans="1:29" x14ac:dyDescent="0.3">
      <c r="A467" s="2">
        <f>INT(Tabela1[[#This Row],[Data e Hora2]])</f>
        <v>46268</v>
      </c>
      <c r="B467" s="6" t="str">
        <f>UPPER(TEXT(Tabela1[[#This Row],[Data Corrigida]],"MMM"))</f>
        <v>SET</v>
      </c>
      <c r="C467" t="s">
        <v>1267</v>
      </c>
      <c r="D467" s="2" t="s">
        <v>1268</v>
      </c>
      <c r="E467" s="1" t="s">
        <v>1250</v>
      </c>
      <c r="F467" t="s">
        <v>24</v>
      </c>
      <c r="G467" s="2" t="s">
        <v>1130</v>
      </c>
      <c r="H467" t="s">
        <v>26</v>
      </c>
      <c r="I467" t="s">
        <v>27</v>
      </c>
      <c r="J467" s="6">
        <v>40762</v>
      </c>
      <c r="K467" s="16">
        <v>9990</v>
      </c>
      <c r="L467" s="16">
        <v>9965</v>
      </c>
      <c r="M467" s="16">
        <v>9995</v>
      </c>
      <c r="N467" s="16">
        <v>9980</v>
      </c>
      <c r="O467" s="16">
        <v>9985</v>
      </c>
      <c r="P467" s="16">
        <v>10005</v>
      </c>
      <c r="Q467" s="16">
        <v>10025</v>
      </c>
      <c r="R467" s="16">
        <v>10015</v>
      </c>
      <c r="S467" s="16">
        <v>10010</v>
      </c>
      <c r="T467" s="16">
        <v>10000</v>
      </c>
      <c r="U467" s="15">
        <v>9997</v>
      </c>
      <c r="V467" t="s">
        <v>19</v>
      </c>
      <c r="W467" t="s">
        <v>19</v>
      </c>
      <c r="X467">
        <v>289</v>
      </c>
      <c r="Y467" s="16">
        <f>VLOOKUP(Tabela1[[#This Row],[SKU]],SKU!A:D,4,0)</f>
        <v>10000</v>
      </c>
      <c r="Z467" s="18">
        <f>IFERROR((Tabela1[[#This Row],[Média]]-Tabela1[[#This Row],[Meta]])/Tabela1[[#This Row],[Meta]],"")</f>
        <v>-2.9999999999999997E-4</v>
      </c>
      <c r="AA467" s="22">
        <f>Tabela1[[#This Row],[Média]]-Tabela1[[#This Row],[Meta]]</f>
        <v>-3</v>
      </c>
      <c r="AB467" s="6" t="str">
        <f>VLOOKUP(Tabela1[[#This Row],[SKU]],SKU!A:B,2,0)</f>
        <v>COXA SBCX LQ FG LP</v>
      </c>
      <c r="AC467" s="6" t="str">
        <f>VLOOKUP(Tabela1[[#This Row],[SKU]],SKU!A:C,3,0)</f>
        <v>PERNA</v>
      </c>
    </row>
    <row r="468" spans="1:29" x14ac:dyDescent="0.3">
      <c r="A468" s="2">
        <f>INT(Tabela1[[#This Row],[Data e Hora2]])</f>
        <v>46268</v>
      </c>
      <c r="B468" s="6" t="str">
        <f>UPPER(TEXT(Tabela1[[#This Row],[Data Corrigida]],"MMM"))</f>
        <v>SET</v>
      </c>
      <c r="C468" t="s">
        <v>1269</v>
      </c>
      <c r="D468" s="2" t="s">
        <v>1270</v>
      </c>
      <c r="E468" s="1" t="s">
        <v>1271</v>
      </c>
      <c r="F468" t="s">
        <v>24</v>
      </c>
      <c r="G468" s="2" t="s">
        <v>1130</v>
      </c>
      <c r="H468" t="s">
        <v>26</v>
      </c>
      <c r="I468" t="s">
        <v>27</v>
      </c>
      <c r="J468" s="6">
        <v>15229</v>
      </c>
      <c r="K468" s="16">
        <v>992</v>
      </c>
      <c r="L468" s="16">
        <v>1005</v>
      </c>
      <c r="M468" s="16">
        <v>999</v>
      </c>
      <c r="N468" s="16">
        <v>990</v>
      </c>
      <c r="O468" s="16">
        <v>1009</v>
      </c>
      <c r="P468" s="16">
        <v>1006</v>
      </c>
      <c r="Q468" s="16">
        <v>1017</v>
      </c>
      <c r="R468" s="16">
        <v>1006</v>
      </c>
      <c r="S468" s="16">
        <v>1008</v>
      </c>
      <c r="T468" s="16">
        <v>997</v>
      </c>
      <c r="U468" s="15">
        <v>1002.9</v>
      </c>
      <c r="V468" t="s">
        <v>19</v>
      </c>
      <c r="W468" t="s">
        <v>28</v>
      </c>
      <c r="X468">
        <v>223</v>
      </c>
      <c r="Y468" s="16">
        <f>VLOOKUP(Tabela1[[#This Row],[SKU]],SKU!A:D,4,0)</f>
        <v>1000</v>
      </c>
      <c r="Z468" s="18">
        <f>IFERROR((Tabela1[[#This Row],[Média]]-Tabela1[[#This Row],[Meta]])/Tabela1[[#This Row],[Meta]],"")</f>
        <v>2.8999999999999772E-3</v>
      </c>
      <c r="AA468" s="22">
        <f>Tabela1[[#This Row],[Média]]-Tabela1[[#This Row],[Meta]]</f>
        <v>2.8999999999999773</v>
      </c>
      <c r="AB468" s="6" t="str">
        <f>VLOOKUP(Tabela1[[#This Row],[SKU]],SKU!A:B,2,0)</f>
        <v>COXA CG BDJ SE</v>
      </c>
      <c r="AC468" s="6" t="str">
        <f>VLOOKUP(Tabela1[[#This Row],[SKU]],SKU!A:C,3,0)</f>
        <v>PERNA</v>
      </c>
    </row>
    <row r="469" spans="1:29" x14ac:dyDescent="0.3">
      <c r="A469" s="2">
        <f>INT(Tabela1[[#This Row],[Data e Hora2]])</f>
        <v>46268</v>
      </c>
      <c r="B469" s="6" t="str">
        <f>UPPER(TEXT(Tabela1[[#This Row],[Data Corrigida]],"MMM"))</f>
        <v>SET</v>
      </c>
      <c r="C469" t="s">
        <v>1272</v>
      </c>
      <c r="D469" s="2" t="s">
        <v>1273</v>
      </c>
      <c r="E469" s="1" t="s">
        <v>1271</v>
      </c>
      <c r="F469" t="s">
        <v>24</v>
      </c>
      <c r="G469" s="2" t="s">
        <v>1130</v>
      </c>
      <c r="H469" t="s">
        <v>26</v>
      </c>
      <c r="I469" t="s">
        <v>27</v>
      </c>
      <c r="J469" s="6">
        <v>13188</v>
      </c>
      <c r="K469" s="16">
        <v>1009</v>
      </c>
      <c r="L469" s="16">
        <v>1008</v>
      </c>
      <c r="M469" s="16">
        <v>996</v>
      </c>
      <c r="N469" s="16">
        <v>1006</v>
      </c>
      <c r="O469" s="16">
        <v>997</v>
      </c>
      <c r="P469" s="16">
        <v>1006</v>
      </c>
      <c r="Q469" s="16">
        <v>1010</v>
      </c>
      <c r="R469" s="16">
        <v>1013</v>
      </c>
      <c r="S469" s="16">
        <v>1007</v>
      </c>
      <c r="T469" s="16">
        <v>1003</v>
      </c>
      <c r="U469" s="15">
        <v>1005.5</v>
      </c>
      <c r="V469" t="s">
        <v>19</v>
      </c>
      <c r="W469" t="s">
        <v>19</v>
      </c>
      <c r="X469">
        <v>265</v>
      </c>
      <c r="Y469" s="16">
        <f>VLOOKUP(Tabela1[[#This Row],[SKU]],SKU!A:D,4,0)</f>
        <v>1000</v>
      </c>
      <c r="Z469" s="18">
        <f>IFERROR((Tabela1[[#This Row],[Média]]-Tabela1[[#This Row],[Meta]])/Tabela1[[#This Row],[Meta]],"")</f>
        <v>5.4999999999999997E-3</v>
      </c>
      <c r="AA469" s="22">
        <f>Tabela1[[#This Row],[Média]]-Tabela1[[#This Row],[Meta]]</f>
        <v>5.5</v>
      </c>
      <c r="AB469" s="6" t="str">
        <f>VLOOKUP(Tabela1[[#This Row],[SKU]],SKU!A:B,2,0)</f>
        <v>SOBRECOXA CG BDJ SE</v>
      </c>
      <c r="AC469" s="6" t="str">
        <f>VLOOKUP(Tabela1[[#This Row],[SKU]],SKU!A:C,3,0)</f>
        <v>PERNA</v>
      </c>
    </row>
    <row r="470" spans="1:29" x14ac:dyDescent="0.3">
      <c r="A470" s="2">
        <f>INT(Tabela1[[#This Row],[Data e Hora2]])</f>
        <v>46268</v>
      </c>
      <c r="B470" s="6" t="str">
        <f>UPPER(TEXT(Tabela1[[#This Row],[Data Corrigida]],"MMM"))</f>
        <v>SET</v>
      </c>
      <c r="C470" t="s">
        <v>1274</v>
      </c>
      <c r="D470" s="2" t="s">
        <v>1275</v>
      </c>
      <c r="E470" s="1" t="s">
        <v>1271</v>
      </c>
      <c r="F470" t="s">
        <v>24</v>
      </c>
      <c r="G470" s="2" t="s">
        <v>1130</v>
      </c>
      <c r="H470" t="s">
        <v>26</v>
      </c>
      <c r="I470" t="s">
        <v>27</v>
      </c>
      <c r="J470" s="6">
        <v>42838</v>
      </c>
      <c r="K470" s="16">
        <v>2028</v>
      </c>
      <c r="L470" s="16">
        <v>1992</v>
      </c>
      <c r="M470" s="16">
        <v>1994</v>
      </c>
      <c r="N470" s="16">
        <v>1975</v>
      </c>
      <c r="O470" s="16">
        <v>2039</v>
      </c>
      <c r="P470" s="16">
        <v>2100</v>
      </c>
      <c r="Q470" s="16">
        <v>1992</v>
      </c>
      <c r="R470" s="16">
        <v>1986</v>
      </c>
      <c r="S470" s="16">
        <v>2025</v>
      </c>
      <c r="T470" s="16">
        <v>2037</v>
      </c>
      <c r="U470" s="15">
        <v>2016.8</v>
      </c>
      <c r="V470" t="s">
        <v>19</v>
      </c>
      <c r="W470" t="s">
        <v>28</v>
      </c>
      <c r="X470">
        <v>280</v>
      </c>
      <c r="Y470" s="16">
        <f>VLOOKUP(Tabela1[[#This Row],[SKU]],SKU!A:D,4,0)</f>
        <v>2000</v>
      </c>
      <c r="Z470" s="18">
        <f>IFERROR((Tabela1[[#This Row],[Média]]-Tabela1[[#This Row],[Meta]])/Tabela1[[#This Row],[Meta]],"")</f>
        <v>8.3999999999999769E-3</v>
      </c>
      <c r="AA470" s="22">
        <f>Tabela1[[#This Row],[Média]]-Tabela1[[#This Row],[Meta]]</f>
        <v>16.799999999999955</v>
      </c>
      <c r="AB470" s="6" t="str">
        <f>VLOOKUP(Tabela1[[#This Row],[SKU]],SKU!A:B,2,0)</f>
        <v>COXA SBCX S/O FG 220-240g PB</v>
      </c>
      <c r="AC470" s="6" t="str">
        <f>VLOOKUP(Tabela1[[#This Row],[SKU]],SKU!A:C,3,0)</f>
        <v>PERNA</v>
      </c>
    </row>
    <row r="471" spans="1:29" x14ac:dyDescent="0.3">
      <c r="A471" s="2">
        <f>INT(Tabela1[[#This Row],[Data e Hora2]])</f>
        <v>46268</v>
      </c>
      <c r="B471" s="6" t="str">
        <f>UPPER(TEXT(Tabela1[[#This Row],[Data Corrigida]],"MMM"))</f>
        <v>SET</v>
      </c>
      <c r="C471" t="s">
        <v>1276</v>
      </c>
      <c r="D471" s="2" t="s">
        <v>1277</v>
      </c>
      <c r="E471" s="1" t="s">
        <v>1271</v>
      </c>
      <c r="F471" t="s">
        <v>24</v>
      </c>
      <c r="G471" s="2" t="s">
        <v>1130</v>
      </c>
      <c r="H471" t="s">
        <v>26</v>
      </c>
      <c r="I471" t="s">
        <v>27</v>
      </c>
      <c r="J471" s="6">
        <v>42862</v>
      </c>
      <c r="K471" s="16">
        <v>2004</v>
      </c>
      <c r="L471" s="16">
        <v>2007</v>
      </c>
      <c r="M471" s="16">
        <v>2033</v>
      </c>
      <c r="N471" s="16">
        <v>2030</v>
      </c>
      <c r="O471" s="16">
        <v>2009</v>
      </c>
      <c r="P471" s="16">
        <v>2012</v>
      </c>
      <c r="Q471" s="16">
        <v>2021</v>
      </c>
      <c r="R471" s="16">
        <v>1999</v>
      </c>
      <c r="S471" s="16">
        <v>2017</v>
      </c>
      <c r="T471" s="16">
        <v>2016</v>
      </c>
      <c r="U471" s="15">
        <v>2014.8</v>
      </c>
      <c r="V471" t="s">
        <v>19</v>
      </c>
      <c r="W471" t="s">
        <v>19</v>
      </c>
      <c r="X471">
        <v>120</v>
      </c>
      <c r="Y471" s="16">
        <f>VLOOKUP(Tabela1[[#This Row],[SKU]],SKU!A:D,4,0)</f>
        <v>2000</v>
      </c>
      <c r="Z471" s="18">
        <f>IFERROR((Tabela1[[#This Row],[Média]]-Tabela1[[#This Row],[Meta]])/Tabela1[[#This Row],[Meta]],"")</f>
        <v>7.3999999999999769E-3</v>
      </c>
      <c r="AA471" s="22">
        <f>Tabela1[[#This Row],[Média]]-Tabela1[[#This Row],[Meta]]</f>
        <v>14.799999999999955</v>
      </c>
      <c r="AB471" s="6" t="str">
        <f>VLOOKUP(Tabela1[[#This Row],[SKU]],SKU!A:B,2,0)</f>
        <v>COXA SBCX S/O FG 280-300g PB</v>
      </c>
      <c r="AC471" s="6" t="str">
        <f>VLOOKUP(Tabela1[[#This Row],[SKU]],SKU!A:C,3,0)</f>
        <v>PERNA</v>
      </c>
    </row>
    <row r="472" spans="1:29" x14ac:dyDescent="0.3">
      <c r="A472" s="2">
        <f>INT(Tabela1[[#This Row],[Data e Hora2]])</f>
        <v>46268</v>
      </c>
      <c r="B472" s="6" t="str">
        <f>UPPER(TEXT(Tabela1[[#This Row],[Data Corrigida]],"MMM"))</f>
        <v>SET</v>
      </c>
      <c r="C472" t="s">
        <v>1278</v>
      </c>
      <c r="D472" s="2" t="s">
        <v>1279</v>
      </c>
      <c r="E472" s="1" t="s">
        <v>1271</v>
      </c>
      <c r="F472" t="s">
        <v>24</v>
      </c>
      <c r="G472" s="2" t="s">
        <v>1130</v>
      </c>
      <c r="H472" t="s">
        <v>26</v>
      </c>
      <c r="I472" t="s">
        <v>27</v>
      </c>
      <c r="J472" s="6">
        <v>42854</v>
      </c>
      <c r="K472" s="16">
        <v>2119</v>
      </c>
      <c r="L472" s="16">
        <v>2073</v>
      </c>
      <c r="M472" s="16">
        <v>2102</v>
      </c>
      <c r="N472" s="16">
        <v>2093</v>
      </c>
      <c r="O472" s="16">
        <v>2126</v>
      </c>
      <c r="P472" s="16">
        <v>2073</v>
      </c>
      <c r="Q472" s="16">
        <v>2093</v>
      </c>
      <c r="R472" s="16">
        <v>2081</v>
      </c>
      <c r="S472" s="16">
        <v>2104</v>
      </c>
      <c r="T472" s="16">
        <v>2106</v>
      </c>
      <c r="U472" s="15">
        <v>2097</v>
      </c>
      <c r="V472" t="s">
        <v>19</v>
      </c>
      <c r="W472" t="s">
        <v>28</v>
      </c>
      <c r="X472">
        <v>134</v>
      </c>
      <c r="Y472" s="16">
        <f>VLOOKUP(Tabela1[[#This Row],[SKU]],SKU!A:D,4,0)</f>
        <v>2080</v>
      </c>
      <c r="Z472" s="18">
        <f>IFERROR((Tabela1[[#This Row],[Média]]-Tabela1[[#This Row],[Meta]])/Tabela1[[#This Row],[Meta]],"")</f>
        <v>8.1730769230769235E-3</v>
      </c>
      <c r="AA472" s="22">
        <f>Tabela1[[#This Row],[Média]]-Tabela1[[#This Row],[Meta]]</f>
        <v>17</v>
      </c>
      <c r="AB472" s="6" t="str">
        <f>VLOOKUP(Tabela1[[#This Row],[SKU]],SKU!A:B,2,0)</f>
        <v>COXA SBCX S/O FG 260-280g PB</v>
      </c>
      <c r="AC472" s="6" t="str">
        <f>VLOOKUP(Tabela1[[#This Row],[SKU]],SKU!A:C,3,0)</f>
        <v>PERNA</v>
      </c>
    </row>
    <row r="473" spans="1:29" x14ac:dyDescent="0.3">
      <c r="A473" s="2">
        <f>INT(Tabela1[[#This Row],[Data e Hora2]])</f>
        <v>46268</v>
      </c>
      <c r="B473" s="6" t="str">
        <f>UPPER(TEXT(Tabela1[[#This Row],[Data Corrigida]],"MMM"))</f>
        <v>SET</v>
      </c>
      <c r="C473" t="s">
        <v>1280</v>
      </c>
      <c r="D473" s="2" t="s">
        <v>1281</v>
      </c>
      <c r="E473" s="1" t="s">
        <v>1271</v>
      </c>
      <c r="F473" t="s">
        <v>24</v>
      </c>
      <c r="G473" s="2" t="s">
        <v>1130</v>
      </c>
      <c r="H473" t="s">
        <v>26</v>
      </c>
      <c r="I473" t="s">
        <v>27</v>
      </c>
      <c r="J473" s="6">
        <v>42862</v>
      </c>
      <c r="K473" s="16">
        <v>2008</v>
      </c>
      <c r="L473" s="16">
        <v>2013</v>
      </c>
      <c r="M473" s="16">
        <v>2010</v>
      </c>
      <c r="N473" s="16">
        <v>2025</v>
      </c>
      <c r="O473" s="16">
        <v>2010</v>
      </c>
      <c r="P473" s="16">
        <v>2027</v>
      </c>
      <c r="Q473" s="16">
        <v>2031</v>
      </c>
      <c r="R473" s="16">
        <v>2008</v>
      </c>
      <c r="S473" s="16">
        <v>2003</v>
      </c>
      <c r="T473" s="16">
        <v>1999</v>
      </c>
      <c r="U473" s="15">
        <v>2013.4</v>
      </c>
      <c r="V473" t="s">
        <v>19</v>
      </c>
      <c r="W473" t="s">
        <v>19</v>
      </c>
      <c r="X473">
        <v>131</v>
      </c>
      <c r="Y473" s="16">
        <f>VLOOKUP(Tabela1[[#This Row],[SKU]],SKU!A:D,4,0)</f>
        <v>2000</v>
      </c>
      <c r="Z473" s="18">
        <f>IFERROR((Tabela1[[#This Row],[Média]]-Tabela1[[#This Row],[Meta]])/Tabela1[[#This Row],[Meta]],"")</f>
        <v>6.7000000000000453E-3</v>
      </c>
      <c r="AA473" s="22">
        <f>Tabela1[[#This Row],[Média]]-Tabela1[[#This Row],[Meta]]</f>
        <v>13.400000000000091</v>
      </c>
      <c r="AB473" s="6" t="str">
        <f>VLOOKUP(Tabela1[[#This Row],[SKU]],SKU!A:B,2,0)</f>
        <v>COXA SBCX S/O FG 280-300g PB</v>
      </c>
      <c r="AC473" s="6" t="str">
        <f>VLOOKUP(Tabela1[[#This Row],[SKU]],SKU!A:C,3,0)</f>
        <v>PERNA</v>
      </c>
    </row>
    <row r="474" spans="1:29" x14ac:dyDescent="0.3">
      <c r="A474" s="2">
        <f>INT(Tabela1[[#This Row],[Data e Hora2]])</f>
        <v>46268</v>
      </c>
      <c r="B474" s="6" t="str">
        <f>UPPER(TEXT(Tabela1[[#This Row],[Data Corrigida]],"MMM"))</f>
        <v>SET</v>
      </c>
      <c r="C474" t="s">
        <v>1282</v>
      </c>
      <c r="D474" s="2" t="s">
        <v>1283</v>
      </c>
      <c r="E474" s="1" t="s">
        <v>1271</v>
      </c>
      <c r="F474" t="s">
        <v>24</v>
      </c>
      <c r="G474" s="2" t="s">
        <v>1130</v>
      </c>
      <c r="H474" t="s">
        <v>26</v>
      </c>
      <c r="I474" t="s">
        <v>27</v>
      </c>
      <c r="J474" s="6">
        <v>42846</v>
      </c>
      <c r="K474" s="16">
        <v>2014</v>
      </c>
      <c r="L474" s="16">
        <v>1996</v>
      </c>
      <c r="M474" s="16">
        <v>2011</v>
      </c>
      <c r="N474" s="16">
        <v>2008</v>
      </c>
      <c r="O474" s="16">
        <v>2000</v>
      </c>
      <c r="P474" s="16">
        <v>2006</v>
      </c>
      <c r="Q474" s="16">
        <v>2031</v>
      </c>
      <c r="R474" s="16">
        <v>2013</v>
      </c>
      <c r="S474" s="16">
        <v>2010</v>
      </c>
      <c r="T474" s="16">
        <v>2008</v>
      </c>
      <c r="U474" s="15">
        <v>2009.7</v>
      </c>
      <c r="V474" t="s">
        <v>19</v>
      </c>
      <c r="W474" t="s">
        <v>28</v>
      </c>
      <c r="X474">
        <v>137</v>
      </c>
      <c r="Y474" s="16">
        <f>VLOOKUP(Tabela1[[#This Row],[SKU]],SKU!A:D,4,0)</f>
        <v>2000</v>
      </c>
      <c r="Z474" s="18">
        <f>IFERROR((Tabela1[[#This Row],[Média]]-Tabela1[[#This Row],[Meta]])/Tabela1[[#This Row],[Meta]],"")</f>
        <v>4.8500000000000227E-3</v>
      </c>
      <c r="AA474" s="22">
        <f>Tabela1[[#This Row],[Média]]-Tabela1[[#This Row],[Meta]]</f>
        <v>9.7000000000000455</v>
      </c>
      <c r="AB474" s="6" t="str">
        <f>VLOOKUP(Tabela1[[#This Row],[SKU]],SKU!A:B,2,0)</f>
        <v>COXA SBCX S/O FG 240-260g PB</v>
      </c>
      <c r="AC474" s="6" t="str">
        <f>VLOOKUP(Tabela1[[#This Row],[SKU]],SKU!A:C,3,0)</f>
        <v>PERNA</v>
      </c>
    </row>
    <row r="475" spans="1:29" x14ac:dyDescent="0.3">
      <c r="A475" s="2">
        <f>INT(Tabela1[[#This Row],[Data e Hora2]])</f>
        <v>46268</v>
      </c>
      <c r="B475" s="6" t="str">
        <f>UPPER(TEXT(Tabela1[[#This Row],[Data Corrigida]],"MMM"))</f>
        <v>SET</v>
      </c>
      <c r="C475" t="s">
        <v>1284</v>
      </c>
      <c r="D475" s="2" t="s">
        <v>1285</v>
      </c>
      <c r="E475" s="1" t="s">
        <v>1286</v>
      </c>
      <c r="F475" t="s">
        <v>24</v>
      </c>
      <c r="G475" s="2" t="s">
        <v>1130</v>
      </c>
      <c r="H475" t="s">
        <v>26</v>
      </c>
      <c r="I475" t="s">
        <v>57</v>
      </c>
      <c r="J475" s="6">
        <v>15105</v>
      </c>
      <c r="K475" s="16">
        <v>1024</v>
      </c>
      <c r="L475" s="16">
        <v>1013</v>
      </c>
      <c r="M475" s="16">
        <v>1042</v>
      </c>
      <c r="N475" s="16">
        <v>1004</v>
      </c>
      <c r="O475" s="16">
        <v>1020</v>
      </c>
      <c r="P475" s="16">
        <v>1007</v>
      </c>
      <c r="Q475" s="16">
        <v>1016</v>
      </c>
      <c r="R475" s="16">
        <v>1017</v>
      </c>
      <c r="S475" s="16">
        <v>1022</v>
      </c>
      <c r="T475" s="16">
        <v>1014</v>
      </c>
      <c r="U475" s="15">
        <v>1017.9</v>
      </c>
      <c r="V475" t="s">
        <v>19</v>
      </c>
      <c r="W475" t="s">
        <v>28</v>
      </c>
      <c r="X475">
        <v>194</v>
      </c>
      <c r="Y475" s="16">
        <f>VLOOKUP(Tabela1[[#This Row],[SKU]],SKU!A:D,4,0)</f>
        <v>1000</v>
      </c>
      <c r="Z475" s="18">
        <f>IFERROR((Tabela1[[#This Row],[Média]]-Tabela1[[#This Row],[Meta]])/Tabela1[[#This Row],[Meta]],"")</f>
        <v>1.7899999999999978E-2</v>
      </c>
      <c r="AA475" s="22">
        <f>Tabela1[[#This Row],[Média]]-Tabela1[[#This Row],[Meta]]</f>
        <v>17.899999999999977</v>
      </c>
      <c r="AB475" s="6" t="str">
        <f>VLOOKUP(Tabela1[[#This Row],[SKU]],SKU!A:B,2,0)</f>
        <v>FILE PEITO MET CG BDJ SE</v>
      </c>
      <c r="AC475" s="6" t="str">
        <f>VLOOKUP(Tabela1[[#This Row],[SKU]],SKU!A:C,3,0)</f>
        <v>PEITO</v>
      </c>
    </row>
    <row r="476" spans="1:29" x14ac:dyDescent="0.3">
      <c r="A476" s="2">
        <f>INT(Tabela1[[#This Row],[Data e Hora2]])</f>
        <v>46268</v>
      </c>
      <c r="B476" s="6" t="str">
        <f>UPPER(TEXT(Tabela1[[#This Row],[Data Corrigida]],"MMM"))</f>
        <v>SET</v>
      </c>
      <c r="C476" t="s">
        <v>1287</v>
      </c>
      <c r="D476" s="2" t="s">
        <v>1288</v>
      </c>
      <c r="E476" s="1" t="s">
        <v>1286</v>
      </c>
      <c r="F476" t="s">
        <v>24</v>
      </c>
      <c r="G476" s="2" t="s">
        <v>1130</v>
      </c>
      <c r="H476" t="s">
        <v>26</v>
      </c>
      <c r="I476" t="s">
        <v>57</v>
      </c>
      <c r="J476" s="6">
        <v>15105</v>
      </c>
      <c r="K476" s="16">
        <v>1042</v>
      </c>
      <c r="L476" s="16">
        <v>1007</v>
      </c>
      <c r="M476" s="16">
        <v>992</v>
      </c>
      <c r="N476" s="16">
        <v>1009</v>
      </c>
      <c r="O476" s="16">
        <v>999</v>
      </c>
      <c r="P476" s="16">
        <v>1074</v>
      </c>
      <c r="Q476" s="16">
        <v>1047</v>
      </c>
      <c r="R476" s="16">
        <v>991</v>
      </c>
      <c r="S476" s="16">
        <v>982</v>
      </c>
      <c r="T476" s="16">
        <v>1008</v>
      </c>
      <c r="U476" s="15">
        <v>1015.1</v>
      </c>
      <c r="V476" t="s">
        <v>19</v>
      </c>
      <c r="W476" t="s">
        <v>19</v>
      </c>
      <c r="X476">
        <v>165</v>
      </c>
      <c r="Y476" s="16">
        <f>VLOOKUP(Tabela1[[#This Row],[SKU]],SKU!A:D,4,0)</f>
        <v>1000</v>
      </c>
      <c r="Z476" s="18">
        <f>IFERROR((Tabela1[[#This Row],[Média]]-Tabela1[[#This Row],[Meta]])/Tabela1[[#This Row],[Meta]],"")</f>
        <v>1.5100000000000023E-2</v>
      </c>
      <c r="AA476" s="22">
        <f>Tabela1[[#This Row],[Média]]-Tabela1[[#This Row],[Meta]]</f>
        <v>15.100000000000023</v>
      </c>
      <c r="AB476" s="6" t="str">
        <f>VLOOKUP(Tabela1[[#This Row],[SKU]],SKU!A:B,2,0)</f>
        <v>FILE PEITO MET CG BDJ SE</v>
      </c>
      <c r="AC476" s="6" t="str">
        <f>VLOOKUP(Tabela1[[#This Row],[SKU]],SKU!A:C,3,0)</f>
        <v>PEITO</v>
      </c>
    </row>
    <row r="477" spans="1:29" x14ac:dyDescent="0.3">
      <c r="A477" s="2">
        <f>INT(Tabela1[[#This Row],[Data e Hora2]])</f>
        <v>46268</v>
      </c>
      <c r="B477" s="6" t="str">
        <f>UPPER(TEXT(Tabela1[[#This Row],[Data Corrigida]],"MMM"))</f>
        <v>SET</v>
      </c>
      <c r="C477" t="s">
        <v>1289</v>
      </c>
      <c r="D477" s="2" t="s">
        <v>1290</v>
      </c>
      <c r="E477" s="1" t="s">
        <v>1291</v>
      </c>
      <c r="F477" t="s">
        <v>24</v>
      </c>
      <c r="G477" s="2" t="s">
        <v>1130</v>
      </c>
      <c r="H477" t="s">
        <v>26</v>
      </c>
      <c r="I477" t="s">
        <v>57</v>
      </c>
      <c r="J477" s="6">
        <v>197734</v>
      </c>
      <c r="K477" s="16">
        <v>1025</v>
      </c>
      <c r="L477" s="16">
        <v>991</v>
      </c>
      <c r="M477" s="16">
        <v>999</v>
      </c>
      <c r="N477" s="16">
        <v>1000</v>
      </c>
      <c r="O477" s="16">
        <v>1001</v>
      </c>
      <c r="P477" s="16">
        <v>1000</v>
      </c>
      <c r="Q477" s="16">
        <v>1088</v>
      </c>
      <c r="R477" s="16">
        <v>1047</v>
      </c>
      <c r="S477" s="16">
        <v>1000</v>
      </c>
      <c r="T477" s="16">
        <v>994</v>
      </c>
      <c r="U477" s="15">
        <v>1014.5</v>
      </c>
      <c r="V477" t="s">
        <v>19</v>
      </c>
      <c r="W477" t="s">
        <v>28</v>
      </c>
      <c r="X477">
        <v>150</v>
      </c>
      <c r="Y477" s="16">
        <f>VLOOKUP(Tabela1[[#This Row],[SKU]],SKU!A:D,4,0)</f>
        <v>1000</v>
      </c>
      <c r="Z477" s="18">
        <f>IFERROR((Tabela1[[#This Row],[Média]]-Tabela1[[#This Row],[Meta]])/Tabela1[[#This Row],[Meta]],"")</f>
        <v>1.4500000000000001E-2</v>
      </c>
      <c r="AA477" s="22">
        <f>Tabela1[[#This Row],[Média]]-Tabela1[[#This Row],[Meta]]</f>
        <v>14.5</v>
      </c>
      <c r="AB477" s="6" t="str">
        <f>VLOOKUP(Tabela1[[#This Row],[SKU]],SKU!A:B,2,0)</f>
        <v>FILEZINHO FRANGO IQF ALM SE</v>
      </c>
      <c r="AC477" s="6" t="str">
        <f>VLOOKUP(Tabela1[[#This Row],[SKU]],SKU!A:C,3,0)</f>
        <v>SASSAMI</v>
      </c>
    </row>
    <row r="478" spans="1:29" x14ac:dyDescent="0.3">
      <c r="A478" s="2">
        <f>INT(Tabela1[[#This Row],[Data e Hora2]])</f>
        <v>46268</v>
      </c>
      <c r="B478" s="6" t="str">
        <f>UPPER(TEXT(Tabela1[[#This Row],[Data Corrigida]],"MMM"))</f>
        <v>SET</v>
      </c>
      <c r="C478" t="s">
        <v>1292</v>
      </c>
      <c r="D478" s="2" t="s">
        <v>1293</v>
      </c>
      <c r="E478" s="1" t="s">
        <v>1294</v>
      </c>
      <c r="F478" t="s">
        <v>24</v>
      </c>
      <c r="G478" s="2" t="s">
        <v>1130</v>
      </c>
      <c r="H478" t="s">
        <v>26</v>
      </c>
      <c r="I478" t="s">
        <v>57</v>
      </c>
      <c r="J478" s="6">
        <v>197734</v>
      </c>
      <c r="K478" s="16">
        <v>1012</v>
      </c>
      <c r="L478" s="16">
        <v>1001</v>
      </c>
      <c r="M478" s="16">
        <v>1021</v>
      </c>
      <c r="N478" s="16">
        <v>1005</v>
      </c>
      <c r="O478" s="16">
        <v>1046</v>
      </c>
      <c r="P478" s="16">
        <v>1036</v>
      </c>
      <c r="Q478" s="16">
        <v>997</v>
      </c>
      <c r="R478" s="16">
        <v>953</v>
      </c>
      <c r="S478" s="16">
        <v>1024</v>
      </c>
      <c r="T478" s="16">
        <v>1006</v>
      </c>
      <c r="U478" s="15">
        <v>1010.1</v>
      </c>
      <c r="V478" t="s">
        <v>19</v>
      </c>
      <c r="W478" t="s">
        <v>28</v>
      </c>
      <c r="X478">
        <v>219</v>
      </c>
      <c r="Y478" s="16">
        <f>VLOOKUP(Tabela1[[#This Row],[SKU]],SKU!A:D,4,0)</f>
        <v>1000</v>
      </c>
      <c r="Z478" s="18">
        <f>IFERROR((Tabela1[[#This Row],[Média]]-Tabela1[[#This Row],[Meta]])/Tabela1[[#This Row],[Meta]],"")</f>
        <v>1.0100000000000022E-2</v>
      </c>
      <c r="AA478" s="22">
        <f>Tabela1[[#This Row],[Média]]-Tabela1[[#This Row],[Meta]]</f>
        <v>10.100000000000023</v>
      </c>
      <c r="AB478" s="6" t="str">
        <f>VLOOKUP(Tabela1[[#This Row],[SKU]],SKU!A:B,2,0)</f>
        <v>FILEZINHO FRANGO IQF ALM SE</v>
      </c>
      <c r="AC478" s="6" t="str">
        <f>VLOOKUP(Tabela1[[#This Row],[SKU]],SKU!A:C,3,0)</f>
        <v>SASSAMI</v>
      </c>
    </row>
    <row r="479" spans="1:29" x14ac:dyDescent="0.3">
      <c r="A479" s="2">
        <f>INT(Tabela1[[#This Row],[Data e Hora2]])</f>
        <v>46268</v>
      </c>
      <c r="B479" s="6" t="str">
        <f>UPPER(TEXT(Tabela1[[#This Row],[Data Corrigida]],"MMM"))</f>
        <v>SET</v>
      </c>
      <c r="C479" t="s">
        <v>1295</v>
      </c>
      <c r="D479" s="2" t="s">
        <v>1296</v>
      </c>
      <c r="E479" s="1" t="s">
        <v>1297</v>
      </c>
      <c r="F479" t="s">
        <v>24</v>
      </c>
      <c r="G479" s="2" t="s">
        <v>1130</v>
      </c>
      <c r="H479" t="s">
        <v>26</v>
      </c>
      <c r="I479" t="s">
        <v>57</v>
      </c>
      <c r="J479" s="6">
        <v>15229</v>
      </c>
      <c r="K479" s="16">
        <v>992</v>
      </c>
      <c r="L479" s="16">
        <v>1010</v>
      </c>
      <c r="M479" s="16">
        <v>995</v>
      </c>
      <c r="N479" s="16">
        <v>1010</v>
      </c>
      <c r="O479" s="16">
        <v>994</v>
      </c>
      <c r="P479" s="16">
        <v>997</v>
      </c>
      <c r="Q479" s="16" t="s">
        <v>19</v>
      </c>
      <c r="R479" s="16">
        <v>1007</v>
      </c>
      <c r="S479" s="16">
        <v>996</v>
      </c>
      <c r="T479" s="16">
        <v>1011</v>
      </c>
      <c r="U479" s="15">
        <v>1001</v>
      </c>
      <c r="V479" t="s">
        <v>19</v>
      </c>
      <c r="W479" t="s">
        <v>28</v>
      </c>
      <c r="X479">
        <v>152</v>
      </c>
      <c r="Y479" s="16">
        <f>VLOOKUP(Tabela1[[#This Row],[SKU]],SKU!A:D,4,0)</f>
        <v>1000</v>
      </c>
      <c r="Z479" s="18">
        <f>IFERROR((Tabela1[[#This Row],[Média]]-Tabela1[[#This Row],[Meta]])/Tabela1[[#This Row],[Meta]],"")</f>
        <v>1E-3</v>
      </c>
      <c r="AA479" s="22">
        <f>Tabela1[[#This Row],[Média]]-Tabela1[[#This Row],[Meta]]</f>
        <v>1</v>
      </c>
      <c r="AB479" s="6" t="str">
        <f>VLOOKUP(Tabela1[[#This Row],[SKU]],SKU!A:B,2,0)</f>
        <v>COXA CG BDJ SE</v>
      </c>
      <c r="AC479" s="6" t="str">
        <f>VLOOKUP(Tabela1[[#This Row],[SKU]],SKU!A:C,3,0)</f>
        <v>PERNA</v>
      </c>
    </row>
    <row r="480" spans="1:29" x14ac:dyDescent="0.3">
      <c r="A480" s="2">
        <f>INT(Tabela1[[#This Row],[Data e Hora2]])</f>
        <v>46268</v>
      </c>
      <c r="B480" s="6" t="str">
        <f>UPPER(TEXT(Tabela1[[#This Row],[Data Corrigida]],"MMM"))</f>
        <v>SET</v>
      </c>
      <c r="C480" t="s">
        <v>1298</v>
      </c>
      <c r="D480" s="2" t="s">
        <v>1299</v>
      </c>
      <c r="E480" s="1" t="s">
        <v>1297</v>
      </c>
      <c r="F480" t="s">
        <v>24</v>
      </c>
      <c r="G480" s="2" t="s">
        <v>1130</v>
      </c>
      <c r="H480" t="s">
        <v>26</v>
      </c>
      <c r="I480" t="s">
        <v>57</v>
      </c>
      <c r="J480" s="6">
        <v>15229</v>
      </c>
      <c r="K480" s="16">
        <v>991</v>
      </c>
      <c r="L480" s="16">
        <v>990</v>
      </c>
      <c r="M480" s="16">
        <v>1008</v>
      </c>
      <c r="N480" s="16">
        <v>1005</v>
      </c>
      <c r="O480" s="16">
        <v>1008</v>
      </c>
      <c r="P480" s="16">
        <v>991</v>
      </c>
      <c r="Q480" s="16">
        <v>1008</v>
      </c>
      <c r="R480" s="16">
        <v>1019</v>
      </c>
      <c r="S480" s="16">
        <v>1007</v>
      </c>
      <c r="T480" s="16">
        <v>1012</v>
      </c>
      <c r="U480" s="15">
        <v>1003.9</v>
      </c>
      <c r="V480" t="s">
        <v>19</v>
      </c>
      <c r="W480" t="s">
        <v>28</v>
      </c>
      <c r="X480">
        <v>215</v>
      </c>
      <c r="Y480" s="16">
        <f>VLOOKUP(Tabela1[[#This Row],[SKU]],SKU!A:D,4,0)</f>
        <v>1000</v>
      </c>
      <c r="Z480" s="18">
        <f>IFERROR((Tabela1[[#This Row],[Média]]-Tabela1[[#This Row],[Meta]])/Tabela1[[#This Row],[Meta]],"")</f>
        <v>3.8999999999999773E-3</v>
      </c>
      <c r="AA480" s="22">
        <f>Tabela1[[#This Row],[Média]]-Tabela1[[#This Row],[Meta]]</f>
        <v>3.8999999999999773</v>
      </c>
      <c r="AB480" s="6" t="str">
        <f>VLOOKUP(Tabela1[[#This Row],[SKU]],SKU!A:B,2,0)</f>
        <v>COXA CG BDJ SE</v>
      </c>
      <c r="AC480" s="6" t="str">
        <f>VLOOKUP(Tabela1[[#This Row],[SKU]],SKU!A:C,3,0)</f>
        <v>PERNA</v>
      </c>
    </row>
    <row r="481" spans="1:29" x14ac:dyDescent="0.3">
      <c r="A481" s="2">
        <f>INT(Tabela1[[#This Row],[Data e Hora2]])</f>
        <v>46268</v>
      </c>
      <c r="B481" s="6" t="str">
        <f>UPPER(TEXT(Tabela1[[#This Row],[Data Corrigida]],"MMM"))</f>
        <v>SET</v>
      </c>
      <c r="C481" t="s">
        <v>1300</v>
      </c>
      <c r="D481" s="2" t="s">
        <v>1301</v>
      </c>
      <c r="E481" s="1" t="s">
        <v>1297</v>
      </c>
      <c r="F481" t="s">
        <v>24</v>
      </c>
      <c r="G481" s="2" t="s">
        <v>1130</v>
      </c>
      <c r="H481" t="s">
        <v>26</v>
      </c>
      <c r="I481" t="s">
        <v>57</v>
      </c>
      <c r="J481" s="6">
        <v>13188</v>
      </c>
      <c r="K481" s="16">
        <v>1000</v>
      </c>
      <c r="L481" s="16">
        <v>1019</v>
      </c>
      <c r="M481" s="16">
        <v>1007</v>
      </c>
      <c r="N481" s="16">
        <v>1006</v>
      </c>
      <c r="O481" s="16">
        <v>1003</v>
      </c>
      <c r="P481" s="16">
        <v>1010</v>
      </c>
      <c r="Q481" s="16">
        <v>999</v>
      </c>
      <c r="R481" s="16">
        <v>1000</v>
      </c>
      <c r="S481" s="16">
        <v>998</v>
      </c>
      <c r="T481" s="16">
        <v>1004</v>
      </c>
      <c r="U481" s="15">
        <v>1004.6</v>
      </c>
      <c r="V481" t="s">
        <v>19</v>
      </c>
      <c r="W481" t="s">
        <v>28</v>
      </c>
      <c r="X481">
        <v>318</v>
      </c>
      <c r="Y481" s="16">
        <f>VLOOKUP(Tabela1[[#This Row],[SKU]],SKU!A:D,4,0)</f>
        <v>1000</v>
      </c>
      <c r="Z481" s="18">
        <f>IFERROR((Tabela1[[#This Row],[Média]]-Tabela1[[#This Row],[Meta]])/Tabela1[[#This Row],[Meta]],"")</f>
        <v>4.6000000000000225E-3</v>
      </c>
      <c r="AA481" s="22">
        <f>Tabela1[[#This Row],[Média]]-Tabela1[[#This Row],[Meta]]</f>
        <v>4.6000000000000227</v>
      </c>
      <c r="AB481" s="6" t="str">
        <f>VLOOKUP(Tabela1[[#This Row],[SKU]],SKU!A:B,2,0)</f>
        <v>SOBRECOXA CG BDJ SE</v>
      </c>
      <c r="AC481" s="6" t="str">
        <f>VLOOKUP(Tabela1[[#This Row],[SKU]],SKU!A:C,3,0)</f>
        <v>PERNA</v>
      </c>
    </row>
    <row r="482" spans="1:29" x14ac:dyDescent="0.3">
      <c r="A482" s="2">
        <f>INT(Tabela1[[#This Row],[Data e Hora2]])</f>
        <v>46268</v>
      </c>
      <c r="B482" s="6" t="str">
        <f>UPPER(TEXT(Tabela1[[#This Row],[Data Corrigida]],"MMM"))</f>
        <v>SET</v>
      </c>
      <c r="C482" t="s">
        <v>1302</v>
      </c>
      <c r="D482" s="2" t="s">
        <v>1303</v>
      </c>
      <c r="E482" s="1" t="s">
        <v>1297</v>
      </c>
      <c r="F482" t="s">
        <v>24</v>
      </c>
      <c r="G482" s="2" t="s">
        <v>1130</v>
      </c>
      <c r="H482" t="s">
        <v>26</v>
      </c>
      <c r="I482" t="s">
        <v>57</v>
      </c>
      <c r="J482" s="6">
        <v>13188</v>
      </c>
      <c r="K482" s="16">
        <v>1007</v>
      </c>
      <c r="L482" s="16">
        <v>995</v>
      </c>
      <c r="M482" s="16">
        <v>1006</v>
      </c>
      <c r="N482" s="16">
        <v>1008</v>
      </c>
      <c r="O482" s="16">
        <v>1001</v>
      </c>
      <c r="P482" s="16">
        <v>1004</v>
      </c>
      <c r="Q482" s="16">
        <v>1012</v>
      </c>
      <c r="R482" s="16">
        <v>1006</v>
      </c>
      <c r="S482" s="16">
        <v>1012</v>
      </c>
      <c r="T482" s="16">
        <v>1009</v>
      </c>
      <c r="U482" s="15">
        <v>1006</v>
      </c>
      <c r="V482" t="s">
        <v>19</v>
      </c>
      <c r="W482" t="s">
        <v>28</v>
      </c>
      <c r="X482">
        <v>485</v>
      </c>
      <c r="Y482" s="16">
        <f>VLOOKUP(Tabela1[[#This Row],[SKU]],SKU!A:D,4,0)</f>
        <v>1000</v>
      </c>
      <c r="Z482" s="18">
        <f>IFERROR((Tabela1[[#This Row],[Média]]-Tabela1[[#This Row],[Meta]])/Tabela1[[#This Row],[Meta]],"")</f>
        <v>6.0000000000000001E-3</v>
      </c>
      <c r="AA482" s="22">
        <f>Tabela1[[#This Row],[Média]]-Tabela1[[#This Row],[Meta]]</f>
        <v>6</v>
      </c>
      <c r="AB482" s="6" t="str">
        <f>VLOOKUP(Tabela1[[#This Row],[SKU]],SKU!A:B,2,0)</f>
        <v>SOBRECOXA CG BDJ SE</v>
      </c>
      <c r="AC482" s="6" t="str">
        <f>VLOOKUP(Tabela1[[#This Row],[SKU]],SKU!A:C,3,0)</f>
        <v>PERNA</v>
      </c>
    </row>
    <row r="483" spans="1:29" x14ac:dyDescent="0.3">
      <c r="A483" s="2">
        <f>INT(Tabela1[[#This Row],[Data e Hora2]])</f>
        <v>46268</v>
      </c>
      <c r="B483" s="6" t="str">
        <f>UPPER(TEXT(Tabela1[[#This Row],[Data Corrigida]],"MMM"))</f>
        <v>SET</v>
      </c>
      <c r="C483" t="s">
        <v>1304</v>
      </c>
      <c r="D483" s="2" t="s">
        <v>1305</v>
      </c>
      <c r="E483" s="1" t="s">
        <v>1297</v>
      </c>
      <c r="F483" t="s">
        <v>24</v>
      </c>
      <c r="G483" s="2" t="s">
        <v>1130</v>
      </c>
      <c r="H483" t="s">
        <v>26</v>
      </c>
      <c r="I483" t="s">
        <v>57</v>
      </c>
      <c r="J483" s="6">
        <v>15105</v>
      </c>
      <c r="K483" s="16">
        <v>1034</v>
      </c>
      <c r="L483" s="16">
        <v>988</v>
      </c>
      <c r="M483" s="16">
        <v>1025</v>
      </c>
      <c r="N483" s="16">
        <v>933</v>
      </c>
      <c r="O483" s="16">
        <v>1051</v>
      </c>
      <c r="P483" s="16">
        <v>1020</v>
      </c>
      <c r="Q483" s="16">
        <v>992</v>
      </c>
      <c r="R483" s="16">
        <v>1023</v>
      </c>
      <c r="S483" s="16">
        <v>1048</v>
      </c>
      <c r="T483" s="16">
        <v>1023</v>
      </c>
      <c r="U483" s="15">
        <v>1013.7</v>
      </c>
      <c r="V483" t="s">
        <v>19</v>
      </c>
      <c r="W483" t="s">
        <v>28</v>
      </c>
      <c r="X483">
        <v>283</v>
      </c>
      <c r="Y483" s="16">
        <f>VLOOKUP(Tabela1[[#This Row],[SKU]],SKU!A:D,4,0)</f>
        <v>1000</v>
      </c>
      <c r="Z483" s="18">
        <f>IFERROR((Tabela1[[#This Row],[Média]]-Tabela1[[#This Row],[Meta]])/Tabela1[[#This Row],[Meta]],"")</f>
        <v>1.3700000000000045E-2</v>
      </c>
      <c r="AA483" s="22">
        <f>Tabela1[[#This Row],[Média]]-Tabela1[[#This Row],[Meta]]</f>
        <v>13.700000000000045</v>
      </c>
      <c r="AB483" s="6" t="str">
        <f>VLOOKUP(Tabela1[[#This Row],[SKU]],SKU!A:B,2,0)</f>
        <v>FILE PEITO MET CG BDJ SE</v>
      </c>
      <c r="AC483" s="6" t="str">
        <f>VLOOKUP(Tabela1[[#This Row],[SKU]],SKU!A:C,3,0)</f>
        <v>PEITO</v>
      </c>
    </row>
    <row r="484" spans="1:29" x14ac:dyDescent="0.3">
      <c r="A484" s="2">
        <f>INT(Tabela1[[#This Row],[Data e Hora2]])</f>
        <v>46268</v>
      </c>
      <c r="B484" s="6" t="str">
        <f>UPPER(TEXT(Tabela1[[#This Row],[Data Corrigida]],"MMM"))</f>
        <v>SET</v>
      </c>
      <c r="C484" t="s">
        <v>1306</v>
      </c>
      <c r="D484" s="2" t="s">
        <v>1307</v>
      </c>
      <c r="E484" s="1" t="s">
        <v>1297</v>
      </c>
      <c r="F484" t="s">
        <v>24</v>
      </c>
      <c r="G484" s="2" t="s">
        <v>1130</v>
      </c>
      <c r="H484" t="s">
        <v>26</v>
      </c>
      <c r="I484" t="s">
        <v>57</v>
      </c>
      <c r="J484" s="6">
        <v>15105</v>
      </c>
      <c r="K484" s="16">
        <v>1041</v>
      </c>
      <c r="L484" s="16">
        <v>997</v>
      </c>
      <c r="M484" s="16">
        <v>998</v>
      </c>
      <c r="N484" s="16">
        <v>813</v>
      </c>
      <c r="O484" s="16">
        <v>1033</v>
      </c>
      <c r="P484" s="16">
        <v>1030</v>
      </c>
      <c r="Q484" s="16">
        <v>1007</v>
      </c>
      <c r="R484" s="16">
        <v>991</v>
      </c>
      <c r="S484" s="16">
        <v>1000</v>
      </c>
      <c r="T484" s="16">
        <v>1014</v>
      </c>
      <c r="U484" s="15">
        <v>992.4</v>
      </c>
      <c r="V484" t="s">
        <v>19</v>
      </c>
      <c r="W484" t="s">
        <v>28</v>
      </c>
      <c r="X484">
        <v>428</v>
      </c>
      <c r="Y484" s="16">
        <f>VLOOKUP(Tabela1[[#This Row],[SKU]],SKU!A:D,4,0)</f>
        <v>1000</v>
      </c>
      <c r="Z484" s="18">
        <f>IFERROR((Tabela1[[#This Row],[Média]]-Tabela1[[#This Row],[Meta]])/Tabela1[[#This Row],[Meta]],"")</f>
        <v>-7.6000000000000225E-3</v>
      </c>
      <c r="AA484" s="22">
        <f>Tabela1[[#This Row],[Média]]-Tabela1[[#This Row],[Meta]]</f>
        <v>-7.6000000000000227</v>
      </c>
      <c r="AB484" s="6" t="str">
        <f>VLOOKUP(Tabela1[[#This Row],[SKU]],SKU!A:B,2,0)</f>
        <v>FILE PEITO MET CG BDJ SE</v>
      </c>
      <c r="AC484" s="6" t="str">
        <f>VLOOKUP(Tabela1[[#This Row],[SKU]],SKU!A:C,3,0)</f>
        <v>PEITO</v>
      </c>
    </row>
    <row r="485" spans="1:29" x14ac:dyDescent="0.3">
      <c r="A485" s="2">
        <f>INT(Tabela1[[#This Row],[Data e Hora2]])</f>
        <v>46268</v>
      </c>
      <c r="B485" s="6" t="str">
        <f>UPPER(TEXT(Tabela1[[#This Row],[Data Corrigida]],"MMM"))</f>
        <v>SET</v>
      </c>
      <c r="C485" t="s">
        <v>1308</v>
      </c>
      <c r="D485" s="2" t="s">
        <v>1309</v>
      </c>
      <c r="E485" s="1" t="s">
        <v>1297</v>
      </c>
      <c r="F485" t="s">
        <v>24</v>
      </c>
      <c r="G485" s="2" t="s">
        <v>1130</v>
      </c>
      <c r="H485" t="s">
        <v>26</v>
      </c>
      <c r="I485" t="s">
        <v>57</v>
      </c>
      <c r="J485" s="6">
        <v>40762</v>
      </c>
      <c r="K485" s="16">
        <v>10060</v>
      </c>
      <c r="L485" s="16">
        <v>10010</v>
      </c>
      <c r="M485" s="16">
        <v>10005</v>
      </c>
      <c r="N485" s="16">
        <v>10080</v>
      </c>
      <c r="O485" s="16">
        <v>9995</v>
      </c>
      <c r="P485" s="16">
        <v>10045</v>
      </c>
      <c r="Q485" s="16">
        <v>10035</v>
      </c>
      <c r="R485" s="16">
        <v>9990</v>
      </c>
      <c r="S485" s="16">
        <v>10025</v>
      </c>
      <c r="T485" s="16">
        <v>10050</v>
      </c>
      <c r="U485" s="15">
        <v>10029.5</v>
      </c>
      <c r="V485" t="s">
        <v>19</v>
      </c>
      <c r="W485" t="s">
        <v>28</v>
      </c>
      <c r="X485">
        <v>973</v>
      </c>
      <c r="Y485" s="16">
        <f>VLOOKUP(Tabela1[[#This Row],[SKU]],SKU!A:D,4,0)</f>
        <v>10000</v>
      </c>
      <c r="Z485" s="18">
        <f>IFERROR((Tabela1[[#This Row],[Média]]-Tabela1[[#This Row],[Meta]])/Tabela1[[#This Row],[Meta]],"")</f>
        <v>2.9499999999999999E-3</v>
      </c>
      <c r="AA485" s="22">
        <f>Tabela1[[#This Row],[Média]]-Tabela1[[#This Row],[Meta]]</f>
        <v>29.5</v>
      </c>
      <c r="AB485" s="6" t="str">
        <f>VLOOKUP(Tabela1[[#This Row],[SKU]],SKU!A:B,2,0)</f>
        <v>COXA SBCX LQ FG LP</v>
      </c>
      <c r="AC485" s="6" t="str">
        <f>VLOOKUP(Tabela1[[#This Row],[SKU]],SKU!A:C,3,0)</f>
        <v>PERNA</v>
      </c>
    </row>
    <row r="486" spans="1:29" x14ac:dyDescent="0.3">
      <c r="A486" s="2">
        <f>INT(Tabela1[[#This Row],[Data e Hora2]])</f>
        <v>46268</v>
      </c>
      <c r="B486" s="6" t="str">
        <f>UPPER(TEXT(Tabela1[[#This Row],[Data Corrigida]],"MMM"))</f>
        <v>SET</v>
      </c>
      <c r="C486" t="s">
        <v>1310</v>
      </c>
      <c r="D486" s="2" t="s">
        <v>1311</v>
      </c>
      <c r="E486" s="1" t="s">
        <v>1297</v>
      </c>
      <c r="F486" t="s">
        <v>24</v>
      </c>
      <c r="G486" s="2" t="s">
        <v>1130</v>
      </c>
      <c r="H486" t="s">
        <v>26</v>
      </c>
      <c r="I486" t="s">
        <v>57</v>
      </c>
      <c r="J486" s="6">
        <v>40762</v>
      </c>
      <c r="K486" s="16">
        <v>9980</v>
      </c>
      <c r="L486" s="16">
        <v>10055</v>
      </c>
      <c r="M486" s="16">
        <v>10025</v>
      </c>
      <c r="N486" s="16">
        <v>10085</v>
      </c>
      <c r="O486" s="16">
        <v>10000</v>
      </c>
      <c r="P486" s="16">
        <v>10070</v>
      </c>
      <c r="Q486" s="16">
        <v>10030</v>
      </c>
      <c r="R486" s="16">
        <v>10050</v>
      </c>
      <c r="S486" s="16">
        <v>9995</v>
      </c>
      <c r="T486" s="16">
        <v>10085</v>
      </c>
      <c r="U486" s="15">
        <v>10037.5</v>
      </c>
      <c r="V486" t="s">
        <v>19</v>
      </c>
      <c r="W486" t="s">
        <v>28</v>
      </c>
      <c r="X486">
        <v>1152</v>
      </c>
      <c r="Y486" s="16">
        <f>VLOOKUP(Tabela1[[#This Row],[SKU]],SKU!A:D,4,0)</f>
        <v>10000</v>
      </c>
      <c r="Z486" s="18">
        <f>IFERROR((Tabela1[[#This Row],[Média]]-Tabela1[[#This Row],[Meta]])/Tabela1[[#This Row],[Meta]],"")</f>
        <v>3.7499999999999999E-3</v>
      </c>
      <c r="AA486" s="22">
        <f>Tabela1[[#This Row],[Média]]-Tabela1[[#This Row],[Meta]]</f>
        <v>37.5</v>
      </c>
      <c r="AB486" s="6" t="str">
        <f>VLOOKUP(Tabela1[[#This Row],[SKU]],SKU!A:B,2,0)</f>
        <v>COXA SBCX LQ FG LP</v>
      </c>
      <c r="AC486" s="6" t="str">
        <f>VLOOKUP(Tabela1[[#This Row],[SKU]],SKU!A:C,3,0)</f>
        <v>PERNA</v>
      </c>
    </row>
    <row r="487" spans="1:29" x14ac:dyDescent="0.3">
      <c r="A487" s="2">
        <f>INT(Tabela1[[#This Row],[Data e Hora2]])</f>
        <v>46267</v>
      </c>
      <c r="B487" s="6" t="str">
        <f>UPPER(TEXT(Tabela1[[#This Row],[Data Corrigida]],"MMM"))</f>
        <v>SET</v>
      </c>
      <c r="C487" t="s">
        <v>1312</v>
      </c>
      <c r="D487" s="2" t="s">
        <v>1313</v>
      </c>
      <c r="E487" s="1" t="s">
        <v>1314</v>
      </c>
      <c r="F487" t="s">
        <v>24</v>
      </c>
      <c r="G487" s="2" t="s">
        <v>1152</v>
      </c>
      <c r="H487" t="s">
        <v>26</v>
      </c>
      <c r="I487" t="s">
        <v>27</v>
      </c>
      <c r="J487" s="6">
        <v>40762</v>
      </c>
      <c r="K487" s="16">
        <v>10050</v>
      </c>
      <c r="L487" s="16">
        <v>10060</v>
      </c>
      <c r="M487" s="16">
        <v>10050</v>
      </c>
      <c r="N487" s="16">
        <v>10020</v>
      </c>
      <c r="O487" s="16">
        <v>9980</v>
      </c>
      <c r="P487" s="16">
        <v>9985</v>
      </c>
      <c r="Q487" s="16">
        <v>10100</v>
      </c>
      <c r="R487" s="16">
        <v>10035</v>
      </c>
      <c r="S487" s="16">
        <v>10075</v>
      </c>
      <c r="T487" s="16">
        <v>10000</v>
      </c>
      <c r="U487" s="15">
        <v>10035.5</v>
      </c>
      <c r="V487" t="s">
        <v>19</v>
      </c>
      <c r="W487" t="s">
        <v>28</v>
      </c>
      <c r="X487">
        <v>4182</v>
      </c>
      <c r="Y487" s="16">
        <f>VLOOKUP(Tabela1[[#This Row],[SKU]],SKU!A:D,4,0)</f>
        <v>10000</v>
      </c>
      <c r="Z487" s="18">
        <f>IFERROR((Tabela1[[#This Row],[Média]]-Tabela1[[#This Row],[Meta]])/Tabela1[[#This Row],[Meta]],"")</f>
        <v>3.5500000000000002E-3</v>
      </c>
      <c r="AA487" s="22">
        <f>Tabela1[[#This Row],[Média]]-Tabela1[[#This Row],[Meta]]</f>
        <v>35.5</v>
      </c>
      <c r="AB487" s="6" t="str">
        <f>VLOOKUP(Tabela1[[#This Row],[SKU]],SKU!A:B,2,0)</f>
        <v>COXA SBCX LQ FG LP</v>
      </c>
      <c r="AC487" s="6" t="str">
        <f>VLOOKUP(Tabela1[[#This Row],[SKU]],SKU!A:C,3,0)</f>
        <v>PERNA</v>
      </c>
    </row>
    <row r="488" spans="1:29" x14ac:dyDescent="0.3">
      <c r="A488" s="2">
        <f>INT(Tabela1[[#This Row],[Data e Hora2]])</f>
        <v>46268</v>
      </c>
      <c r="B488" s="6" t="str">
        <f>UPPER(TEXT(Tabela1[[#This Row],[Data Corrigida]],"MMM"))</f>
        <v>SET</v>
      </c>
      <c r="C488" t="s">
        <v>1315</v>
      </c>
      <c r="D488" s="2" t="s">
        <v>1316</v>
      </c>
      <c r="E488" s="1" t="s">
        <v>1317</v>
      </c>
      <c r="F488" t="s">
        <v>24</v>
      </c>
      <c r="G488" s="2" t="s">
        <v>1130</v>
      </c>
      <c r="H488" t="s">
        <v>142</v>
      </c>
      <c r="I488" t="s">
        <v>462</v>
      </c>
      <c r="J488" s="6">
        <v>15105</v>
      </c>
      <c r="K488" s="16">
        <v>999</v>
      </c>
      <c r="L488" s="16">
        <v>996</v>
      </c>
      <c r="M488" s="16">
        <v>1014</v>
      </c>
      <c r="N488" s="16">
        <v>1000</v>
      </c>
      <c r="O488" s="16">
        <v>1007</v>
      </c>
      <c r="P488" s="16">
        <v>1040</v>
      </c>
      <c r="Q488" s="16">
        <v>1048</v>
      </c>
      <c r="R488" s="16">
        <v>997</v>
      </c>
      <c r="S488" s="16">
        <v>998</v>
      </c>
      <c r="T488" s="16">
        <v>1010</v>
      </c>
      <c r="U488" s="15">
        <v>1010.9</v>
      </c>
      <c r="V488" t="s">
        <v>19</v>
      </c>
      <c r="W488" t="s">
        <v>28</v>
      </c>
      <c r="X488">
        <v>545</v>
      </c>
      <c r="Y488" s="16">
        <f>VLOOKUP(Tabela1[[#This Row],[SKU]],SKU!A:D,4,0)</f>
        <v>1000</v>
      </c>
      <c r="Z488" s="18">
        <f>IFERROR((Tabela1[[#This Row],[Média]]-Tabela1[[#This Row],[Meta]])/Tabela1[[#This Row],[Meta]],"")</f>
        <v>1.0899999999999977E-2</v>
      </c>
      <c r="AA488" s="22">
        <f>Tabela1[[#This Row],[Média]]-Tabela1[[#This Row],[Meta]]</f>
        <v>10.899999999999977</v>
      </c>
      <c r="AB488" s="6" t="str">
        <f>VLOOKUP(Tabela1[[#This Row],[SKU]],SKU!A:B,2,0)</f>
        <v>FILE PEITO MET CG BDJ SE</v>
      </c>
      <c r="AC488" s="6" t="str">
        <f>VLOOKUP(Tabela1[[#This Row],[SKU]],SKU!A:C,3,0)</f>
        <v>PEITO</v>
      </c>
    </row>
    <row r="489" spans="1:29" x14ac:dyDescent="0.3">
      <c r="A489" s="2">
        <f>INT(Tabela1[[#This Row],[Data e Hora2]])</f>
        <v>46268</v>
      </c>
      <c r="B489" s="6" t="str">
        <f>UPPER(TEXT(Tabela1[[#This Row],[Data Corrigida]],"MMM"))</f>
        <v>SET</v>
      </c>
      <c r="C489" t="s">
        <v>1318</v>
      </c>
      <c r="D489" s="2" t="s">
        <v>1319</v>
      </c>
      <c r="E489" s="1" t="s">
        <v>1317</v>
      </c>
      <c r="F489" t="s">
        <v>24</v>
      </c>
      <c r="G489" s="2" t="s">
        <v>1130</v>
      </c>
      <c r="H489" t="s">
        <v>142</v>
      </c>
      <c r="I489" t="s">
        <v>462</v>
      </c>
      <c r="J489" s="6">
        <v>15849</v>
      </c>
      <c r="K489" s="16">
        <v>1012</v>
      </c>
      <c r="L489" s="16">
        <v>1021</v>
      </c>
      <c r="M489" s="16">
        <v>1013</v>
      </c>
      <c r="N489" s="16">
        <v>1016</v>
      </c>
      <c r="O489" s="16">
        <v>1009</v>
      </c>
      <c r="P489" s="16">
        <v>1002</v>
      </c>
      <c r="Q489" s="16">
        <v>1019</v>
      </c>
      <c r="R489" s="16">
        <v>1023</v>
      </c>
      <c r="S489" s="16">
        <v>1004</v>
      </c>
      <c r="T489" s="16">
        <v>999</v>
      </c>
      <c r="U489" s="15">
        <v>1011.8</v>
      </c>
      <c r="V489" t="s">
        <v>19</v>
      </c>
      <c r="W489" t="s">
        <v>28</v>
      </c>
      <c r="X489">
        <v>395</v>
      </c>
      <c r="Y489" s="16">
        <f>VLOOKUP(Tabela1[[#This Row],[SKU]],SKU!A:D,4,0)</f>
        <v>1000</v>
      </c>
      <c r="Z489" s="18">
        <f>IFERROR((Tabela1[[#This Row],[Média]]-Tabela1[[#This Row],[Meta]])/Tabela1[[#This Row],[Meta]],"")</f>
        <v>1.1799999999999955E-2</v>
      </c>
      <c r="AA489" s="22">
        <f>Tabela1[[#This Row],[Média]]-Tabela1[[#This Row],[Meta]]</f>
        <v>11.799999999999955</v>
      </c>
      <c r="AB489" s="6" t="str">
        <f>VLOOKUP(Tabela1[[#This Row],[SKU]],SKU!A:B,2,0)</f>
        <v>FILEZINHO PEITO CG BDJ SE</v>
      </c>
      <c r="AC489" s="6" t="str">
        <f>VLOOKUP(Tabela1[[#This Row],[SKU]],SKU!A:C,3,0)</f>
        <v>SASSAMI</v>
      </c>
    </row>
    <row r="490" spans="1:29" x14ac:dyDescent="0.3">
      <c r="A490" s="2">
        <f>INT(Tabela1[[#This Row],[Data e Hora2]])</f>
        <v>46268</v>
      </c>
      <c r="B490" s="6" t="str">
        <f>UPPER(TEXT(Tabela1[[#This Row],[Data Corrigida]],"MMM"))</f>
        <v>SET</v>
      </c>
      <c r="C490" t="s">
        <v>1320</v>
      </c>
      <c r="D490" s="2" t="s">
        <v>1321</v>
      </c>
      <c r="E490" s="1" t="s">
        <v>1317</v>
      </c>
      <c r="F490" t="s">
        <v>24</v>
      </c>
      <c r="G490" s="2" t="s">
        <v>1130</v>
      </c>
      <c r="H490" t="s">
        <v>142</v>
      </c>
      <c r="I490" t="s">
        <v>462</v>
      </c>
      <c r="J490" s="6">
        <v>42838</v>
      </c>
      <c r="K490" s="16">
        <v>2071</v>
      </c>
      <c r="L490" s="16">
        <v>2080</v>
      </c>
      <c r="M490" s="16">
        <v>2076</v>
      </c>
      <c r="N490" s="16">
        <v>2065</v>
      </c>
      <c r="O490" s="16">
        <v>2007</v>
      </c>
      <c r="P490" s="16">
        <v>2033</v>
      </c>
      <c r="Q490" s="16">
        <v>2056</v>
      </c>
      <c r="R490" s="16">
        <v>2057</v>
      </c>
      <c r="S490" s="16">
        <v>2039</v>
      </c>
      <c r="T490" s="16">
        <v>2067</v>
      </c>
      <c r="U490" s="15">
        <v>2055.1</v>
      </c>
      <c r="V490" t="s">
        <v>19</v>
      </c>
      <c r="W490" t="s">
        <v>28</v>
      </c>
      <c r="X490">
        <v>182</v>
      </c>
      <c r="Y490" s="16">
        <f>VLOOKUP(Tabela1[[#This Row],[SKU]],SKU!A:D,4,0)</f>
        <v>2000</v>
      </c>
      <c r="Z490" s="18">
        <f>IFERROR((Tabela1[[#This Row],[Média]]-Tabela1[[#This Row],[Meta]])/Tabela1[[#This Row],[Meta]],"")</f>
        <v>2.7549999999999953E-2</v>
      </c>
      <c r="AA490" s="22">
        <f>Tabela1[[#This Row],[Média]]-Tabela1[[#This Row],[Meta]]</f>
        <v>55.099999999999909</v>
      </c>
      <c r="AB490" s="6" t="str">
        <f>VLOOKUP(Tabela1[[#This Row],[SKU]],SKU!A:B,2,0)</f>
        <v>COXA SBCX S/O FG 220-240g PB</v>
      </c>
      <c r="AC490" s="6" t="str">
        <f>VLOOKUP(Tabela1[[#This Row],[SKU]],SKU!A:C,3,0)</f>
        <v>PERNA</v>
      </c>
    </row>
    <row r="491" spans="1:29" x14ac:dyDescent="0.3">
      <c r="A491" s="2">
        <f>INT(Tabela1[[#This Row],[Data e Hora2]])</f>
        <v>46268</v>
      </c>
      <c r="B491" s="6" t="str">
        <f>UPPER(TEXT(Tabela1[[#This Row],[Data Corrigida]],"MMM"))</f>
        <v>SET</v>
      </c>
      <c r="C491" t="s">
        <v>1322</v>
      </c>
      <c r="D491" s="2" t="s">
        <v>1323</v>
      </c>
      <c r="E491" s="1" t="s">
        <v>1317</v>
      </c>
      <c r="F491" t="s">
        <v>24</v>
      </c>
      <c r="G491" s="2" t="s">
        <v>1130</v>
      </c>
      <c r="H491" t="s">
        <v>142</v>
      </c>
      <c r="I491" t="s">
        <v>462</v>
      </c>
      <c r="J491" s="6">
        <v>42820</v>
      </c>
      <c r="K491" s="16">
        <v>2096</v>
      </c>
      <c r="L491" s="16">
        <v>2086</v>
      </c>
      <c r="M491" s="16">
        <v>2048</v>
      </c>
      <c r="N491" s="16">
        <v>2092</v>
      </c>
      <c r="O491" s="16">
        <v>2073</v>
      </c>
      <c r="P491" s="16">
        <v>2096</v>
      </c>
      <c r="Q491" s="16">
        <v>1878</v>
      </c>
      <c r="R491" s="16">
        <v>2074</v>
      </c>
      <c r="S491" s="16">
        <v>2057</v>
      </c>
      <c r="T491" s="16">
        <v>2013</v>
      </c>
      <c r="U491" s="15">
        <v>2051.3000000000002</v>
      </c>
      <c r="V491" t="s">
        <v>19</v>
      </c>
      <c r="W491" t="s">
        <v>28</v>
      </c>
      <c r="X491">
        <v>207</v>
      </c>
      <c r="Y491" s="16">
        <f>VLOOKUP(Tabela1[[#This Row],[SKU]],SKU!A:D,4,0)</f>
        <v>2000</v>
      </c>
      <c r="Z491" s="18">
        <f>IFERROR((Tabela1[[#This Row],[Média]]-Tabela1[[#This Row],[Meta]])/Tabela1[[#This Row],[Meta]],"")</f>
        <v>2.5650000000000089E-2</v>
      </c>
      <c r="AA491" s="22">
        <f>Tabela1[[#This Row],[Média]]-Tabela1[[#This Row],[Meta]]</f>
        <v>51.300000000000182</v>
      </c>
      <c r="AB491" s="6" t="str">
        <f>VLOOKUP(Tabela1[[#This Row],[SKU]],SKU!A:B,2,0)</f>
        <v>COXA SBCX S/O FG 200-220g PB</v>
      </c>
      <c r="AC491" s="6" t="str">
        <f>VLOOKUP(Tabela1[[#This Row],[SKU]],SKU!A:C,3,0)</f>
        <v>PERNA</v>
      </c>
    </row>
    <row r="492" spans="1:29" x14ac:dyDescent="0.3">
      <c r="A492" s="2">
        <f>INT(Tabela1[[#This Row],[Data e Hora2]])</f>
        <v>46268</v>
      </c>
      <c r="B492" s="6" t="str">
        <f>UPPER(TEXT(Tabela1[[#This Row],[Data Corrigida]],"MMM"))</f>
        <v>SET</v>
      </c>
      <c r="C492" t="s">
        <v>1324</v>
      </c>
      <c r="D492" s="2" t="s">
        <v>1325</v>
      </c>
      <c r="E492" s="1" t="s">
        <v>1326</v>
      </c>
      <c r="F492" t="s">
        <v>24</v>
      </c>
      <c r="G492" s="2" t="s">
        <v>1130</v>
      </c>
      <c r="H492" t="s">
        <v>142</v>
      </c>
      <c r="I492" t="s">
        <v>462</v>
      </c>
      <c r="J492" s="6">
        <v>864048</v>
      </c>
      <c r="K492" s="16">
        <v>1994</v>
      </c>
      <c r="L492" s="16">
        <v>2067</v>
      </c>
      <c r="M492" s="16">
        <v>2134</v>
      </c>
      <c r="N492" s="16">
        <v>2063</v>
      </c>
      <c r="O492" s="16">
        <v>2051</v>
      </c>
      <c r="P492" s="16">
        <v>2089</v>
      </c>
      <c r="Q492" s="16">
        <v>2048</v>
      </c>
      <c r="R492" s="16">
        <v>2045</v>
      </c>
      <c r="S492" s="16">
        <v>2123</v>
      </c>
      <c r="T492" s="16">
        <v>2041</v>
      </c>
      <c r="U492" s="15">
        <v>2065.5</v>
      </c>
      <c r="V492" t="s">
        <v>19</v>
      </c>
      <c r="W492" t="s">
        <v>28</v>
      </c>
      <c r="X492">
        <v>192</v>
      </c>
      <c r="Y492" s="16">
        <f>VLOOKUP(Tabela1[[#This Row],[SKU]],SKU!A:D,4,0)</f>
        <v>2000</v>
      </c>
      <c r="Z492" s="18">
        <f>IFERROR((Tabela1[[#This Row],[Média]]-Tabela1[[#This Row],[Meta]])/Tabela1[[#This Row],[Meta]],"")</f>
        <v>3.2750000000000001E-2</v>
      </c>
      <c r="AA492" s="22">
        <f>Tabela1[[#This Row],[Média]]-Tabela1[[#This Row],[Meta]]</f>
        <v>65.5</v>
      </c>
      <c r="AB492" s="6" t="str">
        <f>VLOOKUP(Tabela1[[#This Row],[SKU]],SKU!A:B,2,0)</f>
        <v>COXA SBCX S/O 200g FG UP PB</v>
      </c>
      <c r="AC492" s="6" t="str">
        <f>VLOOKUP(Tabela1[[#This Row],[SKU]],SKU!A:C,3,0)</f>
        <v>PERNA</v>
      </c>
    </row>
    <row r="493" spans="1:29" x14ac:dyDescent="0.3">
      <c r="A493" s="2">
        <f>INT(Tabela1[[#This Row],[Data e Hora2]])</f>
        <v>46268</v>
      </c>
      <c r="B493" s="6" t="str">
        <f>UPPER(TEXT(Tabela1[[#This Row],[Data Corrigida]],"MMM"))</f>
        <v>SET</v>
      </c>
      <c r="C493" t="s">
        <v>1327</v>
      </c>
      <c r="D493" s="2" t="s">
        <v>1328</v>
      </c>
      <c r="E493" s="1" t="s">
        <v>1326</v>
      </c>
      <c r="F493" t="s">
        <v>24</v>
      </c>
      <c r="G493" s="2" t="s">
        <v>1130</v>
      </c>
      <c r="H493" t="s">
        <v>142</v>
      </c>
      <c r="I493" t="s">
        <v>462</v>
      </c>
      <c r="J493" s="6">
        <v>42854</v>
      </c>
      <c r="K493" s="16">
        <v>2152</v>
      </c>
      <c r="L493" s="16">
        <v>2118</v>
      </c>
      <c r="M493" s="16">
        <v>2169</v>
      </c>
      <c r="N493" s="16">
        <v>2130</v>
      </c>
      <c r="O493" s="16">
        <v>2126</v>
      </c>
      <c r="P493" s="16">
        <v>2196</v>
      </c>
      <c r="Q493" s="16">
        <v>2119</v>
      </c>
      <c r="R493" s="16">
        <v>2164</v>
      </c>
      <c r="S493" s="16">
        <v>2073</v>
      </c>
      <c r="T493" s="16">
        <v>2144</v>
      </c>
      <c r="U493" s="15">
        <v>2139.1</v>
      </c>
      <c r="V493" t="s">
        <v>19</v>
      </c>
      <c r="W493" t="s">
        <v>28</v>
      </c>
      <c r="X493">
        <v>180</v>
      </c>
      <c r="Y493" s="16">
        <f>VLOOKUP(Tabela1[[#This Row],[SKU]],SKU!A:D,4,0)</f>
        <v>2080</v>
      </c>
      <c r="Z493" s="18">
        <f>IFERROR((Tabela1[[#This Row],[Média]]-Tabela1[[#This Row],[Meta]])/Tabela1[[#This Row],[Meta]],"")</f>
        <v>2.8413461538461495E-2</v>
      </c>
      <c r="AA493" s="22">
        <f>Tabela1[[#This Row],[Média]]-Tabela1[[#This Row],[Meta]]</f>
        <v>59.099999999999909</v>
      </c>
      <c r="AB493" s="6" t="str">
        <f>VLOOKUP(Tabela1[[#This Row],[SKU]],SKU!A:B,2,0)</f>
        <v>COXA SBCX S/O FG 260-280g PB</v>
      </c>
      <c r="AC493" s="6" t="str">
        <f>VLOOKUP(Tabela1[[#This Row],[SKU]],SKU!A:C,3,0)</f>
        <v>PERNA</v>
      </c>
    </row>
    <row r="494" spans="1:29" x14ac:dyDescent="0.3">
      <c r="A494" s="2">
        <f>INT(Tabela1[[#This Row],[Data e Hora2]])</f>
        <v>46268</v>
      </c>
      <c r="B494" s="6" t="str">
        <f>UPPER(TEXT(Tabela1[[#This Row],[Data Corrigida]],"MMM"))</f>
        <v>SET</v>
      </c>
      <c r="C494" t="s">
        <v>1329</v>
      </c>
      <c r="D494" s="2" t="s">
        <v>1330</v>
      </c>
      <c r="E494" s="1" t="s">
        <v>1326</v>
      </c>
      <c r="F494" t="s">
        <v>24</v>
      </c>
      <c r="G494" s="2" t="s">
        <v>1130</v>
      </c>
      <c r="H494" t="s">
        <v>142</v>
      </c>
      <c r="I494" t="s">
        <v>462</v>
      </c>
      <c r="J494" s="6">
        <v>42862</v>
      </c>
      <c r="K494" s="16">
        <v>2018</v>
      </c>
      <c r="L494" s="16">
        <v>1882</v>
      </c>
      <c r="M494" s="16">
        <v>2080</v>
      </c>
      <c r="N494" s="16">
        <v>2003</v>
      </c>
      <c r="O494" s="16">
        <v>2026</v>
      </c>
      <c r="P494" s="16">
        <v>2095</v>
      </c>
      <c r="Q494" s="16">
        <v>2025</v>
      </c>
      <c r="R494" s="16">
        <v>2052</v>
      </c>
      <c r="S494" s="16">
        <v>2044</v>
      </c>
      <c r="T494" s="16">
        <v>2055</v>
      </c>
      <c r="U494" s="15">
        <v>2028</v>
      </c>
      <c r="V494" t="s">
        <v>19</v>
      </c>
      <c r="W494" t="s">
        <v>28</v>
      </c>
      <c r="X494">
        <v>189</v>
      </c>
      <c r="Y494" s="16">
        <f>VLOOKUP(Tabela1[[#This Row],[SKU]],SKU!A:D,4,0)</f>
        <v>2000</v>
      </c>
      <c r="Z494" s="18">
        <f>IFERROR((Tabela1[[#This Row],[Média]]-Tabela1[[#This Row],[Meta]])/Tabela1[[#This Row],[Meta]],"")</f>
        <v>1.4E-2</v>
      </c>
      <c r="AA494" s="22">
        <f>Tabela1[[#This Row],[Média]]-Tabela1[[#This Row],[Meta]]</f>
        <v>28</v>
      </c>
      <c r="AB494" s="6" t="str">
        <f>VLOOKUP(Tabela1[[#This Row],[SKU]],SKU!A:B,2,0)</f>
        <v>COXA SBCX S/O FG 280-300g PB</v>
      </c>
      <c r="AC494" s="6" t="str">
        <f>VLOOKUP(Tabela1[[#This Row],[SKU]],SKU!A:C,3,0)</f>
        <v>PERNA</v>
      </c>
    </row>
    <row r="495" spans="1:29" x14ac:dyDescent="0.3">
      <c r="A495" s="2">
        <f>INT(Tabela1[[#This Row],[Data e Hora2]])</f>
        <v>46268</v>
      </c>
      <c r="B495" s="6" t="str">
        <f>UPPER(TEXT(Tabela1[[#This Row],[Data Corrigida]],"MMM"))</f>
        <v>SET</v>
      </c>
      <c r="C495" t="s">
        <v>1331</v>
      </c>
      <c r="D495" s="2" t="s">
        <v>1332</v>
      </c>
      <c r="E495" s="1" t="s">
        <v>1326</v>
      </c>
      <c r="F495" t="s">
        <v>24</v>
      </c>
      <c r="G495" s="2" t="s">
        <v>1130</v>
      </c>
      <c r="H495" t="s">
        <v>142</v>
      </c>
      <c r="I495" t="s">
        <v>462</v>
      </c>
      <c r="J495" s="6">
        <v>42846</v>
      </c>
      <c r="K495" s="16">
        <v>2094</v>
      </c>
      <c r="L495" s="16">
        <v>2013</v>
      </c>
      <c r="M495" s="16">
        <v>2049</v>
      </c>
      <c r="N495" s="16">
        <v>1995</v>
      </c>
      <c r="O495" s="16">
        <v>2023</v>
      </c>
      <c r="P495" s="16">
        <v>2003</v>
      </c>
      <c r="Q495" s="16">
        <v>2021</v>
      </c>
      <c r="R495" s="16">
        <v>2067</v>
      </c>
      <c r="S495" s="16">
        <v>2030</v>
      </c>
      <c r="T495" s="16">
        <v>1989</v>
      </c>
      <c r="U495" s="15">
        <v>2028.4</v>
      </c>
      <c r="V495" t="s">
        <v>19</v>
      </c>
      <c r="W495" t="s">
        <v>28</v>
      </c>
      <c r="X495">
        <v>291</v>
      </c>
      <c r="Y495" s="16">
        <f>VLOOKUP(Tabela1[[#This Row],[SKU]],SKU!A:D,4,0)</f>
        <v>2000</v>
      </c>
      <c r="Z495" s="18">
        <f>IFERROR((Tabela1[[#This Row],[Média]]-Tabela1[[#This Row],[Meta]])/Tabela1[[#This Row],[Meta]],"")</f>
        <v>1.4200000000000046E-2</v>
      </c>
      <c r="AA495" s="22">
        <f>Tabela1[[#This Row],[Média]]-Tabela1[[#This Row],[Meta]]</f>
        <v>28.400000000000091</v>
      </c>
      <c r="AB495" s="6" t="str">
        <f>VLOOKUP(Tabela1[[#This Row],[SKU]],SKU!A:B,2,0)</f>
        <v>COXA SBCX S/O FG 240-260g PB</v>
      </c>
      <c r="AC495" s="6" t="str">
        <f>VLOOKUP(Tabela1[[#This Row],[SKU]],SKU!A:C,3,0)</f>
        <v>PERNA</v>
      </c>
    </row>
    <row r="496" spans="1:29" x14ac:dyDescent="0.3">
      <c r="A496" s="2">
        <f>INT(Tabela1[[#This Row],[Data e Hora2]])</f>
        <v>46267</v>
      </c>
      <c r="B496" s="6" t="str">
        <f>UPPER(TEXT(Tabela1[[#This Row],[Data Corrigida]],"MMM"))</f>
        <v>SET</v>
      </c>
      <c r="C496" t="s">
        <v>1333</v>
      </c>
      <c r="D496" s="2" t="s">
        <v>1334</v>
      </c>
      <c r="E496" s="1" t="s">
        <v>1335</v>
      </c>
      <c r="F496" t="s">
        <v>24</v>
      </c>
      <c r="G496" s="2" t="s">
        <v>1152</v>
      </c>
      <c r="H496" t="s">
        <v>26</v>
      </c>
      <c r="I496" t="s">
        <v>27</v>
      </c>
      <c r="J496" s="6">
        <v>15105</v>
      </c>
      <c r="K496" s="16">
        <v>1013</v>
      </c>
      <c r="L496" s="16">
        <v>1016</v>
      </c>
      <c r="M496" s="16">
        <v>1001</v>
      </c>
      <c r="N496" s="16">
        <v>998</v>
      </c>
      <c r="O496" s="16">
        <v>1027</v>
      </c>
      <c r="P496" s="16">
        <v>1006</v>
      </c>
      <c r="Q496" s="16">
        <v>1021</v>
      </c>
      <c r="R496" s="16">
        <v>1040</v>
      </c>
      <c r="S496" s="16">
        <v>1019</v>
      </c>
      <c r="T496" s="16">
        <v>1028</v>
      </c>
      <c r="U496" s="15">
        <v>1016.9</v>
      </c>
      <c r="V496" t="s">
        <v>19</v>
      </c>
      <c r="W496" t="s">
        <v>28</v>
      </c>
      <c r="X496">
        <v>1662</v>
      </c>
      <c r="Y496" s="16">
        <f>VLOOKUP(Tabela1[[#This Row],[SKU]],SKU!A:D,4,0)</f>
        <v>1000</v>
      </c>
      <c r="Z496" s="18">
        <f>IFERROR((Tabela1[[#This Row],[Média]]-Tabela1[[#This Row],[Meta]])/Tabela1[[#This Row],[Meta]],"")</f>
        <v>1.6899999999999978E-2</v>
      </c>
      <c r="AA496" s="22">
        <f>Tabela1[[#This Row],[Média]]-Tabela1[[#This Row],[Meta]]</f>
        <v>16.899999999999977</v>
      </c>
      <c r="AB496" s="6" t="str">
        <f>VLOOKUP(Tabela1[[#This Row],[SKU]],SKU!A:B,2,0)</f>
        <v>FILE PEITO MET CG BDJ SE</v>
      </c>
      <c r="AC496" s="6" t="str">
        <f>VLOOKUP(Tabela1[[#This Row],[SKU]],SKU!A:C,3,0)</f>
        <v>PEITO</v>
      </c>
    </row>
    <row r="497" spans="1:29" x14ac:dyDescent="0.3">
      <c r="A497" s="2">
        <f>INT(Tabela1[[#This Row],[Data e Hora2]])</f>
        <v>46267</v>
      </c>
      <c r="B497" s="6" t="str">
        <f>UPPER(TEXT(Tabela1[[#This Row],[Data Corrigida]],"MMM"))</f>
        <v>SET</v>
      </c>
      <c r="C497" t="s">
        <v>1336</v>
      </c>
      <c r="D497" s="2" t="s">
        <v>1337</v>
      </c>
      <c r="E497" s="1" t="s">
        <v>1335</v>
      </c>
      <c r="F497" t="s">
        <v>24</v>
      </c>
      <c r="G497" s="2" t="s">
        <v>1152</v>
      </c>
      <c r="H497" t="s">
        <v>26</v>
      </c>
      <c r="I497" t="s">
        <v>27</v>
      </c>
      <c r="J497" s="6">
        <v>209039</v>
      </c>
      <c r="K497" s="16">
        <v>1023</v>
      </c>
      <c r="L497" s="16">
        <v>997</v>
      </c>
      <c r="M497" s="16">
        <v>1030</v>
      </c>
      <c r="N497" s="16">
        <v>1030</v>
      </c>
      <c r="O497" s="16">
        <v>1018</v>
      </c>
      <c r="P497" s="16">
        <v>1057</v>
      </c>
      <c r="Q497" s="16">
        <v>1012</v>
      </c>
      <c r="R497" s="16">
        <v>1038</v>
      </c>
      <c r="S497" s="16">
        <v>1051</v>
      </c>
      <c r="T497" s="16">
        <v>1069</v>
      </c>
      <c r="U497" s="15">
        <v>1032.5</v>
      </c>
      <c r="V497" t="s">
        <v>19</v>
      </c>
      <c r="W497" t="s">
        <v>28</v>
      </c>
      <c r="X497">
        <v>135</v>
      </c>
      <c r="Y497" s="16">
        <f>VLOOKUP(Tabela1[[#This Row],[SKU]],SKU!A:D,4,0)</f>
        <v>1000</v>
      </c>
      <c r="Z497" s="18">
        <f>IFERROR((Tabela1[[#This Row],[Média]]-Tabela1[[#This Row],[Meta]])/Tabela1[[#This Row],[Meta]],"")</f>
        <v>3.2500000000000001E-2</v>
      </c>
      <c r="AA497" s="22">
        <f>Tabela1[[#This Row],[Média]]-Tabela1[[#This Row],[Meta]]</f>
        <v>32.5</v>
      </c>
      <c r="AB497" s="6" t="str">
        <f>VLOOKUP(Tabela1[[#This Row],[SKU]],SKU!A:B,2,0)</f>
        <v>COXINHA ASA IQF ALM 1KG</v>
      </c>
      <c r="AC497" s="6" t="str">
        <f>VLOOKUP(Tabela1[[#This Row],[SKU]],SKU!A:C,3,0)</f>
        <v>ASA</v>
      </c>
    </row>
    <row r="498" spans="1:29" x14ac:dyDescent="0.3">
      <c r="A498" s="2">
        <f>INT(Tabela1[[#This Row],[Data e Hora2]])</f>
        <v>46267</v>
      </c>
      <c r="B498" s="6" t="str">
        <f>UPPER(TEXT(Tabela1[[#This Row],[Data Corrigida]],"MMM"))</f>
        <v>SET</v>
      </c>
      <c r="C498" t="s">
        <v>1338</v>
      </c>
      <c r="D498" s="2" t="s">
        <v>1339</v>
      </c>
      <c r="E498" s="1" t="s">
        <v>1335</v>
      </c>
      <c r="F498" t="s">
        <v>24</v>
      </c>
      <c r="G498" s="2" t="s">
        <v>1152</v>
      </c>
      <c r="H498" t="s">
        <v>26</v>
      </c>
      <c r="I498" t="s">
        <v>27</v>
      </c>
      <c r="J498" s="6">
        <v>15105</v>
      </c>
      <c r="K498" s="16">
        <v>882</v>
      </c>
      <c r="L498" s="16">
        <v>1014</v>
      </c>
      <c r="M498" s="16">
        <v>1025</v>
      </c>
      <c r="N498" s="16">
        <v>994</v>
      </c>
      <c r="O498" s="16">
        <v>1052</v>
      </c>
      <c r="P498" s="16">
        <v>1084</v>
      </c>
      <c r="Q498" s="16">
        <v>1040</v>
      </c>
      <c r="R498" s="16">
        <v>1107</v>
      </c>
      <c r="S498" s="16">
        <v>979</v>
      </c>
      <c r="T498" s="16">
        <v>986</v>
      </c>
      <c r="U498" s="15">
        <v>1016.3</v>
      </c>
      <c r="V498" t="s">
        <v>19</v>
      </c>
      <c r="W498" t="s">
        <v>28</v>
      </c>
      <c r="X498">
        <v>1957</v>
      </c>
      <c r="Y498" s="16">
        <f>VLOOKUP(Tabela1[[#This Row],[SKU]],SKU!A:D,4,0)</f>
        <v>1000</v>
      </c>
      <c r="Z498" s="18">
        <f>IFERROR((Tabela1[[#This Row],[Média]]-Tabela1[[#This Row],[Meta]])/Tabela1[[#This Row],[Meta]],"")</f>
        <v>1.6299999999999953E-2</v>
      </c>
      <c r="AA498" s="22">
        <f>Tabela1[[#This Row],[Média]]-Tabela1[[#This Row],[Meta]]</f>
        <v>16.299999999999955</v>
      </c>
      <c r="AB498" s="6" t="str">
        <f>VLOOKUP(Tabela1[[#This Row],[SKU]],SKU!A:B,2,0)</f>
        <v>FILE PEITO MET CG BDJ SE</v>
      </c>
      <c r="AC498" s="6" t="str">
        <f>VLOOKUP(Tabela1[[#This Row],[SKU]],SKU!A:C,3,0)</f>
        <v>PEITO</v>
      </c>
    </row>
    <row r="499" spans="1:29" x14ac:dyDescent="0.3">
      <c r="A499" s="2">
        <f>INT(Tabela1[[#This Row],[Data e Hora2]])</f>
        <v>46267</v>
      </c>
      <c r="B499" s="6" t="str">
        <f>UPPER(TEXT(Tabela1[[#This Row],[Data Corrigida]],"MMM"))</f>
        <v>SET</v>
      </c>
      <c r="C499" t="s">
        <v>1340</v>
      </c>
      <c r="D499" s="2" t="s">
        <v>1341</v>
      </c>
      <c r="E499" s="1" t="s">
        <v>1335</v>
      </c>
      <c r="F499" t="s">
        <v>24</v>
      </c>
      <c r="G499" s="2" t="s">
        <v>1152</v>
      </c>
      <c r="H499" t="s">
        <v>26</v>
      </c>
      <c r="I499" t="s">
        <v>27</v>
      </c>
      <c r="J499" s="6">
        <v>40762</v>
      </c>
      <c r="K499" s="16">
        <v>10075</v>
      </c>
      <c r="L499" s="16">
        <v>10050</v>
      </c>
      <c r="M499" s="16">
        <v>10080</v>
      </c>
      <c r="N499" s="16">
        <v>10010</v>
      </c>
      <c r="O499" s="16">
        <v>10050</v>
      </c>
      <c r="P499" s="16">
        <v>10115</v>
      </c>
      <c r="Q499" s="16">
        <v>10040</v>
      </c>
      <c r="R499" s="16">
        <v>10010</v>
      </c>
      <c r="S499" s="16">
        <v>10010</v>
      </c>
      <c r="T499" s="16">
        <v>10045</v>
      </c>
      <c r="U499" s="15">
        <v>10048.5</v>
      </c>
      <c r="V499" t="s">
        <v>19</v>
      </c>
      <c r="W499" t="s">
        <v>28</v>
      </c>
      <c r="X499">
        <v>312</v>
      </c>
      <c r="Y499" s="16">
        <f>VLOOKUP(Tabela1[[#This Row],[SKU]],SKU!A:D,4,0)</f>
        <v>10000</v>
      </c>
      <c r="Z499" s="18">
        <f>IFERROR((Tabela1[[#This Row],[Média]]-Tabela1[[#This Row],[Meta]])/Tabela1[[#This Row],[Meta]],"")</f>
        <v>4.8500000000000001E-3</v>
      </c>
      <c r="AA499" s="22">
        <f>Tabela1[[#This Row],[Média]]-Tabela1[[#This Row],[Meta]]</f>
        <v>48.5</v>
      </c>
      <c r="AB499" s="6" t="str">
        <f>VLOOKUP(Tabela1[[#This Row],[SKU]],SKU!A:B,2,0)</f>
        <v>COXA SBCX LQ FG LP</v>
      </c>
      <c r="AC499" s="6" t="str">
        <f>VLOOKUP(Tabela1[[#This Row],[SKU]],SKU!A:C,3,0)</f>
        <v>PERNA</v>
      </c>
    </row>
    <row r="500" spans="1:29" x14ac:dyDescent="0.3">
      <c r="A500" s="2">
        <f>INT(Tabela1[[#This Row],[Data e Hora2]])</f>
        <v>46267</v>
      </c>
      <c r="B500" s="6" t="str">
        <f>UPPER(TEXT(Tabela1[[#This Row],[Data Corrigida]],"MMM"))</f>
        <v>SET</v>
      </c>
      <c r="C500" t="s">
        <v>1342</v>
      </c>
      <c r="D500" s="2" t="s">
        <v>1343</v>
      </c>
      <c r="E500" s="1" t="s">
        <v>1335</v>
      </c>
      <c r="F500" t="s">
        <v>24</v>
      </c>
      <c r="G500" s="2" t="s">
        <v>1152</v>
      </c>
      <c r="H500" t="s">
        <v>26</v>
      </c>
      <c r="I500" t="s">
        <v>27</v>
      </c>
      <c r="J500" s="6">
        <v>42862</v>
      </c>
      <c r="K500" s="16">
        <v>1993</v>
      </c>
      <c r="L500" s="16">
        <v>2011</v>
      </c>
      <c r="M500" s="16">
        <v>2009</v>
      </c>
      <c r="N500" s="16">
        <v>1991</v>
      </c>
      <c r="O500" s="16">
        <v>2008</v>
      </c>
      <c r="P500" s="16">
        <v>2010</v>
      </c>
      <c r="Q500" s="16">
        <v>1992</v>
      </c>
      <c r="R500" s="16">
        <v>1990</v>
      </c>
      <c r="S500" s="16">
        <v>2026</v>
      </c>
      <c r="T500" s="16">
        <v>2025</v>
      </c>
      <c r="U500" s="15">
        <v>2005.5</v>
      </c>
      <c r="V500" t="s">
        <v>19</v>
      </c>
      <c r="W500" t="s">
        <v>28</v>
      </c>
      <c r="X500">
        <v>274</v>
      </c>
      <c r="Y500" s="16">
        <f>VLOOKUP(Tabela1[[#This Row],[SKU]],SKU!A:D,4,0)</f>
        <v>2000</v>
      </c>
      <c r="Z500" s="18">
        <f>IFERROR((Tabela1[[#This Row],[Média]]-Tabela1[[#This Row],[Meta]])/Tabela1[[#This Row],[Meta]],"")</f>
        <v>2.7499999999999998E-3</v>
      </c>
      <c r="AA500" s="22">
        <f>Tabela1[[#This Row],[Média]]-Tabela1[[#This Row],[Meta]]</f>
        <v>5.5</v>
      </c>
      <c r="AB500" s="6" t="str">
        <f>VLOOKUP(Tabela1[[#This Row],[SKU]],SKU!A:B,2,0)</f>
        <v>COXA SBCX S/O FG 280-300g PB</v>
      </c>
      <c r="AC500" s="6" t="str">
        <f>VLOOKUP(Tabela1[[#This Row],[SKU]],SKU!A:C,3,0)</f>
        <v>PERNA</v>
      </c>
    </row>
    <row r="501" spans="1:29" x14ac:dyDescent="0.3">
      <c r="A501" s="2">
        <f>INT(Tabela1[[#This Row],[Data e Hora2]])</f>
        <v>46267</v>
      </c>
      <c r="B501" s="6" t="str">
        <f>UPPER(TEXT(Tabela1[[#This Row],[Data Corrigida]],"MMM"))</f>
        <v>SET</v>
      </c>
      <c r="C501" t="s">
        <v>1344</v>
      </c>
      <c r="D501" s="2" t="s">
        <v>1345</v>
      </c>
      <c r="E501" s="1" t="s">
        <v>1335</v>
      </c>
      <c r="F501" t="s">
        <v>24</v>
      </c>
      <c r="G501" s="2" t="s">
        <v>1152</v>
      </c>
      <c r="H501" t="s">
        <v>26</v>
      </c>
      <c r="I501" t="s">
        <v>27</v>
      </c>
      <c r="J501" s="6">
        <v>42846</v>
      </c>
      <c r="K501" s="16">
        <v>2021</v>
      </c>
      <c r="L501" s="16">
        <v>2014</v>
      </c>
      <c r="M501" s="16">
        <v>2008</v>
      </c>
      <c r="N501" s="16">
        <v>2011</v>
      </c>
      <c r="O501" s="16">
        <v>2007</v>
      </c>
      <c r="P501" s="16">
        <v>2005</v>
      </c>
      <c r="Q501" s="16">
        <v>2010</v>
      </c>
      <c r="R501" s="16">
        <v>2021</v>
      </c>
      <c r="S501" s="16">
        <v>2027</v>
      </c>
      <c r="T501" s="16">
        <v>2121</v>
      </c>
      <c r="U501" s="15">
        <v>2024.5</v>
      </c>
      <c r="V501" t="s">
        <v>19</v>
      </c>
      <c r="W501" t="s">
        <v>28</v>
      </c>
      <c r="X501">
        <v>287</v>
      </c>
      <c r="Y501" s="16">
        <f>VLOOKUP(Tabela1[[#This Row],[SKU]],SKU!A:D,4,0)</f>
        <v>2000</v>
      </c>
      <c r="Z501" s="18">
        <f>IFERROR((Tabela1[[#This Row],[Média]]-Tabela1[[#This Row],[Meta]])/Tabela1[[#This Row],[Meta]],"")</f>
        <v>1.225E-2</v>
      </c>
      <c r="AA501" s="22">
        <f>Tabela1[[#This Row],[Média]]-Tabela1[[#This Row],[Meta]]</f>
        <v>24.5</v>
      </c>
      <c r="AB501" s="6" t="str">
        <f>VLOOKUP(Tabela1[[#This Row],[SKU]],SKU!A:B,2,0)</f>
        <v>COXA SBCX S/O FG 240-260g PB</v>
      </c>
      <c r="AC501" s="6" t="str">
        <f>VLOOKUP(Tabela1[[#This Row],[SKU]],SKU!A:C,3,0)</f>
        <v>PERNA</v>
      </c>
    </row>
    <row r="502" spans="1:29" x14ac:dyDescent="0.3">
      <c r="A502" s="2">
        <f>INT(Tabela1[[#This Row],[Data e Hora2]])</f>
        <v>46267</v>
      </c>
      <c r="B502" s="6" t="str">
        <f>UPPER(TEXT(Tabela1[[#This Row],[Data Corrigida]],"MMM"))</f>
        <v>SET</v>
      </c>
      <c r="C502" t="s">
        <v>1346</v>
      </c>
      <c r="D502" s="2" t="s">
        <v>1347</v>
      </c>
      <c r="E502" s="1" t="s">
        <v>1335</v>
      </c>
      <c r="F502" t="s">
        <v>24</v>
      </c>
      <c r="G502" s="2" t="s">
        <v>1152</v>
      </c>
      <c r="H502" t="s">
        <v>26</v>
      </c>
      <c r="I502" t="s">
        <v>27</v>
      </c>
      <c r="J502" s="6">
        <v>15105</v>
      </c>
      <c r="K502" s="16">
        <v>1095</v>
      </c>
      <c r="L502" s="16">
        <v>1006</v>
      </c>
      <c r="M502" s="16">
        <v>1011</v>
      </c>
      <c r="N502" s="16">
        <v>1030</v>
      </c>
      <c r="O502" s="16">
        <v>1020</v>
      </c>
      <c r="P502" s="16">
        <v>1048</v>
      </c>
      <c r="Q502" s="16">
        <v>1031</v>
      </c>
      <c r="R502" s="16">
        <v>1017</v>
      </c>
      <c r="S502" s="16">
        <v>1222</v>
      </c>
      <c r="T502" s="16">
        <v>1052</v>
      </c>
      <c r="U502" s="15">
        <v>1053.2</v>
      </c>
      <c r="V502" t="s">
        <v>19</v>
      </c>
      <c r="W502" t="s">
        <v>28</v>
      </c>
      <c r="X502">
        <v>293</v>
      </c>
      <c r="Y502" s="16">
        <f>VLOOKUP(Tabela1[[#This Row],[SKU]],SKU!A:D,4,0)</f>
        <v>1000</v>
      </c>
      <c r="Z502" s="18">
        <f>IFERROR((Tabela1[[#This Row],[Média]]-Tabela1[[#This Row],[Meta]])/Tabela1[[#This Row],[Meta]],"")</f>
        <v>5.3200000000000046E-2</v>
      </c>
      <c r="AA502" s="22">
        <f>Tabela1[[#This Row],[Média]]-Tabela1[[#This Row],[Meta]]</f>
        <v>53.200000000000045</v>
      </c>
      <c r="AB502" s="6" t="str">
        <f>VLOOKUP(Tabela1[[#This Row],[SKU]],SKU!A:B,2,0)</f>
        <v>FILE PEITO MET CG BDJ SE</v>
      </c>
      <c r="AC502" s="6" t="str">
        <f>VLOOKUP(Tabela1[[#This Row],[SKU]],SKU!A:C,3,0)</f>
        <v>PEITO</v>
      </c>
    </row>
    <row r="503" spans="1:29" x14ac:dyDescent="0.3">
      <c r="A503" s="2">
        <f>INT(Tabela1[[#This Row],[Data e Hora2]])</f>
        <v>46273</v>
      </c>
      <c r="B503" s="6" t="str">
        <f>UPPER(TEXT(Tabela1[[#This Row],[Data Corrigida]],"MMM"))</f>
        <v>SET</v>
      </c>
      <c r="C503" t="s">
        <v>1348</v>
      </c>
      <c r="D503" s="2" t="s">
        <v>1349</v>
      </c>
      <c r="E503" s="1" t="s">
        <v>1350</v>
      </c>
      <c r="F503" t="s">
        <v>24</v>
      </c>
      <c r="G503" s="2" t="s">
        <v>1351</v>
      </c>
      <c r="H503" t="s">
        <v>142</v>
      </c>
      <c r="I503" t="s">
        <v>462</v>
      </c>
      <c r="J503" s="6">
        <v>54632</v>
      </c>
      <c r="K503" s="16">
        <v>1018</v>
      </c>
      <c r="L503" s="16">
        <v>1007</v>
      </c>
      <c r="M503" s="16">
        <v>998</v>
      </c>
      <c r="N503" s="16">
        <v>1028</v>
      </c>
      <c r="O503" s="16">
        <v>998</v>
      </c>
      <c r="P503" s="16">
        <v>993</v>
      </c>
      <c r="Q503" s="16">
        <v>1004</v>
      </c>
      <c r="R503" s="16">
        <v>995</v>
      </c>
      <c r="S503" s="16">
        <v>999</v>
      </c>
      <c r="T503" s="16">
        <v>991</v>
      </c>
      <c r="U503" s="15">
        <v>1003.1</v>
      </c>
      <c r="V503" t="s">
        <v>19</v>
      </c>
      <c r="W503" t="s">
        <v>19</v>
      </c>
      <c r="X503">
        <v>292</v>
      </c>
      <c r="Y503" s="16">
        <f>VLOOKUP(Tabela1[[#This Row],[SKU]],SKU!A:D,4,0)</f>
        <v>1000</v>
      </c>
      <c r="Z503" s="18">
        <f>IFERROR((Tabela1[[#This Row],[Média]]-Tabela1[[#This Row],[Meta]])/Tabela1[[#This Row],[Meta]],"")</f>
        <v>3.1000000000000229E-3</v>
      </c>
      <c r="AA503" s="22">
        <f>Tabela1[[#This Row],[Média]]-Tabela1[[#This Row],[Meta]]</f>
        <v>3.1000000000000227</v>
      </c>
      <c r="AB503" s="6" t="str">
        <f>VLOOKUP(Tabela1[[#This Row],[SKU]],SKU!A:B,2,0)</f>
        <v>COXA SBCX S/O BDJ CG</v>
      </c>
      <c r="AC503" s="6" t="str">
        <f>VLOOKUP(Tabela1[[#This Row],[SKU]],SKU!A:C,3,0)</f>
        <v>PERNA</v>
      </c>
    </row>
    <row r="504" spans="1:29" x14ac:dyDescent="0.3">
      <c r="A504" s="2">
        <f>INT(Tabela1[[#This Row],[Data e Hora2]])</f>
        <v>46273</v>
      </c>
      <c r="B504" s="6" t="str">
        <f>UPPER(TEXT(Tabela1[[#This Row],[Data Corrigida]],"MMM"))</f>
        <v>SET</v>
      </c>
      <c r="C504" t="s">
        <v>1352</v>
      </c>
      <c r="D504" s="2" t="s">
        <v>1353</v>
      </c>
      <c r="E504" s="1" t="s">
        <v>1350</v>
      </c>
      <c r="F504" t="s">
        <v>24</v>
      </c>
      <c r="G504" s="2" t="s">
        <v>1351</v>
      </c>
      <c r="H504" t="s">
        <v>142</v>
      </c>
      <c r="I504" t="s">
        <v>462</v>
      </c>
      <c r="J504" s="6">
        <v>209039</v>
      </c>
      <c r="K504" s="16">
        <v>1041</v>
      </c>
      <c r="L504" s="16">
        <v>1046</v>
      </c>
      <c r="M504" s="16">
        <v>1000</v>
      </c>
      <c r="N504" s="16">
        <v>1015</v>
      </c>
      <c r="O504" s="16">
        <v>1034</v>
      </c>
      <c r="P504" s="16">
        <v>1032</v>
      </c>
      <c r="Q504" s="16">
        <v>1030</v>
      </c>
      <c r="R504" s="16">
        <v>1006</v>
      </c>
      <c r="S504" s="16">
        <v>997</v>
      </c>
      <c r="T504" s="16">
        <v>1001</v>
      </c>
      <c r="U504" s="15">
        <v>1020.2</v>
      </c>
      <c r="V504" t="s">
        <v>19</v>
      </c>
      <c r="W504" t="s">
        <v>28</v>
      </c>
      <c r="X504">
        <v>246</v>
      </c>
      <c r="Y504" s="16">
        <f>VLOOKUP(Tabela1[[#This Row],[SKU]],SKU!A:D,4,0)</f>
        <v>1000</v>
      </c>
      <c r="Z504" s="18">
        <f>IFERROR((Tabela1[[#This Row],[Média]]-Tabela1[[#This Row],[Meta]])/Tabela1[[#This Row],[Meta]],"")</f>
        <v>2.0200000000000044E-2</v>
      </c>
      <c r="AA504" s="22">
        <f>Tabela1[[#This Row],[Média]]-Tabela1[[#This Row],[Meta]]</f>
        <v>20.200000000000045</v>
      </c>
      <c r="AB504" s="6" t="str">
        <f>VLOOKUP(Tabela1[[#This Row],[SKU]],SKU!A:B,2,0)</f>
        <v>COXINHA ASA IQF ALM 1KG</v>
      </c>
      <c r="AC504" s="6" t="str">
        <f>VLOOKUP(Tabela1[[#This Row],[SKU]],SKU!A:C,3,0)</f>
        <v>ASA</v>
      </c>
    </row>
    <row r="505" spans="1:29" x14ac:dyDescent="0.3">
      <c r="A505" s="2">
        <f>INT(Tabela1[[#This Row],[Data e Hora2]])</f>
        <v>46273</v>
      </c>
      <c r="B505" s="6" t="str">
        <f>UPPER(TEXT(Tabela1[[#This Row],[Data Corrigida]],"MMM"))</f>
        <v>SET</v>
      </c>
      <c r="C505" t="s">
        <v>1354</v>
      </c>
      <c r="D505" s="2" t="s">
        <v>1355</v>
      </c>
      <c r="E505" s="1" t="s">
        <v>1356</v>
      </c>
      <c r="F505" t="s">
        <v>24</v>
      </c>
      <c r="G505" s="2" t="s">
        <v>1351</v>
      </c>
      <c r="H505" t="s">
        <v>142</v>
      </c>
      <c r="I505" t="s">
        <v>462</v>
      </c>
      <c r="J505" s="6">
        <v>197734</v>
      </c>
      <c r="K505" s="16">
        <v>1014</v>
      </c>
      <c r="L505" s="16">
        <v>941</v>
      </c>
      <c r="M505" s="16">
        <v>1007</v>
      </c>
      <c r="N505" s="16">
        <v>1005</v>
      </c>
      <c r="O505" s="16">
        <v>1059</v>
      </c>
      <c r="P505" s="16">
        <v>1036</v>
      </c>
      <c r="Q505" s="16">
        <v>999</v>
      </c>
      <c r="R505" s="16">
        <v>998</v>
      </c>
      <c r="S505" s="16">
        <v>1011</v>
      </c>
      <c r="T505" s="16">
        <v>946</v>
      </c>
      <c r="U505" s="15">
        <v>1001.6</v>
      </c>
      <c r="V505" t="s">
        <v>19</v>
      </c>
      <c r="W505" t="s">
        <v>28</v>
      </c>
      <c r="X505">
        <v>197</v>
      </c>
      <c r="Y505" s="16">
        <f>VLOOKUP(Tabela1[[#This Row],[SKU]],SKU!A:D,4,0)</f>
        <v>1000</v>
      </c>
      <c r="Z505" s="18">
        <f>IFERROR((Tabela1[[#This Row],[Média]]-Tabela1[[#This Row],[Meta]])/Tabela1[[#This Row],[Meta]],"")</f>
        <v>1.6000000000000228E-3</v>
      </c>
      <c r="AA505" s="22">
        <f>Tabela1[[#This Row],[Média]]-Tabela1[[#This Row],[Meta]]</f>
        <v>1.6000000000000227</v>
      </c>
      <c r="AB505" s="6" t="str">
        <f>VLOOKUP(Tabela1[[#This Row],[SKU]],SKU!A:B,2,0)</f>
        <v>FILEZINHO FRANGO IQF ALM SE</v>
      </c>
      <c r="AC505" s="6" t="str">
        <f>VLOOKUP(Tabela1[[#This Row],[SKU]],SKU!A:C,3,0)</f>
        <v>SASSAMI</v>
      </c>
    </row>
    <row r="506" spans="1:29" x14ac:dyDescent="0.3">
      <c r="A506" s="2">
        <f>INT(Tabela1[[#This Row],[Data e Hora2]])</f>
        <v>46273</v>
      </c>
      <c r="B506" s="6" t="str">
        <f>UPPER(TEXT(Tabela1[[#This Row],[Data Corrigida]],"MMM"))</f>
        <v>SET</v>
      </c>
      <c r="C506" t="s">
        <v>1357</v>
      </c>
      <c r="D506" s="2" t="s">
        <v>1358</v>
      </c>
      <c r="E506" s="1" t="s">
        <v>1356</v>
      </c>
      <c r="F506" t="s">
        <v>24</v>
      </c>
      <c r="G506" s="2" t="s">
        <v>1351</v>
      </c>
      <c r="H506" t="s">
        <v>142</v>
      </c>
      <c r="I506" t="s">
        <v>462</v>
      </c>
      <c r="J506" s="6">
        <v>15105</v>
      </c>
      <c r="K506" s="16">
        <v>1015</v>
      </c>
      <c r="L506" s="16">
        <v>1027</v>
      </c>
      <c r="M506" s="16">
        <v>1029</v>
      </c>
      <c r="N506" s="16">
        <v>996</v>
      </c>
      <c r="O506" s="16">
        <v>985</v>
      </c>
      <c r="P506" s="16">
        <v>1001</v>
      </c>
      <c r="Q506" s="16">
        <v>971</v>
      </c>
      <c r="R506" s="16">
        <v>1023</v>
      </c>
      <c r="S506" s="16">
        <v>1015</v>
      </c>
      <c r="T506" s="16">
        <v>1012</v>
      </c>
      <c r="U506" s="15">
        <v>1007.4</v>
      </c>
      <c r="V506" t="s">
        <v>19</v>
      </c>
      <c r="W506" t="s">
        <v>28</v>
      </c>
      <c r="X506">
        <v>251</v>
      </c>
      <c r="Y506" s="16">
        <f>VLOOKUP(Tabela1[[#This Row],[SKU]],SKU!A:D,4,0)</f>
        <v>1000</v>
      </c>
      <c r="Z506" s="18">
        <f>IFERROR((Tabela1[[#This Row],[Média]]-Tabela1[[#This Row],[Meta]])/Tabela1[[#This Row],[Meta]],"")</f>
        <v>7.3999999999999769E-3</v>
      </c>
      <c r="AA506" s="22">
        <f>Tabela1[[#This Row],[Média]]-Tabela1[[#This Row],[Meta]]</f>
        <v>7.3999999999999773</v>
      </c>
      <c r="AB506" s="6" t="str">
        <f>VLOOKUP(Tabela1[[#This Row],[SKU]],SKU!A:B,2,0)</f>
        <v>FILE PEITO MET CG BDJ SE</v>
      </c>
      <c r="AC506" s="6" t="str">
        <f>VLOOKUP(Tabela1[[#This Row],[SKU]],SKU!A:C,3,0)</f>
        <v>PEITO</v>
      </c>
    </row>
    <row r="507" spans="1:29" x14ac:dyDescent="0.3">
      <c r="A507" s="2">
        <f>INT(Tabela1[[#This Row],[Data e Hora2]])</f>
        <v>46273</v>
      </c>
      <c r="B507" s="6" t="str">
        <f>UPPER(TEXT(Tabela1[[#This Row],[Data Corrigida]],"MMM"))</f>
        <v>SET</v>
      </c>
      <c r="C507" t="s">
        <v>1359</v>
      </c>
      <c r="D507" s="2" t="s">
        <v>1360</v>
      </c>
      <c r="E507" s="1" t="s">
        <v>1361</v>
      </c>
      <c r="F507" t="s">
        <v>24</v>
      </c>
      <c r="G507" s="2" t="s">
        <v>1351</v>
      </c>
      <c r="H507" t="s">
        <v>26</v>
      </c>
      <c r="I507" t="s">
        <v>27</v>
      </c>
      <c r="J507" s="6">
        <v>995638</v>
      </c>
      <c r="K507" s="16">
        <v>15005</v>
      </c>
      <c r="L507" s="16">
        <v>15020</v>
      </c>
      <c r="M507" s="16">
        <v>15035</v>
      </c>
      <c r="N507" s="16">
        <v>15000</v>
      </c>
      <c r="O507" s="16">
        <v>14995</v>
      </c>
      <c r="P507" s="16">
        <v>15045</v>
      </c>
      <c r="Q507" s="16">
        <v>15025</v>
      </c>
      <c r="R507" s="16">
        <v>15060</v>
      </c>
      <c r="S507" s="16">
        <v>15045</v>
      </c>
      <c r="T507" s="16">
        <v>15015</v>
      </c>
      <c r="U507" s="15">
        <v>15024.5</v>
      </c>
      <c r="V507" t="s">
        <v>19</v>
      </c>
      <c r="W507" t="s">
        <v>28</v>
      </c>
      <c r="X507">
        <v>369</v>
      </c>
      <c r="Y507" s="16">
        <f>VLOOKUP(Tabela1[[#This Row],[SKU]],SKU!A:D,4,0)</f>
        <v>15000</v>
      </c>
      <c r="Z507" s="18">
        <f>IFERROR((Tabela1[[#This Row],[Média]]-Tabela1[[#This Row],[Meta]])/Tabela1[[#This Row],[Meta]],"")</f>
        <v>1.6333333333333334E-3</v>
      </c>
      <c r="AA507" s="22">
        <f>Tabela1[[#This Row],[Média]]-Tabela1[[#This Row],[Meta]]</f>
        <v>24.5</v>
      </c>
      <c r="AB507" s="6" t="str">
        <f>VLOOKUP(Tabela1[[#This Row],[SKU]],SKU!A:B,2,0)</f>
        <v>MEIO DA ASA 40-50G LP</v>
      </c>
      <c r="AC507" s="6" t="str">
        <f>VLOOKUP(Tabela1[[#This Row],[SKU]],SKU!A:C,3,0)</f>
        <v>ASA</v>
      </c>
    </row>
    <row r="508" spans="1:29" x14ac:dyDescent="0.3">
      <c r="A508" s="2">
        <f>INT(Tabela1[[#This Row],[Data e Hora2]])</f>
        <v>46273</v>
      </c>
      <c r="B508" s="6" t="str">
        <f>UPPER(TEXT(Tabela1[[#This Row],[Data Corrigida]],"MMM"))</f>
        <v>SET</v>
      </c>
      <c r="C508" t="s">
        <v>1362</v>
      </c>
      <c r="D508" s="2" t="s">
        <v>1363</v>
      </c>
      <c r="E508" s="1" t="s">
        <v>1364</v>
      </c>
      <c r="F508" t="s">
        <v>24</v>
      </c>
      <c r="G508" s="2" t="s">
        <v>1351</v>
      </c>
      <c r="H508" t="s">
        <v>26</v>
      </c>
      <c r="I508" t="s">
        <v>27</v>
      </c>
      <c r="J508" s="6">
        <v>42862</v>
      </c>
      <c r="K508" s="16">
        <v>2020</v>
      </c>
      <c r="L508" s="16">
        <v>2002</v>
      </c>
      <c r="M508" s="16">
        <v>2023</v>
      </c>
      <c r="N508" s="16">
        <v>2027</v>
      </c>
      <c r="O508" s="16">
        <v>2008</v>
      </c>
      <c r="P508" s="16">
        <v>2015</v>
      </c>
      <c r="Q508" s="16">
        <v>2014</v>
      </c>
      <c r="R508" s="16">
        <v>2017</v>
      </c>
      <c r="S508" s="16">
        <v>2009</v>
      </c>
      <c r="T508" s="16">
        <v>2010</v>
      </c>
      <c r="U508" s="15">
        <v>2014.5</v>
      </c>
      <c r="V508" t="s">
        <v>19</v>
      </c>
      <c r="W508" t="s">
        <v>28</v>
      </c>
      <c r="X508">
        <v>126</v>
      </c>
      <c r="Y508" s="16">
        <f>VLOOKUP(Tabela1[[#This Row],[SKU]],SKU!A:D,4,0)</f>
        <v>2000</v>
      </c>
      <c r="Z508" s="18">
        <f>IFERROR((Tabela1[[#This Row],[Média]]-Tabela1[[#This Row],[Meta]])/Tabela1[[#This Row],[Meta]],"")</f>
        <v>7.2500000000000004E-3</v>
      </c>
      <c r="AA508" s="22">
        <f>Tabela1[[#This Row],[Média]]-Tabela1[[#This Row],[Meta]]</f>
        <v>14.5</v>
      </c>
      <c r="AB508" s="6" t="str">
        <f>VLOOKUP(Tabela1[[#This Row],[SKU]],SKU!A:B,2,0)</f>
        <v>COXA SBCX S/O FG 280-300g PB</v>
      </c>
      <c r="AC508" s="6" t="str">
        <f>VLOOKUP(Tabela1[[#This Row],[SKU]],SKU!A:C,3,0)</f>
        <v>PERNA</v>
      </c>
    </row>
    <row r="509" spans="1:29" x14ac:dyDescent="0.3">
      <c r="A509" s="2">
        <f>INT(Tabela1[[#This Row],[Data e Hora2]])</f>
        <v>46273</v>
      </c>
      <c r="B509" s="6" t="str">
        <f>UPPER(TEXT(Tabela1[[#This Row],[Data Corrigida]],"MMM"))</f>
        <v>SET</v>
      </c>
      <c r="C509" t="s">
        <v>1365</v>
      </c>
      <c r="D509" s="2" t="s">
        <v>1366</v>
      </c>
      <c r="E509" s="1" t="s">
        <v>1367</v>
      </c>
      <c r="F509" t="s">
        <v>24</v>
      </c>
      <c r="G509" s="2" t="s">
        <v>1351</v>
      </c>
      <c r="H509" t="s">
        <v>26</v>
      </c>
      <c r="I509" t="s">
        <v>27</v>
      </c>
      <c r="J509" s="6">
        <v>15229</v>
      </c>
      <c r="K509" s="16">
        <v>1007</v>
      </c>
      <c r="L509" s="16">
        <v>1019</v>
      </c>
      <c r="M509" s="16">
        <v>1001</v>
      </c>
      <c r="N509" s="16">
        <v>1006</v>
      </c>
      <c r="O509" s="16">
        <v>1013</v>
      </c>
      <c r="P509" s="16">
        <v>1004</v>
      </c>
      <c r="Q509" s="16">
        <v>1001</v>
      </c>
      <c r="R509" s="16">
        <v>1018</v>
      </c>
      <c r="S509" s="16">
        <v>1000</v>
      </c>
      <c r="T509" s="16">
        <v>1000</v>
      </c>
      <c r="U509" s="15">
        <v>1006.9</v>
      </c>
      <c r="V509" t="s">
        <v>19</v>
      </c>
      <c r="W509" t="s">
        <v>28</v>
      </c>
      <c r="X509">
        <v>9304</v>
      </c>
      <c r="Y509" s="16">
        <f>VLOOKUP(Tabela1[[#This Row],[SKU]],SKU!A:D,4,0)</f>
        <v>1000</v>
      </c>
      <c r="Z509" s="18">
        <f>IFERROR((Tabela1[[#This Row],[Média]]-Tabela1[[#This Row],[Meta]])/Tabela1[[#This Row],[Meta]],"")</f>
        <v>6.8999999999999773E-3</v>
      </c>
      <c r="AA509" s="22">
        <f>Tabela1[[#This Row],[Média]]-Tabela1[[#This Row],[Meta]]</f>
        <v>6.8999999999999773</v>
      </c>
      <c r="AB509" s="6" t="str">
        <f>VLOOKUP(Tabela1[[#This Row],[SKU]],SKU!A:B,2,0)</f>
        <v>COXA CG BDJ SE</v>
      </c>
      <c r="AC509" s="6" t="str">
        <f>VLOOKUP(Tabela1[[#This Row],[SKU]],SKU!A:C,3,0)</f>
        <v>PERNA</v>
      </c>
    </row>
    <row r="510" spans="1:29" x14ac:dyDescent="0.3">
      <c r="A510" s="2">
        <f>INT(Tabela1[[#This Row],[Data e Hora2]])</f>
        <v>46273</v>
      </c>
      <c r="B510" s="6" t="str">
        <f>UPPER(TEXT(Tabela1[[#This Row],[Data Corrigida]],"MMM"))</f>
        <v>SET</v>
      </c>
      <c r="C510" t="s">
        <v>1368</v>
      </c>
      <c r="D510" s="2" t="s">
        <v>1369</v>
      </c>
      <c r="E510" s="1" t="s">
        <v>1367</v>
      </c>
      <c r="F510" t="s">
        <v>24</v>
      </c>
      <c r="G510" s="2" t="s">
        <v>1351</v>
      </c>
      <c r="H510" t="s">
        <v>26</v>
      </c>
      <c r="I510" t="s">
        <v>27</v>
      </c>
      <c r="J510" s="6">
        <v>13188</v>
      </c>
      <c r="K510" s="16">
        <v>1009</v>
      </c>
      <c r="L510" s="16">
        <v>1009</v>
      </c>
      <c r="M510" s="16">
        <v>1002</v>
      </c>
      <c r="N510" s="16">
        <v>1010</v>
      </c>
      <c r="O510" s="16">
        <v>1016</v>
      </c>
      <c r="P510" s="16">
        <v>995</v>
      </c>
      <c r="Q510" s="16">
        <v>1003</v>
      </c>
      <c r="R510" s="16">
        <v>1003</v>
      </c>
      <c r="S510" s="16">
        <v>1002</v>
      </c>
      <c r="T510" s="16">
        <v>1014</v>
      </c>
      <c r="U510" s="15">
        <v>1006.3</v>
      </c>
      <c r="V510" t="s">
        <v>19</v>
      </c>
      <c r="W510" t="s">
        <v>28</v>
      </c>
      <c r="X510">
        <v>499</v>
      </c>
      <c r="Y510" s="16">
        <f>VLOOKUP(Tabela1[[#This Row],[SKU]],SKU!A:D,4,0)</f>
        <v>1000</v>
      </c>
      <c r="Z510" s="18">
        <f>IFERROR((Tabela1[[#This Row],[Média]]-Tabela1[[#This Row],[Meta]])/Tabela1[[#This Row],[Meta]],"")</f>
        <v>6.2999999999999549E-3</v>
      </c>
      <c r="AA510" s="22">
        <f>Tabela1[[#This Row],[Média]]-Tabela1[[#This Row],[Meta]]</f>
        <v>6.2999999999999545</v>
      </c>
      <c r="AB510" s="6" t="str">
        <f>VLOOKUP(Tabela1[[#This Row],[SKU]],SKU!A:B,2,0)</f>
        <v>SOBRECOXA CG BDJ SE</v>
      </c>
      <c r="AC510" s="6" t="str">
        <f>VLOOKUP(Tabela1[[#This Row],[SKU]],SKU!A:C,3,0)</f>
        <v>PERNA</v>
      </c>
    </row>
    <row r="511" spans="1:29" x14ac:dyDescent="0.3">
      <c r="A511" s="2">
        <f>INT(Tabela1[[#This Row],[Data e Hora2]])</f>
        <v>46273</v>
      </c>
      <c r="B511" s="6" t="str">
        <f>UPPER(TEXT(Tabela1[[#This Row],[Data Corrigida]],"MMM"))</f>
        <v>SET</v>
      </c>
      <c r="C511" t="s">
        <v>1370</v>
      </c>
      <c r="D511" s="2" t="s">
        <v>1371</v>
      </c>
      <c r="E511" s="1" t="s">
        <v>1367</v>
      </c>
      <c r="F511" t="s">
        <v>24</v>
      </c>
      <c r="G511" s="2" t="s">
        <v>1351</v>
      </c>
      <c r="H511" t="s">
        <v>26</v>
      </c>
      <c r="I511" t="s">
        <v>27</v>
      </c>
      <c r="J511" s="6">
        <v>15849</v>
      </c>
      <c r="K511" s="16">
        <v>1011</v>
      </c>
      <c r="L511" s="16">
        <v>1013</v>
      </c>
      <c r="M511" s="16">
        <v>997</v>
      </c>
      <c r="N511" s="16">
        <v>1012</v>
      </c>
      <c r="O511" s="16">
        <v>1004</v>
      </c>
      <c r="P511" s="16">
        <v>999</v>
      </c>
      <c r="Q511" s="16">
        <v>1010</v>
      </c>
      <c r="R511" s="16">
        <v>1003</v>
      </c>
      <c r="S511" s="16">
        <v>1008</v>
      </c>
      <c r="T511" s="16">
        <v>1009</v>
      </c>
      <c r="U511" s="15">
        <v>1006.6</v>
      </c>
      <c r="V511" t="s">
        <v>19</v>
      </c>
      <c r="W511" t="s">
        <v>28</v>
      </c>
      <c r="X511">
        <v>2266</v>
      </c>
      <c r="Y511" s="16">
        <f>VLOOKUP(Tabela1[[#This Row],[SKU]],SKU!A:D,4,0)</f>
        <v>1000</v>
      </c>
      <c r="Z511" s="18">
        <f>IFERROR((Tabela1[[#This Row],[Média]]-Tabela1[[#This Row],[Meta]])/Tabela1[[#This Row],[Meta]],"")</f>
        <v>6.6000000000000225E-3</v>
      </c>
      <c r="AA511" s="22">
        <f>Tabela1[[#This Row],[Média]]-Tabela1[[#This Row],[Meta]]</f>
        <v>6.6000000000000227</v>
      </c>
      <c r="AB511" s="6" t="str">
        <f>VLOOKUP(Tabela1[[#This Row],[SKU]],SKU!A:B,2,0)</f>
        <v>FILEZINHO PEITO CG BDJ SE</v>
      </c>
      <c r="AC511" s="6" t="str">
        <f>VLOOKUP(Tabela1[[#This Row],[SKU]],SKU!A:C,3,0)</f>
        <v>SASSAMI</v>
      </c>
    </row>
    <row r="512" spans="1:29" x14ac:dyDescent="0.3">
      <c r="A512" s="2">
        <f>INT(Tabela1[[#This Row],[Data e Hora2]])</f>
        <v>46273</v>
      </c>
      <c r="B512" s="6" t="str">
        <f>UPPER(TEXT(Tabela1[[#This Row],[Data Corrigida]],"MMM"))</f>
        <v>SET</v>
      </c>
      <c r="C512" t="s">
        <v>1372</v>
      </c>
      <c r="D512" s="2" t="s">
        <v>1373</v>
      </c>
      <c r="E512" s="1" t="s">
        <v>1367</v>
      </c>
      <c r="F512" t="s">
        <v>24</v>
      </c>
      <c r="G512" s="2" t="s">
        <v>1351</v>
      </c>
      <c r="H512" t="s">
        <v>26</v>
      </c>
      <c r="I512" t="s">
        <v>27</v>
      </c>
      <c r="J512" s="6">
        <v>792799</v>
      </c>
      <c r="K512" s="16">
        <v>15060</v>
      </c>
      <c r="L512" s="16">
        <v>15095</v>
      </c>
      <c r="M512" s="16">
        <v>15070</v>
      </c>
      <c r="N512" s="16">
        <v>15100</v>
      </c>
      <c r="O512" s="16">
        <v>15045</v>
      </c>
      <c r="P512" s="16">
        <v>15100</v>
      </c>
      <c r="Q512" s="16">
        <v>15075</v>
      </c>
      <c r="R512" s="16">
        <v>15100</v>
      </c>
      <c r="S512" s="16">
        <v>15060</v>
      </c>
      <c r="T512" s="16">
        <v>15100</v>
      </c>
      <c r="U512" s="15">
        <v>15081</v>
      </c>
      <c r="V512" t="s">
        <v>19</v>
      </c>
      <c r="W512" t="s">
        <v>19</v>
      </c>
      <c r="X512">
        <v>364</v>
      </c>
      <c r="Y512" s="16">
        <f>VLOOKUP(Tabela1[[#This Row],[SKU]],SKU!A:D,4,0)</f>
        <v>15000</v>
      </c>
      <c r="Z512" s="18">
        <f>IFERROR((Tabela1[[#This Row],[Média]]-Tabela1[[#This Row],[Meta]])/Tabela1[[#This Row],[Meta]],"")</f>
        <v>5.4000000000000003E-3</v>
      </c>
      <c r="AA512" s="22">
        <f>Tabela1[[#This Row],[Média]]-Tabela1[[#This Row],[Meta]]</f>
        <v>81</v>
      </c>
      <c r="AB512" s="6" t="str">
        <f>VLOOKUP(Tabela1[[#This Row],[SKU]],SKU!A:B,2,0)</f>
        <v>ASAS FG 100g UP LP</v>
      </c>
      <c r="AC512" s="6" t="str">
        <f>VLOOKUP(Tabela1[[#This Row],[SKU]],SKU!A:C,3,0)</f>
        <v>ASA</v>
      </c>
    </row>
    <row r="513" spans="1:29" x14ac:dyDescent="0.3">
      <c r="A513" s="2">
        <f>INT(Tabela1[[#This Row],[Data e Hora2]])</f>
        <v>46273</v>
      </c>
      <c r="B513" s="6" t="str">
        <f>UPPER(TEXT(Tabela1[[#This Row],[Data Corrigida]],"MMM"))</f>
        <v>SET</v>
      </c>
      <c r="C513" t="s">
        <v>1374</v>
      </c>
      <c r="D513" s="2" t="s">
        <v>1375</v>
      </c>
      <c r="E513" s="1" t="s">
        <v>1367</v>
      </c>
      <c r="F513" t="s">
        <v>24</v>
      </c>
      <c r="G513" s="2" t="s">
        <v>1351</v>
      </c>
      <c r="H513" t="s">
        <v>26</v>
      </c>
      <c r="I513" t="s">
        <v>27</v>
      </c>
      <c r="J513" s="6">
        <v>15105</v>
      </c>
      <c r="K513" s="16">
        <v>1016</v>
      </c>
      <c r="L513" s="16">
        <v>1015</v>
      </c>
      <c r="M513" s="16">
        <v>1003</v>
      </c>
      <c r="N513" s="16">
        <v>1068</v>
      </c>
      <c r="O513" s="16">
        <v>986</v>
      </c>
      <c r="P513" s="16">
        <v>1021</v>
      </c>
      <c r="Q513" s="16">
        <v>1044</v>
      </c>
      <c r="R513" s="16">
        <v>1020</v>
      </c>
      <c r="S513" s="16">
        <v>1026</v>
      </c>
      <c r="T513" s="16">
        <v>1039</v>
      </c>
      <c r="U513" s="15">
        <v>1023.8</v>
      </c>
      <c r="V513" t="s">
        <v>19</v>
      </c>
      <c r="W513" t="s">
        <v>28</v>
      </c>
      <c r="X513">
        <v>282</v>
      </c>
      <c r="Y513" s="16">
        <f>VLOOKUP(Tabela1[[#This Row],[SKU]],SKU!A:D,4,0)</f>
        <v>1000</v>
      </c>
      <c r="Z513" s="18">
        <f>IFERROR((Tabela1[[#This Row],[Média]]-Tabela1[[#This Row],[Meta]])/Tabela1[[#This Row],[Meta]],"")</f>
        <v>2.3799999999999953E-2</v>
      </c>
      <c r="AA513" s="22">
        <f>Tabela1[[#This Row],[Média]]-Tabela1[[#This Row],[Meta]]</f>
        <v>23.799999999999955</v>
      </c>
      <c r="AB513" s="6" t="str">
        <f>VLOOKUP(Tabela1[[#This Row],[SKU]],SKU!A:B,2,0)</f>
        <v>FILE PEITO MET CG BDJ SE</v>
      </c>
      <c r="AC513" s="6" t="str">
        <f>VLOOKUP(Tabela1[[#This Row],[SKU]],SKU!A:C,3,0)</f>
        <v>PEITO</v>
      </c>
    </row>
    <row r="514" spans="1:29" x14ac:dyDescent="0.3">
      <c r="A514" s="2">
        <f>INT(Tabela1[[#This Row],[Data e Hora2]])</f>
        <v>46273</v>
      </c>
      <c r="B514" s="6" t="str">
        <f>UPPER(TEXT(Tabela1[[#This Row],[Data Corrigida]],"MMM"))</f>
        <v>SET</v>
      </c>
      <c r="C514" t="s">
        <v>1376</v>
      </c>
      <c r="D514" s="2" t="s">
        <v>1377</v>
      </c>
      <c r="E514" s="1" t="s">
        <v>1367</v>
      </c>
      <c r="F514" t="s">
        <v>24</v>
      </c>
      <c r="G514" s="2" t="s">
        <v>1351</v>
      </c>
      <c r="H514" t="s">
        <v>26</v>
      </c>
      <c r="I514" t="s">
        <v>27</v>
      </c>
      <c r="J514" s="6">
        <v>209069</v>
      </c>
      <c r="K514" s="16">
        <v>1029</v>
      </c>
      <c r="L514" s="16">
        <v>999</v>
      </c>
      <c r="M514" s="16">
        <v>1006</v>
      </c>
      <c r="N514" s="16">
        <v>1007</v>
      </c>
      <c r="O514" s="16">
        <v>1001</v>
      </c>
      <c r="P514" s="16">
        <v>1022</v>
      </c>
      <c r="Q514" s="16">
        <v>1031</v>
      </c>
      <c r="R514" s="16">
        <v>1030</v>
      </c>
      <c r="S514" s="16">
        <v>998</v>
      </c>
      <c r="T514" s="16">
        <v>1024</v>
      </c>
      <c r="U514" s="15">
        <v>1014.7</v>
      </c>
      <c r="V514" t="s">
        <v>19</v>
      </c>
      <c r="W514" t="s">
        <v>28</v>
      </c>
      <c r="X514">
        <v>94</v>
      </c>
      <c r="Y514" s="16">
        <f>VLOOKUP(Tabela1[[#This Row],[SKU]],SKU!A:D,4,0)</f>
        <v>1000</v>
      </c>
      <c r="Z514" s="18">
        <f>IFERROR((Tabela1[[#This Row],[Média]]-Tabela1[[#This Row],[Meta]])/Tabela1[[#This Row],[Meta]],"")</f>
        <v>1.4700000000000045E-2</v>
      </c>
      <c r="AA514" s="22">
        <f>Tabela1[[#This Row],[Média]]-Tabela1[[#This Row],[Meta]]</f>
        <v>14.700000000000045</v>
      </c>
      <c r="AB514" s="6" t="str">
        <f>VLOOKUP(Tabela1[[#This Row],[SKU]],SKU!A:B,2,0)</f>
        <v>FILE PEITO CG IQF1KG</v>
      </c>
      <c r="AC514" s="6" t="str">
        <f>VLOOKUP(Tabela1[[#This Row],[SKU]],SKU!A:C,3,0)</f>
        <v>PEITO</v>
      </c>
    </row>
    <row r="515" spans="1:29" x14ac:dyDescent="0.3">
      <c r="A515" s="2">
        <f>INT(Tabela1[[#This Row],[Data e Hora2]])</f>
        <v>46273</v>
      </c>
      <c r="B515" s="6" t="str">
        <f>UPPER(TEXT(Tabela1[[#This Row],[Data Corrigida]],"MMM"))</f>
        <v>SET</v>
      </c>
      <c r="C515" t="s">
        <v>1378</v>
      </c>
      <c r="D515" s="2" t="s">
        <v>1379</v>
      </c>
      <c r="E515" s="1" t="s">
        <v>1367</v>
      </c>
      <c r="F515" t="s">
        <v>24</v>
      </c>
      <c r="G515" s="2" t="s">
        <v>1351</v>
      </c>
      <c r="H515" t="s">
        <v>26</v>
      </c>
      <c r="I515" t="s">
        <v>27</v>
      </c>
      <c r="J515" s="6">
        <v>42838</v>
      </c>
      <c r="K515" s="16">
        <v>2035</v>
      </c>
      <c r="L515" s="16">
        <v>2031</v>
      </c>
      <c r="M515" s="16">
        <v>2049</v>
      </c>
      <c r="N515" s="16">
        <v>2035</v>
      </c>
      <c r="O515" s="16">
        <v>2039</v>
      </c>
      <c r="P515" s="16">
        <v>2041</v>
      </c>
      <c r="Q515" s="16">
        <v>2042</v>
      </c>
      <c r="R515" s="16">
        <v>2040</v>
      </c>
      <c r="S515" s="16">
        <v>2040</v>
      </c>
      <c r="T515" s="16">
        <v>2030</v>
      </c>
      <c r="U515" s="15">
        <v>2038.2</v>
      </c>
      <c r="V515" t="s">
        <v>19</v>
      </c>
      <c r="W515" t="s">
        <v>28</v>
      </c>
      <c r="X515">
        <v>156</v>
      </c>
      <c r="Y515" s="16">
        <f>VLOOKUP(Tabela1[[#This Row],[SKU]],SKU!A:D,4,0)</f>
        <v>2000</v>
      </c>
      <c r="Z515" s="18">
        <f>IFERROR((Tabela1[[#This Row],[Média]]-Tabela1[[#This Row],[Meta]])/Tabela1[[#This Row],[Meta]],"")</f>
        <v>1.9100000000000023E-2</v>
      </c>
      <c r="AA515" s="22">
        <f>Tabela1[[#This Row],[Média]]-Tabela1[[#This Row],[Meta]]</f>
        <v>38.200000000000045</v>
      </c>
      <c r="AB515" s="6" t="str">
        <f>VLOOKUP(Tabela1[[#This Row],[SKU]],SKU!A:B,2,0)</f>
        <v>COXA SBCX S/O FG 220-240g PB</v>
      </c>
      <c r="AC515" s="6" t="str">
        <f>VLOOKUP(Tabela1[[#This Row],[SKU]],SKU!A:C,3,0)</f>
        <v>PERNA</v>
      </c>
    </row>
    <row r="516" spans="1:29" x14ac:dyDescent="0.3">
      <c r="A516" s="2">
        <f>INT(Tabela1[[#This Row],[Data e Hora2]])</f>
        <v>46273</v>
      </c>
      <c r="B516" s="6" t="str">
        <f>UPPER(TEXT(Tabela1[[#This Row],[Data Corrigida]],"MMM"))</f>
        <v>SET</v>
      </c>
      <c r="C516" t="s">
        <v>1380</v>
      </c>
      <c r="D516" s="2" t="s">
        <v>1381</v>
      </c>
      <c r="E516" s="1" t="s">
        <v>1367</v>
      </c>
      <c r="F516" t="s">
        <v>24</v>
      </c>
      <c r="G516" s="2" t="s">
        <v>1351</v>
      </c>
      <c r="H516" t="s">
        <v>26</v>
      </c>
      <c r="I516" t="s">
        <v>27</v>
      </c>
      <c r="J516" s="6">
        <v>42820</v>
      </c>
      <c r="K516" s="16">
        <v>2033</v>
      </c>
      <c r="L516" s="16">
        <v>2031</v>
      </c>
      <c r="M516" s="16">
        <v>2073</v>
      </c>
      <c r="N516" s="16">
        <v>1998</v>
      </c>
      <c r="O516" s="16">
        <v>2030</v>
      </c>
      <c r="P516" s="16">
        <v>2100</v>
      </c>
      <c r="Q516" s="16">
        <v>2028</v>
      </c>
      <c r="R516" s="16">
        <v>2055</v>
      </c>
      <c r="S516" s="16">
        <v>2093</v>
      </c>
      <c r="T516" s="16">
        <v>2032</v>
      </c>
      <c r="U516" s="15">
        <v>2047.3</v>
      </c>
      <c r="V516" t="s">
        <v>19</v>
      </c>
      <c r="W516" t="s">
        <v>19</v>
      </c>
      <c r="X516">
        <v>310</v>
      </c>
      <c r="Y516" s="16">
        <f>VLOOKUP(Tabela1[[#This Row],[SKU]],SKU!A:D,4,0)</f>
        <v>2000</v>
      </c>
      <c r="Z516" s="18">
        <f>IFERROR((Tabela1[[#This Row],[Média]]-Tabela1[[#This Row],[Meta]])/Tabela1[[#This Row],[Meta]],"")</f>
        <v>2.3649999999999977E-2</v>
      </c>
      <c r="AA516" s="22">
        <f>Tabela1[[#This Row],[Média]]-Tabela1[[#This Row],[Meta]]</f>
        <v>47.299999999999955</v>
      </c>
      <c r="AB516" s="6" t="str">
        <f>VLOOKUP(Tabela1[[#This Row],[SKU]],SKU!A:B,2,0)</f>
        <v>COXA SBCX S/O FG 200-220g PB</v>
      </c>
      <c r="AC516" s="6" t="str">
        <f>VLOOKUP(Tabela1[[#This Row],[SKU]],SKU!A:C,3,0)</f>
        <v>PERNA</v>
      </c>
    </row>
    <row r="517" spans="1:29" x14ac:dyDescent="0.3">
      <c r="A517" s="2">
        <f>INT(Tabela1[[#This Row],[Data e Hora2]])</f>
        <v>46273</v>
      </c>
      <c r="B517" s="6" t="str">
        <f>UPPER(TEXT(Tabela1[[#This Row],[Data Corrigida]],"MMM"))</f>
        <v>SET</v>
      </c>
      <c r="C517" t="s">
        <v>1382</v>
      </c>
      <c r="D517" s="2" t="s">
        <v>1383</v>
      </c>
      <c r="E517" s="1" t="s">
        <v>1367</v>
      </c>
      <c r="F517" t="s">
        <v>24</v>
      </c>
      <c r="G517" s="2" t="s">
        <v>1351</v>
      </c>
      <c r="H517" t="s">
        <v>26</v>
      </c>
      <c r="I517" t="s">
        <v>27</v>
      </c>
      <c r="J517" s="6">
        <v>40762</v>
      </c>
      <c r="K517" s="16">
        <v>9990</v>
      </c>
      <c r="L517" s="16">
        <v>10125</v>
      </c>
      <c r="M517" s="16">
        <v>10090</v>
      </c>
      <c r="N517" s="16">
        <v>9945</v>
      </c>
      <c r="O517" s="16">
        <v>10080</v>
      </c>
      <c r="P517" s="16">
        <v>9990</v>
      </c>
      <c r="Q517" s="16">
        <v>10005</v>
      </c>
      <c r="R517" s="16">
        <v>10090</v>
      </c>
      <c r="S517" s="16">
        <v>10110</v>
      </c>
      <c r="T517" s="16">
        <v>10115</v>
      </c>
      <c r="U517" s="15">
        <v>10054</v>
      </c>
      <c r="V517" t="s">
        <v>19</v>
      </c>
      <c r="W517" t="s">
        <v>28</v>
      </c>
      <c r="X517">
        <v>514</v>
      </c>
      <c r="Y517" s="16">
        <f>VLOOKUP(Tabela1[[#This Row],[SKU]],SKU!A:D,4,0)</f>
        <v>10000</v>
      </c>
      <c r="Z517" s="18">
        <f>IFERROR((Tabela1[[#This Row],[Média]]-Tabela1[[#This Row],[Meta]])/Tabela1[[#This Row],[Meta]],"")</f>
        <v>5.4000000000000003E-3</v>
      </c>
      <c r="AA517" s="22">
        <f>Tabela1[[#This Row],[Média]]-Tabela1[[#This Row],[Meta]]</f>
        <v>54</v>
      </c>
      <c r="AB517" s="6" t="str">
        <f>VLOOKUP(Tabela1[[#This Row],[SKU]],SKU!A:B,2,0)</f>
        <v>COXA SBCX LQ FG LP</v>
      </c>
      <c r="AC517" s="6" t="str">
        <f>VLOOKUP(Tabela1[[#This Row],[SKU]],SKU!A:C,3,0)</f>
        <v>PERNA</v>
      </c>
    </row>
    <row r="518" spans="1:29" x14ac:dyDescent="0.3">
      <c r="A518" s="2">
        <f>INT(Tabela1[[#This Row],[Data e Hora2]])</f>
        <v>46273</v>
      </c>
      <c r="B518" s="6" t="str">
        <f>UPPER(TEXT(Tabela1[[#This Row],[Data Corrigida]],"MMM"))</f>
        <v>SET</v>
      </c>
      <c r="C518" t="s">
        <v>1384</v>
      </c>
      <c r="D518" s="2" t="s">
        <v>1385</v>
      </c>
      <c r="E518" s="1" t="s">
        <v>1367</v>
      </c>
      <c r="F518" t="s">
        <v>24</v>
      </c>
      <c r="G518" s="2" t="s">
        <v>1351</v>
      </c>
      <c r="H518" t="s">
        <v>26</v>
      </c>
      <c r="I518" t="s">
        <v>27</v>
      </c>
      <c r="J518" s="6">
        <v>42846</v>
      </c>
      <c r="K518" s="16">
        <v>2010</v>
      </c>
      <c r="L518" s="16">
        <v>2009</v>
      </c>
      <c r="M518" s="16">
        <v>2013</v>
      </c>
      <c r="N518" s="16">
        <v>2006</v>
      </c>
      <c r="O518" s="16">
        <v>2012</v>
      </c>
      <c r="P518" s="16">
        <v>2011</v>
      </c>
      <c r="Q518" s="16">
        <v>2006</v>
      </c>
      <c r="R518" s="16">
        <v>2011</v>
      </c>
      <c r="S518" s="16">
        <v>2007</v>
      </c>
      <c r="T518" s="16">
        <v>2011</v>
      </c>
      <c r="U518" s="15">
        <v>2009.6</v>
      </c>
      <c r="V518" t="s">
        <v>19</v>
      </c>
      <c r="W518" t="s">
        <v>19</v>
      </c>
      <c r="X518">
        <v>102</v>
      </c>
      <c r="Y518" s="16">
        <f>VLOOKUP(Tabela1[[#This Row],[SKU]],SKU!A:D,4,0)</f>
        <v>2000</v>
      </c>
      <c r="Z518" s="18">
        <f>IFERROR((Tabela1[[#This Row],[Média]]-Tabela1[[#This Row],[Meta]])/Tabela1[[#This Row],[Meta]],"")</f>
        <v>4.7999999999999545E-3</v>
      </c>
      <c r="AA518" s="22">
        <f>Tabela1[[#This Row],[Média]]-Tabela1[[#This Row],[Meta]]</f>
        <v>9.5999999999999091</v>
      </c>
      <c r="AB518" s="6" t="str">
        <f>VLOOKUP(Tabela1[[#This Row],[SKU]],SKU!A:B,2,0)</f>
        <v>COXA SBCX S/O FG 240-260g PB</v>
      </c>
      <c r="AC518" s="6" t="str">
        <f>VLOOKUP(Tabela1[[#This Row],[SKU]],SKU!A:C,3,0)</f>
        <v>PERNA</v>
      </c>
    </row>
    <row r="519" spans="1:29" x14ac:dyDescent="0.3">
      <c r="A519" s="2">
        <f>INT(Tabela1[[#This Row],[Data e Hora2]])</f>
        <v>46273</v>
      </c>
      <c r="B519" s="6" t="str">
        <f>UPPER(TEXT(Tabela1[[#This Row],[Data Corrigida]],"MMM"))</f>
        <v>SET</v>
      </c>
      <c r="C519" t="s">
        <v>1386</v>
      </c>
      <c r="D519" s="2" t="s">
        <v>1387</v>
      </c>
      <c r="E519" s="1" t="s">
        <v>1367</v>
      </c>
      <c r="F519" t="s">
        <v>24</v>
      </c>
      <c r="G519" s="2" t="s">
        <v>1351</v>
      </c>
      <c r="H519" t="s">
        <v>26</v>
      </c>
      <c r="I519" t="s">
        <v>27</v>
      </c>
      <c r="J519" s="6">
        <v>42854</v>
      </c>
      <c r="K519" s="16">
        <v>2086</v>
      </c>
      <c r="L519" s="16">
        <v>2106</v>
      </c>
      <c r="M519" s="16">
        <v>2114</v>
      </c>
      <c r="N519" s="16">
        <v>2118</v>
      </c>
      <c r="O519" s="16">
        <v>2099</v>
      </c>
      <c r="P519" s="16">
        <v>2166</v>
      </c>
      <c r="Q519" s="16">
        <v>2107</v>
      </c>
      <c r="R519" s="16">
        <v>2112</v>
      </c>
      <c r="S519" s="16">
        <v>2115</v>
      </c>
      <c r="T519" s="16">
        <v>2097</v>
      </c>
      <c r="U519" s="15">
        <v>2112</v>
      </c>
      <c r="V519" t="s">
        <v>19</v>
      </c>
      <c r="W519" t="s">
        <v>28</v>
      </c>
      <c r="X519">
        <v>713</v>
      </c>
      <c r="Y519" s="16">
        <f>VLOOKUP(Tabela1[[#This Row],[SKU]],SKU!A:D,4,0)</f>
        <v>2080</v>
      </c>
      <c r="Z519" s="18">
        <f>IFERROR((Tabela1[[#This Row],[Média]]-Tabela1[[#This Row],[Meta]])/Tabela1[[#This Row],[Meta]],"")</f>
        <v>1.5384615384615385E-2</v>
      </c>
      <c r="AA519" s="22">
        <f>Tabela1[[#This Row],[Média]]-Tabela1[[#This Row],[Meta]]</f>
        <v>32</v>
      </c>
      <c r="AB519" s="6" t="str">
        <f>VLOOKUP(Tabela1[[#This Row],[SKU]],SKU!A:B,2,0)</f>
        <v>COXA SBCX S/O FG 260-280g PB</v>
      </c>
      <c r="AC519" s="6" t="str">
        <f>VLOOKUP(Tabela1[[#This Row],[SKU]],SKU!A:C,3,0)</f>
        <v>PERNA</v>
      </c>
    </row>
    <row r="520" spans="1:29" x14ac:dyDescent="0.3">
      <c r="A520" s="2">
        <f>INT(Tabela1[[#This Row],[Data e Hora2]])</f>
        <v>46273</v>
      </c>
      <c r="B520" s="6" t="str">
        <f>UPPER(TEXT(Tabela1[[#This Row],[Data Corrigida]],"MMM"))</f>
        <v>SET</v>
      </c>
      <c r="C520" t="s">
        <v>1388</v>
      </c>
      <c r="D520" s="2" t="s">
        <v>1389</v>
      </c>
      <c r="E520" s="1" t="s">
        <v>1367</v>
      </c>
      <c r="F520" t="s">
        <v>24</v>
      </c>
      <c r="G520" s="2" t="s">
        <v>1351</v>
      </c>
      <c r="H520" t="s">
        <v>26</v>
      </c>
      <c r="I520" t="s">
        <v>27</v>
      </c>
      <c r="J520" s="6">
        <v>995638</v>
      </c>
      <c r="K520" s="16">
        <v>15040</v>
      </c>
      <c r="L520" s="16">
        <v>15025</v>
      </c>
      <c r="M520" s="16">
        <v>14950</v>
      </c>
      <c r="N520" s="16">
        <v>15065</v>
      </c>
      <c r="O520" s="16">
        <v>15005</v>
      </c>
      <c r="P520" s="16">
        <v>15062</v>
      </c>
      <c r="Q520" s="16">
        <v>15045</v>
      </c>
      <c r="R520" s="16">
        <v>15015</v>
      </c>
      <c r="S520" s="16">
        <v>15000</v>
      </c>
      <c r="T520" s="16">
        <v>15020</v>
      </c>
      <c r="U520" s="15">
        <v>15022.7</v>
      </c>
      <c r="V520" t="s">
        <v>19</v>
      </c>
      <c r="W520" t="s">
        <v>28</v>
      </c>
      <c r="X520">
        <v>30332</v>
      </c>
      <c r="Y520" s="16">
        <f>VLOOKUP(Tabela1[[#This Row],[SKU]],SKU!A:D,4,0)</f>
        <v>15000</v>
      </c>
      <c r="Z520" s="18">
        <f>IFERROR((Tabela1[[#This Row],[Média]]-Tabela1[[#This Row],[Meta]])/Tabela1[[#This Row],[Meta]],"")</f>
        <v>1.5133333333333819E-3</v>
      </c>
      <c r="AA520" s="22">
        <f>Tabela1[[#This Row],[Média]]-Tabela1[[#This Row],[Meta]]</f>
        <v>22.700000000000728</v>
      </c>
      <c r="AB520" s="6" t="str">
        <f>VLOOKUP(Tabela1[[#This Row],[SKU]],SKU!A:B,2,0)</f>
        <v>MEIO DA ASA 40-50G LP</v>
      </c>
      <c r="AC520" s="6" t="str">
        <f>VLOOKUP(Tabela1[[#This Row],[SKU]],SKU!A:C,3,0)</f>
        <v>ASA</v>
      </c>
    </row>
    <row r="521" spans="1:29" x14ac:dyDescent="0.3">
      <c r="A521" s="2">
        <f>INT(Tabela1[[#This Row],[Data e Hora2]])</f>
        <v>46273</v>
      </c>
      <c r="B521" s="6" t="str">
        <f>UPPER(TEXT(Tabela1[[#This Row],[Data Corrigida]],"MMM"))</f>
        <v>SET</v>
      </c>
      <c r="C521" t="s">
        <v>1390</v>
      </c>
      <c r="D521" s="2" t="s">
        <v>1391</v>
      </c>
      <c r="E521" s="1" t="s">
        <v>1367</v>
      </c>
      <c r="F521" t="s">
        <v>24</v>
      </c>
      <c r="G521" s="2" t="s">
        <v>1351</v>
      </c>
      <c r="H521" t="s">
        <v>26</v>
      </c>
      <c r="I521" t="s">
        <v>27</v>
      </c>
      <c r="J521" s="6">
        <v>992093</v>
      </c>
      <c r="K521" s="16">
        <v>5007</v>
      </c>
      <c r="L521" s="16">
        <v>5005</v>
      </c>
      <c r="M521" s="16">
        <v>5035</v>
      </c>
      <c r="N521" s="16">
        <v>5003</v>
      </c>
      <c r="O521" s="16">
        <v>5009</v>
      </c>
      <c r="P521" s="16">
        <v>5012</v>
      </c>
      <c r="Q521" s="16">
        <v>5014</v>
      </c>
      <c r="R521" s="16">
        <v>5003</v>
      </c>
      <c r="S521" s="16">
        <v>5005</v>
      </c>
      <c r="T521" s="16">
        <v>5006</v>
      </c>
      <c r="U521" s="15">
        <v>5009.8999999999996</v>
      </c>
      <c r="V521" t="s">
        <v>19</v>
      </c>
      <c r="W521" t="s">
        <v>19</v>
      </c>
      <c r="X521">
        <v>251</v>
      </c>
      <c r="Y521" s="16">
        <f>VLOOKUP(Tabela1[[#This Row],[SKU]],SKU!A:D,4,0)</f>
        <v>5000</v>
      </c>
      <c r="Z521" s="18">
        <f>IFERROR((Tabela1[[#This Row],[Média]]-Tabela1[[#This Row],[Meta]])/Tabela1[[#This Row],[Meta]],"")</f>
        <v>1.9799999999999271E-3</v>
      </c>
      <c r="AA521" s="22">
        <f>Tabela1[[#This Row],[Média]]-Tabela1[[#This Row],[Meta]]</f>
        <v>9.8999999999996362</v>
      </c>
      <c r="AB521" s="6" t="str">
        <f>VLOOKUP(Tabela1[[#This Row],[SKU]],SKU!A:B,2,0)</f>
        <v>PONTA ASA FG PB CG</v>
      </c>
      <c r="AC521" s="6" t="str">
        <f>VLOOKUP(Tabela1[[#This Row],[SKU]],SKU!A:C,3,0)</f>
        <v>ASA</v>
      </c>
    </row>
    <row r="522" spans="1:29" x14ac:dyDescent="0.3">
      <c r="A522" s="2">
        <f>INT(Tabela1[[#This Row],[Data e Hora2]])</f>
        <v>46273</v>
      </c>
      <c r="B522" s="6" t="str">
        <f>UPPER(TEXT(Tabela1[[#This Row],[Data Corrigida]],"MMM"))</f>
        <v>SET</v>
      </c>
      <c r="C522" t="s">
        <v>1392</v>
      </c>
      <c r="D522" s="2" t="s">
        <v>1393</v>
      </c>
      <c r="E522" s="1" t="s">
        <v>1367</v>
      </c>
      <c r="F522" t="s">
        <v>24</v>
      </c>
      <c r="G522" s="2" t="s">
        <v>1351</v>
      </c>
      <c r="H522" t="s">
        <v>26</v>
      </c>
      <c r="I522" t="s">
        <v>27</v>
      </c>
      <c r="J522" s="6">
        <v>15105</v>
      </c>
      <c r="K522" s="16">
        <v>1020</v>
      </c>
      <c r="L522" s="16">
        <v>1036</v>
      </c>
      <c r="M522" s="16">
        <v>1008</v>
      </c>
      <c r="N522" s="16">
        <v>1027</v>
      </c>
      <c r="O522" s="16">
        <v>1006</v>
      </c>
      <c r="P522" s="16">
        <v>1040</v>
      </c>
      <c r="Q522" s="16">
        <v>1028</v>
      </c>
      <c r="R522" s="16">
        <v>1010</v>
      </c>
      <c r="S522" s="16">
        <v>997</v>
      </c>
      <c r="T522" s="16">
        <v>1011</v>
      </c>
      <c r="U522" s="15">
        <v>1018.3</v>
      </c>
      <c r="V522" t="s">
        <v>19</v>
      </c>
      <c r="W522" t="s">
        <v>28</v>
      </c>
      <c r="X522">
        <v>404</v>
      </c>
      <c r="Y522" s="16">
        <f>VLOOKUP(Tabela1[[#This Row],[SKU]],SKU!A:D,4,0)</f>
        <v>1000</v>
      </c>
      <c r="Z522" s="18">
        <f>IFERROR((Tabela1[[#This Row],[Média]]-Tabela1[[#This Row],[Meta]])/Tabela1[[#This Row],[Meta]],"")</f>
        <v>1.8299999999999955E-2</v>
      </c>
      <c r="AA522" s="22">
        <f>Tabela1[[#This Row],[Média]]-Tabela1[[#This Row],[Meta]]</f>
        <v>18.299999999999955</v>
      </c>
      <c r="AB522" s="6" t="str">
        <f>VLOOKUP(Tabela1[[#This Row],[SKU]],SKU!A:B,2,0)</f>
        <v>FILE PEITO MET CG BDJ SE</v>
      </c>
      <c r="AC522" s="6" t="str">
        <f>VLOOKUP(Tabela1[[#This Row],[SKU]],SKU!A:C,3,0)</f>
        <v>PEITO</v>
      </c>
    </row>
    <row r="523" spans="1:29" x14ac:dyDescent="0.3">
      <c r="A523" s="2">
        <f>INT(Tabela1[[#This Row],[Data e Hora2]])</f>
        <v>46273</v>
      </c>
      <c r="B523" s="6" t="str">
        <f>UPPER(TEXT(Tabela1[[#This Row],[Data Corrigida]],"MMM"))</f>
        <v>SET</v>
      </c>
      <c r="C523" t="s">
        <v>1394</v>
      </c>
      <c r="D523" s="2" t="s">
        <v>1395</v>
      </c>
      <c r="E523" s="1" t="s">
        <v>1396</v>
      </c>
      <c r="F523" t="s">
        <v>24</v>
      </c>
      <c r="G523" s="2" t="s">
        <v>1351</v>
      </c>
      <c r="H523" t="s">
        <v>26</v>
      </c>
      <c r="I523" t="s">
        <v>57</v>
      </c>
      <c r="J523" s="6">
        <v>15229</v>
      </c>
      <c r="K523" s="16">
        <v>983</v>
      </c>
      <c r="L523" s="16">
        <v>987</v>
      </c>
      <c r="M523" s="16">
        <v>986</v>
      </c>
      <c r="N523" s="16">
        <v>1003</v>
      </c>
      <c r="O523" s="16">
        <v>1015</v>
      </c>
      <c r="P523" s="16">
        <v>1013</v>
      </c>
      <c r="Q523" s="16">
        <v>1005</v>
      </c>
      <c r="R523" s="16">
        <v>1001</v>
      </c>
      <c r="S523" s="16">
        <v>1015</v>
      </c>
      <c r="T523" s="16">
        <v>999</v>
      </c>
      <c r="U523" s="15">
        <v>1000.7</v>
      </c>
      <c r="V523" t="s">
        <v>19</v>
      </c>
      <c r="W523" t="s">
        <v>28</v>
      </c>
      <c r="X523">
        <v>158</v>
      </c>
      <c r="Y523" s="16">
        <f>VLOOKUP(Tabela1[[#This Row],[SKU]],SKU!A:D,4,0)</f>
        <v>1000</v>
      </c>
      <c r="Z523" s="18">
        <f>IFERROR((Tabela1[[#This Row],[Média]]-Tabela1[[#This Row],[Meta]])/Tabela1[[#This Row],[Meta]],"")</f>
        <v>7.0000000000004542E-4</v>
      </c>
      <c r="AA523" s="22">
        <f>Tabela1[[#This Row],[Média]]-Tabela1[[#This Row],[Meta]]</f>
        <v>0.70000000000004547</v>
      </c>
      <c r="AB523" s="6" t="str">
        <f>VLOOKUP(Tabela1[[#This Row],[SKU]],SKU!A:B,2,0)</f>
        <v>COXA CG BDJ SE</v>
      </c>
      <c r="AC523" s="6" t="str">
        <f>VLOOKUP(Tabela1[[#This Row],[SKU]],SKU!A:C,3,0)</f>
        <v>PERNA</v>
      </c>
    </row>
    <row r="524" spans="1:29" x14ac:dyDescent="0.3">
      <c r="A524" s="2">
        <f>INT(Tabela1[[#This Row],[Data e Hora2]])</f>
        <v>46273</v>
      </c>
      <c r="B524" s="6" t="str">
        <f>UPPER(TEXT(Tabela1[[#This Row],[Data Corrigida]],"MMM"))</f>
        <v>SET</v>
      </c>
      <c r="C524" t="s">
        <v>1397</v>
      </c>
      <c r="D524" s="2" t="s">
        <v>1398</v>
      </c>
      <c r="E524" s="1" t="s">
        <v>1396</v>
      </c>
      <c r="F524" t="s">
        <v>24</v>
      </c>
      <c r="G524" s="2" t="s">
        <v>1351</v>
      </c>
      <c r="H524" t="s">
        <v>26</v>
      </c>
      <c r="I524" t="s">
        <v>57</v>
      </c>
      <c r="J524" s="6">
        <v>15229</v>
      </c>
      <c r="K524" s="16">
        <v>1005</v>
      </c>
      <c r="L524" s="16">
        <v>1012</v>
      </c>
      <c r="M524" s="16">
        <v>1007</v>
      </c>
      <c r="N524" s="16">
        <v>1001</v>
      </c>
      <c r="O524" s="16">
        <v>995</v>
      </c>
      <c r="P524" s="16">
        <v>999</v>
      </c>
      <c r="Q524" s="16">
        <v>1002</v>
      </c>
      <c r="R524" s="16">
        <v>998</v>
      </c>
      <c r="S524" s="16">
        <v>1005</v>
      </c>
      <c r="T524" s="16">
        <v>1007</v>
      </c>
      <c r="U524" s="15">
        <v>1003.1</v>
      </c>
      <c r="V524" t="s">
        <v>19</v>
      </c>
      <c r="W524" t="s">
        <v>28</v>
      </c>
      <c r="X524">
        <v>290</v>
      </c>
      <c r="Y524" s="16">
        <f>VLOOKUP(Tabela1[[#This Row],[SKU]],SKU!A:D,4,0)</f>
        <v>1000</v>
      </c>
      <c r="Z524" s="18">
        <f>IFERROR((Tabela1[[#This Row],[Média]]-Tabela1[[#This Row],[Meta]])/Tabela1[[#This Row],[Meta]],"")</f>
        <v>3.1000000000000229E-3</v>
      </c>
      <c r="AA524" s="22">
        <f>Tabela1[[#This Row],[Média]]-Tabela1[[#This Row],[Meta]]</f>
        <v>3.1000000000000227</v>
      </c>
      <c r="AB524" s="6" t="str">
        <f>VLOOKUP(Tabela1[[#This Row],[SKU]],SKU!A:B,2,0)</f>
        <v>COXA CG BDJ SE</v>
      </c>
      <c r="AC524" s="6" t="str">
        <f>VLOOKUP(Tabela1[[#This Row],[SKU]],SKU!A:C,3,0)</f>
        <v>PERNA</v>
      </c>
    </row>
    <row r="525" spans="1:29" x14ac:dyDescent="0.3">
      <c r="A525" s="2">
        <f>INT(Tabela1[[#This Row],[Data e Hora2]])</f>
        <v>46273</v>
      </c>
      <c r="B525" s="6" t="str">
        <f>UPPER(TEXT(Tabela1[[#This Row],[Data Corrigida]],"MMM"))</f>
        <v>SET</v>
      </c>
      <c r="C525" t="s">
        <v>1399</v>
      </c>
      <c r="D525" s="2" t="s">
        <v>1400</v>
      </c>
      <c r="E525" s="1" t="s">
        <v>1396</v>
      </c>
      <c r="F525" t="s">
        <v>24</v>
      </c>
      <c r="G525" s="2" t="s">
        <v>1351</v>
      </c>
      <c r="H525" t="s">
        <v>26</v>
      </c>
      <c r="I525" t="s">
        <v>57</v>
      </c>
      <c r="J525" s="6">
        <v>13188</v>
      </c>
      <c r="K525" s="16">
        <v>1016</v>
      </c>
      <c r="L525" s="16">
        <v>1013</v>
      </c>
      <c r="M525" s="16">
        <v>1007</v>
      </c>
      <c r="N525" s="16">
        <v>994</v>
      </c>
      <c r="O525" s="16">
        <v>1001</v>
      </c>
      <c r="P525" s="16">
        <v>1003</v>
      </c>
      <c r="Q525" s="16">
        <v>1014</v>
      </c>
      <c r="R525" s="16">
        <v>1009</v>
      </c>
      <c r="S525" s="16">
        <v>1015</v>
      </c>
      <c r="T525" s="16">
        <v>1010</v>
      </c>
      <c r="U525" s="15">
        <v>1008.2</v>
      </c>
      <c r="V525" t="s">
        <v>19</v>
      </c>
      <c r="W525" t="s">
        <v>28</v>
      </c>
      <c r="X525">
        <v>3749</v>
      </c>
      <c r="Y525" s="16">
        <f>VLOOKUP(Tabela1[[#This Row],[SKU]],SKU!A:D,4,0)</f>
        <v>1000</v>
      </c>
      <c r="Z525" s="18">
        <f>IFERROR((Tabela1[[#This Row],[Média]]-Tabela1[[#This Row],[Meta]])/Tabela1[[#This Row],[Meta]],"")</f>
        <v>8.2000000000000458E-3</v>
      </c>
      <c r="AA525" s="22">
        <f>Tabela1[[#This Row],[Média]]-Tabela1[[#This Row],[Meta]]</f>
        <v>8.2000000000000455</v>
      </c>
      <c r="AB525" s="6" t="str">
        <f>VLOOKUP(Tabela1[[#This Row],[SKU]],SKU!A:B,2,0)</f>
        <v>SOBRECOXA CG BDJ SE</v>
      </c>
      <c r="AC525" s="6" t="str">
        <f>VLOOKUP(Tabela1[[#This Row],[SKU]],SKU!A:C,3,0)</f>
        <v>PERNA</v>
      </c>
    </row>
    <row r="526" spans="1:29" x14ac:dyDescent="0.3">
      <c r="A526" s="2">
        <f>INT(Tabela1[[#This Row],[Data e Hora2]])</f>
        <v>46273</v>
      </c>
      <c r="B526" s="6" t="str">
        <f>UPPER(TEXT(Tabela1[[#This Row],[Data Corrigida]],"MMM"))</f>
        <v>SET</v>
      </c>
      <c r="C526" t="s">
        <v>1401</v>
      </c>
      <c r="D526" s="2" t="s">
        <v>1402</v>
      </c>
      <c r="E526" s="1" t="s">
        <v>1396</v>
      </c>
      <c r="F526" t="s">
        <v>24</v>
      </c>
      <c r="G526" s="2" t="s">
        <v>1351</v>
      </c>
      <c r="H526" t="s">
        <v>26</v>
      </c>
      <c r="I526" t="s">
        <v>57</v>
      </c>
      <c r="J526" s="6">
        <v>13188</v>
      </c>
      <c r="K526" s="16">
        <v>999</v>
      </c>
      <c r="L526" s="16">
        <v>1009</v>
      </c>
      <c r="M526" s="16">
        <v>1016</v>
      </c>
      <c r="N526" s="16">
        <v>1014</v>
      </c>
      <c r="O526" s="16">
        <v>1013</v>
      </c>
      <c r="P526" s="16">
        <v>1008</v>
      </c>
      <c r="Q526" s="16">
        <v>997</v>
      </c>
      <c r="R526" s="16">
        <v>1006</v>
      </c>
      <c r="S526" s="16">
        <v>1005</v>
      </c>
      <c r="T526" s="16">
        <v>1010</v>
      </c>
      <c r="U526" s="15">
        <v>1007.7</v>
      </c>
      <c r="V526" t="s">
        <v>19</v>
      </c>
      <c r="W526" t="s">
        <v>28</v>
      </c>
      <c r="X526">
        <v>3852</v>
      </c>
      <c r="Y526" s="16">
        <f>VLOOKUP(Tabela1[[#This Row],[SKU]],SKU!A:D,4,0)</f>
        <v>1000</v>
      </c>
      <c r="Z526" s="18">
        <f>IFERROR((Tabela1[[#This Row],[Média]]-Tabela1[[#This Row],[Meta]])/Tabela1[[#This Row],[Meta]],"")</f>
        <v>7.7000000000000453E-3</v>
      </c>
      <c r="AA526" s="22">
        <f>Tabela1[[#This Row],[Média]]-Tabela1[[#This Row],[Meta]]</f>
        <v>7.7000000000000455</v>
      </c>
      <c r="AB526" s="6" t="str">
        <f>VLOOKUP(Tabela1[[#This Row],[SKU]],SKU!A:B,2,0)</f>
        <v>SOBRECOXA CG BDJ SE</v>
      </c>
      <c r="AC526" s="6" t="str">
        <f>VLOOKUP(Tabela1[[#This Row],[SKU]],SKU!A:C,3,0)</f>
        <v>PERNA</v>
      </c>
    </row>
    <row r="527" spans="1:29" x14ac:dyDescent="0.3">
      <c r="A527" s="2">
        <f>INT(Tabela1[[#This Row],[Data e Hora2]])</f>
        <v>46273</v>
      </c>
      <c r="B527" s="6" t="str">
        <f>UPPER(TEXT(Tabela1[[#This Row],[Data Corrigida]],"MMM"))</f>
        <v>SET</v>
      </c>
      <c r="C527" t="s">
        <v>1403</v>
      </c>
      <c r="D527" s="2" t="s">
        <v>1404</v>
      </c>
      <c r="E527" s="1" t="s">
        <v>1396</v>
      </c>
      <c r="F527" t="s">
        <v>24</v>
      </c>
      <c r="G527" s="2" t="s">
        <v>1351</v>
      </c>
      <c r="H527" t="s">
        <v>26</v>
      </c>
      <c r="I527" t="s">
        <v>57</v>
      </c>
      <c r="J527" s="6">
        <v>13188</v>
      </c>
      <c r="K527" s="16">
        <v>1004</v>
      </c>
      <c r="L527" s="16">
        <v>1012</v>
      </c>
      <c r="M527" s="16">
        <v>1013</v>
      </c>
      <c r="N527" s="16">
        <v>1011</v>
      </c>
      <c r="O527" s="16">
        <v>997</v>
      </c>
      <c r="P527" s="16">
        <v>1008</v>
      </c>
      <c r="Q527" s="16">
        <v>1009</v>
      </c>
      <c r="R527" s="16">
        <v>1001</v>
      </c>
      <c r="S527" s="16">
        <v>1010</v>
      </c>
      <c r="T527" s="16">
        <v>1008</v>
      </c>
      <c r="U527" s="15">
        <v>1007.3</v>
      </c>
      <c r="V527" t="s">
        <v>19</v>
      </c>
      <c r="W527" t="s">
        <v>28</v>
      </c>
      <c r="X527">
        <v>4026</v>
      </c>
      <c r="Y527" s="16">
        <f>VLOOKUP(Tabela1[[#This Row],[SKU]],SKU!A:D,4,0)</f>
        <v>1000</v>
      </c>
      <c r="Z527" s="18">
        <f>IFERROR((Tabela1[[#This Row],[Média]]-Tabela1[[#This Row],[Meta]])/Tabela1[[#This Row],[Meta]],"")</f>
        <v>7.2999999999999541E-3</v>
      </c>
      <c r="AA527" s="22">
        <f>Tabela1[[#This Row],[Média]]-Tabela1[[#This Row],[Meta]]</f>
        <v>7.2999999999999545</v>
      </c>
      <c r="AB527" s="6" t="str">
        <f>VLOOKUP(Tabela1[[#This Row],[SKU]],SKU!A:B,2,0)</f>
        <v>SOBRECOXA CG BDJ SE</v>
      </c>
      <c r="AC527" s="6" t="str">
        <f>VLOOKUP(Tabela1[[#This Row],[SKU]],SKU!A:C,3,0)</f>
        <v>PERNA</v>
      </c>
    </row>
    <row r="528" spans="1:29" x14ac:dyDescent="0.3">
      <c r="A528" s="2">
        <f>INT(Tabela1[[#This Row],[Data e Hora2]])</f>
        <v>46273</v>
      </c>
      <c r="B528" s="6" t="str">
        <f>UPPER(TEXT(Tabela1[[#This Row],[Data Corrigida]],"MMM"))</f>
        <v>SET</v>
      </c>
      <c r="C528" t="s">
        <v>1405</v>
      </c>
      <c r="D528" s="2" t="s">
        <v>1406</v>
      </c>
      <c r="E528" s="1" t="s">
        <v>1396</v>
      </c>
      <c r="F528" t="s">
        <v>24</v>
      </c>
      <c r="G528" s="2" t="s">
        <v>1351</v>
      </c>
      <c r="H528" t="s">
        <v>26</v>
      </c>
      <c r="I528" t="s">
        <v>57</v>
      </c>
      <c r="J528" s="6">
        <v>13188</v>
      </c>
      <c r="K528" s="16">
        <v>1004</v>
      </c>
      <c r="L528" s="16">
        <v>1013</v>
      </c>
      <c r="M528" s="16">
        <v>1008</v>
      </c>
      <c r="N528" s="16">
        <v>1013</v>
      </c>
      <c r="O528" s="16">
        <v>1005</v>
      </c>
      <c r="P528" s="16">
        <v>1004</v>
      </c>
      <c r="Q528" s="16">
        <v>1013</v>
      </c>
      <c r="R528" s="16">
        <v>1003</v>
      </c>
      <c r="S528" s="16">
        <v>1003</v>
      </c>
      <c r="T528" s="16">
        <v>1002</v>
      </c>
      <c r="U528" s="15">
        <v>1006.8</v>
      </c>
      <c r="V528" t="s">
        <v>19</v>
      </c>
      <c r="W528" t="s">
        <v>28</v>
      </c>
      <c r="X528">
        <v>4179</v>
      </c>
      <c r="Y528" s="16">
        <f>VLOOKUP(Tabela1[[#This Row],[SKU]],SKU!A:D,4,0)</f>
        <v>1000</v>
      </c>
      <c r="Z528" s="18">
        <f>IFERROR((Tabela1[[#This Row],[Média]]-Tabela1[[#This Row],[Meta]])/Tabela1[[#This Row],[Meta]],"")</f>
        <v>6.7999999999999545E-3</v>
      </c>
      <c r="AA528" s="22">
        <f>Tabela1[[#This Row],[Média]]-Tabela1[[#This Row],[Meta]]</f>
        <v>6.7999999999999545</v>
      </c>
      <c r="AB528" s="6" t="str">
        <f>VLOOKUP(Tabela1[[#This Row],[SKU]],SKU!A:B,2,0)</f>
        <v>SOBRECOXA CG BDJ SE</v>
      </c>
      <c r="AC528" s="6" t="str">
        <f>VLOOKUP(Tabela1[[#This Row],[SKU]],SKU!A:C,3,0)</f>
        <v>PERNA</v>
      </c>
    </row>
    <row r="529" spans="1:29" x14ac:dyDescent="0.3">
      <c r="A529" s="2">
        <f>INT(Tabela1[[#This Row],[Data e Hora2]])</f>
        <v>46273</v>
      </c>
      <c r="B529" s="6" t="str">
        <f>UPPER(TEXT(Tabela1[[#This Row],[Data Corrigida]],"MMM"))</f>
        <v>SET</v>
      </c>
      <c r="C529" t="s">
        <v>1407</v>
      </c>
      <c r="D529" s="2" t="s">
        <v>1408</v>
      </c>
      <c r="E529" s="1" t="s">
        <v>1396</v>
      </c>
      <c r="F529" t="s">
        <v>24</v>
      </c>
      <c r="G529" s="2" t="s">
        <v>1351</v>
      </c>
      <c r="H529" t="s">
        <v>26</v>
      </c>
      <c r="I529" t="s">
        <v>57</v>
      </c>
      <c r="J529" s="6">
        <v>15105</v>
      </c>
      <c r="K529" s="16">
        <v>964</v>
      </c>
      <c r="L529" s="16">
        <v>1020</v>
      </c>
      <c r="M529" s="16">
        <v>1018</v>
      </c>
      <c r="N529" s="16">
        <v>1020</v>
      </c>
      <c r="O529" s="16">
        <v>999</v>
      </c>
      <c r="P529" s="16">
        <v>1003</v>
      </c>
      <c r="Q529" s="16">
        <v>989</v>
      </c>
      <c r="R529" s="16">
        <v>1005</v>
      </c>
      <c r="S529" s="16">
        <v>1025</v>
      </c>
      <c r="T529" s="16">
        <v>1026</v>
      </c>
      <c r="U529" s="15">
        <v>1006.9</v>
      </c>
      <c r="V529" t="s">
        <v>19</v>
      </c>
      <c r="W529" t="s">
        <v>28</v>
      </c>
      <c r="X529">
        <v>268</v>
      </c>
      <c r="Y529" s="16">
        <f>VLOOKUP(Tabela1[[#This Row],[SKU]],SKU!A:D,4,0)</f>
        <v>1000</v>
      </c>
      <c r="Z529" s="18">
        <f>IFERROR((Tabela1[[#This Row],[Média]]-Tabela1[[#This Row],[Meta]])/Tabela1[[#This Row],[Meta]],"")</f>
        <v>6.8999999999999773E-3</v>
      </c>
      <c r="AA529" s="22">
        <f>Tabela1[[#This Row],[Média]]-Tabela1[[#This Row],[Meta]]</f>
        <v>6.8999999999999773</v>
      </c>
      <c r="AB529" s="6" t="str">
        <f>VLOOKUP(Tabela1[[#This Row],[SKU]],SKU!A:B,2,0)</f>
        <v>FILE PEITO MET CG BDJ SE</v>
      </c>
      <c r="AC529" s="6" t="str">
        <f>VLOOKUP(Tabela1[[#This Row],[SKU]],SKU!A:C,3,0)</f>
        <v>PEITO</v>
      </c>
    </row>
    <row r="530" spans="1:29" x14ac:dyDescent="0.3">
      <c r="A530" s="2">
        <f>INT(Tabela1[[#This Row],[Data e Hora2]])</f>
        <v>46273</v>
      </c>
      <c r="B530" s="6" t="str">
        <f>UPPER(TEXT(Tabela1[[#This Row],[Data Corrigida]],"MMM"))</f>
        <v>SET</v>
      </c>
      <c r="C530" t="s">
        <v>1409</v>
      </c>
      <c r="D530" s="2" t="s">
        <v>1410</v>
      </c>
      <c r="E530" s="1" t="s">
        <v>1396</v>
      </c>
      <c r="F530" t="s">
        <v>24</v>
      </c>
      <c r="G530" s="2" t="s">
        <v>1351</v>
      </c>
      <c r="H530" t="s">
        <v>26</v>
      </c>
      <c r="I530" t="s">
        <v>57</v>
      </c>
      <c r="J530" s="6">
        <v>15105</v>
      </c>
      <c r="K530" s="16">
        <v>1041</v>
      </c>
      <c r="L530" s="16">
        <v>1111</v>
      </c>
      <c r="M530" s="16">
        <v>1041</v>
      </c>
      <c r="N530" s="16">
        <v>1007</v>
      </c>
      <c r="O530" s="16">
        <v>983</v>
      </c>
      <c r="P530" s="16">
        <v>988</v>
      </c>
      <c r="Q530" s="16">
        <v>1020</v>
      </c>
      <c r="R530" s="16">
        <v>1023</v>
      </c>
      <c r="S530" s="16">
        <v>1047</v>
      </c>
      <c r="T530" s="16">
        <v>987</v>
      </c>
      <c r="U530" s="15">
        <v>1024.8</v>
      </c>
      <c r="V530" t="s">
        <v>19</v>
      </c>
      <c r="W530" t="s">
        <v>28</v>
      </c>
      <c r="X530">
        <v>510</v>
      </c>
      <c r="Y530" s="16">
        <f>VLOOKUP(Tabela1[[#This Row],[SKU]],SKU!A:D,4,0)</f>
        <v>1000</v>
      </c>
      <c r="Z530" s="18">
        <f>IFERROR((Tabela1[[#This Row],[Média]]-Tabela1[[#This Row],[Meta]])/Tabela1[[#This Row],[Meta]],"")</f>
        <v>2.4799999999999954E-2</v>
      </c>
      <c r="AA530" s="22">
        <f>Tabela1[[#This Row],[Média]]-Tabela1[[#This Row],[Meta]]</f>
        <v>24.799999999999955</v>
      </c>
      <c r="AB530" s="6" t="str">
        <f>VLOOKUP(Tabela1[[#This Row],[SKU]],SKU!A:B,2,0)</f>
        <v>FILE PEITO MET CG BDJ SE</v>
      </c>
      <c r="AC530" s="6" t="str">
        <f>VLOOKUP(Tabela1[[#This Row],[SKU]],SKU!A:C,3,0)</f>
        <v>PEITO</v>
      </c>
    </row>
    <row r="531" spans="1:29" x14ac:dyDescent="0.3">
      <c r="A531" s="2">
        <f>INT(Tabela1[[#This Row],[Data e Hora2]])</f>
        <v>46273</v>
      </c>
      <c r="B531" s="6" t="str">
        <f>UPPER(TEXT(Tabela1[[#This Row],[Data Corrigida]],"MMM"))</f>
        <v>SET</v>
      </c>
      <c r="C531" t="s">
        <v>1411</v>
      </c>
      <c r="D531" s="2" t="s">
        <v>1412</v>
      </c>
      <c r="E531" s="1" t="s">
        <v>1396</v>
      </c>
      <c r="F531" t="s">
        <v>24</v>
      </c>
      <c r="G531" s="2" t="s">
        <v>1351</v>
      </c>
      <c r="H531" t="s">
        <v>26</v>
      </c>
      <c r="I531" t="s">
        <v>57</v>
      </c>
      <c r="J531" s="6">
        <v>15105</v>
      </c>
      <c r="K531" s="16">
        <v>1006</v>
      </c>
      <c r="L531" s="16">
        <v>1050</v>
      </c>
      <c r="M531" s="16">
        <v>996</v>
      </c>
      <c r="N531" s="16">
        <v>994</v>
      </c>
      <c r="O531" s="16">
        <v>1007</v>
      </c>
      <c r="P531" s="16">
        <v>989</v>
      </c>
      <c r="Q531" s="16">
        <v>1019</v>
      </c>
      <c r="R531" s="16">
        <v>1007</v>
      </c>
      <c r="S531" s="16">
        <v>1036</v>
      </c>
      <c r="T531" s="16">
        <v>1015</v>
      </c>
      <c r="U531" s="15">
        <v>1011.9</v>
      </c>
      <c r="V531" t="s">
        <v>19</v>
      </c>
      <c r="W531" t="s">
        <v>28</v>
      </c>
      <c r="X531">
        <v>644</v>
      </c>
      <c r="Y531" s="16">
        <f>VLOOKUP(Tabela1[[#This Row],[SKU]],SKU!A:D,4,0)</f>
        <v>1000</v>
      </c>
      <c r="Z531" s="18">
        <f>IFERROR((Tabela1[[#This Row],[Média]]-Tabela1[[#This Row],[Meta]])/Tabela1[[#This Row],[Meta]],"")</f>
        <v>1.1899999999999977E-2</v>
      </c>
      <c r="AA531" s="22">
        <f>Tabela1[[#This Row],[Média]]-Tabela1[[#This Row],[Meta]]</f>
        <v>11.899999999999977</v>
      </c>
      <c r="AB531" s="6" t="str">
        <f>VLOOKUP(Tabela1[[#This Row],[SKU]],SKU!A:B,2,0)</f>
        <v>FILE PEITO MET CG BDJ SE</v>
      </c>
      <c r="AC531" s="6" t="str">
        <f>VLOOKUP(Tabela1[[#This Row],[SKU]],SKU!A:C,3,0)</f>
        <v>PEITO</v>
      </c>
    </row>
    <row r="532" spans="1:29" x14ac:dyDescent="0.3">
      <c r="A532" s="2">
        <f>INT(Tabela1[[#This Row],[Data e Hora2]])</f>
        <v>46273</v>
      </c>
      <c r="B532" s="6" t="str">
        <f>UPPER(TEXT(Tabela1[[#This Row],[Data Corrigida]],"MMM"))</f>
        <v>SET</v>
      </c>
      <c r="C532" t="s">
        <v>1413</v>
      </c>
      <c r="D532" s="2" t="s">
        <v>1414</v>
      </c>
      <c r="E532" s="1" t="s">
        <v>1396</v>
      </c>
      <c r="F532" t="s">
        <v>24</v>
      </c>
      <c r="G532" s="2" t="s">
        <v>1351</v>
      </c>
      <c r="H532" t="s">
        <v>26</v>
      </c>
      <c r="I532" t="s">
        <v>57</v>
      </c>
      <c r="J532" s="6">
        <v>15105</v>
      </c>
      <c r="K532" s="16">
        <v>1003</v>
      </c>
      <c r="L532" s="16">
        <v>1012</v>
      </c>
      <c r="M532" s="16">
        <v>1009</v>
      </c>
      <c r="N532" s="16">
        <v>1020</v>
      </c>
      <c r="O532" s="16">
        <v>1002</v>
      </c>
      <c r="P532" s="16">
        <v>1018</v>
      </c>
      <c r="Q532" s="16">
        <v>1006</v>
      </c>
      <c r="R532" s="16">
        <v>1003</v>
      </c>
      <c r="S532" s="16">
        <v>1013</v>
      </c>
      <c r="T532" s="16">
        <v>1002</v>
      </c>
      <c r="U532" s="15">
        <v>1008.8</v>
      </c>
      <c r="V532" t="s">
        <v>19</v>
      </c>
      <c r="W532" t="s">
        <v>19</v>
      </c>
      <c r="X532">
        <v>5834</v>
      </c>
      <c r="Y532" s="16">
        <f>VLOOKUP(Tabela1[[#This Row],[SKU]],SKU!A:D,4,0)</f>
        <v>1000</v>
      </c>
      <c r="Z532" s="18">
        <f>IFERROR((Tabela1[[#This Row],[Média]]-Tabela1[[#This Row],[Meta]])/Tabela1[[#This Row],[Meta]],"")</f>
        <v>8.7999999999999537E-3</v>
      </c>
      <c r="AA532" s="22">
        <f>Tabela1[[#This Row],[Média]]-Tabela1[[#This Row],[Meta]]</f>
        <v>8.7999999999999545</v>
      </c>
      <c r="AB532" s="6" t="str">
        <f>VLOOKUP(Tabela1[[#This Row],[SKU]],SKU!A:B,2,0)</f>
        <v>FILE PEITO MET CG BDJ SE</v>
      </c>
      <c r="AC532" s="6" t="str">
        <f>VLOOKUP(Tabela1[[#This Row],[SKU]],SKU!A:C,3,0)</f>
        <v>PEITO</v>
      </c>
    </row>
    <row r="533" spans="1:29" x14ac:dyDescent="0.3">
      <c r="A533" s="2">
        <f>INT(Tabela1[[#This Row],[Data e Hora2]])</f>
        <v>46273</v>
      </c>
      <c r="B533" s="6" t="str">
        <f>UPPER(TEXT(Tabela1[[#This Row],[Data Corrigida]],"MMM"))</f>
        <v>SET</v>
      </c>
      <c r="C533" t="s">
        <v>1415</v>
      </c>
      <c r="D533" s="2" t="s">
        <v>1416</v>
      </c>
      <c r="E533" s="1" t="s">
        <v>1396</v>
      </c>
      <c r="F533" t="s">
        <v>24</v>
      </c>
      <c r="G533" s="2" t="s">
        <v>1351</v>
      </c>
      <c r="H533" t="s">
        <v>26</v>
      </c>
      <c r="I533" t="s">
        <v>57</v>
      </c>
      <c r="J533" s="6">
        <v>15105</v>
      </c>
      <c r="K533" s="16">
        <v>1003</v>
      </c>
      <c r="L533" s="16">
        <v>1008</v>
      </c>
      <c r="M533" s="16">
        <v>981</v>
      </c>
      <c r="N533" s="16">
        <v>996</v>
      </c>
      <c r="O533" s="16">
        <v>1070</v>
      </c>
      <c r="P533" s="16">
        <v>1009</v>
      </c>
      <c r="Q533" s="16">
        <v>1005</v>
      </c>
      <c r="R533" s="16">
        <v>1041</v>
      </c>
      <c r="S533" s="16">
        <v>1151</v>
      </c>
      <c r="T533" s="16">
        <v>1033</v>
      </c>
      <c r="U533" s="15">
        <v>1029.7</v>
      </c>
      <c r="V533" t="s">
        <v>19</v>
      </c>
      <c r="W533" t="s">
        <v>28</v>
      </c>
      <c r="X533">
        <v>1074</v>
      </c>
      <c r="Y533" s="16">
        <f>VLOOKUP(Tabela1[[#This Row],[SKU]],SKU!A:D,4,0)</f>
        <v>1000</v>
      </c>
      <c r="Z533" s="18">
        <f>IFERROR((Tabela1[[#This Row],[Média]]-Tabela1[[#This Row],[Meta]])/Tabela1[[#This Row],[Meta]],"")</f>
        <v>2.9700000000000046E-2</v>
      </c>
      <c r="AA533" s="22">
        <f>Tabela1[[#This Row],[Média]]-Tabela1[[#This Row],[Meta]]</f>
        <v>29.700000000000045</v>
      </c>
      <c r="AB533" s="6" t="str">
        <f>VLOOKUP(Tabela1[[#This Row],[SKU]],SKU!A:B,2,0)</f>
        <v>FILE PEITO MET CG BDJ SE</v>
      </c>
      <c r="AC533" s="6" t="str">
        <f>VLOOKUP(Tabela1[[#This Row],[SKU]],SKU!A:C,3,0)</f>
        <v>PEITO</v>
      </c>
    </row>
    <row r="534" spans="1:29" x14ac:dyDescent="0.3">
      <c r="A534" s="2">
        <f>INT(Tabela1[[#This Row],[Data e Hora2]])</f>
        <v>46273</v>
      </c>
      <c r="B534" s="6" t="str">
        <f>UPPER(TEXT(Tabela1[[#This Row],[Data Corrigida]],"MMM"))</f>
        <v>SET</v>
      </c>
      <c r="C534" t="s">
        <v>1417</v>
      </c>
      <c r="D534" s="2" t="s">
        <v>1418</v>
      </c>
      <c r="E534" s="1" t="s">
        <v>1396</v>
      </c>
      <c r="F534" t="s">
        <v>24</v>
      </c>
      <c r="G534" s="2" t="s">
        <v>1351</v>
      </c>
      <c r="H534" t="s">
        <v>26</v>
      </c>
      <c r="I534" t="s">
        <v>57</v>
      </c>
      <c r="J534" s="6">
        <v>15105</v>
      </c>
      <c r="K534" s="16">
        <v>1027</v>
      </c>
      <c r="L534" s="16">
        <v>1027</v>
      </c>
      <c r="M534" s="16">
        <v>986</v>
      </c>
      <c r="N534" s="16">
        <v>989</v>
      </c>
      <c r="O534" s="16">
        <v>1031</v>
      </c>
      <c r="P534" s="16">
        <v>1050</v>
      </c>
      <c r="Q534" s="16">
        <v>1006</v>
      </c>
      <c r="R534" s="16">
        <v>1034</v>
      </c>
      <c r="S534" s="16">
        <v>1023</v>
      </c>
      <c r="T534" s="16">
        <v>999</v>
      </c>
      <c r="U534" s="15">
        <v>1017.2</v>
      </c>
      <c r="V534" t="s">
        <v>19</v>
      </c>
      <c r="W534" t="s">
        <v>28</v>
      </c>
      <c r="X534">
        <v>271</v>
      </c>
      <c r="Y534" s="16">
        <f>VLOOKUP(Tabela1[[#This Row],[SKU]],SKU!A:D,4,0)</f>
        <v>1000</v>
      </c>
      <c r="Z534" s="18">
        <f>IFERROR((Tabela1[[#This Row],[Média]]-Tabela1[[#This Row],[Meta]])/Tabela1[[#This Row],[Meta]],"")</f>
        <v>1.7200000000000045E-2</v>
      </c>
      <c r="AA534" s="22">
        <f>Tabela1[[#This Row],[Média]]-Tabela1[[#This Row],[Meta]]</f>
        <v>17.200000000000045</v>
      </c>
      <c r="AB534" s="6" t="str">
        <f>VLOOKUP(Tabela1[[#This Row],[SKU]],SKU!A:B,2,0)</f>
        <v>FILE PEITO MET CG BDJ SE</v>
      </c>
      <c r="AC534" s="6" t="str">
        <f>VLOOKUP(Tabela1[[#This Row],[SKU]],SKU!A:C,3,0)</f>
        <v>PEITO</v>
      </c>
    </row>
    <row r="535" spans="1:29" x14ac:dyDescent="0.3">
      <c r="A535" s="2">
        <f>INT(Tabela1[[#This Row],[Data e Hora2]])</f>
        <v>46273</v>
      </c>
      <c r="B535" s="6" t="str">
        <f>UPPER(TEXT(Tabela1[[#This Row],[Data Corrigida]],"MMM"))</f>
        <v>SET</v>
      </c>
      <c r="C535" t="s">
        <v>1419</v>
      </c>
      <c r="D535" s="2" t="s">
        <v>1420</v>
      </c>
      <c r="E535" s="1" t="s">
        <v>1421</v>
      </c>
      <c r="F535" t="s">
        <v>24</v>
      </c>
      <c r="G535" s="2" t="s">
        <v>1351</v>
      </c>
      <c r="H535" t="s">
        <v>142</v>
      </c>
      <c r="I535" t="s">
        <v>143</v>
      </c>
      <c r="J535" s="6">
        <v>209039</v>
      </c>
      <c r="K535" s="16">
        <v>1007</v>
      </c>
      <c r="L535" s="16">
        <v>1029</v>
      </c>
      <c r="M535" s="16">
        <v>1008</v>
      </c>
      <c r="N535" s="16">
        <v>1034</v>
      </c>
      <c r="O535" s="16">
        <v>1003</v>
      </c>
      <c r="P535" s="16">
        <v>1000</v>
      </c>
      <c r="Q535" s="16">
        <v>1046</v>
      </c>
      <c r="R535" s="16">
        <v>1010</v>
      </c>
      <c r="S535" s="16">
        <v>999</v>
      </c>
      <c r="T535" s="16">
        <v>1029</v>
      </c>
      <c r="U535" s="15">
        <v>1016.5</v>
      </c>
      <c r="V535" t="s">
        <v>19</v>
      </c>
      <c r="W535" t="s">
        <v>28</v>
      </c>
      <c r="X535">
        <v>178</v>
      </c>
      <c r="Y535" s="16">
        <f>VLOOKUP(Tabela1[[#This Row],[SKU]],SKU!A:D,4,0)</f>
        <v>1000</v>
      </c>
      <c r="Z535" s="18">
        <f>IFERROR((Tabela1[[#This Row],[Média]]-Tabela1[[#This Row],[Meta]])/Tabela1[[#This Row],[Meta]],"")</f>
        <v>1.6500000000000001E-2</v>
      </c>
      <c r="AA535" s="22">
        <f>Tabela1[[#This Row],[Média]]-Tabela1[[#This Row],[Meta]]</f>
        <v>16.5</v>
      </c>
      <c r="AB535" s="6" t="str">
        <f>VLOOKUP(Tabela1[[#This Row],[SKU]],SKU!A:B,2,0)</f>
        <v>COXINHA ASA IQF ALM 1KG</v>
      </c>
      <c r="AC535" s="6" t="str">
        <f>VLOOKUP(Tabela1[[#This Row],[SKU]],SKU!A:C,3,0)</f>
        <v>ASA</v>
      </c>
    </row>
    <row r="536" spans="1:29" x14ac:dyDescent="0.3">
      <c r="A536" s="2">
        <f>INT(Tabela1[[#This Row],[Data e Hora2]])</f>
        <v>46273</v>
      </c>
      <c r="B536" s="6" t="str">
        <f>UPPER(TEXT(Tabela1[[#This Row],[Data Corrigida]],"MMM"))</f>
        <v>SET</v>
      </c>
      <c r="C536" t="s">
        <v>1422</v>
      </c>
      <c r="D536" s="2" t="s">
        <v>1423</v>
      </c>
      <c r="E536" s="1" t="s">
        <v>1424</v>
      </c>
      <c r="F536" t="s">
        <v>24</v>
      </c>
      <c r="G536" s="2" t="s">
        <v>1351</v>
      </c>
      <c r="H536" t="s">
        <v>142</v>
      </c>
      <c r="I536" t="s">
        <v>143</v>
      </c>
      <c r="J536" s="6">
        <v>40762</v>
      </c>
      <c r="K536" s="16">
        <v>9995</v>
      </c>
      <c r="L536" s="16">
        <v>10165</v>
      </c>
      <c r="M536" s="16">
        <v>9995</v>
      </c>
      <c r="N536" s="16">
        <v>9935</v>
      </c>
      <c r="O536" s="16">
        <v>10140</v>
      </c>
      <c r="P536" s="16">
        <v>10215</v>
      </c>
      <c r="Q536" s="16">
        <v>10085</v>
      </c>
      <c r="R536" s="16">
        <v>10080</v>
      </c>
      <c r="S536" s="16">
        <v>10165</v>
      </c>
      <c r="T536" s="16">
        <v>10005</v>
      </c>
      <c r="U536" s="15">
        <v>10078</v>
      </c>
      <c r="V536" t="s">
        <v>19</v>
      </c>
      <c r="W536" t="s">
        <v>28</v>
      </c>
      <c r="X536">
        <v>971</v>
      </c>
      <c r="Y536" s="16">
        <f>VLOOKUP(Tabela1[[#This Row],[SKU]],SKU!A:D,4,0)</f>
        <v>10000</v>
      </c>
      <c r="Z536" s="18">
        <f>IFERROR((Tabela1[[#This Row],[Média]]-Tabela1[[#This Row],[Meta]])/Tabela1[[#This Row],[Meta]],"")</f>
        <v>7.7999999999999996E-3</v>
      </c>
      <c r="AA536" s="22">
        <f>Tabela1[[#This Row],[Média]]-Tabela1[[#This Row],[Meta]]</f>
        <v>78</v>
      </c>
      <c r="AB536" s="6" t="str">
        <f>VLOOKUP(Tabela1[[#This Row],[SKU]],SKU!A:B,2,0)</f>
        <v>COXA SBCX LQ FG LP</v>
      </c>
      <c r="AC536" s="6" t="str">
        <f>VLOOKUP(Tabela1[[#This Row],[SKU]],SKU!A:C,3,0)</f>
        <v>PERNA</v>
      </c>
    </row>
    <row r="537" spans="1:29" x14ac:dyDescent="0.3">
      <c r="A537" s="2">
        <f>INT(Tabela1[[#This Row],[Data e Hora2]])</f>
        <v>46273</v>
      </c>
      <c r="B537" s="6" t="str">
        <f>UPPER(TEXT(Tabela1[[#This Row],[Data Corrigida]],"MMM"))</f>
        <v>SET</v>
      </c>
      <c r="C537" t="s">
        <v>1425</v>
      </c>
      <c r="D537" s="2" t="s">
        <v>1426</v>
      </c>
      <c r="E537" s="1" t="s">
        <v>1424</v>
      </c>
      <c r="F537" t="s">
        <v>24</v>
      </c>
      <c r="G537" s="2" t="s">
        <v>1351</v>
      </c>
      <c r="H537" t="s">
        <v>142</v>
      </c>
      <c r="I537" t="s">
        <v>143</v>
      </c>
      <c r="J537" s="6">
        <v>42862</v>
      </c>
      <c r="K537" s="16">
        <v>2010</v>
      </c>
      <c r="L537" s="16">
        <v>2021</v>
      </c>
      <c r="M537" s="16">
        <v>2054</v>
      </c>
      <c r="N537" s="16">
        <v>2040</v>
      </c>
      <c r="O537" s="16">
        <v>2023</v>
      </c>
      <c r="P537" s="16">
        <v>2043</v>
      </c>
      <c r="Q537" s="16">
        <v>2029</v>
      </c>
      <c r="R537" s="16">
        <v>2034</v>
      </c>
      <c r="S537" s="16">
        <v>2022</v>
      </c>
      <c r="T537" s="16">
        <v>2020</v>
      </c>
      <c r="U537" s="15">
        <v>2029.6</v>
      </c>
      <c r="V537" t="s">
        <v>19</v>
      </c>
      <c r="W537" t="s">
        <v>19</v>
      </c>
      <c r="X537">
        <v>156</v>
      </c>
      <c r="Y537" s="16">
        <f>VLOOKUP(Tabela1[[#This Row],[SKU]],SKU!A:D,4,0)</f>
        <v>2000</v>
      </c>
      <c r="Z537" s="18">
        <f>IFERROR((Tabela1[[#This Row],[Média]]-Tabela1[[#This Row],[Meta]])/Tabela1[[#This Row],[Meta]],"")</f>
        <v>1.4799999999999954E-2</v>
      </c>
      <c r="AA537" s="22">
        <f>Tabela1[[#This Row],[Média]]-Tabela1[[#This Row],[Meta]]</f>
        <v>29.599999999999909</v>
      </c>
      <c r="AB537" s="6" t="str">
        <f>VLOOKUP(Tabela1[[#This Row],[SKU]],SKU!A:B,2,0)</f>
        <v>COXA SBCX S/O FG 280-300g PB</v>
      </c>
      <c r="AC537" s="6" t="str">
        <f>VLOOKUP(Tabela1[[#This Row],[SKU]],SKU!A:C,3,0)</f>
        <v>PERNA</v>
      </c>
    </row>
    <row r="538" spans="1:29" x14ac:dyDescent="0.3">
      <c r="A538" s="2">
        <f>INT(Tabela1[[#This Row],[Data e Hora2]])</f>
        <v>46273</v>
      </c>
      <c r="B538" s="6" t="str">
        <f>UPPER(TEXT(Tabela1[[#This Row],[Data Corrigida]],"MMM"))</f>
        <v>SET</v>
      </c>
      <c r="C538" t="s">
        <v>1427</v>
      </c>
      <c r="D538" s="2" t="s">
        <v>1428</v>
      </c>
      <c r="E538" s="1" t="s">
        <v>1424</v>
      </c>
      <c r="F538" t="s">
        <v>24</v>
      </c>
      <c r="G538" s="2" t="s">
        <v>1351</v>
      </c>
      <c r="H538" t="s">
        <v>142</v>
      </c>
      <c r="I538" t="s">
        <v>143</v>
      </c>
      <c r="J538" s="6">
        <v>864048</v>
      </c>
      <c r="K538" s="16">
        <v>1990</v>
      </c>
      <c r="L538" s="16">
        <v>2002</v>
      </c>
      <c r="M538" s="16">
        <v>2006</v>
      </c>
      <c r="N538" s="16">
        <v>2025</v>
      </c>
      <c r="O538" s="16">
        <v>2048</v>
      </c>
      <c r="P538" s="16">
        <v>2053</v>
      </c>
      <c r="Q538" s="16">
        <v>2000</v>
      </c>
      <c r="R538" s="16">
        <v>2013</v>
      </c>
      <c r="S538" s="16">
        <v>2009</v>
      </c>
      <c r="T538" s="16">
        <v>2010</v>
      </c>
      <c r="U538" s="15">
        <v>2015.6</v>
      </c>
      <c r="V538" t="s">
        <v>19</v>
      </c>
      <c r="W538" t="s">
        <v>28</v>
      </c>
      <c r="X538">
        <v>190</v>
      </c>
      <c r="Y538" s="16">
        <f>VLOOKUP(Tabela1[[#This Row],[SKU]],SKU!A:D,4,0)</f>
        <v>2000</v>
      </c>
      <c r="Z538" s="18">
        <f>IFERROR((Tabela1[[#This Row],[Média]]-Tabela1[[#This Row],[Meta]])/Tabela1[[#This Row],[Meta]],"")</f>
        <v>7.7999999999999545E-3</v>
      </c>
      <c r="AA538" s="22">
        <f>Tabela1[[#This Row],[Média]]-Tabela1[[#This Row],[Meta]]</f>
        <v>15.599999999999909</v>
      </c>
      <c r="AB538" s="6" t="str">
        <f>VLOOKUP(Tabela1[[#This Row],[SKU]],SKU!A:B,2,0)</f>
        <v>COXA SBCX S/O 200g FG UP PB</v>
      </c>
      <c r="AC538" s="6" t="str">
        <f>VLOOKUP(Tabela1[[#This Row],[SKU]],SKU!A:C,3,0)</f>
        <v>PERNA</v>
      </c>
    </row>
    <row r="539" spans="1:29" x14ac:dyDescent="0.3">
      <c r="A539" s="2">
        <f>INT(Tabela1[[#This Row],[Data e Hora2]])</f>
        <v>46273</v>
      </c>
      <c r="B539" s="6" t="str">
        <f>UPPER(TEXT(Tabela1[[#This Row],[Data Corrigida]],"MMM"))</f>
        <v>SET</v>
      </c>
      <c r="C539" t="s">
        <v>1429</v>
      </c>
      <c r="D539" s="2" t="s">
        <v>1430</v>
      </c>
      <c r="E539" s="1" t="s">
        <v>1424</v>
      </c>
      <c r="F539" t="s">
        <v>24</v>
      </c>
      <c r="G539" s="2" t="s">
        <v>1351</v>
      </c>
      <c r="H539" t="s">
        <v>142</v>
      </c>
      <c r="I539" t="s">
        <v>143</v>
      </c>
      <c r="J539" s="6">
        <v>15105</v>
      </c>
      <c r="K539" s="16">
        <v>1031</v>
      </c>
      <c r="L539" s="16">
        <v>1012</v>
      </c>
      <c r="M539" s="16">
        <v>993</v>
      </c>
      <c r="N539" s="16">
        <v>1023</v>
      </c>
      <c r="O539" s="16">
        <v>1032</v>
      </c>
      <c r="P539" s="16">
        <v>1005</v>
      </c>
      <c r="Q539" s="16">
        <v>1011</v>
      </c>
      <c r="R539" s="16">
        <v>1017</v>
      </c>
      <c r="S539" s="16">
        <v>1040</v>
      </c>
      <c r="T539" s="16">
        <v>1008</v>
      </c>
      <c r="U539" s="15">
        <v>1017.2</v>
      </c>
      <c r="V539" t="s">
        <v>19</v>
      </c>
      <c r="W539" t="s">
        <v>28</v>
      </c>
      <c r="X539">
        <v>156</v>
      </c>
      <c r="Y539" s="16">
        <f>VLOOKUP(Tabela1[[#This Row],[SKU]],SKU!A:D,4,0)</f>
        <v>1000</v>
      </c>
      <c r="Z539" s="18">
        <f>IFERROR((Tabela1[[#This Row],[Média]]-Tabela1[[#This Row],[Meta]])/Tabela1[[#This Row],[Meta]],"")</f>
        <v>1.7200000000000045E-2</v>
      </c>
      <c r="AA539" s="22">
        <f>Tabela1[[#This Row],[Média]]-Tabela1[[#This Row],[Meta]]</f>
        <v>17.200000000000045</v>
      </c>
      <c r="AB539" s="6" t="str">
        <f>VLOOKUP(Tabela1[[#This Row],[SKU]],SKU!A:B,2,0)</f>
        <v>FILE PEITO MET CG BDJ SE</v>
      </c>
      <c r="AC539" s="6" t="str">
        <f>VLOOKUP(Tabela1[[#This Row],[SKU]],SKU!A:C,3,0)</f>
        <v>PEITO</v>
      </c>
    </row>
    <row r="540" spans="1:29" x14ac:dyDescent="0.3">
      <c r="A540" s="2">
        <f>INT(Tabela1[[#This Row],[Data e Hora2]])</f>
        <v>46273</v>
      </c>
      <c r="B540" s="6" t="str">
        <f>UPPER(TEXT(Tabela1[[#This Row],[Data Corrigida]],"MMM"))</f>
        <v>SET</v>
      </c>
      <c r="C540" t="s">
        <v>1431</v>
      </c>
      <c r="D540" s="2" t="s">
        <v>1432</v>
      </c>
      <c r="E540" s="1" t="s">
        <v>1424</v>
      </c>
      <c r="F540" t="s">
        <v>24</v>
      </c>
      <c r="G540" s="2" t="s">
        <v>1351</v>
      </c>
      <c r="H540" t="s">
        <v>142</v>
      </c>
      <c r="I540" t="s">
        <v>143</v>
      </c>
      <c r="J540" s="6">
        <v>54632</v>
      </c>
      <c r="K540" s="16">
        <v>1013</v>
      </c>
      <c r="L540" s="16">
        <v>1002</v>
      </c>
      <c r="M540" s="16">
        <v>1007</v>
      </c>
      <c r="N540" s="16">
        <v>1010</v>
      </c>
      <c r="O540" s="16">
        <v>999</v>
      </c>
      <c r="P540" s="16">
        <v>998</v>
      </c>
      <c r="Q540" s="16">
        <v>1001</v>
      </c>
      <c r="R540" s="16">
        <v>1004</v>
      </c>
      <c r="S540" s="16">
        <v>989</v>
      </c>
      <c r="T540" s="16">
        <v>1019</v>
      </c>
      <c r="U540" s="15">
        <v>1004.2</v>
      </c>
      <c r="V540" t="s">
        <v>19</v>
      </c>
      <c r="W540" t="s">
        <v>28</v>
      </c>
      <c r="X540">
        <v>269</v>
      </c>
      <c r="Y540" s="16">
        <f>VLOOKUP(Tabela1[[#This Row],[SKU]],SKU!A:D,4,0)</f>
        <v>1000</v>
      </c>
      <c r="Z540" s="18">
        <f>IFERROR((Tabela1[[#This Row],[Média]]-Tabela1[[#This Row],[Meta]])/Tabela1[[#This Row],[Meta]],"")</f>
        <v>4.2000000000000457E-3</v>
      </c>
      <c r="AA540" s="22">
        <f>Tabela1[[#This Row],[Média]]-Tabela1[[#This Row],[Meta]]</f>
        <v>4.2000000000000455</v>
      </c>
      <c r="AB540" s="6" t="str">
        <f>VLOOKUP(Tabela1[[#This Row],[SKU]],SKU!A:B,2,0)</f>
        <v>COXA SBCX S/O BDJ CG</v>
      </c>
      <c r="AC540" s="6" t="str">
        <f>VLOOKUP(Tabela1[[#This Row],[SKU]],SKU!A:C,3,0)</f>
        <v>PERNA</v>
      </c>
    </row>
    <row r="541" spans="1:29" x14ac:dyDescent="0.3">
      <c r="A541" s="2">
        <f>INT(Tabela1[[#This Row],[Data e Hora2]])</f>
        <v>46275</v>
      </c>
      <c r="B541" s="6" t="str">
        <f>UPPER(TEXT(Tabela1[[#This Row],[Data Corrigida]],"MMM"))</f>
        <v>SET</v>
      </c>
      <c r="C541" s="26" t="s">
        <v>1433</v>
      </c>
      <c r="D541" s="2" t="s">
        <v>1434</v>
      </c>
      <c r="E541" s="1" t="s">
        <v>1435</v>
      </c>
      <c r="F541" t="s">
        <v>24</v>
      </c>
      <c r="G541" s="2" t="s">
        <v>1436</v>
      </c>
      <c r="H541" t="s">
        <v>142</v>
      </c>
      <c r="I541" t="s">
        <v>462</v>
      </c>
      <c r="J541" s="6">
        <v>31454</v>
      </c>
      <c r="K541" s="16">
        <v>2636</v>
      </c>
      <c r="L541" s="16">
        <v>2544</v>
      </c>
      <c r="M541" s="16">
        <v>2510</v>
      </c>
      <c r="N541" s="16">
        <v>2545</v>
      </c>
      <c r="O541" s="16">
        <v>2545</v>
      </c>
      <c r="P541" s="16">
        <v>2501</v>
      </c>
      <c r="Q541" s="16">
        <v>2503</v>
      </c>
      <c r="R541" s="16">
        <v>2503</v>
      </c>
      <c r="S541" s="16">
        <v>2507</v>
      </c>
      <c r="T541" s="16">
        <v>2564</v>
      </c>
      <c r="U541" s="15">
        <v>2535.8000000000002</v>
      </c>
      <c r="V541" t="s">
        <v>19</v>
      </c>
      <c r="W541" t="s">
        <v>28</v>
      </c>
      <c r="X541">
        <v>337</v>
      </c>
      <c r="Y541" s="16">
        <f>VLOOKUP(Tabela1[[#This Row],[SKU]],SKU!A:D,4,0)</f>
        <v>2500</v>
      </c>
      <c r="Z541" s="18">
        <f>IFERROR((Tabela1[[#This Row],[Média]]-Tabela1[[#This Row],[Meta]])/Tabela1[[#This Row],[Meta]],"")</f>
        <v>1.4320000000000072E-2</v>
      </c>
      <c r="AA541" s="22">
        <f>Tabela1[[#This Row],[Média]]-Tabela1[[#This Row],[Meta]]</f>
        <v>35.800000000000182</v>
      </c>
      <c r="AB541" s="6" t="str">
        <f>VLOOKUP(Tabela1[[#This Row],[SKU]],SKU!A:B,2,0)</f>
        <v>MEIO DE ASA 2,5KG  IQF</v>
      </c>
      <c r="AC541" s="6" t="str">
        <f>VLOOKUP(Tabela1[[#This Row],[SKU]],SKU!A:C,3,0)</f>
        <v>ASA</v>
      </c>
    </row>
    <row r="542" spans="1:29" x14ac:dyDescent="0.3">
      <c r="A542" s="2">
        <f>INT(Tabela1[[#This Row],[Data e Hora2]])</f>
        <v>46275</v>
      </c>
      <c r="B542" s="6" t="str">
        <f>UPPER(TEXT(Tabela1[[#This Row],[Data Corrigida]],"MMM"))</f>
        <v>SET</v>
      </c>
      <c r="C542" t="s">
        <v>1437</v>
      </c>
      <c r="D542" s="2" t="s">
        <v>1438</v>
      </c>
      <c r="E542" s="1" t="s">
        <v>1435</v>
      </c>
      <c r="F542" t="s">
        <v>24</v>
      </c>
      <c r="G542" s="2" t="s">
        <v>1436</v>
      </c>
      <c r="H542" t="s">
        <v>142</v>
      </c>
      <c r="I542" t="s">
        <v>462</v>
      </c>
      <c r="J542" s="6">
        <v>197734</v>
      </c>
      <c r="K542" s="16">
        <v>1015</v>
      </c>
      <c r="L542" s="16">
        <v>988</v>
      </c>
      <c r="M542" s="16">
        <v>998</v>
      </c>
      <c r="N542" s="16">
        <v>1098</v>
      </c>
      <c r="O542" s="16">
        <v>1015</v>
      </c>
      <c r="P542" s="16">
        <v>1009</v>
      </c>
      <c r="Q542" s="16">
        <v>1000</v>
      </c>
      <c r="R542" s="16">
        <v>1043</v>
      </c>
      <c r="S542" s="16">
        <v>1012</v>
      </c>
      <c r="T542" s="16">
        <v>1017</v>
      </c>
      <c r="U542" s="15">
        <v>1019.5</v>
      </c>
      <c r="V542" t="s">
        <v>19</v>
      </c>
      <c r="W542" t="s">
        <v>28</v>
      </c>
      <c r="X542">
        <v>521</v>
      </c>
      <c r="Y542" s="16">
        <f>VLOOKUP(Tabela1[[#This Row],[SKU]],SKU!A:D,4,0)</f>
        <v>1000</v>
      </c>
      <c r="Z542" s="18">
        <f>IFERROR((Tabela1[[#This Row],[Média]]-Tabela1[[#This Row],[Meta]])/Tabela1[[#This Row],[Meta]],"")</f>
        <v>1.95E-2</v>
      </c>
      <c r="AA542" s="22">
        <f>Tabela1[[#This Row],[Média]]-Tabela1[[#This Row],[Meta]]</f>
        <v>19.5</v>
      </c>
      <c r="AB542" s="6" t="str">
        <f>VLOOKUP(Tabela1[[#This Row],[SKU]],SKU!A:B,2,0)</f>
        <v>FILEZINHO FRANGO IQF ALM SE</v>
      </c>
      <c r="AC542" s="6" t="str">
        <f>VLOOKUP(Tabela1[[#This Row],[SKU]],SKU!A:C,3,0)</f>
        <v>SASSAMI</v>
      </c>
    </row>
    <row r="543" spans="1:29" x14ac:dyDescent="0.3">
      <c r="A543" s="2">
        <f>INT(Tabela1[[#This Row],[Data e Hora2]])</f>
        <v>46275</v>
      </c>
      <c r="B543" s="6" t="str">
        <f>UPPER(TEXT(Tabela1[[#This Row],[Data Corrigida]],"MMM"))</f>
        <v>SET</v>
      </c>
      <c r="C543" t="s">
        <v>1439</v>
      </c>
      <c r="D543" s="2" t="s">
        <v>1440</v>
      </c>
      <c r="E543" s="1" t="s">
        <v>1441</v>
      </c>
      <c r="F543" t="s">
        <v>24</v>
      </c>
      <c r="G543" s="2" t="s">
        <v>1436</v>
      </c>
      <c r="H543" t="s">
        <v>26</v>
      </c>
      <c r="I543" t="s">
        <v>27</v>
      </c>
      <c r="J543" s="6">
        <v>40762</v>
      </c>
      <c r="K543" s="16">
        <v>10080</v>
      </c>
      <c r="L543" s="16">
        <v>10055</v>
      </c>
      <c r="M543" s="16">
        <v>9970</v>
      </c>
      <c r="N543" s="16">
        <v>10065</v>
      </c>
      <c r="O543" s="16">
        <v>10035</v>
      </c>
      <c r="P543" s="16">
        <v>10050</v>
      </c>
      <c r="Q543" s="16">
        <v>9985</v>
      </c>
      <c r="R543" s="16">
        <v>9970</v>
      </c>
      <c r="S543" s="16">
        <v>10055</v>
      </c>
      <c r="T543" s="16">
        <v>9990</v>
      </c>
      <c r="U543" s="15">
        <v>10025.5</v>
      </c>
      <c r="V543" t="s">
        <v>19</v>
      </c>
      <c r="W543" t="s">
        <v>28</v>
      </c>
      <c r="X543">
        <v>1974</v>
      </c>
      <c r="Y543" s="16">
        <f>VLOOKUP(Tabela1[[#This Row],[SKU]],SKU!A:D,4,0)</f>
        <v>10000</v>
      </c>
      <c r="Z543" s="18">
        <f>IFERROR((Tabela1[[#This Row],[Média]]-Tabela1[[#This Row],[Meta]])/Tabela1[[#This Row],[Meta]],"")</f>
        <v>2.5500000000000002E-3</v>
      </c>
      <c r="AA543" s="22">
        <f>Tabela1[[#This Row],[Média]]-Tabela1[[#This Row],[Meta]]</f>
        <v>25.5</v>
      </c>
      <c r="AB543" s="6" t="str">
        <f>VLOOKUP(Tabela1[[#This Row],[SKU]],SKU!A:B,2,0)</f>
        <v>COXA SBCX LQ FG LP</v>
      </c>
      <c r="AC543" s="6" t="str">
        <f>VLOOKUP(Tabela1[[#This Row],[SKU]],SKU!A:C,3,0)</f>
        <v>PERNA</v>
      </c>
    </row>
    <row r="544" spans="1:29" x14ac:dyDescent="0.3">
      <c r="A544" s="2">
        <f>INT(Tabela1[[#This Row],[Data e Hora2]])</f>
        <v>46275</v>
      </c>
      <c r="B544" s="6" t="str">
        <f>UPPER(TEXT(Tabela1[[#This Row],[Data Corrigida]],"MMM"))</f>
        <v>SET</v>
      </c>
      <c r="C544" t="s">
        <v>1442</v>
      </c>
      <c r="D544" s="2" t="s">
        <v>1443</v>
      </c>
      <c r="E544" s="1" t="s">
        <v>1441</v>
      </c>
      <c r="F544" t="s">
        <v>24</v>
      </c>
      <c r="G544" s="2" t="s">
        <v>1436</v>
      </c>
      <c r="H544" t="s">
        <v>26</v>
      </c>
      <c r="I544" t="s">
        <v>27</v>
      </c>
      <c r="J544" s="6">
        <v>15229</v>
      </c>
      <c r="K544" s="16">
        <v>1017</v>
      </c>
      <c r="L544" s="16">
        <v>998</v>
      </c>
      <c r="M544" s="16">
        <v>997</v>
      </c>
      <c r="N544" s="16">
        <v>1002</v>
      </c>
      <c r="O544" s="16">
        <v>1012</v>
      </c>
      <c r="P544" s="16">
        <v>1017</v>
      </c>
      <c r="Q544" s="16">
        <v>1014</v>
      </c>
      <c r="R544" s="16">
        <v>1012</v>
      </c>
      <c r="S544" s="16">
        <v>1005</v>
      </c>
      <c r="T544" s="16">
        <v>999</v>
      </c>
      <c r="U544" s="15">
        <v>1007.3</v>
      </c>
      <c r="V544" t="s">
        <v>19</v>
      </c>
      <c r="W544" t="s">
        <v>28</v>
      </c>
      <c r="X544">
        <v>967</v>
      </c>
      <c r="Y544" s="16">
        <f>VLOOKUP(Tabela1[[#This Row],[SKU]],SKU!A:D,4,0)</f>
        <v>1000</v>
      </c>
      <c r="Z544" s="18">
        <f>IFERROR((Tabela1[[#This Row],[Média]]-Tabela1[[#This Row],[Meta]])/Tabela1[[#This Row],[Meta]],"")</f>
        <v>7.2999999999999541E-3</v>
      </c>
      <c r="AA544" s="22">
        <f>Tabela1[[#This Row],[Média]]-Tabela1[[#This Row],[Meta]]</f>
        <v>7.2999999999999545</v>
      </c>
      <c r="AB544" s="6" t="str">
        <f>VLOOKUP(Tabela1[[#This Row],[SKU]],SKU!A:B,2,0)</f>
        <v>COXA CG BDJ SE</v>
      </c>
      <c r="AC544" s="6" t="str">
        <f>VLOOKUP(Tabela1[[#This Row],[SKU]],SKU!A:C,3,0)</f>
        <v>PERNA</v>
      </c>
    </row>
    <row r="545" spans="1:29" x14ac:dyDescent="0.3">
      <c r="A545" s="2">
        <f>INT(Tabela1[[#This Row],[Data e Hora2]])</f>
        <v>46275</v>
      </c>
      <c r="B545" s="6" t="str">
        <f>UPPER(TEXT(Tabela1[[#This Row],[Data Corrigida]],"MMM"))</f>
        <v>SET</v>
      </c>
      <c r="C545" t="s">
        <v>1444</v>
      </c>
      <c r="D545" s="2" t="s">
        <v>1445</v>
      </c>
      <c r="E545" s="1" t="s">
        <v>1441</v>
      </c>
      <c r="F545" t="s">
        <v>24</v>
      </c>
      <c r="G545" s="2" t="s">
        <v>1436</v>
      </c>
      <c r="H545" t="s">
        <v>26</v>
      </c>
      <c r="I545" t="s">
        <v>27</v>
      </c>
      <c r="J545" s="6">
        <v>40762</v>
      </c>
      <c r="K545" s="16">
        <v>9990</v>
      </c>
      <c r="L545" s="16">
        <v>10005</v>
      </c>
      <c r="M545" s="16">
        <v>9987</v>
      </c>
      <c r="N545" s="16">
        <v>10030</v>
      </c>
      <c r="O545" s="16">
        <v>10035</v>
      </c>
      <c r="P545" s="16">
        <v>10010</v>
      </c>
      <c r="Q545" s="16">
        <v>9980</v>
      </c>
      <c r="R545" s="16">
        <v>10020</v>
      </c>
      <c r="S545" s="16">
        <v>9985</v>
      </c>
      <c r="T545" s="16">
        <v>10005</v>
      </c>
      <c r="U545" s="15">
        <v>10004.700000000001</v>
      </c>
      <c r="V545" t="s">
        <v>19</v>
      </c>
      <c r="W545" t="s">
        <v>19</v>
      </c>
      <c r="X545">
        <v>719</v>
      </c>
      <c r="Y545" s="16">
        <f>VLOOKUP(Tabela1[[#This Row],[SKU]],SKU!A:D,4,0)</f>
        <v>10000</v>
      </c>
      <c r="Z545" s="18">
        <f>IFERROR((Tabela1[[#This Row],[Média]]-Tabela1[[#This Row],[Meta]])/Tabela1[[#This Row],[Meta]],"")</f>
        <v>4.7000000000007274E-4</v>
      </c>
      <c r="AA545" s="22">
        <f>Tabela1[[#This Row],[Média]]-Tabela1[[#This Row],[Meta]]</f>
        <v>4.7000000000007276</v>
      </c>
      <c r="AB545" s="6" t="str">
        <f>VLOOKUP(Tabela1[[#This Row],[SKU]],SKU!A:B,2,0)</f>
        <v>COXA SBCX LQ FG LP</v>
      </c>
      <c r="AC545" s="6" t="str">
        <f>VLOOKUP(Tabela1[[#This Row],[SKU]],SKU!A:C,3,0)</f>
        <v>PERNA</v>
      </c>
    </row>
    <row r="546" spans="1:29" x14ac:dyDescent="0.3">
      <c r="A546" s="2">
        <f>INT(Tabela1[[#This Row],[Data e Hora2]])</f>
        <v>46275</v>
      </c>
      <c r="B546" s="6" t="str">
        <f>UPPER(TEXT(Tabela1[[#This Row],[Data Corrigida]],"MMM"))</f>
        <v>SET</v>
      </c>
      <c r="C546" t="s">
        <v>1446</v>
      </c>
      <c r="D546" s="2" t="s">
        <v>1447</v>
      </c>
      <c r="E546" s="1" t="s">
        <v>1441</v>
      </c>
      <c r="F546" t="s">
        <v>24</v>
      </c>
      <c r="G546" s="2" t="s">
        <v>1436</v>
      </c>
      <c r="H546" t="s">
        <v>26</v>
      </c>
      <c r="I546" t="s">
        <v>27</v>
      </c>
      <c r="J546" s="6">
        <v>13188</v>
      </c>
      <c r="K546" s="16">
        <v>1001</v>
      </c>
      <c r="L546" s="16">
        <v>995</v>
      </c>
      <c r="M546" s="16">
        <v>979</v>
      </c>
      <c r="N546" s="16">
        <v>1003</v>
      </c>
      <c r="O546" s="16">
        <v>1008</v>
      </c>
      <c r="P546" s="16">
        <v>981</v>
      </c>
      <c r="Q546" s="16">
        <v>1000</v>
      </c>
      <c r="R546" s="16">
        <v>996</v>
      </c>
      <c r="S546" s="16">
        <v>1015</v>
      </c>
      <c r="T546" s="16">
        <v>1001</v>
      </c>
      <c r="U546" s="15">
        <v>997.9</v>
      </c>
      <c r="V546" t="s">
        <v>19</v>
      </c>
      <c r="W546" t="s">
        <v>28</v>
      </c>
      <c r="X546">
        <v>271</v>
      </c>
      <c r="Y546" s="16">
        <f>VLOOKUP(Tabela1[[#This Row],[SKU]],SKU!A:D,4,0)</f>
        <v>1000</v>
      </c>
      <c r="Z546" s="18">
        <f>IFERROR((Tabela1[[#This Row],[Média]]-Tabela1[[#This Row],[Meta]])/Tabela1[[#This Row],[Meta]],"")</f>
        <v>-2.1000000000000229E-3</v>
      </c>
      <c r="AA546" s="22">
        <f>Tabela1[[#This Row],[Média]]-Tabela1[[#This Row],[Meta]]</f>
        <v>-2.1000000000000227</v>
      </c>
      <c r="AB546" s="6" t="str">
        <f>VLOOKUP(Tabela1[[#This Row],[SKU]],SKU!A:B,2,0)</f>
        <v>SOBRECOXA CG BDJ SE</v>
      </c>
      <c r="AC546" s="6" t="str">
        <f>VLOOKUP(Tabela1[[#This Row],[SKU]],SKU!A:C,3,0)</f>
        <v>PERNA</v>
      </c>
    </row>
    <row r="547" spans="1:29" x14ac:dyDescent="0.3">
      <c r="A547" s="2">
        <f>INT(Tabela1[[#This Row],[Data e Hora2]])</f>
        <v>46275</v>
      </c>
      <c r="B547" s="6" t="str">
        <f>UPPER(TEXT(Tabela1[[#This Row],[Data Corrigida]],"MMM"))</f>
        <v>SET</v>
      </c>
      <c r="C547" t="s">
        <v>1448</v>
      </c>
      <c r="D547" s="2" t="s">
        <v>1449</v>
      </c>
      <c r="E547" s="1" t="s">
        <v>1441</v>
      </c>
      <c r="F547" t="s">
        <v>24</v>
      </c>
      <c r="G547" s="2" t="s">
        <v>1436</v>
      </c>
      <c r="H547" t="s">
        <v>26</v>
      </c>
      <c r="I547" t="s">
        <v>27</v>
      </c>
      <c r="J547" s="6">
        <v>15849</v>
      </c>
      <c r="K547" s="16">
        <v>991</v>
      </c>
      <c r="L547" s="16">
        <v>1011</v>
      </c>
      <c r="M547" s="16">
        <v>1006</v>
      </c>
      <c r="N547" s="16">
        <v>1016</v>
      </c>
      <c r="O547" s="16">
        <v>1002</v>
      </c>
      <c r="P547" s="16">
        <v>1014</v>
      </c>
      <c r="Q547" s="16">
        <v>995</v>
      </c>
      <c r="R547" s="16">
        <v>1009</v>
      </c>
      <c r="S547" s="16">
        <v>1004</v>
      </c>
      <c r="T547" s="16">
        <v>1004</v>
      </c>
      <c r="U547" s="15">
        <v>1005.2</v>
      </c>
      <c r="V547" t="s">
        <v>19</v>
      </c>
      <c r="W547" t="s">
        <v>19</v>
      </c>
      <c r="X547">
        <v>1090</v>
      </c>
      <c r="Y547" s="16">
        <f>VLOOKUP(Tabela1[[#This Row],[SKU]],SKU!A:D,4,0)</f>
        <v>1000</v>
      </c>
      <c r="Z547" s="18">
        <f>IFERROR((Tabela1[[#This Row],[Média]]-Tabela1[[#This Row],[Meta]])/Tabela1[[#This Row],[Meta]],"")</f>
        <v>5.2000000000000457E-3</v>
      </c>
      <c r="AA547" s="22">
        <f>Tabela1[[#This Row],[Média]]-Tabela1[[#This Row],[Meta]]</f>
        <v>5.2000000000000455</v>
      </c>
      <c r="AB547" s="6" t="str">
        <f>VLOOKUP(Tabela1[[#This Row],[SKU]],SKU!A:B,2,0)</f>
        <v>FILEZINHO PEITO CG BDJ SE</v>
      </c>
      <c r="AC547" s="6" t="str">
        <f>VLOOKUP(Tabela1[[#This Row],[SKU]],SKU!A:C,3,0)</f>
        <v>SASSAMI</v>
      </c>
    </row>
    <row r="548" spans="1:29" x14ac:dyDescent="0.3">
      <c r="A548" s="2">
        <f>INT(Tabela1[[#This Row],[Data e Hora2]])</f>
        <v>46275</v>
      </c>
      <c r="B548" s="6" t="str">
        <f>UPPER(TEXT(Tabela1[[#This Row],[Data Corrigida]],"MMM"))</f>
        <v>SET</v>
      </c>
      <c r="C548" t="s">
        <v>1450</v>
      </c>
      <c r="D548" s="2" t="s">
        <v>1451</v>
      </c>
      <c r="E548" s="1" t="s">
        <v>1441</v>
      </c>
      <c r="F548" t="s">
        <v>24</v>
      </c>
      <c r="G548" s="2" t="s">
        <v>1436</v>
      </c>
      <c r="H548" t="s">
        <v>26</v>
      </c>
      <c r="I548" t="s">
        <v>27</v>
      </c>
      <c r="J548" s="6">
        <v>15105</v>
      </c>
      <c r="K548" s="16">
        <v>1021</v>
      </c>
      <c r="L548" s="16">
        <v>1044</v>
      </c>
      <c r="M548" s="16">
        <v>1017</v>
      </c>
      <c r="N548" s="16">
        <v>1025</v>
      </c>
      <c r="O548" s="16">
        <v>992</v>
      </c>
      <c r="P548" s="16">
        <v>1028</v>
      </c>
      <c r="Q548" s="16">
        <v>1049</v>
      </c>
      <c r="R548" s="16">
        <v>1003</v>
      </c>
      <c r="S548" s="16">
        <v>1004</v>
      </c>
      <c r="T548" s="16">
        <v>1053</v>
      </c>
      <c r="U548" s="15">
        <v>1023.6</v>
      </c>
      <c r="V548" t="s">
        <v>19</v>
      </c>
      <c r="W548" t="s">
        <v>28</v>
      </c>
      <c r="X548">
        <v>211</v>
      </c>
      <c r="Y548" s="16">
        <f>VLOOKUP(Tabela1[[#This Row],[SKU]],SKU!A:D,4,0)</f>
        <v>1000</v>
      </c>
      <c r="Z548" s="18">
        <f>IFERROR((Tabela1[[#This Row],[Média]]-Tabela1[[#This Row],[Meta]])/Tabela1[[#This Row],[Meta]],"")</f>
        <v>2.3600000000000024E-2</v>
      </c>
      <c r="AA548" s="22">
        <f>Tabela1[[#This Row],[Média]]-Tabela1[[#This Row],[Meta]]</f>
        <v>23.600000000000023</v>
      </c>
      <c r="AB548" s="6" t="str">
        <f>VLOOKUP(Tabela1[[#This Row],[SKU]],SKU!A:B,2,0)</f>
        <v>FILE PEITO MET CG BDJ SE</v>
      </c>
      <c r="AC548" s="6" t="str">
        <f>VLOOKUP(Tabela1[[#This Row],[SKU]],SKU!A:C,3,0)</f>
        <v>PEITO</v>
      </c>
    </row>
    <row r="549" spans="1:29" x14ac:dyDescent="0.3">
      <c r="A549" s="2">
        <f>INT(Tabela1[[#This Row],[Data e Hora2]])</f>
        <v>46275</v>
      </c>
      <c r="B549" s="6" t="str">
        <f>UPPER(TEXT(Tabela1[[#This Row],[Data Corrigida]],"MMM"))</f>
        <v>SET</v>
      </c>
      <c r="C549" t="s">
        <v>1452</v>
      </c>
      <c r="D549" s="2" t="s">
        <v>1453</v>
      </c>
      <c r="E549" s="1" t="s">
        <v>1441</v>
      </c>
      <c r="F549" t="s">
        <v>24</v>
      </c>
      <c r="G549" s="2" t="s">
        <v>1436</v>
      </c>
      <c r="H549" t="s">
        <v>26</v>
      </c>
      <c r="I549" t="s">
        <v>27</v>
      </c>
      <c r="J549" s="6">
        <v>209039</v>
      </c>
      <c r="K549" s="16">
        <v>1003</v>
      </c>
      <c r="L549" s="16">
        <v>1005</v>
      </c>
      <c r="M549" s="16">
        <v>1039</v>
      </c>
      <c r="N549" s="16">
        <v>1008</v>
      </c>
      <c r="O549" s="16">
        <v>996</v>
      </c>
      <c r="P549" s="16">
        <v>1000</v>
      </c>
      <c r="Q549" s="16">
        <v>1001</v>
      </c>
      <c r="R549" s="16">
        <v>1018</v>
      </c>
      <c r="S549" s="16">
        <v>1054</v>
      </c>
      <c r="T549" s="16">
        <v>1001</v>
      </c>
      <c r="U549" s="15">
        <v>1012.5</v>
      </c>
      <c r="V549" t="s">
        <v>19</v>
      </c>
      <c r="W549" t="s">
        <v>28</v>
      </c>
      <c r="X549">
        <v>124</v>
      </c>
      <c r="Y549" s="16">
        <f>VLOOKUP(Tabela1[[#This Row],[SKU]],SKU!A:D,4,0)</f>
        <v>1000</v>
      </c>
      <c r="Z549" s="18">
        <f>IFERROR((Tabela1[[#This Row],[Média]]-Tabela1[[#This Row],[Meta]])/Tabela1[[#This Row],[Meta]],"")</f>
        <v>1.2500000000000001E-2</v>
      </c>
      <c r="AA549" s="22">
        <f>Tabela1[[#This Row],[Média]]-Tabela1[[#This Row],[Meta]]</f>
        <v>12.5</v>
      </c>
      <c r="AB549" s="6" t="str">
        <f>VLOOKUP(Tabela1[[#This Row],[SKU]],SKU!A:B,2,0)</f>
        <v>COXINHA ASA IQF ALM 1KG</v>
      </c>
      <c r="AC549" s="6" t="str">
        <f>VLOOKUP(Tabela1[[#This Row],[SKU]],SKU!A:C,3,0)</f>
        <v>ASA</v>
      </c>
    </row>
    <row r="550" spans="1:29" x14ac:dyDescent="0.3">
      <c r="A550" s="2">
        <f>INT(Tabela1[[#This Row],[Data e Hora2]])</f>
        <v>46275</v>
      </c>
      <c r="B550" s="6" t="str">
        <f>UPPER(TEXT(Tabela1[[#This Row],[Data Corrigida]],"MMM"))</f>
        <v>SET</v>
      </c>
      <c r="C550" t="s">
        <v>1454</v>
      </c>
      <c r="D550" s="2" t="s">
        <v>1455</v>
      </c>
      <c r="E550" s="1" t="s">
        <v>1456</v>
      </c>
      <c r="F550" t="s">
        <v>24</v>
      </c>
      <c r="G550" s="2" t="s">
        <v>1436</v>
      </c>
      <c r="H550" t="s">
        <v>26</v>
      </c>
      <c r="I550" t="s">
        <v>27</v>
      </c>
      <c r="J550" s="6">
        <v>42846</v>
      </c>
      <c r="K550" s="16">
        <v>2003</v>
      </c>
      <c r="L550" s="16">
        <v>2001</v>
      </c>
      <c r="M550" s="16">
        <v>2004</v>
      </c>
      <c r="N550" s="16">
        <v>2013</v>
      </c>
      <c r="O550" s="16">
        <v>1988</v>
      </c>
      <c r="P550" s="16">
        <v>2021</v>
      </c>
      <c r="Q550" s="16">
        <v>2020</v>
      </c>
      <c r="R550" s="16">
        <v>1999</v>
      </c>
      <c r="S550" s="16">
        <v>1985</v>
      </c>
      <c r="T550" s="16">
        <v>2008</v>
      </c>
      <c r="U550" s="15">
        <v>2004.2</v>
      </c>
      <c r="V550" t="s">
        <v>19</v>
      </c>
      <c r="W550" t="s">
        <v>28</v>
      </c>
      <c r="X550">
        <v>211</v>
      </c>
      <c r="Y550" s="16">
        <f>VLOOKUP(Tabela1[[#This Row],[SKU]],SKU!A:D,4,0)</f>
        <v>2000</v>
      </c>
      <c r="Z550" s="18">
        <f>IFERROR((Tabela1[[#This Row],[Média]]-Tabela1[[#This Row],[Meta]])/Tabela1[[#This Row],[Meta]],"")</f>
        <v>2.1000000000000229E-3</v>
      </c>
      <c r="AA550" s="22">
        <f>Tabela1[[#This Row],[Média]]-Tabela1[[#This Row],[Meta]]</f>
        <v>4.2000000000000455</v>
      </c>
      <c r="AB550" s="6" t="str">
        <f>VLOOKUP(Tabela1[[#This Row],[SKU]],SKU!A:B,2,0)</f>
        <v>COXA SBCX S/O FG 240-260g PB</v>
      </c>
      <c r="AC550" s="6" t="str">
        <f>VLOOKUP(Tabela1[[#This Row],[SKU]],SKU!A:C,3,0)</f>
        <v>PERNA</v>
      </c>
    </row>
    <row r="551" spans="1:29" x14ac:dyDescent="0.3">
      <c r="A551" s="2">
        <f>INT(Tabela1[[#This Row],[Data e Hora2]])</f>
        <v>46275</v>
      </c>
      <c r="B551" s="6" t="str">
        <f>UPPER(TEXT(Tabela1[[#This Row],[Data Corrigida]],"MMM"))</f>
        <v>SET</v>
      </c>
      <c r="C551" t="s">
        <v>1457</v>
      </c>
      <c r="D551" s="2" t="s">
        <v>1458</v>
      </c>
      <c r="E551" s="1" t="s">
        <v>1456</v>
      </c>
      <c r="F551" t="s">
        <v>24</v>
      </c>
      <c r="G551" s="2" t="s">
        <v>1436</v>
      </c>
      <c r="H551" t="s">
        <v>26</v>
      </c>
      <c r="I551" t="s">
        <v>27</v>
      </c>
      <c r="J551" s="6">
        <v>42854</v>
      </c>
      <c r="K551" s="16">
        <v>2100</v>
      </c>
      <c r="L551" s="16">
        <v>2109</v>
      </c>
      <c r="M551" s="16">
        <v>2110</v>
      </c>
      <c r="N551" s="16">
        <v>2101</v>
      </c>
      <c r="O551" s="16">
        <v>2097</v>
      </c>
      <c r="P551" s="16">
        <v>2171</v>
      </c>
      <c r="Q551" s="16">
        <v>2108</v>
      </c>
      <c r="R551" s="16">
        <v>2095</v>
      </c>
      <c r="S551" s="16">
        <v>2126</v>
      </c>
      <c r="T551" s="16">
        <v>2112</v>
      </c>
      <c r="U551" s="15">
        <v>2112.9</v>
      </c>
      <c r="V551" t="s">
        <v>19</v>
      </c>
      <c r="W551" t="s">
        <v>19</v>
      </c>
      <c r="X551">
        <v>108</v>
      </c>
      <c r="Y551" s="16">
        <f>VLOOKUP(Tabela1[[#This Row],[SKU]],SKU!A:D,4,0)</f>
        <v>2080</v>
      </c>
      <c r="Z551" s="18">
        <f>IFERROR((Tabela1[[#This Row],[Média]]-Tabela1[[#This Row],[Meta]])/Tabela1[[#This Row],[Meta]],"")</f>
        <v>1.5817307692307735E-2</v>
      </c>
      <c r="AA551" s="22">
        <f>Tabela1[[#This Row],[Média]]-Tabela1[[#This Row],[Meta]]</f>
        <v>32.900000000000091</v>
      </c>
      <c r="AB551" s="6" t="str">
        <f>VLOOKUP(Tabela1[[#This Row],[SKU]],SKU!A:B,2,0)</f>
        <v>COXA SBCX S/O FG 260-280g PB</v>
      </c>
      <c r="AC551" s="6" t="str">
        <f>VLOOKUP(Tabela1[[#This Row],[SKU]],SKU!A:C,3,0)</f>
        <v>PERNA</v>
      </c>
    </row>
    <row r="552" spans="1:29" x14ac:dyDescent="0.3">
      <c r="A552" s="2">
        <f>INT(Tabela1[[#This Row],[Data e Hora2]])</f>
        <v>46275</v>
      </c>
      <c r="B552" s="6" t="str">
        <f>UPPER(TEXT(Tabela1[[#This Row],[Data Corrigida]],"MMM"))</f>
        <v>SET</v>
      </c>
      <c r="C552" t="s">
        <v>1459</v>
      </c>
      <c r="D552" s="2" t="s">
        <v>1460</v>
      </c>
      <c r="E552" s="1" t="s">
        <v>1456</v>
      </c>
      <c r="F552" t="s">
        <v>24</v>
      </c>
      <c r="G552" s="2" t="s">
        <v>1436</v>
      </c>
      <c r="H552" t="s">
        <v>26</v>
      </c>
      <c r="I552" t="s">
        <v>27</v>
      </c>
      <c r="J552" s="6">
        <v>42838</v>
      </c>
      <c r="K552" s="16">
        <v>2014</v>
      </c>
      <c r="L552" s="16">
        <v>2032</v>
      </c>
      <c r="M552" s="16">
        <v>2042</v>
      </c>
      <c r="N552" s="16">
        <v>2010</v>
      </c>
      <c r="O552" s="16">
        <v>2052</v>
      </c>
      <c r="P552" s="16">
        <v>2057</v>
      </c>
      <c r="Q552" s="16">
        <v>2027</v>
      </c>
      <c r="R552" s="16">
        <v>1995</v>
      </c>
      <c r="S552" s="16">
        <v>2025</v>
      </c>
      <c r="T552" s="16">
        <v>2013</v>
      </c>
      <c r="U552" s="15">
        <v>2026.7</v>
      </c>
      <c r="V552" t="s">
        <v>19</v>
      </c>
      <c r="W552" t="s">
        <v>28</v>
      </c>
      <c r="X552">
        <v>219</v>
      </c>
      <c r="Y552" s="16">
        <f>VLOOKUP(Tabela1[[#This Row],[SKU]],SKU!A:D,4,0)</f>
        <v>2000</v>
      </c>
      <c r="Z552" s="18">
        <f>IFERROR((Tabela1[[#This Row],[Média]]-Tabela1[[#This Row],[Meta]])/Tabela1[[#This Row],[Meta]],"")</f>
        <v>1.3350000000000023E-2</v>
      </c>
      <c r="AA552" s="22">
        <f>Tabela1[[#This Row],[Média]]-Tabela1[[#This Row],[Meta]]</f>
        <v>26.700000000000045</v>
      </c>
      <c r="AB552" s="6" t="str">
        <f>VLOOKUP(Tabela1[[#This Row],[SKU]],SKU!A:B,2,0)</f>
        <v>COXA SBCX S/O FG 220-240g PB</v>
      </c>
      <c r="AC552" s="6" t="str">
        <f>VLOOKUP(Tabela1[[#This Row],[SKU]],SKU!A:C,3,0)</f>
        <v>PERNA</v>
      </c>
    </row>
    <row r="553" spans="1:29" x14ac:dyDescent="0.3">
      <c r="A553" s="2">
        <f>INT(Tabela1[[#This Row],[Data e Hora2]])</f>
        <v>46275</v>
      </c>
      <c r="B553" s="6" t="str">
        <f>UPPER(TEXT(Tabela1[[#This Row],[Data Corrigida]],"MMM"))</f>
        <v>SET</v>
      </c>
      <c r="C553" t="s">
        <v>1461</v>
      </c>
      <c r="D553" s="2" t="s">
        <v>1462</v>
      </c>
      <c r="E553" s="1" t="s">
        <v>1456</v>
      </c>
      <c r="F553" t="s">
        <v>24</v>
      </c>
      <c r="G553" s="2" t="s">
        <v>1436</v>
      </c>
      <c r="H553" t="s">
        <v>26</v>
      </c>
      <c r="I553" t="s">
        <v>27</v>
      </c>
      <c r="J553" s="6">
        <v>42820</v>
      </c>
      <c r="K553" s="16">
        <v>2034</v>
      </c>
      <c r="L553" s="16">
        <v>2060</v>
      </c>
      <c r="M553" s="16">
        <v>2047</v>
      </c>
      <c r="N553" s="16">
        <v>2000</v>
      </c>
      <c r="O553" s="16">
        <v>2031</v>
      </c>
      <c r="P553" s="16">
        <v>2045</v>
      </c>
      <c r="Q553" s="16">
        <v>2022</v>
      </c>
      <c r="R553" s="16">
        <v>2075</v>
      </c>
      <c r="S553" s="16">
        <v>2055</v>
      </c>
      <c r="T553" s="16">
        <v>2034</v>
      </c>
      <c r="U553" s="15">
        <v>2040.3</v>
      </c>
      <c r="V553" t="s">
        <v>19</v>
      </c>
      <c r="W553" t="s">
        <v>19</v>
      </c>
      <c r="X553">
        <v>105</v>
      </c>
      <c r="Y553" s="16">
        <f>VLOOKUP(Tabela1[[#This Row],[SKU]],SKU!A:D,4,0)</f>
        <v>2000</v>
      </c>
      <c r="Z553" s="18">
        <f>IFERROR((Tabela1[[#This Row],[Média]]-Tabela1[[#This Row],[Meta]])/Tabela1[[#This Row],[Meta]],"")</f>
        <v>2.0149999999999977E-2</v>
      </c>
      <c r="AA553" s="22">
        <f>Tabela1[[#This Row],[Média]]-Tabela1[[#This Row],[Meta]]</f>
        <v>40.299999999999955</v>
      </c>
      <c r="AB553" s="6" t="str">
        <f>VLOOKUP(Tabela1[[#This Row],[SKU]],SKU!A:B,2,0)</f>
        <v>COXA SBCX S/O FG 200-220g PB</v>
      </c>
      <c r="AC553" s="6" t="str">
        <f>VLOOKUP(Tabela1[[#This Row],[SKU]],SKU!A:C,3,0)</f>
        <v>PERNA</v>
      </c>
    </row>
    <row r="554" spans="1:29" x14ac:dyDescent="0.3">
      <c r="A554" s="2">
        <f>INT(Tabela1[[#This Row],[Data e Hora2]])</f>
        <v>46275</v>
      </c>
      <c r="B554" s="6" t="str">
        <f>UPPER(TEXT(Tabela1[[#This Row],[Data Corrigida]],"MMM"))</f>
        <v>SET</v>
      </c>
      <c r="C554" t="s">
        <v>1463</v>
      </c>
      <c r="D554" s="2" t="s">
        <v>1464</v>
      </c>
      <c r="E554" s="1" t="s">
        <v>1456</v>
      </c>
      <c r="F554" t="s">
        <v>24</v>
      </c>
      <c r="G554" s="2" t="s">
        <v>1436</v>
      </c>
      <c r="H554" t="s">
        <v>26</v>
      </c>
      <c r="I554" t="s">
        <v>27</v>
      </c>
      <c r="J554" s="6">
        <v>42862</v>
      </c>
      <c r="K554" s="16">
        <v>2025</v>
      </c>
      <c r="L554" s="16">
        <v>2017</v>
      </c>
      <c r="M554" s="16">
        <v>2026</v>
      </c>
      <c r="N554" s="16">
        <v>2022</v>
      </c>
      <c r="O554" s="16">
        <v>2018</v>
      </c>
      <c r="P554" s="16">
        <v>2000</v>
      </c>
      <c r="Q554" s="16">
        <v>2016</v>
      </c>
      <c r="R554" s="16">
        <v>2007</v>
      </c>
      <c r="S554" s="16">
        <v>2019</v>
      </c>
      <c r="T554" s="16">
        <v>2025</v>
      </c>
      <c r="U554" s="15">
        <v>2017.5</v>
      </c>
      <c r="V554" t="s">
        <v>19</v>
      </c>
      <c r="W554" t="s">
        <v>28</v>
      </c>
      <c r="X554">
        <v>2233</v>
      </c>
      <c r="Y554" s="16">
        <f>VLOOKUP(Tabela1[[#This Row],[SKU]],SKU!A:D,4,0)</f>
        <v>2000</v>
      </c>
      <c r="Z554" s="18">
        <f>IFERROR((Tabela1[[#This Row],[Média]]-Tabela1[[#This Row],[Meta]])/Tabela1[[#This Row],[Meta]],"")</f>
        <v>8.7500000000000008E-3</v>
      </c>
      <c r="AA554" s="22">
        <f>Tabela1[[#This Row],[Média]]-Tabela1[[#This Row],[Meta]]</f>
        <v>17.5</v>
      </c>
      <c r="AB554" s="6" t="str">
        <f>VLOOKUP(Tabela1[[#This Row],[SKU]],SKU!A:B,2,0)</f>
        <v>COXA SBCX S/O FG 280-300g PB</v>
      </c>
      <c r="AC554" s="6" t="str">
        <f>VLOOKUP(Tabela1[[#This Row],[SKU]],SKU!A:C,3,0)</f>
        <v>PERNA</v>
      </c>
    </row>
    <row r="555" spans="1:29" x14ac:dyDescent="0.3">
      <c r="A555" s="2">
        <f>INT(Tabela1[[#This Row],[Data e Hora2]])</f>
        <v>46275</v>
      </c>
      <c r="B555" s="6" t="str">
        <f>UPPER(TEXT(Tabela1[[#This Row],[Data Corrigida]],"MMM"))</f>
        <v>SET</v>
      </c>
      <c r="C555" t="s">
        <v>1465</v>
      </c>
      <c r="D555" s="2" t="s">
        <v>1466</v>
      </c>
      <c r="E555" s="1" t="s">
        <v>1456</v>
      </c>
      <c r="F555" t="s">
        <v>24</v>
      </c>
      <c r="G555" s="2" t="s">
        <v>1436</v>
      </c>
      <c r="H555" t="s">
        <v>26</v>
      </c>
      <c r="I555" t="s">
        <v>27</v>
      </c>
      <c r="J555" s="6">
        <v>792799</v>
      </c>
      <c r="K555" s="16">
        <v>15055</v>
      </c>
      <c r="L555" s="16">
        <v>15040</v>
      </c>
      <c r="M555" s="16">
        <v>15000</v>
      </c>
      <c r="N555" s="16">
        <v>15005</v>
      </c>
      <c r="O555" s="16">
        <v>15085</v>
      </c>
      <c r="P555" s="16">
        <v>15090</v>
      </c>
      <c r="Q555" s="16">
        <v>15045</v>
      </c>
      <c r="R555" s="16">
        <v>15050</v>
      </c>
      <c r="S555" s="16">
        <v>15075</v>
      </c>
      <c r="T555" s="16">
        <v>15030</v>
      </c>
      <c r="U555" s="15">
        <v>15047.5</v>
      </c>
      <c r="V555" t="s">
        <v>19</v>
      </c>
      <c r="W555" t="s">
        <v>19</v>
      </c>
      <c r="X555">
        <v>193</v>
      </c>
      <c r="Y555" s="16">
        <f>VLOOKUP(Tabela1[[#This Row],[SKU]],SKU!A:D,4,0)</f>
        <v>15000</v>
      </c>
      <c r="Z555" s="18">
        <f>IFERROR((Tabela1[[#This Row],[Média]]-Tabela1[[#This Row],[Meta]])/Tabela1[[#This Row],[Meta]],"")</f>
        <v>3.1666666666666666E-3</v>
      </c>
      <c r="AA555" s="22">
        <f>Tabela1[[#This Row],[Média]]-Tabela1[[#This Row],[Meta]]</f>
        <v>47.5</v>
      </c>
      <c r="AB555" s="6" t="str">
        <f>VLOOKUP(Tabela1[[#This Row],[SKU]],SKU!A:B,2,0)</f>
        <v>ASAS FG 100g UP LP</v>
      </c>
      <c r="AC555" s="6" t="str">
        <f>VLOOKUP(Tabela1[[#This Row],[SKU]],SKU!A:C,3,0)</f>
        <v>ASA</v>
      </c>
    </row>
    <row r="556" spans="1:29" x14ac:dyDescent="0.3">
      <c r="A556" s="2">
        <f>INT(Tabela1[[#This Row],[Data e Hora2]])</f>
        <v>46275</v>
      </c>
      <c r="B556" s="6" t="str">
        <f>UPPER(TEXT(Tabela1[[#This Row],[Data Corrigida]],"MMM"))</f>
        <v>SET</v>
      </c>
      <c r="C556" t="s">
        <v>1467</v>
      </c>
      <c r="D556" s="2" t="s">
        <v>1468</v>
      </c>
      <c r="E556" s="1" t="s">
        <v>1456</v>
      </c>
      <c r="F556" t="s">
        <v>24</v>
      </c>
      <c r="G556" s="2" t="s">
        <v>1436</v>
      </c>
      <c r="H556" t="s">
        <v>26</v>
      </c>
      <c r="I556" t="s">
        <v>27</v>
      </c>
      <c r="J556" s="6">
        <v>992093</v>
      </c>
      <c r="K556" s="16">
        <v>4997</v>
      </c>
      <c r="L556" s="16">
        <v>5005</v>
      </c>
      <c r="M556" s="16">
        <v>4999</v>
      </c>
      <c r="N556" s="16">
        <v>4992</v>
      </c>
      <c r="O556" s="16">
        <v>4998</v>
      </c>
      <c r="P556" s="16">
        <v>4985</v>
      </c>
      <c r="Q556" s="16">
        <v>5000</v>
      </c>
      <c r="R556" s="16">
        <v>5001</v>
      </c>
      <c r="S556" s="16">
        <v>4992</v>
      </c>
      <c r="T556" s="16">
        <v>5005</v>
      </c>
      <c r="U556" s="15">
        <v>4997.3999999999996</v>
      </c>
      <c r="V556" t="s">
        <v>19</v>
      </c>
      <c r="W556" t="s">
        <v>28</v>
      </c>
      <c r="X556">
        <v>265</v>
      </c>
      <c r="Y556" s="16">
        <f>VLOOKUP(Tabela1[[#This Row],[SKU]],SKU!A:D,4,0)</f>
        <v>5000</v>
      </c>
      <c r="Z556" s="18">
        <f>IFERROR((Tabela1[[#This Row],[Média]]-Tabela1[[#This Row],[Meta]])/Tabela1[[#This Row],[Meta]],"")</f>
        <v>-5.2000000000007281E-4</v>
      </c>
      <c r="AA556" s="22">
        <f>Tabela1[[#This Row],[Média]]-Tabela1[[#This Row],[Meta]]</f>
        <v>-2.6000000000003638</v>
      </c>
      <c r="AB556" s="6" t="str">
        <f>VLOOKUP(Tabela1[[#This Row],[SKU]],SKU!A:B,2,0)</f>
        <v>PONTA ASA FG PB CG</v>
      </c>
      <c r="AC556" s="6" t="str">
        <f>VLOOKUP(Tabela1[[#This Row],[SKU]],SKU!A:C,3,0)</f>
        <v>ASA</v>
      </c>
    </row>
    <row r="557" spans="1:29" x14ac:dyDescent="0.3">
      <c r="A557" s="2">
        <f>INT(Tabela1[[#This Row],[Data e Hora2]])</f>
        <v>46275</v>
      </c>
      <c r="B557" s="6" t="str">
        <f>UPPER(TEXT(Tabela1[[#This Row],[Data Corrigida]],"MMM"))</f>
        <v>SET</v>
      </c>
      <c r="C557" t="s">
        <v>1469</v>
      </c>
      <c r="D557" s="2" t="s">
        <v>1470</v>
      </c>
      <c r="E557" s="1" t="s">
        <v>1456</v>
      </c>
      <c r="F557" t="s">
        <v>24</v>
      </c>
      <c r="G557" s="2" t="s">
        <v>1436</v>
      </c>
      <c r="H557" t="s">
        <v>26</v>
      </c>
      <c r="I557" t="s">
        <v>27</v>
      </c>
      <c r="J557" s="6">
        <v>15849</v>
      </c>
      <c r="K557" s="16">
        <v>1018</v>
      </c>
      <c r="L557" s="16">
        <v>1009</v>
      </c>
      <c r="M557" s="16">
        <v>1006</v>
      </c>
      <c r="N557" s="16">
        <v>1004</v>
      </c>
      <c r="O557" s="16">
        <v>1003</v>
      </c>
      <c r="P557" s="16">
        <v>1005</v>
      </c>
      <c r="Q557" s="16">
        <v>1008</v>
      </c>
      <c r="R557" s="16">
        <v>999</v>
      </c>
      <c r="S557" s="16">
        <v>1020</v>
      </c>
      <c r="T557" s="16">
        <v>1008</v>
      </c>
      <c r="U557" s="15">
        <v>1008</v>
      </c>
      <c r="V557" t="s">
        <v>19</v>
      </c>
      <c r="W557" t="s">
        <v>19</v>
      </c>
      <c r="X557">
        <v>177</v>
      </c>
      <c r="Y557" s="16">
        <f>VLOOKUP(Tabela1[[#This Row],[SKU]],SKU!A:D,4,0)</f>
        <v>1000</v>
      </c>
      <c r="Z557" s="18">
        <f>IFERROR((Tabela1[[#This Row],[Média]]-Tabela1[[#This Row],[Meta]])/Tabela1[[#This Row],[Meta]],"")</f>
        <v>8.0000000000000002E-3</v>
      </c>
      <c r="AA557" s="22">
        <f>Tabela1[[#This Row],[Média]]-Tabela1[[#This Row],[Meta]]</f>
        <v>8</v>
      </c>
      <c r="AB557" s="6" t="str">
        <f>VLOOKUP(Tabela1[[#This Row],[SKU]],SKU!A:B,2,0)</f>
        <v>FILEZINHO PEITO CG BDJ SE</v>
      </c>
      <c r="AC557" s="6" t="str">
        <f>VLOOKUP(Tabela1[[#This Row],[SKU]],SKU!A:C,3,0)</f>
        <v>SASSAMI</v>
      </c>
    </row>
    <row r="558" spans="1:29" x14ac:dyDescent="0.3">
      <c r="A558" s="2">
        <f>INT(Tabela1[[#This Row],[Data e Hora2]])</f>
        <v>46275</v>
      </c>
      <c r="B558" s="6" t="str">
        <f>UPPER(TEXT(Tabela1[[#This Row],[Data Corrigida]],"MMM"))</f>
        <v>SET</v>
      </c>
      <c r="C558" t="s">
        <v>1471</v>
      </c>
      <c r="D558" s="2" t="s">
        <v>1472</v>
      </c>
      <c r="E558" s="1" t="s">
        <v>1456</v>
      </c>
      <c r="F558" t="s">
        <v>24</v>
      </c>
      <c r="G558" s="2" t="s">
        <v>1436</v>
      </c>
      <c r="H558" t="s">
        <v>26</v>
      </c>
      <c r="I558" t="s">
        <v>27</v>
      </c>
      <c r="J558" s="6">
        <v>15105</v>
      </c>
      <c r="K558" s="16">
        <v>992</v>
      </c>
      <c r="L558" s="16">
        <v>1013</v>
      </c>
      <c r="M558" s="16">
        <v>975</v>
      </c>
      <c r="N558" s="16">
        <v>1013</v>
      </c>
      <c r="O558" s="16">
        <v>999</v>
      </c>
      <c r="P558" s="16">
        <v>1037</v>
      </c>
      <c r="Q558" s="16">
        <v>1003</v>
      </c>
      <c r="R558" s="16">
        <v>1028</v>
      </c>
      <c r="S558" s="16">
        <v>1056</v>
      </c>
      <c r="T558" s="16">
        <v>1037</v>
      </c>
      <c r="U558" s="15">
        <v>1015.3</v>
      </c>
      <c r="V558" t="s">
        <v>19</v>
      </c>
      <c r="W558" t="s">
        <v>28</v>
      </c>
      <c r="X558">
        <v>158</v>
      </c>
      <c r="Y558" s="16">
        <f>VLOOKUP(Tabela1[[#This Row],[SKU]],SKU!A:D,4,0)</f>
        <v>1000</v>
      </c>
      <c r="Z558" s="18">
        <f>IFERROR((Tabela1[[#This Row],[Média]]-Tabela1[[#This Row],[Meta]])/Tabela1[[#This Row],[Meta]],"")</f>
        <v>1.5299999999999954E-2</v>
      </c>
      <c r="AA558" s="22">
        <f>Tabela1[[#This Row],[Média]]-Tabela1[[#This Row],[Meta]]</f>
        <v>15.299999999999955</v>
      </c>
      <c r="AB558" s="6" t="str">
        <f>VLOOKUP(Tabela1[[#This Row],[SKU]],SKU!A:B,2,0)</f>
        <v>FILE PEITO MET CG BDJ SE</v>
      </c>
      <c r="AC558" s="6" t="str">
        <f>VLOOKUP(Tabela1[[#This Row],[SKU]],SKU!A:C,3,0)</f>
        <v>PEITO</v>
      </c>
    </row>
    <row r="559" spans="1:29" x14ac:dyDescent="0.3">
      <c r="A559" s="2">
        <f>INT(Tabela1[[#This Row],[Data e Hora2]])</f>
        <v>46275</v>
      </c>
      <c r="B559" s="6" t="str">
        <f>UPPER(TEXT(Tabela1[[#This Row],[Data Corrigida]],"MMM"))</f>
        <v>SET</v>
      </c>
      <c r="C559" t="s">
        <v>1473</v>
      </c>
      <c r="D559" s="2" t="s">
        <v>1474</v>
      </c>
      <c r="E559" s="1" t="s">
        <v>1475</v>
      </c>
      <c r="F559" t="s">
        <v>24</v>
      </c>
      <c r="G559" s="2" t="s">
        <v>1436</v>
      </c>
      <c r="H559" t="s">
        <v>26</v>
      </c>
      <c r="I559" t="s">
        <v>57</v>
      </c>
      <c r="J559" s="6">
        <v>209069</v>
      </c>
      <c r="K559" s="16">
        <v>1098</v>
      </c>
      <c r="L559" s="16">
        <v>1013</v>
      </c>
      <c r="M559" s="16">
        <v>1002</v>
      </c>
      <c r="N559" s="16">
        <v>1031</v>
      </c>
      <c r="O559" s="16">
        <v>1051</v>
      </c>
      <c r="P559" s="16">
        <v>1031</v>
      </c>
      <c r="Q559" s="16">
        <v>1019</v>
      </c>
      <c r="R559" s="16">
        <v>1002</v>
      </c>
      <c r="S559" s="16">
        <v>1030</v>
      </c>
      <c r="T559" s="16">
        <v>842</v>
      </c>
      <c r="U559" s="15">
        <v>1011.9</v>
      </c>
      <c r="V559" t="s">
        <v>19</v>
      </c>
      <c r="W559" t="s">
        <v>28</v>
      </c>
      <c r="X559">
        <v>436</v>
      </c>
      <c r="Y559" s="16">
        <f>VLOOKUP(Tabela1[[#This Row],[SKU]],SKU!A:D,4,0)</f>
        <v>1000</v>
      </c>
      <c r="Z559" s="18">
        <f>IFERROR((Tabela1[[#This Row],[Média]]-Tabela1[[#This Row],[Meta]])/Tabela1[[#This Row],[Meta]],"")</f>
        <v>1.1899999999999977E-2</v>
      </c>
      <c r="AA559" s="22">
        <f>Tabela1[[#This Row],[Média]]-Tabela1[[#This Row],[Meta]]</f>
        <v>11.899999999999977</v>
      </c>
      <c r="AB559" s="6" t="str">
        <f>VLOOKUP(Tabela1[[#This Row],[SKU]],SKU!A:B,2,0)</f>
        <v>FILE PEITO CG IQF1KG</v>
      </c>
      <c r="AC559" s="6" t="str">
        <f>VLOOKUP(Tabela1[[#This Row],[SKU]],SKU!A:C,3,0)</f>
        <v>PEITO</v>
      </c>
    </row>
    <row r="560" spans="1:29" x14ac:dyDescent="0.3">
      <c r="A560" s="2">
        <f>INT(Tabela1[[#This Row],[Data e Hora2]])</f>
        <v>46275</v>
      </c>
      <c r="B560" s="6" t="str">
        <f>UPPER(TEXT(Tabela1[[#This Row],[Data Corrigida]],"MMM"))</f>
        <v>SET</v>
      </c>
      <c r="C560" t="s">
        <v>1476</v>
      </c>
      <c r="D560" s="2" t="s">
        <v>1477</v>
      </c>
      <c r="E560" s="1" t="s">
        <v>1475</v>
      </c>
      <c r="F560" t="s">
        <v>24</v>
      </c>
      <c r="G560" s="2" t="s">
        <v>1436</v>
      </c>
      <c r="H560" t="s">
        <v>26</v>
      </c>
      <c r="I560" t="s">
        <v>57</v>
      </c>
      <c r="J560" s="6">
        <v>209069</v>
      </c>
      <c r="K560" s="16">
        <v>1008</v>
      </c>
      <c r="L560" s="16">
        <v>996</v>
      </c>
      <c r="M560" s="16">
        <v>1021</v>
      </c>
      <c r="N560" s="16">
        <v>1062</v>
      </c>
      <c r="O560" s="16">
        <v>1068</v>
      </c>
      <c r="P560" s="16">
        <v>1018</v>
      </c>
      <c r="Q560" s="16">
        <v>1030</v>
      </c>
      <c r="R560" s="16">
        <v>1008</v>
      </c>
      <c r="S560" s="16">
        <v>1047</v>
      </c>
      <c r="T560" s="16">
        <v>1077</v>
      </c>
      <c r="U560" s="15">
        <v>1033.5</v>
      </c>
      <c r="V560" t="s">
        <v>19</v>
      </c>
      <c r="W560" t="s">
        <v>28</v>
      </c>
      <c r="X560">
        <v>1076</v>
      </c>
      <c r="Y560" s="16">
        <f>VLOOKUP(Tabela1[[#This Row],[SKU]],SKU!A:D,4,0)</f>
        <v>1000</v>
      </c>
      <c r="Z560" s="18">
        <f>IFERROR((Tabela1[[#This Row],[Média]]-Tabela1[[#This Row],[Meta]])/Tabela1[[#This Row],[Meta]],"")</f>
        <v>3.3500000000000002E-2</v>
      </c>
      <c r="AA560" s="22">
        <f>Tabela1[[#This Row],[Média]]-Tabela1[[#This Row],[Meta]]</f>
        <v>33.5</v>
      </c>
      <c r="AB560" s="6" t="str">
        <f>VLOOKUP(Tabela1[[#This Row],[SKU]],SKU!A:B,2,0)</f>
        <v>FILE PEITO CG IQF1KG</v>
      </c>
      <c r="AC560" s="6" t="str">
        <f>VLOOKUP(Tabela1[[#This Row],[SKU]],SKU!A:C,3,0)</f>
        <v>PEITO</v>
      </c>
    </row>
    <row r="561" spans="1:29" x14ac:dyDescent="0.3">
      <c r="A561" s="2">
        <f>INT(Tabela1[[#This Row],[Data e Hora2]])</f>
        <v>46275</v>
      </c>
      <c r="B561" s="6" t="str">
        <f>UPPER(TEXT(Tabela1[[#This Row],[Data Corrigida]],"MMM"))</f>
        <v>SET</v>
      </c>
      <c r="C561" t="s">
        <v>1478</v>
      </c>
      <c r="D561" s="2" t="s">
        <v>1479</v>
      </c>
      <c r="E561" s="1" t="s">
        <v>1475</v>
      </c>
      <c r="F561" t="s">
        <v>24</v>
      </c>
      <c r="G561" s="2" t="s">
        <v>1436</v>
      </c>
      <c r="H561" t="s">
        <v>26</v>
      </c>
      <c r="I561" t="s">
        <v>57</v>
      </c>
      <c r="J561" s="6">
        <v>15105</v>
      </c>
      <c r="K561" s="16">
        <v>1035</v>
      </c>
      <c r="L561" s="16">
        <v>1004</v>
      </c>
      <c r="M561" s="16">
        <v>1033</v>
      </c>
      <c r="N561" s="16">
        <v>1032</v>
      </c>
      <c r="O561" s="16">
        <v>1006</v>
      </c>
      <c r="P561" s="16">
        <v>1032</v>
      </c>
      <c r="Q561" s="16">
        <v>1039</v>
      </c>
      <c r="R561" s="16">
        <v>1018</v>
      </c>
      <c r="S561" s="16">
        <v>998</v>
      </c>
      <c r="T561" s="16">
        <v>1046</v>
      </c>
      <c r="U561" s="15">
        <v>1024.3</v>
      </c>
      <c r="V561" t="s">
        <v>19</v>
      </c>
      <c r="W561" t="s">
        <v>28</v>
      </c>
      <c r="X561">
        <v>1314</v>
      </c>
      <c r="Y561" s="16">
        <f>VLOOKUP(Tabela1[[#This Row],[SKU]],SKU!A:D,4,0)</f>
        <v>1000</v>
      </c>
      <c r="Z561" s="18">
        <f>IFERROR((Tabela1[[#This Row],[Média]]-Tabela1[[#This Row],[Meta]])/Tabela1[[#This Row],[Meta]],"")</f>
        <v>2.4299999999999954E-2</v>
      </c>
      <c r="AA561" s="22">
        <f>Tabela1[[#This Row],[Média]]-Tabela1[[#This Row],[Meta]]</f>
        <v>24.299999999999955</v>
      </c>
      <c r="AB561" s="6" t="str">
        <f>VLOOKUP(Tabela1[[#This Row],[SKU]],SKU!A:B,2,0)</f>
        <v>FILE PEITO MET CG BDJ SE</v>
      </c>
      <c r="AC561" s="6" t="str">
        <f>VLOOKUP(Tabela1[[#This Row],[SKU]],SKU!A:C,3,0)</f>
        <v>PEITO</v>
      </c>
    </row>
    <row r="562" spans="1:29" x14ac:dyDescent="0.3">
      <c r="A562" s="2">
        <f>INT(Tabela1[[#This Row],[Data e Hora2]])</f>
        <v>46275</v>
      </c>
      <c r="B562" s="6" t="str">
        <f>UPPER(TEXT(Tabela1[[#This Row],[Data Corrigida]],"MMM"))</f>
        <v>SET</v>
      </c>
      <c r="C562" t="s">
        <v>1480</v>
      </c>
      <c r="D562" s="2" t="s">
        <v>1481</v>
      </c>
      <c r="E562" s="1" t="s">
        <v>1482</v>
      </c>
      <c r="F562" t="s">
        <v>24</v>
      </c>
      <c r="G562" s="2" t="s">
        <v>1436</v>
      </c>
      <c r="H562" t="s">
        <v>26</v>
      </c>
      <c r="I562" t="s">
        <v>57</v>
      </c>
      <c r="J562" s="6">
        <v>13188</v>
      </c>
      <c r="K562" s="16">
        <v>986</v>
      </c>
      <c r="L562" s="16">
        <v>983</v>
      </c>
      <c r="M562" s="16">
        <v>1031</v>
      </c>
      <c r="N562" s="16">
        <v>1010</v>
      </c>
      <c r="O562" s="16">
        <v>1028</v>
      </c>
      <c r="P562" s="16">
        <v>992</v>
      </c>
      <c r="Q562" s="16">
        <v>1009</v>
      </c>
      <c r="R562" s="16">
        <v>985</v>
      </c>
      <c r="S562" s="16">
        <v>998</v>
      </c>
      <c r="T562" s="16">
        <v>987</v>
      </c>
      <c r="U562" s="15">
        <v>1000.9</v>
      </c>
      <c r="V562" t="s">
        <v>19</v>
      </c>
      <c r="W562" t="s">
        <v>28</v>
      </c>
      <c r="X562">
        <v>389</v>
      </c>
      <c r="Y562" s="16">
        <f>VLOOKUP(Tabela1[[#This Row],[SKU]],SKU!A:D,4,0)</f>
        <v>1000</v>
      </c>
      <c r="Z562" s="18">
        <f>IFERROR((Tabela1[[#This Row],[Média]]-Tabela1[[#This Row],[Meta]])/Tabela1[[#This Row],[Meta]],"")</f>
        <v>8.9999999999997732E-4</v>
      </c>
      <c r="AA562" s="22">
        <f>Tabela1[[#This Row],[Média]]-Tabela1[[#This Row],[Meta]]</f>
        <v>0.89999999999997726</v>
      </c>
      <c r="AB562" s="6" t="str">
        <f>VLOOKUP(Tabela1[[#This Row],[SKU]],SKU!A:B,2,0)</f>
        <v>SOBRECOXA CG BDJ SE</v>
      </c>
      <c r="AC562" s="6" t="str">
        <f>VLOOKUP(Tabela1[[#This Row],[SKU]],SKU!A:C,3,0)</f>
        <v>PERNA</v>
      </c>
    </row>
    <row r="563" spans="1:29" x14ac:dyDescent="0.3">
      <c r="A563" s="2">
        <f>INT(Tabela1[[#This Row],[Data e Hora2]])</f>
        <v>46275</v>
      </c>
      <c r="B563" s="6" t="str">
        <f>UPPER(TEXT(Tabela1[[#This Row],[Data Corrigida]],"MMM"))</f>
        <v>SET</v>
      </c>
      <c r="C563" t="s">
        <v>1483</v>
      </c>
      <c r="D563" s="2" t="s">
        <v>1484</v>
      </c>
      <c r="E563" s="1" t="s">
        <v>1482</v>
      </c>
      <c r="F563" t="s">
        <v>24</v>
      </c>
      <c r="G563" s="2" t="s">
        <v>1436</v>
      </c>
      <c r="H563" t="s">
        <v>26</v>
      </c>
      <c r="I563" t="s">
        <v>57</v>
      </c>
      <c r="J563" s="6">
        <v>13188</v>
      </c>
      <c r="K563" s="16">
        <v>1013</v>
      </c>
      <c r="L563" s="16">
        <v>1014</v>
      </c>
      <c r="M563" s="16">
        <v>1016</v>
      </c>
      <c r="N563" s="16">
        <v>1002</v>
      </c>
      <c r="O563" s="16">
        <v>1011</v>
      </c>
      <c r="P563" s="16">
        <v>1009</v>
      </c>
      <c r="Q563" s="16">
        <v>1010</v>
      </c>
      <c r="R563" s="16">
        <v>1010</v>
      </c>
      <c r="S563" s="16">
        <v>1011</v>
      </c>
      <c r="T563" s="16">
        <v>1012</v>
      </c>
      <c r="U563" s="15">
        <v>1010.8</v>
      </c>
      <c r="V563" t="s">
        <v>19</v>
      </c>
      <c r="W563" t="s">
        <v>28</v>
      </c>
      <c r="X563">
        <v>511</v>
      </c>
      <c r="Y563" s="16">
        <f>VLOOKUP(Tabela1[[#This Row],[SKU]],SKU!A:D,4,0)</f>
        <v>1000</v>
      </c>
      <c r="Z563" s="18">
        <f>IFERROR((Tabela1[[#This Row],[Média]]-Tabela1[[#This Row],[Meta]])/Tabela1[[#This Row],[Meta]],"")</f>
        <v>1.0799999999999954E-2</v>
      </c>
      <c r="AA563" s="22">
        <f>Tabela1[[#This Row],[Média]]-Tabela1[[#This Row],[Meta]]</f>
        <v>10.799999999999955</v>
      </c>
      <c r="AB563" s="6" t="str">
        <f>VLOOKUP(Tabela1[[#This Row],[SKU]],SKU!A:B,2,0)</f>
        <v>SOBRECOXA CG BDJ SE</v>
      </c>
      <c r="AC563" s="6" t="str">
        <f>VLOOKUP(Tabela1[[#This Row],[SKU]],SKU!A:C,3,0)</f>
        <v>PERNA</v>
      </c>
    </row>
    <row r="564" spans="1:29" x14ac:dyDescent="0.3">
      <c r="A564" s="2">
        <f>INT(Tabela1[[#This Row],[Data e Hora2]])</f>
        <v>46275</v>
      </c>
      <c r="B564" s="6" t="str">
        <f>UPPER(TEXT(Tabela1[[#This Row],[Data Corrigida]],"MMM"))</f>
        <v>SET</v>
      </c>
      <c r="C564" t="s">
        <v>1485</v>
      </c>
      <c r="D564" s="2" t="s">
        <v>1486</v>
      </c>
      <c r="E564" s="1" t="s">
        <v>1482</v>
      </c>
      <c r="F564" t="s">
        <v>24</v>
      </c>
      <c r="G564" s="2" t="s">
        <v>1436</v>
      </c>
      <c r="H564" t="s">
        <v>26</v>
      </c>
      <c r="I564" t="s">
        <v>57</v>
      </c>
      <c r="J564" s="6">
        <v>13188</v>
      </c>
      <c r="K564" s="16">
        <v>1006</v>
      </c>
      <c r="L564" s="16">
        <v>1011</v>
      </c>
      <c r="M564" s="16">
        <v>1009</v>
      </c>
      <c r="N564" s="16">
        <v>1010</v>
      </c>
      <c r="O564" s="16">
        <v>1006</v>
      </c>
      <c r="P564" s="16">
        <v>1016</v>
      </c>
      <c r="Q564" s="16">
        <v>1008</v>
      </c>
      <c r="R564" s="16">
        <v>1013</v>
      </c>
      <c r="S564" s="16">
        <v>1011</v>
      </c>
      <c r="T564" s="16">
        <v>1015</v>
      </c>
      <c r="U564" s="15">
        <v>1010.5</v>
      </c>
      <c r="V564" t="s">
        <v>19</v>
      </c>
      <c r="W564" t="s">
        <v>28</v>
      </c>
      <c r="X564">
        <v>712</v>
      </c>
      <c r="Y564" s="16">
        <f>VLOOKUP(Tabela1[[#This Row],[SKU]],SKU!A:D,4,0)</f>
        <v>1000</v>
      </c>
      <c r="Z564" s="18">
        <f>IFERROR((Tabela1[[#This Row],[Média]]-Tabela1[[#This Row],[Meta]])/Tabela1[[#This Row],[Meta]],"")</f>
        <v>1.0500000000000001E-2</v>
      </c>
      <c r="AA564" s="22">
        <f>Tabela1[[#This Row],[Média]]-Tabela1[[#This Row],[Meta]]</f>
        <v>10.5</v>
      </c>
      <c r="AB564" s="6" t="str">
        <f>VLOOKUP(Tabela1[[#This Row],[SKU]],SKU!A:B,2,0)</f>
        <v>SOBRECOXA CG BDJ SE</v>
      </c>
      <c r="AC564" s="6" t="str">
        <f>VLOOKUP(Tabela1[[#This Row],[SKU]],SKU!A:C,3,0)</f>
        <v>PERNA</v>
      </c>
    </row>
    <row r="565" spans="1:29" x14ac:dyDescent="0.3">
      <c r="A565" s="2">
        <f>INT(Tabela1[[#This Row],[Data e Hora2]])</f>
        <v>46275</v>
      </c>
      <c r="B565" s="6" t="str">
        <f>UPPER(TEXT(Tabela1[[#This Row],[Data Corrigida]],"MMM"))</f>
        <v>SET</v>
      </c>
      <c r="C565" t="s">
        <v>1487</v>
      </c>
      <c r="D565" s="2" t="s">
        <v>1488</v>
      </c>
      <c r="E565" s="1" t="s">
        <v>1489</v>
      </c>
      <c r="F565" t="s">
        <v>24</v>
      </c>
      <c r="G565" s="2" t="s">
        <v>1436</v>
      </c>
      <c r="H565" t="s">
        <v>26</v>
      </c>
      <c r="I565" t="s">
        <v>57</v>
      </c>
      <c r="J565" s="6">
        <v>209039</v>
      </c>
      <c r="K565" s="16">
        <v>1001</v>
      </c>
      <c r="L565" s="16">
        <v>1133</v>
      </c>
      <c r="M565" s="16">
        <v>1013</v>
      </c>
      <c r="N565" s="16">
        <v>1000</v>
      </c>
      <c r="O565" s="16">
        <v>998</v>
      </c>
      <c r="P565" s="16">
        <v>1000</v>
      </c>
      <c r="Q565" s="16">
        <v>1004</v>
      </c>
      <c r="R565" s="16">
        <v>1018</v>
      </c>
      <c r="S565" s="16">
        <v>1010</v>
      </c>
      <c r="T565" s="16">
        <v>1005</v>
      </c>
      <c r="U565" s="15">
        <v>1018.2</v>
      </c>
      <c r="V565" t="s">
        <v>19</v>
      </c>
      <c r="W565" t="s">
        <v>28</v>
      </c>
      <c r="X565">
        <v>222</v>
      </c>
      <c r="Y565" s="16">
        <f>VLOOKUP(Tabela1[[#This Row],[SKU]],SKU!A:D,4,0)</f>
        <v>1000</v>
      </c>
      <c r="Z565" s="18">
        <f>IFERROR((Tabela1[[#This Row],[Média]]-Tabela1[[#This Row],[Meta]])/Tabela1[[#This Row],[Meta]],"")</f>
        <v>1.8200000000000046E-2</v>
      </c>
      <c r="AA565" s="22">
        <f>Tabela1[[#This Row],[Média]]-Tabela1[[#This Row],[Meta]]</f>
        <v>18.200000000000045</v>
      </c>
      <c r="AB565" s="6" t="str">
        <f>VLOOKUP(Tabela1[[#This Row],[SKU]],SKU!A:B,2,0)</f>
        <v>COXINHA ASA IQF ALM 1KG</v>
      </c>
      <c r="AC565" s="6" t="str">
        <f>VLOOKUP(Tabela1[[#This Row],[SKU]],SKU!A:C,3,0)</f>
        <v>ASA</v>
      </c>
    </row>
    <row r="566" spans="1:29" x14ac:dyDescent="0.3">
      <c r="A566" s="2">
        <f>INT(Tabela1[[#This Row],[Data e Hora2]])</f>
        <v>46275</v>
      </c>
      <c r="B566" s="6" t="str">
        <f>UPPER(TEXT(Tabela1[[#This Row],[Data Corrigida]],"MMM"))</f>
        <v>SET</v>
      </c>
      <c r="C566" t="s">
        <v>1490</v>
      </c>
      <c r="D566" s="2" t="s">
        <v>1491</v>
      </c>
      <c r="E566" s="1" t="s">
        <v>1489</v>
      </c>
      <c r="F566" t="s">
        <v>24</v>
      </c>
      <c r="G566" s="2" t="s">
        <v>1436</v>
      </c>
      <c r="H566" t="s">
        <v>26</v>
      </c>
      <c r="I566" t="s">
        <v>57</v>
      </c>
      <c r="J566" s="6">
        <v>209039</v>
      </c>
      <c r="K566" s="16">
        <v>1047</v>
      </c>
      <c r="L566" s="16">
        <v>1045</v>
      </c>
      <c r="M566" s="16">
        <v>1025</v>
      </c>
      <c r="N566" s="16">
        <v>1052</v>
      </c>
      <c r="O566" s="16">
        <v>1084</v>
      </c>
      <c r="P566" s="16">
        <v>1000</v>
      </c>
      <c r="Q566" s="16">
        <v>1065</v>
      </c>
      <c r="R566" s="16">
        <v>1012</v>
      </c>
      <c r="S566" s="16">
        <v>1045</v>
      </c>
      <c r="T566" s="16">
        <v>1042</v>
      </c>
      <c r="U566" s="15">
        <v>1041.7</v>
      </c>
      <c r="V566" t="s">
        <v>19</v>
      </c>
      <c r="W566" t="s">
        <v>28</v>
      </c>
      <c r="X566">
        <v>514</v>
      </c>
      <c r="Y566" s="16">
        <f>VLOOKUP(Tabela1[[#This Row],[SKU]],SKU!A:D,4,0)</f>
        <v>1000</v>
      </c>
      <c r="Z566" s="18">
        <f>IFERROR((Tabela1[[#This Row],[Média]]-Tabela1[[#This Row],[Meta]])/Tabela1[[#This Row],[Meta]],"")</f>
        <v>4.1700000000000043E-2</v>
      </c>
      <c r="AA566" s="22">
        <f>Tabela1[[#This Row],[Média]]-Tabela1[[#This Row],[Meta]]</f>
        <v>41.700000000000045</v>
      </c>
      <c r="AB566" s="6" t="str">
        <f>VLOOKUP(Tabela1[[#This Row],[SKU]],SKU!A:B,2,0)</f>
        <v>COXINHA ASA IQF ALM 1KG</v>
      </c>
      <c r="AC566" s="6" t="str">
        <f>VLOOKUP(Tabela1[[#This Row],[SKU]],SKU!A:C,3,0)</f>
        <v>ASA</v>
      </c>
    </row>
    <row r="567" spans="1:29" x14ac:dyDescent="0.3">
      <c r="A567" s="2">
        <f>INT(Tabela1[[#This Row],[Data e Hora2]])</f>
        <v>46275</v>
      </c>
      <c r="B567" s="6" t="str">
        <f>UPPER(TEXT(Tabela1[[#This Row],[Data Corrigida]],"MMM"))</f>
        <v>SET</v>
      </c>
      <c r="C567" t="s">
        <v>1492</v>
      </c>
      <c r="D567" s="2" t="s">
        <v>1493</v>
      </c>
      <c r="E567" s="1" t="s">
        <v>1489</v>
      </c>
      <c r="F567" t="s">
        <v>24</v>
      </c>
      <c r="G567" s="2" t="s">
        <v>1436</v>
      </c>
      <c r="H567" t="s">
        <v>26</v>
      </c>
      <c r="I567" t="s">
        <v>57</v>
      </c>
      <c r="J567" s="6">
        <v>209039</v>
      </c>
      <c r="K567" s="16">
        <v>989</v>
      </c>
      <c r="L567" s="16">
        <v>1047</v>
      </c>
      <c r="M567" s="16">
        <v>1068</v>
      </c>
      <c r="N567" s="16">
        <v>1005</v>
      </c>
      <c r="O567" s="16">
        <v>1069</v>
      </c>
      <c r="P567" s="16">
        <v>1029</v>
      </c>
      <c r="Q567" s="16">
        <v>1066</v>
      </c>
      <c r="R567" s="16">
        <v>1052</v>
      </c>
      <c r="S567" s="16">
        <v>1051</v>
      </c>
      <c r="T567" s="16">
        <v>1010</v>
      </c>
      <c r="U567" s="15">
        <v>1038.5999999999999</v>
      </c>
      <c r="V567" t="s">
        <v>19</v>
      </c>
      <c r="W567" t="s">
        <v>28</v>
      </c>
      <c r="X567">
        <v>1017</v>
      </c>
      <c r="Y567" s="16">
        <f>VLOOKUP(Tabela1[[#This Row],[SKU]],SKU!A:D,4,0)</f>
        <v>1000</v>
      </c>
      <c r="Z567" s="18">
        <f>IFERROR((Tabela1[[#This Row],[Média]]-Tabela1[[#This Row],[Meta]])/Tabela1[[#This Row],[Meta]],"")</f>
        <v>3.8599999999999912E-2</v>
      </c>
      <c r="AA567" s="22">
        <f>Tabela1[[#This Row],[Média]]-Tabela1[[#This Row],[Meta]]</f>
        <v>38.599999999999909</v>
      </c>
      <c r="AB567" s="6" t="str">
        <f>VLOOKUP(Tabela1[[#This Row],[SKU]],SKU!A:B,2,0)</f>
        <v>COXINHA ASA IQF ALM 1KG</v>
      </c>
      <c r="AC567" s="6" t="str">
        <f>VLOOKUP(Tabela1[[#This Row],[SKU]],SKU!A:C,3,0)</f>
        <v>ASA</v>
      </c>
    </row>
    <row r="568" spans="1:29" x14ac:dyDescent="0.3">
      <c r="A568" s="2">
        <f>INT(Tabela1[[#This Row],[Data e Hora2]])</f>
        <v>46275</v>
      </c>
      <c r="B568" s="6" t="str">
        <f>UPPER(TEXT(Tabela1[[#This Row],[Data Corrigida]],"MMM"))</f>
        <v>SET</v>
      </c>
      <c r="C568" t="s">
        <v>1494</v>
      </c>
      <c r="D568" s="2" t="s">
        <v>1495</v>
      </c>
      <c r="E568" s="1" t="s">
        <v>1496</v>
      </c>
      <c r="F568" t="s">
        <v>24</v>
      </c>
      <c r="G568" s="2" t="s">
        <v>1436</v>
      </c>
      <c r="H568" t="s">
        <v>26</v>
      </c>
      <c r="I568" t="s">
        <v>57</v>
      </c>
      <c r="J568" s="6">
        <v>15105</v>
      </c>
      <c r="K568" s="16">
        <v>1029</v>
      </c>
      <c r="L568" s="16">
        <v>1006</v>
      </c>
      <c r="M568" s="16">
        <v>993</v>
      </c>
      <c r="N568" s="16">
        <v>995</v>
      </c>
      <c r="O568" s="16">
        <v>1015</v>
      </c>
      <c r="P568" s="16">
        <v>976</v>
      </c>
      <c r="Q568" s="16">
        <v>1032</v>
      </c>
      <c r="R568" s="16">
        <v>1022</v>
      </c>
      <c r="S568" s="16">
        <v>1000</v>
      </c>
      <c r="T568" s="16">
        <v>1005</v>
      </c>
      <c r="U568" s="15">
        <v>1007.3</v>
      </c>
      <c r="V568" t="s">
        <v>19</v>
      </c>
      <c r="W568" t="s">
        <v>28</v>
      </c>
      <c r="X568">
        <v>164</v>
      </c>
      <c r="Y568" s="16">
        <f>VLOOKUP(Tabela1[[#This Row],[SKU]],SKU!A:D,4,0)</f>
        <v>1000</v>
      </c>
      <c r="Z568" s="18">
        <f>IFERROR((Tabela1[[#This Row],[Média]]-Tabela1[[#This Row],[Meta]])/Tabela1[[#This Row],[Meta]],"")</f>
        <v>7.2999999999999541E-3</v>
      </c>
      <c r="AA568" s="22">
        <f>Tabela1[[#This Row],[Média]]-Tabela1[[#This Row],[Meta]]</f>
        <v>7.2999999999999545</v>
      </c>
      <c r="AB568" s="6" t="str">
        <f>VLOOKUP(Tabela1[[#This Row],[SKU]],SKU!A:B,2,0)</f>
        <v>FILE PEITO MET CG BDJ SE</v>
      </c>
      <c r="AC568" s="6" t="str">
        <f>VLOOKUP(Tabela1[[#This Row],[SKU]],SKU!A:C,3,0)</f>
        <v>PEITO</v>
      </c>
    </row>
    <row r="569" spans="1:29" x14ac:dyDescent="0.3">
      <c r="A569" s="2">
        <f>INT(Tabela1[[#This Row],[Data e Hora2]])</f>
        <v>46275</v>
      </c>
      <c r="B569" s="6" t="str">
        <f>UPPER(TEXT(Tabela1[[#This Row],[Data Corrigida]],"MMM"))</f>
        <v>SET</v>
      </c>
      <c r="C569" t="s">
        <v>1497</v>
      </c>
      <c r="D569" s="2" t="s">
        <v>1498</v>
      </c>
      <c r="E569" s="1" t="s">
        <v>1496</v>
      </c>
      <c r="F569" t="s">
        <v>24</v>
      </c>
      <c r="G569" s="2" t="s">
        <v>1436</v>
      </c>
      <c r="H569" t="s">
        <v>26</v>
      </c>
      <c r="I569" t="s">
        <v>57</v>
      </c>
      <c r="J569" s="6">
        <v>13188</v>
      </c>
      <c r="K569" s="16">
        <v>1016</v>
      </c>
      <c r="L569" s="16">
        <v>1007</v>
      </c>
      <c r="M569" s="16">
        <v>1020</v>
      </c>
      <c r="N569" s="16">
        <v>1015</v>
      </c>
      <c r="O569" s="16">
        <v>1019</v>
      </c>
      <c r="P569" s="16">
        <v>1011</v>
      </c>
      <c r="Q569" s="16">
        <v>999</v>
      </c>
      <c r="R569" s="16">
        <v>1005</v>
      </c>
      <c r="S569" s="16">
        <v>1000</v>
      </c>
      <c r="T569" s="16">
        <v>1013</v>
      </c>
      <c r="U569" s="15">
        <v>1010.5</v>
      </c>
      <c r="V569" t="s">
        <v>19</v>
      </c>
      <c r="W569" t="s">
        <v>28</v>
      </c>
      <c r="X569">
        <v>164</v>
      </c>
      <c r="Y569" s="16">
        <f>VLOOKUP(Tabela1[[#This Row],[SKU]],SKU!A:D,4,0)</f>
        <v>1000</v>
      </c>
      <c r="Z569" s="18">
        <f>IFERROR((Tabela1[[#This Row],[Média]]-Tabela1[[#This Row],[Meta]])/Tabela1[[#This Row],[Meta]],"")</f>
        <v>1.0500000000000001E-2</v>
      </c>
      <c r="AA569" s="22">
        <f>Tabela1[[#This Row],[Média]]-Tabela1[[#This Row],[Meta]]</f>
        <v>10.5</v>
      </c>
      <c r="AB569" s="6" t="str">
        <f>VLOOKUP(Tabela1[[#This Row],[SKU]],SKU!A:B,2,0)</f>
        <v>SOBRECOXA CG BDJ SE</v>
      </c>
      <c r="AC569" s="6" t="str">
        <f>VLOOKUP(Tabela1[[#This Row],[SKU]],SKU!A:C,3,0)</f>
        <v>PERNA</v>
      </c>
    </row>
    <row r="570" spans="1:29" x14ac:dyDescent="0.3">
      <c r="A570" s="2">
        <f>INT(Tabela1[[#This Row],[Data e Hora2]])</f>
        <v>46275</v>
      </c>
      <c r="B570" s="6" t="str">
        <f>UPPER(TEXT(Tabela1[[#This Row],[Data Corrigida]],"MMM"))</f>
        <v>SET</v>
      </c>
      <c r="C570" t="s">
        <v>1499</v>
      </c>
      <c r="D570" s="2" t="s">
        <v>1500</v>
      </c>
      <c r="E570" s="1" t="s">
        <v>1496</v>
      </c>
      <c r="F570" t="s">
        <v>24</v>
      </c>
      <c r="G570" s="2" t="s">
        <v>1436</v>
      </c>
      <c r="H570" t="s">
        <v>26</v>
      </c>
      <c r="I570" t="s">
        <v>19</v>
      </c>
      <c r="J570" s="6">
        <v>15229</v>
      </c>
      <c r="K570" s="16">
        <v>999</v>
      </c>
      <c r="L570" s="16">
        <v>1018</v>
      </c>
      <c r="M570" s="16">
        <v>1015</v>
      </c>
      <c r="N570" s="16">
        <v>1013</v>
      </c>
      <c r="O570" s="16">
        <v>1016</v>
      </c>
      <c r="P570" s="16">
        <v>1000</v>
      </c>
      <c r="Q570" s="16">
        <v>998</v>
      </c>
      <c r="R570" s="16">
        <v>1019</v>
      </c>
      <c r="S570" s="16">
        <v>1008</v>
      </c>
      <c r="T570" s="16">
        <v>999</v>
      </c>
      <c r="U570" s="15">
        <v>1008.5</v>
      </c>
      <c r="V570" t="s">
        <v>19</v>
      </c>
      <c r="W570" t="s">
        <v>28</v>
      </c>
      <c r="X570">
        <v>71</v>
      </c>
      <c r="Y570" s="16">
        <f>VLOOKUP(Tabela1[[#This Row],[SKU]],SKU!A:D,4,0)</f>
        <v>1000</v>
      </c>
      <c r="Z570" s="18">
        <f>IFERROR((Tabela1[[#This Row],[Média]]-Tabela1[[#This Row],[Meta]])/Tabela1[[#This Row],[Meta]],"")</f>
        <v>8.5000000000000006E-3</v>
      </c>
      <c r="AA570" s="22">
        <f>Tabela1[[#This Row],[Média]]-Tabela1[[#This Row],[Meta]]</f>
        <v>8.5</v>
      </c>
      <c r="AB570" s="6" t="str">
        <f>VLOOKUP(Tabela1[[#This Row],[SKU]],SKU!A:B,2,0)</f>
        <v>COXA CG BDJ SE</v>
      </c>
      <c r="AC570" s="6" t="str">
        <f>VLOOKUP(Tabela1[[#This Row],[SKU]],SKU!A:C,3,0)</f>
        <v>PERNA</v>
      </c>
    </row>
    <row r="571" spans="1:29" x14ac:dyDescent="0.3">
      <c r="A571" s="2">
        <f>INT(Tabela1[[#This Row],[Data e Hora2]])</f>
        <v>46275</v>
      </c>
      <c r="B571" s="6" t="str">
        <f>UPPER(TEXT(Tabela1[[#This Row],[Data Corrigida]],"MMM"))</f>
        <v>SET</v>
      </c>
      <c r="C571" t="s">
        <v>1501</v>
      </c>
      <c r="D571" s="2" t="s">
        <v>1502</v>
      </c>
      <c r="E571" s="1" t="s">
        <v>1496</v>
      </c>
      <c r="F571" t="s">
        <v>24</v>
      </c>
      <c r="G571" s="2" t="s">
        <v>1436</v>
      </c>
      <c r="H571" t="s">
        <v>26</v>
      </c>
      <c r="I571" t="s">
        <v>57</v>
      </c>
      <c r="J571" s="6">
        <v>15229</v>
      </c>
      <c r="K571" s="16">
        <v>1016</v>
      </c>
      <c r="L571" s="16">
        <v>1006</v>
      </c>
      <c r="M571" s="16">
        <v>996</v>
      </c>
      <c r="N571" s="16">
        <v>1015</v>
      </c>
      <c r="O571" s="16">
        <v>996</v>
      </c>
      <c r="P571" s="16">
        <v>1005</v>
      </c>
      <c r="Q571" s="16">
        <v>1015</v>
      </c>
      <c r="R571" s="16">
        <v>1002</v>
      </c>
      <c r="S571" s="16">
        <v>1005</v>
      </c>
      <c r="T571" s="16">
        <v>1014</v>
      </c>
      <c r="U571" s="15">
        <v>1007</v>
      </c>
      <c r="V571" t="s">
        <v>19</v>
      </c>
      <c r="W571" t="s">
        <v>28</v>
      </c>
      <c r="X571">
        <v>190</v>
      </c>
      <c r="Y571" s="16">
        <f>VLOOKUP(Tabela1[[#This Row],[SKU]],SKU!A:D,4,0)</f>
        <v>1000</v>
      </c>
      <c r="Z571" s="18">
        <f>IFERROR((Tabela1[[#This Row],[Média]]-Tabela1[[#This Row],[Meta]])/Tabela1[[#This Row],[Meta]],"")</f>
        <v>7.0000000000000001E-3</v>
      </c>
      <c r="AA571" s="22">
        <f>Tabela1[[#This Row],[Média]]-Tabela1[[#This Row],[Meta]]</f>
        <v>7</v>
      </c>
      <c r="AB571" s="6" t="str">
        <f>VLOOKUP(Tabela1[[#This Row],[SKU]],SKU!A:B,2,0)</f>
        <v>COXA CG BDJ SE</v>
      </c>
      <c r="AC571" s="6" t="str">
        <f>VLOOKUP(Tabela1[[#This Row],[SKU]],SKU!A:C,3,0)</f>
        <v>PERNA</v>
      </c>
    </row>
    <row r="572" spans="1:29" x14ac:dyDescent="0.3">
      <c r="A572" s="2">
        <f>INT(Tabela1[[#This Row],[Data e Hora2]])</f>
        <v>46275</v>
      </c>
      <c r="B572" s="6" t="str">
        <f>UPPER(TEXT(Tabela1[[#This Row],[Data Corrigida]],"MMM"))</f>
        <v>SET</v>
      </c>
      <c r="C572" t="s">
        <v>1503</v>
      </c>
      <c r="D572" s="2" t="s">
        <v>1504</v>
      </c>
      <c r="E572" s="1" t="s">
        <v>1496</v>
      </c>
      <c r="F572" t="s">
        <v>24</v>
      </c>
      <c r="G572" s="2" t="s">
        <v>1436</v>
      </c>
      <c r="H572" t="s">
        <v>26</v>
      </c>
      <c r="I572" t="s">
        <v>57</v>
      </c>
      <c r="J572" s="6">
        <v>15229</v>
      </c>
      <c r="K572" s="16">
        <v>995</v>
      </c>
      <c r="L572" s="16">
        <v>1010</v>
      </c>
      <c r="M572" s="16">
        <v>1014</v>
      </c>
      <c r="N572" s="16">
        <v>1005</v>
      </c>
      <c r="O572" s="16">
        <v>1008</v>
      </c>
      <c r="P572" s="16">
        <v>1013</v>
      </c>
      <c r="Q572" s="16">
        <v>1019</v>
      </c>
      <c r="R572" s="16">
        <v>1010</v>
      </c>
      <c r="S572" s="16">
        <v>1007</v>
      </c>
      <c r="T572" s="16">
        <v>1007</v>
      </c>
      <c r="U572" s="15">
        <v>1008.8</v>
      </c>
      <c r="V572" t="s">
        <v>19</v>
      </c>
      <c r="W572" t="s">
        <v>28</v>
      </c>
      <c r="X572">
        <v>93</v>
      </c>
      <c r="Y572" s="16">
        <f>VLOOKUP(Tabela1[[#This Row],[SKU]],SKU!A:D,4,0)</f>
        <v>1000</v>
      </c>
      <c r="Z572" s="18">
        <f>IFERROR((Tabela1[[#This Row],[Média]]-Tabela1[[#This Row],[Meta]])/Tabela1[[#This Row],[Meta]],"")</f>
        <v>8.7999999999999537E-3</v>
      </c>
      <c r="AA572" s="22">
        <f>Tabela1[[#This Row],[Média]]-Tabela1[[#This Row],[Meta]]</f>
        <v>8.7999999999999545</v>
      </c>
      <c r="AB572" s="6" t="str">
        <f>VLOOKUP(Tabela1[[#This Row],[SKU]],SKU!A:B,2,0)</f>
        <v>COXA CG BDJ SE</v>
      </c>
      <c r="AC572" s="6" t="str">
        <f>VLOOKUP(Tabela1[[#This Row],[SKU]],SKU!A:C,3,0)</f>
        <v>PERNA</v>
      </c>
    </row>
    <row r="573" spans="1:29" x14ac:dyDescent="0.3">
      <c r="A573" s="2">
        <f>INT(Tabela1[[#This Row],[Data e Hora2]])</f>
        <v>46275</v>
      </c>
      <c r="B573" s="6" t="str">
        <f>UPPER(TEXT(Tabela1[[#This Row],[Data Corrigida]],"MMM"))</f>
        <v>SET</v>
      </c>
      <c r="C573" t="s">
        <v>1505</v>
      </c>
      <c r="D573" s="2" t="s">
        <v>1506</v>
      </c>
      <c r="E573" s="1" t="s">
        <v>1496</v>
      </c>
      <c r="F573" t="s">
        <v>24</v>
      </c>
      <c r="G573" s="2" t="s">
        <v>1436</v>
      </c>
      <c r="H573" t="s">
        <v>26</v>
      </c>
      <c r="I573" t="s">
        <v>57</v>
      </c>
      <c r="J573" s="6">
        <v>40762</v>
      </c>
      <c r="K573" s="16">
        <v>10035</v>
      </c>
      <c r="L573" s="16">
        <v>10070</v>
      </c>
      <c r="M573" s="16">
        <v>10050</v>
      </c>
      <c r="N573" s="16">
        <v>10075</v>
      </c>
      <c r="O573" s="16">
        <v>10040</v>
      </c>
      <c r="P573" s="16">
        <v>9990</v>
      </c>
      <c r="Q573" s="16">
        <v>9990</v>
      </c>
      <c r="R573" s="16">
        <v>10000</v>
      </c>
      <c r="S573" s="16">
        <v>10060</v>
      </c>
      <c r="T573" s="16">
        <v>10005</v>
      </c>
      <c r="U573" s="15">
        <v>10031.5</v>
      </c>
      <c r="V573" t="s">
        <v>19</v>
      </c>
      <c r="W573" t="s">
        <v>28</v>
      </c>
      <c r="X573">
        <v>609</v>
      </c>
      <c r="Y573" s="16">
        <f>VLOOKUP(Tabela1[[#This Row],[SKU]],SKU!A:D,4,0)</f>
        <v>10000</v>
      </c>
      <c r="Z573" s="18">
        <f>IFERROR((Tabela1[[#This Row],[Média]]-Tabela1[[#This Row],[Meta]])/Tabela1[[#This Row],[Meta]],"")</f>
        <v>3.15E-3</v>
      </c>
      <c r="AA573" s="22">
        <f>Tabela1[[#This Row],[Média]]-Tabela1[[#This Row],[Meta]]</f>
        <v>31.5</v>
      </c>
      <c r="AB573" s="6" t="str">
        <f>VLOOKUP(Tabela1[[#This Row],[SKU]],SKU!A:B,2,0)</f>
        <v>COXA SBCX LQ FG LP</v>
      </c>
      <c r="AC573" s="6" t="str">
        <f>VLOOKUP(Tabela1[[#This Row],[SKU]],SKU!A:C,3,0)</f>
        <v>PERNA</v>
      </c>
    </row>
    <row r="574" spans="1:29" x14ac:dyDescent="0.3">
      <c r="A574" s="2">
        <f>INT(Tabela1[[#This Row],[Data e Hora2]])</f>
        <v>46275</v>
      </c>
      <c r="B574" s="6" t="str">
        <f>UPPER(TEXT(Tabela1[[#This Row],[Data Corrigida]],"MMM"))</f>
        <v>SET</v>
      </c>
      <c r="C574" t="s">
        <v>1507</v>
      </c>
      <c r="D574" s="2" t="s">
        <v>1508</v>
      </c>
      <c r="E574" s="1" t="s">
        <v>1496</v>
      </c>
      <c r="F574" t="s">
        <v>24</v>
      </c>
      <c r="G574" s="2" t="s">
        <v>1436</v>
      </c>
      <c r="H574" t="s">
        <v>26</v>
      </c>
      <c r="I574" t="s">
        <v>57</v>
      </c>
      <c r="J574" s="6">
        <v>40762</v>
      </c>
      <c r="K574" s="16">
        <v>10005</v>
      </c>
      <c r="L574" s="16">
        <v>10075</v>
      </c>
      <c r="M574" s="16">
        <v>10000</v>
      </c>
      <c r="N574" s="16">
        <v>10065</v>
      </c>
      <c r="O574" s="16">
        <v>10085</v>
      </c>
      <c r="P574" s="16">
        <v>10050</v>
      </c>
      <c r="Q574" s="16">
        <v>10110</v>
      </c>
      <c r="R574" s="16">
        <v>9990</v>
      </c>
      <c r="S574" s="16">
        <v>10040</v>
      </c>
      <c r="T574" s="16">
        <v>10070</v>
      </c>
      <c r="U574" s="15">
        <v>10049</v>
      </c>
      <c r="V574" t="s">
        <v>19</v>
      </c>
      <c r="W574" t="s">
        <v>28</v>
      </c>
      <c r="X574">
        <v>783</v>
      </c>
      <c r="Y574" s="16">
        <f>VLOOKUP(Tabela1[[#This Row],[SKU]],SKU!A:D,4,0)</f>
        <v>10000</v>
      </c>
      <c r="Z574" s="18">
        <f>IFERROR((Tabela1[[#This Row],[Média]]-Tabela1[[#This Row],[Meta]])/Tabela1[[#This Row],[Meta]],"")</f>
        <v>4.8999999999999998E-3</v>
      </c>
      <c r="AA574" s="22">
        <f>Tabela1[[#This Row],[Média]]-Tabela1[[#This Row],[Meta]]</f>
        <v>49</v>
      </c>
      <c r="AB574" s="6" t="str">
        <f>VLOOKUP(Tabela1[[#This Row],[SKU]],SKU!A:B,2,0)</f>
        <v>COXA SBCX LQ FG LP</v>
      </c>
      <c r="AC574" s="6" t="str">
        <f>VLOOKUP(Tabela1[[#This Row],[SKU]],SKU!A:C,3,0)</f>
        <v>PERNA</v>
      </c>
    </row>
    <row r="575" spans="1:29" x14ac:dyDescent="0.3">
      <c r="A575" s="2">
        <f>INT(Tabela1[[#This Row],[Data e Hora2]])</f>
        <v>46275</v>
      </c>
      <c r="B575" s="6" t="str">
        <f>UPPER(TEXT(Tabela1[[#This Row],[Data Corrigida]],"MMM"))</f>
        <v>SET</v>
      </c>
      <c r="C575" t="s">
        <v>1509</v>
      </c>
      <c r="D575" s="2" t="s">
        <v>1510</v>
      </c>
      <c r="E575" s="1" t="s">
        <v>1496</v>
      </c>
      <c r="F575" t="s">
        <v>24</v>
      </c>
      <c r="G575" s="2" t="s">
        <v>1436</v>
      </c>
      <c r="H575" t="s">
        <v>26</v>
      </c>
      <c r="I575" t="s">
        <v>57</v>
      </c>
      <c r="J575" s="6">
        <v>15105</v>
      </c>
      <c r="K575" s="16">
        <v>991</v>
      </c>
      <c r="L575" s="16">
        <v>1130</v>
      </c>
      <c r="M575" s="16">
        <v>996</v>
      </c>
      <c r="N575" s="16">
        <v>888</v>
      </c>
      <c r="O575" s="16">
        <v>1015</v>
      </c>
      <c r="P575" s="16">
        <v>894</v>
      </c>
      <c r="Q575" s="16">
        <v>1016</v>
      </c>
      <c r="R575" s="16">
        <v>1013</v>
      </c>
      <c r="S575" s="16">
        <v>765</v>
      </c>
      <c r="T575" s="16">
        <v>982</v>
      </c>
      <c r="U575" s="15">
        <v>969</v>
      </c>
      <c r="V575" t="s">
        <v>19</v>
      </c>
      <c r="W575" t="s">
        <v>28</v>
      </c>
      <c r="X575">
        <v>270</v>
      </c>
      <c r="Y575" s="16">
        <f>VLOOKUP(Tabela1[[#This Row],[SKU]],SKU!A:D,4,0)</f>
        <v>1000</v>
      </c>
      <c r="Z575" s="18">
        <f>IFERROR((Tabela1[[#This Row],[Média]]-Tabela1[[#This Row],[Meta]])/Tabela1[[#This Row],[Meta]],"")</f>
        <v>-3.1E-2</v>
      </c>
      <c r="AA575" s="22">
        <f>Tabela1[[#This Row],[Média]]-Tabela1[[#This Row],[Meta]]</f>
        <v>-31</v>
      </c>
      <c r="AB575" s="6" t="str">
        <f>VLOOKUP(Tabela1[[#This Row],[SKU]],SKU!A:B,2,0)</f>
        <v>FILE PEITO MET CG BDJ SE</v>
      </c>
      <c r="AC575" s="6" t="str">
        <f>VLOOKUP(Tabela1[[#This Row],[SKU]],SKU!A:C,3,0)</f>
        <v>PEITO</v>
      </c>
    </row>
    <row r="576" spans="1:29" x14ac:dyDescent="0.3">
      <c r="A576" s="2">
        <f>INT(Tabela1[[#This Row],[Data e Hora2]])</f>
        <v>46275</v>
      </c>
      <c r="B576" s="6" t="str">
        <f>UPPER(TEXT(Tabela1[[#This Row],[Data Corrigida]],"MMM"))</f>
        <v>SET</v>
      </c>
      <c r="C576" t="s">
        <v>1511</v>
      </c>
      <c r="D576" s="2" t="s">
        <v>1512</v>
      </c>
      <c r="E576" s="1" t="s">
        <v>1496</v>
      </c>
      <c r="F576" t="s">
        <v>24</v>
      </c>
      <c r="G576" s="2" t="s">
        <v>1436</v>
      </c>
      <c r="H576" t="s">
        <v>26</v>
      </c>
      <c r="I576" t="s">
        <v>57</v>
      </c>
      <c r="J576" s="6">
        <v>15105</v>
      </c>
      <c r="K576" s="16">
        <v>1031</v>
      </c>
      <c r="L576" s="16">
        <v>1000</v>
      </c>
      <c r="M576" s="16">
        <v>1016</v>
      </c>
      <c r="N576" s="16">
        <v>991</v>
      </c>
      <c r="O576" s="16">
        <v>999</v>
      </c>
      <c r="P576" s="16">
        <v>1040</v>
      </c>
      <c r="Q576" s="16">
        <v>1020</v>
      </c>
      <c r="R576" s="16">
        <v>1009</v>
      </c>
      <c r="S576" s="16">
        <v>1003</v>
      </c>
      <c r="T576" s="16">
        <v>1018</v>
      </c>
      <c r="U576" s="15">
        <v>1012.7</v>
      </c>
      <c r="V576" t="s">
        <v>19</v>
      </c>
      <c r="W576" t="s">
        <v>28</v>
      </c>
      <c r="X576">
        <v>845</v>
      </c>
      <c r="Y576" s="16">
        <f>VLOOKUP(Tabela1[[#This Row],[SKU]],SKU!A:D,4,0)</f>
        <v>1000</v>
      </c>
      <c r="Z576" s="18">
        <f>IFERROR((Tabela1[[#This Row],[Média]]-Tabela1[[#This Row],[Meta]])/Tabela1[[#This Row],[Meta]],"")</f>
        <v>1.2700000000000046E-2</v>
      </c>
      <c r="AA576" s="22">
        <f>Tabela1[[#This Row],[Média]]-Tabela1[[#This Row],[Meta]]</f>
        <v>12.700000000000045</v>
      </c>
      <c r="AB576" s="6" t="str">
        <f>VLOOKUP(Tabela1[[#This Row],[SKU]],SKU!A:B,2,0)</f>
        <v>FILE PEITO MET CG BDJ SE</v>
      </c>
      <c r="AC576" s="6" t="str">
        <f>VLOOKUP(Tabela1[[#This Row],[SKU]],SKU!A:C,3,0)</f>
        <v>PEITO</v>
      </c>
    </row>
    <row r="577" spans="1:29" x14ac:dyDescent="0.3">
      <c r="A577" s="2">
        <f>INT(Tabela1[[#This Row],[Data e Hora2]])</f>
        <v>46274</v>
      </c>
      <c r="B577" s="6" t="str">
        <f>UPPER(TEXT(Tabela1[[#This Row],[Data Corrigida]],"MMM"))</f>
        <v>SET</v>
      </c>
      <c r="C577" t="s">
        <v>1513</v>
      </c>
      <c r="D577" s="2" t="s">
        <v>1514</v>
      </c>
      <c r="E577" s="1" t="s">
        <v>1496</v>
      </c>
      <c r="F577" t="s">
        <v>24</v>
      </c>
      <c r="G577" s="2" t="s">
        <v>1515</v>
      </c>
      <c r="H577" t="s">
        <v>26</v>
      </c>
      <c r="I577" t="s">
        <v>57</v>
      </c>
      <c r="J577" s="6">
        <v>15105</v>
      </c>
      <c r="K577" s="16">
        <v>1008</v>
      </c>
      <c r="L577" s="16">
        <v>991</v>
      </c>
      <c r="M577" s="16">
        <v>1038</v>
      </c>
      <c r="N577" s="16">
        <v>1018</v>
      </c>
      <c r="O577" s="16">
        <v>1011</v>
      </c>
      <c r="P577" s="16">
        <v>1035</v>
      </c>
      <c r="Q577" s="16">
        <v>1054</v>
      </c>
      <c r="R577" s="16">
        <v>993</v>
      </c>
      <c r="S577" s="16">
        <v>989</v>
      </c>
      <c r="T577" s="16">
        <v>1010</v>
      </c>
      <c r="U577" s="15">
        <v>1014.7</v>
      </c>
      <c r="V577" t="s">
        <v>19</v>
      </c>
      <c r="W577" t="s">
        <v>28</v>
      </c>
      <c r="X577">
        <v>67110</v>
      </c>
      <c r="Y577" s="16">
        <f>VLOOKUP(Tabela1[[#This Row],[SKU]],SKU!A:D,4,0)</f>
        <v>1000</v>
      </c>
      <c r="Z577" s="18">
        <f>IFERROR((Tabela1[[#This Row],[Média]]-Tabela1[[#This Row],[Meta]])/Tabela1[[#This Row],[Meta]],"")</f>
        <v>1.4700000000000045E-2</v>
      </c>
      <c r="AA577" s="22">
        <f>Tabela1[[#This Row],[Média]]-Tabela1[[#This Row],[Meta]]</f>
        <v>14.700000000000045</v>
      </c>
      <c r="AB577" s="6" t="str">
        <f>VLOOKUP(Tabela1[[#This Row],[SKU]],SKU!A:B,2,0)</f>
        <v>FILE PEITO MET CG BDJ SE</v>
      </c>
      <c r="AC577" s="6" t="str">
        <f>VLOOKUP(Tabela1[[#This Row],[SKU]],SKU!A:C,3,0)</f>
        <v>PEITO</v>
      </c>
    </row>
    <row r="578" spans="1:29" x14ac:dyDescent="0.3">
      <c r="A578" s="2">
        <f>INT(Tabela1[[#This Row],[Data e Hora2]])</f>
        <v>46274</v>
      </c>
      <c r="B578" s="6" t="str">
        <f>UPPER(TEXT(Tabela1[[#This Row],[Data Corrigida]],"MMM"))</f>
        <v>SET</v>
      </c>
      <c r="C578" t="s">
        <v>1516</v>
      </c>
      <c r="D578" s="2" t="s">
        <v>1517</v>
      </c>
      <c r="E578" s="1" t="s">
        <v>1518</v>
      </c>
      <c r="F578" t="s">
        <v>24</v>
      </c>
      <c r="G578" s="2" t="s">
        <v>1515</v>
      </c>
      <c r="H578" t="s">
        <v>26</v>
      </c>
      <c r="I578" t="s">
        <v>462</v>
      </c>
      <c r="J578" s="6">
        <v>15105</v>
      </c>
      <c r="K578" s="16">
        <v>998</v>
      </c>
      <c r="L578" s="16">
        <v>1014</v>
      </c>
      <c r="M578" s="16">
        <v>1037</v>
      </c>
      <c r="N578" s="16">
        <v>1033</v>
      </c>
      <c r="O578" s="16">
        <v>982</v>
      </c>
      <c r="P578" s="16">
        <v>990</v>
      </c>
      <c r="Q578" s="16">
        <v>1018</v>
      </c>
      <c r="R578" s="16">
        <v>996</v>
      </c>
      <c r="S578" s="16">
        <v>1018</v>
      </c>
      <c r="T578" s="16">
        <v>1049</v>
      </c>
      <c r="U578" s="15">
        <v>1013.5</v>
      </c>
      <c r="V578" t="s">
        <v>19</v>
      </c>
      <c r="W578" t="s">
        <v>28</v>
      </c>
      <c r="X578">
        <v>254</v>
      </c>
      <c r="Y578" s="16">
        <f>VLOOKUP(Tabela1[[#This Row],[SKU]],SKU!A:D,4,0)</f>
        <v>1000</v>
      </c>
      <c r="Z578" s="18">
        <f>IFERROR((Tabela1[[#This Row],[Média]]-Tabela1[[#This Row],[Meta]])/Tabela1[[#This Row],[Meta]],"")</f>
        <v>1.35E-2</v>
      </c>
      <c r="AA578" s="22">
        <f>Tabela1[[#This Row],[Média]]-Tabela1[[#This Row],[Meta]]</f>
        <v>13.5</v>
      </c>
      <c r="AB578" s="6" t="str">
        <f>VLOOKUP(Tabela1[[#This Row],[SKU]],SKU!A:B,2,0)</f>
        <v>FILE PEITO MET CG BDJ SE</v>
      </c>
      <c r="AC578" s="6" t="str">
        <f>VLOOKUP(Tabela1[[#This Row],[SKU]],SKU!A:C,3,0)</f>
        <v>PEITO</v>
      </c>
    </row>
    <row r="579" spans="1:29" x14ac:dyDescent="0.3">
      <c r="A579" s="2">
        <f>INT(Tabela1[[#This Row],[Data e Hora2]])</f>
        <v>46275</v>
      </c>
      <c r="B579" s="6" t="str">
        <f>UPPER(TEXT(Tabela1[[#This Row],[Data Corrigida]],"MMM"))</f>
        <v>SET</v>
      </c>
      <c r="C579" t="s">
        <v>1519</v>
      </c>
      <c r="D579" s="2" t="s">
        <v>1520</v>
      </c>
      <c r="E579" s="1" t="s">
        <v>1521</v>
      </c>
      <c r="F579" t="s">
        <v>24</v>
      </c>
      <c r="G579" s="2" t="s">
        <v>1436</v>
      </c>
      <c r="H579" t="s">
        <v>142</v>
      </c>
      <c r="I579" t="s">
        <v>143</v>
      </c>
      <c r="J579" s="6">
        <v>18228</v>
      </c>
      <c r="K579" s="16">
        <v>995</v>
      </c>
      <c r="L579" s="16">
        <v>1001</v>
      </c>
      <c r="M579" s="16">
        <v>1001</v>
      </c>
      <c r="N579" s="16">
        <v>1004</v>
      </c>
      <c r="O579" s="16">
        <v>995</v>
      </c>
      <c r="P579" s="16">
        <v>998</v>
      </c>
      <c r="Q579" s="16">
        <v>1001</v>
      </c>
      <c r="R579" s="16">
        <v>996</v>
      </c>
      <c r="S579" s="16">
        <v>995</v>
      </c>
      <c r="T579" s="16">
        <v>1001</v>
      </c>
      <c r="U579" s="15">
        <v>998.7</v>
      </c>
      <c r="V579" t="s">
        <v>19</v>
      </c>
      <c r="W579" t="s">
        <v>28</v>
      </c>
      <c r="X579">
        <v>250</v>
      </c>
      <c r="Y579" s="16">
        <f>VLOOKUP(Tabela1[[#This Row],[SKU]],SKU!A:D,4,0)</f>
        <v>1000</v>
      </c>
      <c r="Z579" s="18">
        <f>IFERROR((Tabela1[[#This Row],[Média]]-Tabela1[[#This Row],[Meta]])/Tabela1[[#This Row],[Meta]],"")</f>
        <v>-1.2999999999999546E-3</v>
      </c>
      <c r="AA579" s="22">
        <f>Tabela1[[#This Row],[Média]]-Tabela1[[#This Row],[Meta]]</f>
        <v>-1.2999999999999545</v>
      </c>
      <c r="AB579" s="6" t="str">
        <f>VLOOKUP(Tabela1[[#This Row],[SKU]],SKU!A:B,2,0)</f>
        <v>MOELA FRANGO CG ALM SE</v>
      </c>
      <c r="AC579" s="6" t="str">
        <f>VLOOKUP(Tabela1[[#This Row],[SKU]],SKU!A:C,3,0)</f>
        <v>MOELA</v>
      </c>
    </row>
    <row r="580" spans="1:29" x14ac:dyDescent="0.3">
      <c r="A580" s="2">
        <f>INT(Tabela1[[#This Row],[Data e Hora2]])</f>
        <v>46274</v>
      </c>
      <c r="B580" s="6" t="str">
        <f>UPPER(TEXT(Tabela1[[#This Row],[Data Corrigida]],"MMM"))</f>
        <v>SET</v>
      </c>
      <c r="C580" t="s">
        <v>1522</v>
      </c>
      <c r="D580" s="2" t="s">
        <v>1523</v>
      </c>
      <c r="E580" s="1" t="s">
        <v>1524</v>
      </c>
      <c r="F580" t="s">
        <v>24</v>
      </c>
      <c r="G580" s="2" t="s">
        <v>1515</v>
      </c>
      <c r="H580" t="s">
        <v>26</v>
      </c>
      <c r="I580" t="s">
        <v>27</v>
      </c>
      <c r="J580" s="6">
        <v>42820</v>
      </c>
      <c r="K580" s="16">
        <v>2023</v>
      </c>
      <c r="L580" s="16">
        <v>2034</v>
      </c>
      <c r="M580" s="16">
        <v>2016</v>
      </c>
      <c r="N580" s="16">
        <v>2049</v>
      </c>
      <c r="O580" s="16">
        <v>2019</v>
      </c>
      <c r="P580" s="16">
        <v>2094</v>
      </c>
      <c r="Q580" s="16">
        <v>2026</v>
      </c>
      <c r="R580" s="16">
        <v>2009</v>
      </c>
      <c r="S580" s="16">
        <v>2019</v>
      </c>
      <c r="T580" s="16">
        <v>2050</v>
      </c>
      <c r="U580" s="15">
        <v>2033.9</v>
      </c>
      <c r="V580" t="s">
        <v>19</v>
      </c>
      <c r="W580" t="s">
        <v>19</v>
      </c>
      <c r="X580">
        <v>218</v>
      </c>
      <c r="Y580" s="16">
        <f>VLOOKUP(Tabela1[[#This Row],[SKU]],SKU!A:D,4,0)</f>
        <v>2000</v>
      </c>
      <c r="Z580" s="18">
        <f>IFERROR((Tabela1[[#This Row],[Média]]-Tabela1[[#This Row],[Meta]])/Tabela1[[#This Row],[Meta]],"")</f>
        <v>1.6950000000000045E-2</v>
      </c>
      <c r="AA580" s="22">
        <f>Tabela1[[#This Row],[Média]]-Tabela1[[#This Row],[Meta]]</f>
        <v>33.900000000000091</v>
      </c>
      <c r="AB580" s="6" t="str">
        <f>VLOOKUP(Tabela1[[#This Row],[SKU]],SKU!A:B,2,0)</f>
        <v>COXA SBCX S/O FG 200-220g PB</v>
      </c>
      <c r="AC580" s="6" t="str">
        <f>VLOOKUP(Tabela1[[#This Row],[SKU]],SKU!A:C,3,0)</f>
        <v>PERNA</v>
      </c>
    </row>
    <row r="581" spans="1:29" x14ac:dyDescent="0.3">
      <c r="A581" s="2">
        <f>INT(Tabela1[[#This Row],[Data e Hora2]])</f>
        <v>46274</v>
      </c>
      <c r="B581" s="6" t="str">
        <f>UPPER(TEXT(Tabela1[[#This Row],[Data Corrigida]],"MMM"))</f>
        <v>SET</v>
      </c>
      <c r="C581" t="s">
        <v>1525</v>
      </c>
      <c r="D581" s="2" t="s">
        <v>1526</v>
      </c>
      <c r="E581" s="1" t="s">
        <v>1524</v>
      </c>
      <c r="F581" t="s">
        <v>24</v>
      </c>
      <c r="G581" s="2" t="s">
        <v>1515</v>
      </c>
      <c r="H581" t="s">
        <v>26</v>
      </c>
      <c r="I581" t="s">
        <v>27</v>
      </c>
      <c r="J581" s="6">
        <v>864048</v>
      </c>
      <c r="K581" s="16">
        <v>2028</v>
      </c>
      <c r="L581" s="16">
        <v>2004</v>
      </c>
      <c r="M581" s="16">
        <v>2012</v>
      </c>
      <c r="N581" s="16">
        <v>2008</v>
      </c>
      <c r="O581" s="16">
        <v>2017</v>
      </c>
      <c r="P581" s="16">
        <v>2073</v>
      </c>
      <c r="Q581" s="16">
        <v>2044</v>
      </c>
      <c r="R581" s="16">
        <v>2021</v>
      </c>
      <c r="S581" s="16">
        <v>2016</v>
      </c>
      <c r="T581" s="16">
        <v>2045</v>
      </c>
      <c r="U581" s="15">
        <v>2026.8</v>
      </c>
      <c r="V581" t="s">
        <v>19</v>
      </c>
      <c r="W581" t="s">
        <v>28</v>
      </c>
      <c r="X581">
        <v>305</v>
      </c>
      <c r="Y581" s="16">
        <f>VLOOKUP(Tabela1[[#This Row],[SKU]],SKU!A:D,4,0)</f>
        <v>2000</v>
      </c>
      <c r="Z581" s="18">
        <f>IFERROR((Tabela1[[#This Row],[Média]]-Tabela1[[#This Row],[Meta]])/Tabela1[[#This Row],[Meta]],"")</f>
        <v>1.3399999999999978E-2</v>
      </c>
      <c r="AA581" s="22">
        <f>Tabela1[[#This Row],[Média]]-Tabela1[[#This Row],[Meta]]</f>
        <v>26.799999999999955</v>
      </c>
      <c r="AB581" s="6" t="str">
        <f>VLOOKUP(Tabela1[[#This Row],[SKU]],SKU!A:B,2,0)</f>
        <v>COXA SBCX S/O 200g FG UP PB</v>
      </c>
      <c r="AC581" s="6" t="str">
        <f>VLOOKUP(Tabela1[[#This Row],[SKU]],SKU!A:C,3,0)</f>
        <v>PERNA</v>
      </c>
    </row>
    <row r="582" spans="1:29" x14ac:dyDescent="0.3">
      <c r="A582" s="2">
        <f>INT(Tabela1[[#This Row],[Data e Hora2]])</f>
        <v>46274</v>
      </c>
      <c r="B582" s="6" t="str">
        <f>UPPER(TEXT(Tabela1[[#This Row],[Data Corrigida]],"MMM"))</f>
        <v>SET</v>
      </c>
      <c r="C582" t="s">
        <v>1527</v>
      </c>
      <c r="D582" s="2" t="s">
        <v>1528</v>
      </c>
      <c r="E582" s="1" t="s">
        <v>1524</v>
      </c>
      <c r="F582" t="s">
        <v>24</v>
      </c>
      <c r="G582" s="2" t="s">
        <v>1515</v>
      </c>
      <c r="H582" t="s">
        <v>26</v>
      </c>
      <c r="I582" t="s">
        <v>27</v>
      </c>
      <c r="J582" s="6">
        <v>13188</v>
      </c>
      <c r="K582" s="16">
        <v>999</v>
      </c>
      <c r="L582" s="16">
        <v>1010</v>
      </c>
      <c r="M582" s="16">
        <v>1000</v>
      </c>
      <c r="N582" s="16">
        <v>1002</v>
      </c>
      <c r="O582" s="16">
        <v>1002</v>
      </c>
      <c r="P582" s="16">
        <v>1008</v>
      </c>
      <c r="Q582" s="16">
        <v>1007</v>
      </c>
      <c r="R582" s="16">
        <v>1006</v>
      </c>
      <c r="S582" s="16">
        <v>1003</v>
      </c>
      <c r="T582" s="16">
        <v>1015</v>
      </c>
      <c r="U582" s="15">
        <v>1005.2</v>
      </c>
      <c r="V582" t="s">
        <v>19</v>
      </c>
      <c r="W582" t="s">
        <v>28</v>
      </c>
      <c r="X582">
        <v>151</v>
      </c>
      <c r="Y582" s="16">
        <f>VLOOKUP(Tabela1[[#This Row],[SKU]],SKU!A:D,4,0)</f>
        <v>1000</v>
      </c>
      <c r="Z582" s="18">
        <f>IFERROR((Tabela1[[#This Row],[Média]]-Tabela1[[#This Row],[Meta]])/Tabela1[[#This Row],[Meta]],"")</f>
        <v>5.2000000000000457E-3</v>
      </c>
      <c r="AA582" s="22">
        <f>Tabela1[[#This Row],[Média]]-Tabela1[[#This Row],[Meta]]</f>
        <v>5.2000000000000455</v>
      </c>
      <c r="AB582" s="6" t="str">
        <f>VLOOKUP(Tabela1[[#This Row],[SKU]],SKU!A:B,2,0)</f>
        <v>SOBRECOXA CG BDJ SE</v>
      </c>
      <c r="AC582" s="6" t="str">
        <f>VLOOKUP(Tabela1[[#This Row],[SKU]],SKU!A:C,3,0)</f>
        <v>PERNA</v>
      </c>
    </row>
    <row r="583" spans="1:29" x14ac:dyDescent="0.3">
      <c r="A583" s="2">
        <f>INT(Tabela1[[#This Row],[Data e Hora2]])</f>
        <v>46274</v>
      </c>
      <c r="B583" s="6" t="str">
        <f>UPPER(TEXT(Tabela1[[#This Row],[Data Corrigida]],"MMM"))</f>
        <v>SET</v>
      </c>
      <c r="C583" t="s">
        <v>1529</v>
      </c>
      <c r="D583" s="2" t="s">
        <v>1530</v>
      </c>
      <c r="E583" s="1" t="s">
        <v>1524</v>
      </c>
      <c r="F583" t="s">
        <v>24</v>
      </c>
      <c r="G583" s="2" t="s">
        <v>1515</v>
      </c>
      <c r="H583" t="s">
        <v>26</v>
      </c>
      <c r="I583" t="s">
        <v>27</v>
      </c>
      <c r="J583" s="6">
        <v>40762</v>
      </c>
      <c r="K583" s="16">
        <v>10010</v>
      </c>
      <c r="L583" s="16">
        <v>10040</v>
      </c>
      <c r="M583" s="16">
        <v>10085</v>
      </c>
      <c r="N583" s="16">
        <v>10065</v>
      </c>
      <c r="O583" s="16">
        <v>9995</v>
      </c>
      <c r="P583" s="16">
        <v>9990</v>
      </c>
      <c r="Q583" s="16">
        <v>10010</v>
      </c>
      <c r="R583" s="16">
        <v>10000</v>
      </c>
      <c r="S583" s="16">
        <v>10015</v>
      </c>
      <c r="T583" s="16">
        <v>9985</v>
      </c>
      <c r="U583" s="15">
        <v>10019.5</v>
      </c>
      <c r="V583" t="s">
        <v>19</v>
      </c>
      <c r="W583" t="s">
        <v>28</v>
      </c>
      <c r="X583">
        <v>1373</v>
      </c>
      <c r="Y583" s="16">
        <f>VLOOKUP(Tabela1[[#This Row],[SKU]],SKU!A:D,4,0)</f>
        <v>10000</v>
      </c>
      <c r="Z583" s="18">
        <f>IFERROR((Tabela1[[#This Row],[Média]]-Tabela1[[#This Row],[Meta]])/Tabela1[[#This Row],[Meta]],"")</f>
        <v>1.9499999999999999E-3</v>
      </c>
      <c r="AA583" s="22">
        <f>Tabela1[[#This Row],[Média]]-Tabela1[[#This Row],[Meta]]</f>
        <v>19.5</v>
      </c>
      <c r="AB583" s="6" t="str">
        <f>VLOOKUP(Tabela1[[#This Row],[SKU]],SKU!A:B,2,0)</f>
        <v>COXA SBCX LQ FG LP</v>
      </c>
      <c r="AC583" s="6" t="str">
        <f>VLOOKUP(Tabela1[[#This Row],[SKU]],SKU!A:C,3,0)</f>
        <v>PERNA</v>
      </c>
    </row>
    <row r="584" spans="1:29" x14ac:dyDescent="0.3">
      <c r="A584" s="2">
        <f>INT(Tabela1[[#This Row],[Data e Hora2]])</f>
        <v>46274</v>
      </c>
      <c r="B584" s="6" t="str">
        <f>UPPER(TEXT(Tabela1[[#This Row],[Data Corrigida]],"MMM"))</f>
        <v>SET</v>
      </c>
      <c r="C584" t="s">
        <v>1531</v>
      </c>
      <c r="D584" s="2" t="s">
        <v>1532</v>
      </c>
      <c r="E584" s="1" t="s">
        <v>1524</v>
      </c>
      <c r="F584" t="s">
        <v>24</v>
      </c>
      <c r="G584" s="2" t="s">
        <v>1515</v>
      </c>
      <c r="H584" t="s">
        <v>26</v>
      </c>
      <c r="I584" t="s">
        <v>27</v>
      </c>
      <c r="J584" s="6">
        <v>15105</v>
      </c>
      <c r="K584" s="16">
        <v>999</v>
      </c>
      <c r="L584" s="16">
        <v>1027</v>
      </c>
      <c r="M584" s="16">
        <v>999</v>
      </c>
      <c r="N584" s="16">
        <v>1009</v>
      </c>
      <c r="O584" s="16">
        <v>1009</v>
      </c>
      <c r="P584" s="16">
        <v>1008</v>
      </c>
      <c r="Q584" s="16">
        <v>1016</v>
      </c>
      <c r="R584" s="16">
        <v>997</v>
      </c>
      <c r="S584" s="16">
        <v>1019</v>
      </c>
      <c r="T584" s="16">
        <v>985</v>
      </c>
      <c r="U584" s="15">
        <v>1006.8</v>
      </c>
      <c r="V584" t="s">
        <v>19</v>
      </c>
      <c r="W584" t="s">
        <v>28</v>
      </c>
      <c r="X584">
        <v>2310</v>
      </c>
      <c r="Y584" s="16">
        <f>VLOOKUP(Tabela1[[#This Row],[SKU]],SKU!A:D,4,0)</f>
        <v>1000</v>
      </c>
      <c r="Z584" s="18">
        <f>IFERROR((Tabela1[[#This Row],[Média]]-Tabela1[[#This Row],[Meta]])/Tabela1[[#This Row],[Meta]],"")</f>
        <v>6.7999999999999545E-3</v>
      </c>
      <c r="AA584" s="22">
        <f>Tabela1[[#This Row],[Média]]-Tabela1[[#This Row],[Meta]]</f>
        <v>6.7999999999999545</v>
      </c>
      <c r="AB584" s="6" t="str">
        <f>VLOOKUP(Tabela1[[#This Row],[SKU]],SKU!A:B,2,0)</f>
        <v>FILE PEITO MET CG BDJ SE</v>
      </c>
      <c r="AC584" s="6" t="str">
        <f>VLOOKUP(Tabela1[[#This Row],[SKU]],SKU!A:C,3,0)</f>
        <v>PEITO</v>
      </c>
    </row>
    <row r="585" spans="1:29" x14ac:dyDescent="0.3">
      <c r="A585" s="2">
        <f>INT(Tabela1[[#This Row],[Data e Hora2]])</f>
        <v>46274</v>
      </c>
      <c r="B585" s="6" t="str">
        <f>UPPER(TEXT(Tabela1[[#This Row],[Data Corrigida]],"MMM"))</f>
        <v>SET</v>
      </c>
      <c r="C585" t="s">
        <v>1533</v>
      </c>
      <c r="D585" s="2" t="s">
        <v>1534</v>
      </c>
      <c r="E585" s="1" t="s">
        <v>1524</v>
      </c>
      <c r="F585" t="s">
        <v>24</v>
      </c>
      <c r="G585" s="2" t="s">
        <v>1515</v>
      </c>
      <c r="H585" t="s">
        <v>26</v>
      </c>
      <c r="I585" t="s">
        <v>27</v>
      </c>
      <c r="J585" s="6">
        <v>42846</v>
      </c>
      <c r="K585" s="16">
        <v>2016</v>
      </c>
      <c r="L585" s="16">
        <v>2012</v>
      </c>
      <c r="M585" s="16">
        <v>2006</v>
      </c>
      <c r="N585" s="16">
        <v>2011</v>
      </c>
      <c r="O585" s="16">
        <v>2015</v>
      </c>
      <c r="P585" s="16">
        <v>2005</v>
      </c>
      <c r="Q585" s="16">
        <v>2005</v>
      </c>
      <c r="R585" s="16">
        <v>2018</v>
      </c>
      <c r="S585" s="16">
        <v>2014</v>
      </c>
      <c r="T585" s="16">
        <v>2008</v>
      </c>
      <c r="U585" s="15">
        <v>2011</v>
      </c>
      <c r="V585" t="s">
        <v>19</v>
      </c>
      <c r="W585" t="s">
        <v>28</v>
      </c>
      <c r="X585">
        <v>266</v>
      </c>
      <c r="Y585" s="16">
        <f>VLOOKUP(Tabela1[[#This Row],[SKU]],SKU!A:D,4,0)</f>
        <v>2000</v>
      </c>
      <c r="Z585" s="18">
        <f>IFERROR((Tabela1[[#This Row],[Média]]-Tabela1[[#This Row],[Meta]])/Tabela1[[#This Row],[Meta]],"")</f>
        <v>5.4999999999999997E-3</v>
      </c>
      <c r="AA585" s="22">
        <f>Tabela1[[#This Row],[Média]]-Tabela1[[#This Row],[Meta]]</f>
        <v>11</v>
      </c>
      <c r="AB585" s="6" t="str">
        <f>VLOOKUP(Tabela1[[#This Row],[SKU]],SKU!A:B,2,0)</f>
        <v>COXA SBCX S/O FG 240-260g PB</v>
      </c>
      <c r="AC585" s="6" t="str">
        <f>VLOOKUP(Tabela1[[#This Row],[SKU]],SKU!A:C,3,0)</f>
        <v>PERNA</v>
      </c>
    </row>
    <row r="586" spans="1:29" x14ac:dyDescent="0.3">
      <c r="A586" s="2">
        <f>INT(Tabela1[[#This Row],[Data e Hora2]])</f>
        <v>46274</v>
      </c>
      <c r="B586" s="6" t="str">
        <f>UPPER(TEXT(Tabela1[[#This Row],[Data Corrigida]],"MMM"))</f>
        <v>SET</v>
      </c>
      <c r="C586" t="s">
        <v>1535</v>
      </c>
      <c r="D586" s="2" t="s">
        <v>1536</v>
      </c>
      <c r="E586" s="1" t="s">
        <v>1537</v>
      </c>
      <c r="F586" t="s">
        <v>24</v>
      </c>
      <c r="G586" s="2" t="s">
        <v>1515</v>
      </c>
      <c r="H586" t="s">
        <v>26</v>
      </c>
      <c r="I586" t="s">
        <v>27</v>
      </c>
      <c r="J586" s="6">
        <v>209069</v>
      </c>
      <c r="K586" s="16">
        <v>1063</v>
      </c>
      <c r="L586" s="16">
        <v>1011</v>
      </c>
      <c r="M586" s="16">
        <v>1030</v>
      </c>
      <c r="N586" s="16">
        <v>1002</v>
      </c>
      <c r="O586" s="16">
        <v>1019</v>
      </c>
      <c r="P586" s="16">
        <v>996</v>
      </c>
      <c r="Q586" s="16">
        <v>1034</v>
      </c>
      <c r="R586" s="16">
        <v>1004</v>
      </c>
      <c r="S586" s="16">
        <v>1056</v>
      </c>
      <c r="T586" s="16">
        <v>1037</v>
      </c>
      <c r="U586" s="15">
        <v>1025.2</v>
      </c>
      <c r="V586" t="s">
        <v>19</v>
      </c>
      <c r="W586" t="s">
        <v>28</v>
      </c>
      <c r="X586">
        <v>154</v>
      </c>
      <c r="Y586" s="16">
        <f>VLOOKUP(Tabela1[[#This Row],[SKU]],SKU!A:D,4,0)</f>
        <v>1000</v>
      </c>
      <c r="Z586" s="18">
        <f>IFERROR((Tabela1[[#This Row],[Média]]-Tabela1[[#This Row],[Meta]])/Tabela1[[#This Row],[Meta]],"")</f>
        <v>2.5200000000000045E-2</v>
      </c>
      <c r="AA586" s="22">
        <f>Tabela1[[#This Row],[Média]]-Tabela1[[#This Row],[Meta]]</f>
        <v>25.200000000000045</v>
      </c>
      <c r="AB586" s="6" t="str">
        <f>VLOOKUP(Tabela1[[#This Row],[SKU]],SKU!A:B,2,0)</f>
        <v>FILE PEITO CG IQF1KG</v>
      </c>
      <c r="AC586" s="6" t="str">
        <f>VLOOKUP(Tabela1[[#This Row],[SKU]],SKU!A:C,3,0)</f>
        <v>PEITO</v>
      </c>
    </row>
    <row r="587" spans="1:29" x14ac:dyDescent="0.3">
      <c r="A587" s="2">
        <f>INT(Tabela1[[#This Row],[Data e Hora2]])</f>
        <v>46274</v>
      </c>
      <c r="B587" s="6" t="str">
        <f>UPPER(TEXT(Tabela1[[#This Row],[Data Corrigida]],"MMM"))</f>
        <v>SET</v>
      </c>
      <c r="C587" t="s">
        <v>1538</v>
      </c>
      <c r="D587" s="2" t="s">
        <v>1539</v>
      </c>
      <c r="E587" s="1" t="s">
        <v>1537</v>
      </c>
      <c r="F587" t="s">
        <v>24</v>
      </c>
      <c r="G587" s="2" t="s">
        <v>1515</v>
      </c>
      <c r="H587" t="s">
        <v>26</v>
      </c>
      <c r="I587" t="s">
        <v>27</v>
      </c>
      <c r="J587" s="6">
        <v>15229</v>
      </c>
      <c r="K587" s="16">
        <v>1017</v>
      </c>
      <c r="L587" s="16">
        <v>1003</v>
      </c>
      <c r="M587" s="16">
        <v>998</v>
      </c>
      <c r="N587" s="16">
        <v>1008</v>
      </c>
      <c r="O587" s="16">
        <v>1011</v>
      </c>
      <c r="P587" s="16">
        <v>1000</v>
      </c>
      <c r="Q587" s="16">
        <v>1008</v>
      </c>
      <c r="R587" s="16">
        <v>1007</v>
      </c>
      <c r="S587" s="16">
        <v>1017</v>
      </c>
      <c r="T587" s="16">
        <v>1000</v>
      </c>
      <c r="U587" s="15">
        <v>1006.9</v>
      </c>
      <c r="V587" t="s">
        <v>19</v>
      </c>
      <c r="W587" t="s">
        <v>28</v>
      </c>
      <c r="X587">
        <v>140</v>
      </c>
      <c r="Y587" s="16">
        <f>VLOOKUP(Tabela1[[#This Row],[SKU]],SKU!A:D,4,0)</f>
        <v>1000</v>
      </c>
      <c r="Z587" s="18">
        <f>IFERROR((Tabela1[[#This Row],[Média]]-Tabela1[[#This Row],[Meta]])/Tabela1[[#This Row],[Meta]],"")</f>
        <v>6.8999999999999773E-3</v>
      </c>
      <c r="AA587" s="22">
        <f>Tabela1[[#This Row],[Média]]-Tabela1[[#This Row],[Meta]]</f>
        <v>6.8999999999999773</v>
      </c>
      <c r="AB587" s="6" t="str">
        <f>VLOOKUP(Tabela1[[#This Row],[SKU]],SKU!A:B,2,0)</f>
        <v>COXA CG BDJ SE</v>
      </c>
      <c r="AC587" s="6" t="str">
        <f>VLOOKUP(Tabela1[[#This Row],[SKU]],SKU!A:C,3,0)</f>
        <v>PERNA</v>
      </c>
    </row>
    <row r="588" spans="1:29" x14ac:dyDescent="0.3">
      <c r="A588" s="2">
        <f>INT(Tabela1[[#This Row],[Data e Hora2]])</f>
        <v>46274</v>
      </c>
      <c r="B588" s="6" t="str">
        <f>UPPER(TEXT(Tabela1[[#This Row],[Data Corrigida]],"MMM"))</f>
        <v>SET</v>
      </c>
      <c r="C588" t="s">
        <v>1540</v>
      </c>
      <c r="D588" s="2" t="s">
        <v>1541</v>
      </c>
      <c r="E588" s="1" t="s">
        <v>1537</v>
      </c>
      <c r="F588" t="s">
        <v>24</v>
      </c>
      <c r="G588" s="2" t="s">
        <v>1515</v>
      </c>
      <c r="H588" t="s">
        <v>26</v>
      </c>
      <c r="I588" t="s">
        <v>27</v>
      </c>
      <c r="J588" s="6">
        <v>13188</v>
      </c>
      <c r="K588" s="16">
        <v>1019</v>
      </c>
      <c r="L588" s="16">
        <v>1013</v>
      </c>
      <c r="M588" s="16">
        <v>1011</v>
      </c>
      <c r="N588" s="16">
        <v>1016</v>
      </c>
      <c r="O588" s="16">
        <v>1016</v>
      </c>
      <c r="P588" s="16">
        <v>1005</v>
      </c>
      <c r="Q588" s="16">
        <v>1008</v>
      </c>
      <c r="R588" s="16">
        <v>1017</v>
      </c>
      <c r="S588" s="16">
        <v>1005</v>
      </c>
      <c r="T588" s="16">
        <v>1005</v>
      </c>
      <c r="U588" s="15">
        <v>1011.5</v>
      </c>
      <c r="V588" t="s">
        <v>19</v>
      </c>
      <c r="W588" t="s">
        <v>19</v>
      </c>
      <c r="X588">
        <v>203</v>
      </c>
      <c r="Y588" s="16">
        <f>VLOOKUP(Tabela1[[#This Row],[SKU]],SKU!A:D,4,0)</f>
        <v>1000</v>
      </c>
      <c r="Z588" s="18">
        <f>IFERROR((Tabela1[[#This Row],[Média]]-Tabela1[[#This Row],[Meta]])/Tabela1[[#This Row],[Meta]],"")</f>
        <v>1.15E-2</v>
      </c>
      <c r="AA588" s="22">
        <f>Tabela1[[#This Row],[Média]]-Tabela1[[#This Row],[Meta]]</f>
        <v>11.5</v>
      </c>
      <c r="AB588" s="6" t="str">
        <f>VLOOKUP(Tabela1[[#This Row],[SKU]],SKU!A:B,2,0)</f>
        <v>SOBRECOXA CG BDJ SE</v>
      </c>
      <c r="AC588" s="6" t="str">
        <f>VLOOKUP(Tabela1[[#This Row],[SKU]],SKU!A:C,3,0)</f>
        <v>PERNA</v>
      </c>
    </row>
    <row r="589" spans="1:29" x14ac:dyDescent="0.3">
      <c r="A589" s="2">
        <f>INT(Tabela1[[#This Row],[Data e Hora2]])</f>
        <v>46274</v>
      </c>
      <c r="B589" s="6" t="str">
        <f>UPPER(TEXT(Tabela1[[#This Row],[Data Corrigida]],"MMM"))</f>
        <v>SET</v>
      </c>
      <c r="C589" t="s">
        <v>1542</v>
      </c>
      <c r="D589" s="2" t="s">
        <v>1543</v>
      </c>
      <c r="E589" s="1" t="s">
        <v>1537</v>
      </c>
      <c r="F589" t="s">
        <v>24</v>
      </c>
      <c r="G589" s="2" t="s">
        <v>1515</v>
      </c>
      <c r="H589" t="s">
        <v>26</v>
      </c>
      <c r="I589" t="s">
        <v>27</v>
      </c>
      <c r="J589" s="6">
        <v>40762</v>
      </c>
      <c r="K589" s="16">
        <v>10055</v>
      </c>
      <c r="L589" s="16">
        <v>10020</v>
      </c>
      <c r="M589" s="16">
        <v>10015</v>
      </c>
      <c r="N589" s="16">
        <v>10035</v>
      </c>
      <c r="O589" s="16">
        <v>9985</v>
      </c>
      <c r="P589" s="16">
        <v>10035</v>
      </c>
      <c r="Q589" s="16">
        <v>10005</v>
      </c>
      <c r="R589" s="16">
        <v>10020</v>
      </c>
      <c r="S589" s="16">
        <v>10005</v>
      </c>
      <c r="T589" s="16">
        <v>9990</v>
      </c>
      <c r="U589" s="15">
        <v>10016.5</v>
      </c>
      <c r="V589" t="s">
        <v>19</v>
      </c>
      <c r="W589" t="s">
        <v>28</v>
      </c>
      <c r="X589">
        <v>335</v>
      </c>
      <c r="Y589" s="16">
        <f>VLOOKUP(Tabela1[[#This Row],[SKU]],SKU!A:D,4,0)</f>
        <v>10000</v>
      </c>
      <c r="Z589" s="18">
        <f>IFERROR((Tabela1[[#This Row],[Média]]-Tabela1[[#This Row],[Meta]])/Tabela1[[#This Row],[Meta]],"")</f>
        <v>1.65E-3</v>
      </c>
      <c r="AA589" s="22">
        <f>Tabela1[[#This Row],[Média]]-Tabela1[[#This Row],[Meta]]</f>
        <v>16.5</v>
      </c>
      <c r="AB589" s="6" t="str">
        <f>VLOOKUP(Tabela1[[#This Row],[SKU]],SKU!A:B,2,0)</f>
        <v>COXA SBCX LQ FG LP</v>
      </c>
      <c r="AC589" s="6" t="str">
        <f>VLOOKUP(Tabela1[[#This Row],[SKU]],SKU!A:C,3,0)</f>
        <v>PERNA</v>
      </c>
    </row>
    <row r="590" spans="1:29" x14ac:dyDescent="0.3">
      <c r="A590" s="2">
        <f>INT(Tabela1[[#This Row],[Data e Hora2]])</f>
        <v>46274</v>
      </c>
      <c r="B590" s="6" t="str">
        <f>UPPER(TEXT(Tabela1[[#This Row],[Data Corrigida]],"MMM"))</f>
        <v>SET</v>
      </c>
      <c r="C590" t="s">
        <v>1544</v>
      </c>
      <c r="D590" s="2" t="s">
        <v>1545</v>
      </c>
      <c r="E590" s="1" t="s">
        <v>1537</v>
      </c>
      <c r="F590" t="s">
        <v>24</v>
      </c>
      <c r="G590" s="2" t="s">
        <v>1515</v>
      </c>
      <c r="H590" t="s">
        <v>26</v>
      </c>
      <c r="I590" t="s">
        <v>27</v>
      </c>
      <c r="J590" s="6">
        <v>15849</v>
      </c>
      <c r="K590" s="16">
        <v>1013</v>
      </c>
      <c r="L590" s="16">
        <v>1002</v>
      </c>
      <c r="M590" s="16">
        <v>1021</v>
      </c>
      <c r="N590" s="16">
        <v>1013</v>
      </c>
      <c r="O590" s="16">
        <v>993</v>
      </c>
      <c r="P590" s="16">
        <v>1005</v>
      </c>
      <c r="Q590" s="16">
        <v>1019</v>
      </c>
      <c r="R590" s="16">
        <v>1020</v>
      </c>
      <c r="S590" s="16">
        <v>1009</v>
      </c>
      <c r="T590" s="16">
        <v>1011</v>
      </c>
      <c r="U590" s="15">
        <v>1010.6</v>
      </c>
      <c r="V590" t="s">
        <v>19</v>
      </c>
      <c r="W590" t="s">
        <v>28</v>
      </c>
      <c r="X590">
        <v>165</v>
      </c>
      <c r="Y590" s="16">
        <f>VLOOKUP(Tabela1[[#This Row],[SKU]],SKU!A:D,4,0)</f>
        <v>1000</v>
      </c>
      <c r="Z590" s="18">
        <f>IFERROR((Tabela1[[#This Row],[Média]]-Tabela1[[#This Row],[Meta]])/Tabela1[[#This Row],[Meta]],"")</f>
        <v>1.0600000000000023E-2</v>
      </c>
      <c r="AA590" s="22">
        <f>Tabela1[[#This Row],[Média]]-Tabela1[[#This Row],[Meta]]</f>
        <v>10.600000000000023</v>
      </c>
      <c r="AB590" s="6" t="str">
        <f>VLOOKUP(Tabela1[[#This Row],[SKU]],SKU!A:B,2,0)</f>
        <v>FILEZINHO PEITO CG BDJ SE</v>
      </c>
      <c r="AC590" s="6" t="str">
        <f>VLOOKUP(Tabela1[[#This Row],[SKU]],SKU!A:C,3,0)</f>
        <v>SASSAMI</v>
      </c>
    </row>
    <row r="591" spans="1:29" x14ac:dyDescent="0.3">
      <c r="A591" s="2">
        <f>INT(Tabela1[[#This Row],[Data e Hora2]])</f>
        <v>46274</v>
      </c>
      <c r="B591" s="6" t="str">
        <f>UPPER(TEXT(Tabela1[[#This Row],[Data Corrigida]],"MMM"))</f>
        <v>SET</v>
      </c>
      <c r="C591" t="s">
        <v>1546</v>
      </c>
      <c r="D591" s="2" t="s">
        <v>1547</v>
      </c>
      <c r="E591" s="1" t="s">
        <v>1537</v>
      </c>
      <c r="F591" t="s">
        <v>24</v>
      </c>
      <c r="G591" s="2" t="s">
        <v>1515</v>
      </c>
      <c r="H591" t="s">
        <v>26</v>
      </c>
      <c r="I591" t="s">
        <v>27</v>
      </c>
      <c r="J591" s="6">
        <v>42862</v>
      </c>
      <c r="K591" s="16">
        <v>2011</v>
      </c>
      <c r="L591" s="16">
        <v>2015</v>
      </c>
      <c r="M591" s="16">
        <v>2020</v>
      </c>
      <c r="N591" s="16">
        <v>2018</v>
      </c>
      <c r="O591" s="16">
        <v>2023</v>
      </c>
      <c r="P591" s="16">
        <v>2024</v>
      </c>
      <c r="Q591" s="16">
        <v>2028</v>
      </c>
      <c r="R591" s="16">
        <v>2033</v>
      </c>
      <c r="S591" s="16">
        <v>1999</v>
      </c>
      <c r="T591" s="16">
        <v>2068</v>
      </c>
      <c r="U591" s="15">
        <v>2023.9</v>
      </c>
      <c r="V591" t="s">
        <v>19</v>
      </c>
      <c r="W591" t="s">
        <v>19</v>
      </c>
      <c r="X591">
        <v>1515</v>
      </c>
      <c r="Y591" s="16">
        <f>VLOOKUP(Tabela1[[#This Row],[SKU]],SKU!A:D,4,0)</f>
        <v>2000</v>
      </c>
      <c r="Z591" s="18">
        <f>IFERROR((Tabela1[[#This Row],[Média]]-Tabela1[[#This Row],[Meta]])/Tabela1[[#This Row],[Meta]],"")</f>
        <v>1.1950000000000046E-2</v>
      </c>
      <c r="AA591" s="22">
        <f>Tabela1[[#This Row],[Média]]-Tabela1[[#This Row],[Meta]]</f>
        <v>23.900000000000091</v>
      </c>
      <c r="AB591" s="6" t="str">
        <f>VLOOKUP(Tabela1[[#This Row],[SKU]],SKU!A:B,2,0)</f>
        <v>COXA SBCX S/O FG 280-300g PB</v>
      </c>
      <c r="AC591" s="6" t="str">
        <f>VLOOKUP(Tabela1[[#This Row],[SKU]],SKU!A:C,3,0)</f>
        <v>PERNA</v>
      </c>
    </row>
    <row r="592" spans="1:29" x14ac:dyDescent="0.3">
      <c r="A592" s="2">
        <f>INT(Tabela1[[#This Row],[Data e Hora2]])</f>
        <v>46274</v>
      </c>
      <c r="B592" s="6" t="str">
        <f>UPPER(TEXT(Tabela1[[#This Row],[Data Corrigida]],"MMM"))</f>
        <v>SET</v>
      </c>
      <c r="C592" t="s">
        <v>1548</v>
      </c>
      <c r="D592" s="2" t="s">
        <v>1549</v>
      </c>
      <c r="E592" s="1" t="s">
        <v>1537</v>
      </c>
      <c r="F592" t="s">
        <v>24</v>
      </c>
      <c r="G592" s="2" t="s">
        <v>1515</v>
      </c>
      <c r="H592" t="s">
        <v>26</v>
      </c>
      <c r="I592" t="s">
        <v>27</v>
      </c>
      <c r="J592" s="6">
        <v>42838</v>
      </c>
      <c r="K592" s="16">
        <v>2024</v>
      </c>
      <c r="L592" s="16">
        <v>2037</v>
      </c>
      <c r="M592" s="16">
        <v>2031</v>
      </c>
      <c r="N592" s="16">
        <v>2041</v>
      </c>
      <c r="O592" s="16">
        <v>2034</v>
      </c>
      <c r="P592" s="16">
        <v>2008</v>
      </c>
      <c r="Q592" s="16">
        <v>2079</v>
      </c>
      <c r="R592" s="16">
        <v>2012</v>
      </c>
      <c r="S592" s="16">
        <v>2037</v>
      </c>
      <c r="T592" s="16">
        <v>2023</v>
      </c>
      <c r="U592" s="15">
        <v>2032.6</v>
      </c>
      <c r="V592" t="s">
        <v>19</v>
      </c>
      <c r="W592" t="s">
        <v>28</v>
      </c>
      <c r="X592">
        <v>177</v>
      </c>
      <c r="Y592" s="16">
        <f>VLOOKUP(Tabela1[[#This Row],[SKU]],SKU!A:D,4,0)</f>
        <v>2000</v>
      </c>
      <c r="Z592" s="18">
        <f>IFERROR((Tabela1[[#This Row],[Média]]-Tabela1[[#This Row],[Meta]])/Tabela1[[#This Row],[Meta]],"")</f>
        <v>1.6299999999999953E-2</v>
      </c>
      <c r="AA592" s="22">
        <f>Tabela1[[#This Row],[Média]]-Tabela1[[#This Row],[Meta]]</f>
        <v>32.599999999999909</v>
      </c>
      <c r="AB592" s="6" t="str">
        <f>VLOOKUP(Tabela1[[#This Row],[SKU]],SKU!A:B,2,0)</f>
        <v>COXA SBCX S/O FG 220-240g PB</v>
      </c>
      <c r="AC592" s="6" t="str">
        <f>VLOOKUP(Tabela1[[#This Row],[SKU]],SKU!A:C,3,0)</f>
        <v>PERNA</v>
      </c>
    </row>
    <row r="593" spans="1:29" x14ac:dyDescent="0.3">
      <c r="A593" s="2">
        <f>INT(Tabela1[[#This Row],[Data e Hora2]])</f>
        <v>46274</v>
      </c>
      <c r="B593" s="6" t="str">
        <f>UPPER(TEXT(Tabela1[[#This Row],[Data Corrigida]],"MMM"))</f>
        <v>SET</v>
      </c>
      <c r="C593" t="s">
        <v>1550</v>
      </c>
      <c r="D593" s="2" t="s">
        <v>1551</v>
      </c>
      <c r="E593" s="1" t="s">
        <v>1537</v>
      </c>
      <c r="F593" t="s">
        <v>24</v>
      </c>
      <c r="G593" s="2" t="s">
        <v>1515</v>
      </c>
      <c r="H593" t="s">
        <v>26</v>
      </c>
      <c r="I593" t="s">
        <v>27</v>
      </c>
      <c r="J593" s="6">
        <v>42846</v>
      </c>
      <c r="K593" s="16">
        <v>2016</v>
      </c>
      <c r="L593" s="16">
        <v>2017</v>
      </c>
      <c r="M593" s="16">
        <v>2018</v>
      </c>
      <c r="N593" s="16">
        <v>2009</v>
      </c>
      <c r="O593" s="16">
        <v>2020</v>
      </c>
      <c r="P593" s="16">
        <v>2022</v>
      </c>
      <c r="Q593" s="16">
        <v>2019</v>
      </c>
      <c r="R593" s="16">
        <v>2018</v>
      </c>
      <c r="S593" s="16">
        <v>2010</v>
      </c>
      <c r="T593" s="16">
        <v>2008</v>
      </c>
      <c r="U593" s="15">
        <v>2015.7</v>
      </c>
      <c r="V593" t="s">
        <v>19</v>
      </c>
      <c r="W593" t="s">
        <v>19</v>
      </c>
      <c r="X593">
        <v>114</v>
      </c>
      <c r="Y593" s="16">
        <f>VLOOKUP(Tabela1[[#This Row],[SKU]],SKU!A:D,4,0)</f>
        <v>2000</v>
      </c>
      <c r="Z593" s="18">
        <f>IFERROR((Tabela1[[#This Row],[Média]]-Tabela1[[#This Row],[Meta]])/Tabela1[[#This Row],[Meta]],"")</f>
        <v>7.8500000000000219E-3</v>
      </c>
      <c r="AA593" s="22">
        <f>Tabela1[[#This Row],[Média]]-Tabela1[[#This Row],[Meta]]</f>
        <v>15.700000000000045</v>
      </c>
      <c r="AB593" s="6" t="str">
        <f>VLOOKUP(Tabela1[[#This Row],[SKU]],SKU!A:B,2,0)</f>
        <v>COXA SBCX S/O FG 240-260g PB</v>
      </c>
      <c r="AC593" s="6" t="str">
        <f>VLOOKUP(Tabela1[[#This Row],[SKU]],SKU!A:C,3,0)</f>
        <v>PERNA</v>
      </c>
    </row>
    <row r="594" spans="1:29" x14ac:dyDescent="0.3">
      <c r="A594" s="2">
        <f>INT(Tabela1[[#This Row],[Data e Hora2]])</f>
        <v>46274</v>
      </c>
      <c r="B594" s="6" t="str">
        <f>UPPER(TEXT(Tabela1[[#This Row],[Data Corrigida]],"MMM"))</f>
        <v>SET</v>
      </c>
      <c r="C594" t="s">
        <v>1552</v>
      </c>
      <c r="D594" s="2" t="s">
        <v>1553</v>
      </c>
      <c r="E594" s="1" t="s">
        <v>1537</v>
      </c>
      <c r="F594" t="s">
        <v>24</v>
      </c>
      <c r="G594" s="2" t="s">
        <v>1515</v>
      </c>
      <c r="H594" t="s">
        <v>26</v>
      </c>
      <c r="I594" t="s">
        <v>27</v>
      </c>
      <c r="J594" s="6">
        <v>42854</v>
      </c>
      <c r="K594" s="16">
        <v>2099</v>
      </c>
      <c r="L594" s="16">
        <v>2117</v>
      </c>
      <c r="M594" s="16">
        <v>2120</v>
      </c>
      <c r="N594" s="16">
        <v>2096</v>
      </c>
      <c r="O594" s="16">
        <v>2111</v>
      </c>
      <c r="P594" s="16">
        <v>2008</v>
      </c>
      <c r="Q594" s="16">
        <v>2097</v>
      </c>
      <c r="R594" s="16">
        <v>2123</v>
      </c>
      <c r="S594" s="16">
        <v>2106</v>
      </c>
      <c r="T594" s="16">
        <v>2128</v>
      </c>
      <c r="U594" s="15">
        <v>2100.5</v>
      </c>
      <c r="V594" t="s">
        <v>19</v>
      </c>
      <c r="W594" t="s">
        <v>28</v>
      </c>
      <c r="X594">
        <v>455</v>
      </c>
      <c r="Y594" s="16">
        <f>VLOOKUP(Tabela1[[#This Row],[SKU]],SKU!A:D,4,0)</f>
        <v>2080</v>
      </c>
      <c r="Z594" s="18">
        <f>IFERROR((Tabela1[[#This Row],[Média]]-Tabela1[[#This Row],[Meta]])/Tabela1[[#This Row],[Meta]],"")</f>
        <v>9.8557692307692304E-3</v>
      </c>
      <c r="AA594" s="22">
        <f>Tabela1[[#This Row],[Média]]-Tabela1[[#This Row],[Meta]]</f>
        <v>20.5</v>
      </c>
      <c r="AB594" s="6" t="str">
        <f>VLOOKUP(Tabela1[[#This Row],[SKU]],SKU!A:B,2,0)</f>
        <v>COXA SBCX S/O FG 260-280g PB</v>
      </c>
      <c r="AC594" s="6" t="str">
        <f>VLOOKUP(Tabela1[[#This Row],[SKU]],SKU!A:C,3,0)</f>
        <v>PERNA</v>
      </c>
    </row>
    <row r="595" spans="1:29" x14ac:dyDescent="0.3">
      <c r="A595" s="2">
        <f>INT(Tabela1[[#This Row],[Data e Hora2]])</f>
        <v>46274</v>
      </c>
      <c r="B595" s="6" t="str">
        <f>UPPER(TEXT(Tabela1[[#This Row],[Data Corrigida]],"MMM"))</f>
        <v>SET</v>
      </c>
      <c r="C595" t="s">
        <v>1554</v>
      </c>
      <c r="D595" s="2" t="s">
        <v>1555</v>
      </c>
      <c r="E595" s="1" t="s">
        <v>1537</v>
      </c>
      <c r="F595" t="s">
        <v>24</v>
      </c>
      <c r="G595" s="2" t="s">
        <v>1515</v>
      </c>
      <c r="H595" t="s">
        <v>26</v>
      </c>
      <c r="I595" t="s">
        <v>27</v>
      </c>
      <c r="J595" s="6">
        <v>792799</v>
      </c>
      <c r="K595" s="16">
        <v>14995</v>
      </c>
      <c r="L595" s="16">
        <v>15040</v>
      </c>
      <c r="M595" s="16">
        <v>15038</v>
      </c>
      <c r="N595" s="16">
        <v>15020</v>
      </c>
      <c r="O595" s="16">
        <v>15030</v>
      </c>
      <c r="P595" s="16">
        <v>15050</v>
      </c>
      <c r="Q595" s="16">
        <v>15015</v>
      </c>
      <c r="R595" s="16">
        <v>15055</v>
      </c>
      <c r="S595" s="16">
        <v>15010</v>
      </c>
      <c r="T595" s="16">
        <v>15055</v>
      </c>
      <c r="U595" s="15">
        <v>15030.8</v>
      </c>
      <c r="V595" t="s">
        <v>19</v>
      </c>
      <c r="W595" t="s">
        <v>19</v>
      </c>
      <c r="X595">
        <v>156</v>
      </c>
      <c r="Y595" s="16">
        <f>VLOOKUP(Tabela1[[#This Row],[SKU]],SKU!A:D,4,0)</f>
        <v>15000</v>
      </c>
      <c r="Z595" s="18">
        <f>IFERROR((Tabela1[[#This Row],[Média]]-Tabela1[[#This Row],[Meta]])/Tabela1[[#This Row],[Meta]],"")</f>
        <v>2.0533333333332847E-3</v>
      </c>
      <c r="AA595" s="22">
        <f>Tabela1[[#This Row],[Média]]-Tabela1[[#This Row],[Meta]]</f>
        <v>30.799999999999272</v>
      </c>
      <c r="AB595" s="6" t="str">
        <f>VLOOKUP(Tabela1[[#This Row],[SKU]],SKU!A:B,2,0)</f>
        <v>ASAS FG 100g UP LP</v>
      </c>
      <c r="AC595" s="6" t="str">
        <f>VLOOKUP(Tabela1[[#This Row],[SKU]],SKU!A:C,3,0)</f>
        <v>ASA</v>
      </c>
    </row>
    <row r="596" spans="1:29" x14ac:dyDescent="0.3">
      <c r="A596" s="2">
        <f>INT(Tabela1[[#This Row],[Data e Hora2]])</f>
        <v>46274</v>
      </c>
      <c r="B596" s="6" t="str">
        <f>UPPER(TEXT(Tabela1[[#This Row],[Data Corrigida]],"MMM"))</f>
        <v>SET</v>
      </c>
      <c r="C596" t="s">
        <v>1556</v>
      </c>
      <c r="D596" s="2" t="s">
        <v>1557</v>
      </c>
      <c r="E596" s="1" t="s">
        <v>1537</v>
      </c>
      <c r="F596" t="s">
        <v>24</v>
      </c>
      <c r="G596" s="2" t="s">
        <v>1515</v>
      </c>
      <c r="H596" t="s">
        <v>26</v>
      </c>
      <c r="I596" t="s">
        <v>27</v>
      </c>
      <c r="J596" s="6">
        <v>992093</v>
      </c>
      <c r="K596" s="16">
        <v>5006</v>
      </c>
      <c r="L596" s="16">
        <v>5008</v>
      </c>
      <c r="M596" s="16">
        <v>5010</v>
      </c>
      <c r="N596" s="16">
        <v>5008</v>
      </c>
      <c r="O596" s="16">
        <v>5012</v>
      </c>
      <c r="P596" s="16">
        <v>5013</v>
      </c>
      <c r="Q596" s="16">
        <v>5005</v>
      </c>
      <c r="R596" s="16">
        <v>5013</v>
      </c>
      <c r="S596" s="16">
        <v>5008</v>
      </c>
      <c r="T596" s="16">
        <v>5008</v>
      </c>
      <c r="U596" s="15">
        <v>5009.1000000000004</v>
      </c>
      <c r="V596" t="s">
        <v>19</v>
      </c>
      <c r="W596" t="s">
        <v>19</v>
      </c>
      <c r="X596">
        <v>162</v>
      </c>
      <c r="Y596" s="16">
        <f>VLOOKUP(Tabela1[[#This Row],[SKU]],SKU!A:D,4,0)</f>
        <v>5000</v>
      </c>
      <c r="Z596" s="18">
        <f>IFERROR((Tabela1[[#This Row],[Média]]-Tabela1[[#This Row],[Meta]])/Tabela1[[#This Row],[Meta]],"")</f>
        <v>1.8200000000000729E-3</v>
      </c>
      <c r="AA596" s="22">
        <f>Tabela1[[#This Row],[Média]]-Tabela1[[#This Row],[Meta]]</f>
        <v>9.1000000000003638</v>
      </c>
      <c r="AB596" s="6" t="str">
        <f>VLOOKUP(Tabela1[[#This Row],[SKU]],SKU!A:B,2,0)</f>
        <v>PONTA ASA FG PB CG</v>
      </c>
      <c r="AC596" s="6" t="str">
        <f>VLOOKUP(Tabela1[[#This Row],[SKU]],SKU!A:C,3,0)</f>
        <v>ASA</v>
      </c>
    </row>
    <row r="597" spans="1:29" x14ac:dyDescent="0.3">
      <c r="A597" s="2">
        <f>INT(Tabela1[[#This Row],[Data e Hora2]])</f>
        <v>46274</v>
      </c>
      <c r="B597" s="6" t="str">
        <f>UPPER(TEXT(Tabela1[[#This Row],[Data Corrigida]],"MMM"))</f>
        <v>SET</v>
      </c>
      <c r="C597" t="s">
        <v>1558</v>
      </c>
      <c r="D597" s="2" t="s">
        <v>1559</v>
      </c>
      <c r="E597" s="1" t="s">
        <v>1537</v>
      </c>
      <c r="F597" t="s">
        <v>24</v>
      </c>
      <c r="G597" s="2" t="s">
        <v>1515</v>
      </c>
      <c r="H597" t="s">
        <v>26</v>
      </c>
      <c r="I597" t="s">
        <v>27</v>
      </c>
      <c r="J597" s="6">
        <v>15105</v>
      </c>
      <c r="K597" s="16">
        <v>1015</v>
      </c>
      <c r="L597" s="16">
        <v>977</v>
      </c>
      <c r="M597" s="16">
        <v>1057</v>
      </c>
      <c r="N597" s="16">
        <v>1029</v>
      </c>
      <c r="O597" s="16">
        <v>1055</v>
      </c>
      <c r="P597" s="16">
        <v>1029</v>
      </c>
      <c r="Q597" s="16">
        <v>1049</v>
      </c>
      <c r="R597" s="16">
        <v>1043</v>
      </c>
      <c r="S597" s="16">
        <v>1001</v>
      </c>
      <c r="T597" s="16">
        <v>1006</v>
      </c>
      <c r="U597" s="15">
        <v>1026.0999999999999</v>
      </c>
      <c r="V597" t="s">
        <v>19</v>
      </c>
      <c r="W597" t="s">
        <v>28</v>
      </c>
      <c r="X597">
        <v>200</v>
      </c>
      <c r="Y597" s="16">
        <f>VLOOKUP(Tabela1[[#This Row],[SKU]],SKU!A:D,4,0)</f>
        <v>1000</v>
      </c>
      <c r="Z597" s="18">
        <f>IFERROR((Tabela1[[#This Row],[Média]]-Tabela1[[#This Row],[Meta]])/Tabela1[[#This Row],[Meta]],"")</f>
        <v>2.6099999999999908E-2</v>
      </c>
      <c r="AA597" s="22">
        <f>Tabela1[[#This Row],[Média]]-Tabela1[[#This Row],[Meta]]</f>
        <v>26.099999999999909</v>
      </c>
      <c r="AB597" s="6" t="str">
        <f>VLOOKUP(Tabela1[[#This Row],[SKU]],SKU!A:B,2,0)</f>
        <v>FILE PEITO MET CG BDJ SE</v>
      </c>
      <c r="AC597" s="6" t="str">
        <f>VLOOKUP(Tabela1[[#This Row],[SKU]],SKU!A:C,3,0)</f>
        <v>PEITO</v>
      </c>
    </row>
    <row r="598" spans="1:29" x14ac:dyDescent="0.3">
      <c r="A598" s="2">
        <f>INT(Tabela1[[#This Row],[Data e Hora2]])</f>
        <v>46274</v>
      </c>
      <c r="B598" s="6" t="str">
        <f>UPPER(TEXT(Tabela1[[#This Row],[Data Corrigida]],"MMM"))</f>
        <v>SET</v>
      </c>
      <c r="C598" t="s">
        <v>1560</v>
      </c>
      <c r="D598" s="2" t="s">
        <v>1561</v>
      </c>
      <c r="E598" s="1" t="s">
        <v>1562</v>
      </c>
      <c r="F598" t="s">
        <v>24</v>
      </c>
      <c r="G598" s="2" t="s">
        <v>1515</v>
      </c>
      <c r="H598" t="s">
        <v>26</v>
      </c>
      <c r="I598" t="s">
        <v>57</v>
      </c>
      <c r="J598" s="6">
        <v>13188</v>
      </c>
      <c r="K598" s="16">
        <v>1003</v>
      </c>
      <c r="L598" s="16">
        <v>1026</v>
      </c>
      <c r="M598" s="16">
        <v>1007</v>
      </c>
      <c r="N598" s="16">
        <v>1008</v>
      </c>
      <c r="O598" s="16">
        <v>1014</v>
      </c>
      <c r="P598" s="16">
        <v>1006</v>
      </c>
      <c r="Q598" s="16">
        <v>1005</v>
      </c>
      <c r="R598" s="16">
        <v>1008</v>
      </c>
      <c r="S598" s="16">
        <v>1009</v>
      </c>
      <c r="T598" s="16">
        <v>1010</v>
      </c>
      <c r="U598" s="15">
        <v>1009.6</v>
      </c>
      <c r="V598" t="s">
        <v>19</v>
      </c>
      <c r="W598" t="s">
        <v>28</v>
      </c>
      <c r="X598">
        <v>169</v>
      </c>
      <c r="Y598" s="16">
        <f>VLOOKUP(Tabela1[[#This Row],[SKU]],SKU!A:D,4,0)</f>
        <v>1000</v>
      </c>
      <c r="Z598" s="18">
        <f>IFERROR((Tabela1[[#This Row],[Média]]-Tabela1[[#This Row],[Meta]])/Tabela1[[#This Row],[Meta]],"")</f>
        <v>9.6000000000000234E-3</v>
      </c>
      <c r="AA598" s="22">
        <f>Tabela1[[#This Row],[Média]]-Tabela1[[#This Row],[Meta]]</f>
        <v>9.6000000000000227</v>
      </c>
      <c r="AB598" s="6" t="str">
        <f>VLOOKUP(Tabela1[[#This Row],[SKU]],SKU!A:B,2,0)</f>
        <v>SOBRECOXA CG BDJ SE</v>
      </c>
      <c r="AC598" s="6" t="str">
        <f>VLOOKUP(Tabela1[[#This Row],[SKU]],SKU!A:C,3,0)</f>
        <v>PERNA</v>
      </c>
    </row>
    <row r="599" spans="1:29" x14ac:dyDescent="0.3">
      <c r="A599" s="2">
        <f>INT(Tabela1[[#This Row],[Data e Hora2]])</f>
        <v>46274</v>
      </c>
      <c r="B599" s="6" t="str">
        <f>UPPER(TEXT(Tabela1[[#This Row],[Data Corrigida]],"MMM"))</f>
        <v>SET</v>
      </c>
      <c r="C599" t="s">
        <v>1563</v>
      </c>
      <c r="D599" s="2" t="s">
        <v>1564</v>
      </c>
      <c r="E599" s="1" t="s">
        <v>1562</v>
      </c>
      <c r="F599" t="s">
        <v>24</v>
      </c>
      <c r="G599" s="2" t="s">
        <v>1515</v>
      </c>
      <c r="H599" t="s">
        <v>26</v>
      </c>
      <c r="I599" t="s">
        <v>57</v>
      </c>
      <c r="J599" s="6">
        <v>40762</v>
      </c>
      <c r="K599" s="16">
        <v>10105</v>
      </c>
      <c r="L599" s="16">
        <v>10100</v>
      </c>
      <c r="M599" s="16">
        <v>10095</v>
      </c>
      <c r="N599" s="16">
        <v>10040</v>
      </c>
      <c r="O599" s="16">
        <v>10060</v>
      </c>
      <c r="P599" s="16">
        <v>10105</v>
      </c>
      <c r="Q599" s="16">
        <v>10095</v>
      </c>
      <c r="R599" s="16">
        <v>9980</v>
      </c>
      <c r="S599" s="16">
        <v>10110</v>
      </c>
      <c r="T599" s="16">
        <v>10020</v>
      </c>
      <c r="U599" s="15">
        <v>10071</v>
      </c>
      <c r="V599" t="s">
        <v>19</v>
      </c>
      <c r="W599" t="s">
        <v>28</v>
      </c>
      <c r="X599">
        <v>504</v>
      </c>
      <c r="Y599" s="16">
        <f>VLOOKUP(Tabela1[[#This Row],[SKU]],SKU!A:D,4,0)</f>
        <v>10000</v>
      </c>
      <c r="Z599" s="18">
        <f>IFERROR((Tabela1[[#This Row],[Média]]-Tabela1[[#This Row],[Meta]])/Tabela1[[#This Row],[Meta]],"")</f>
        <v>7.1000000000000004E-3</v>
      </c>
      <c r="AA599" s="22">
        <f>Tabela1[[#This Row],[Média]]-Tabela1[[#This Row],[Meta]]</f>
        <v>71</v>
      </c>
      <c r="AB599" s="6" t="str">
        <f>VLOOKUP(Tabela1[[#This Row],[SKU]],SKU!A:B,2,0)</f>
        <v>COXA SBCX LQ FG LP</v>
      </c>
      <c r="AC599" s="6" t="str">
        <f>VLOOKUP(Tabela1[[#This Row],[SKU]],SKU!A:C,3,0)</f>
        <v>PERNA</v>
      </c>
    </row>
    <row r="600" spans="1:29" x14ac:dyDescent="0.3">
      <c r="A600" s="2">
        <f>INT(Tabela1[[#This Row],[Data e Hora2]])</f>
        <v>46274</v>
      </c>
      <c r="B600" s="6" t="str">
        <f>UPPER(TEXT(Tabela1[[#This Row],[Data Corrigida]],"MMM"))</f>
        <v>SET</v>
      </c>
      <c r="C600" t="s">
        <v>1565</v>
      </c>
      <c r="D600" s="2" t="s">
        <v>1566</v>
      </c>
      <c r="E600" s="1" t="s">
        <v>1567</v>
      </c>
      <c r="F600" t="s">
        <v>24</v>
      </c>
      <c r="G600" s="2" t="s">
        <v>1515</v>
      </c>
      <c r="H600" t="s">
        <v>26</v>
      </c>
      <c r="I600" t="s">
        <v>57</v>
      </c>
      <c r="J600" s="6">
        <v>40762</v>
      </c>
      <c r="K600" s="16">
        <v>10020</v>
      </c>
      <c r="L600" s="16">
        <v>10065</v>
      </c>
      <c r="M600" s="16">
        <v>9960</v>
      </c>
      <c r="N600" s="16">
        <v>9980</v>
      </c>
      <c r="O600" s="16">
        <v>10000</v>
      </c>
      <c r="P600" s="16">
        <v>10070</v>
      </c>
      <c r="Q600" s="16">
        <v>10015</v>
      </c>
      <c r="R600" s="16">
        <v>10030</v>
      </c>
      <c r="S600" s="16">
        <v>10000</v>
      </c>
      <c r="T600" s="16">
        <v>10085</v>
      </c>
      <c r="U600" s="15">
        <v>10022.5</v>
      </c>
      <c r="V600" t="s">
        <v>19</v>
      </c>
      <c r="W600" t="s">
        <v>28</v>
      </c>
      <c r="X600">
        <v>640</v>
      </c>
      <c r="Y600" s="16">
        <f>VLOOKUP(Tabela1[[#This Row],[SKU]],SKU!A:D,4,0)</f>
        <v>10000</v>
      </c>
      <c r="Z600" s="18">
        <f>IFERROR((Tabela1[[#This Row],[Média]]-Tabela1[[#This Row],[Meta]])/Tabela1[[#This Row],[Meta]],"")</f>
        <v>2.2499999999999998E-3</v>
      </c>
      <c r="AA600" s="22">
        <f>Tabela1[[#This Row],[Média]]-Tabela1[[#This Row],[Meta]]</f>
        <v>22.5</v>
      </c>
      <c r="AB600" s="6" t="str">
        <f>VLOOKUP(Tabela1[[#This Row],[SKU]],SKU!A:B,2,0)</f>
        <v>COXA SBCX LQ FG LP</v>
      </c>
      <c r="AC600" s="6" t="str">
        <f>VLOOKUP(Tabela1[[#This Row],[SKU]],SKU!A:C,3,0)</f>
        <v>PERNA</v>
      </c>
    </row>
    <row r="601" spans="1:29" x14ac:dyDescent="0.3">
      <c r="A601" s="2">
        <f>INT(Tabela1[[#This Row],[Data e Hora2]])</f>
        <v>46274</v>
      </c>
      <c r="B601" s="6" t="str">
        <f>UPPER(TEXT(Tabela1[[#This Row],[Data Corrigida]],"MMM"))</f>
        <v>SET</v>
      </c>
      <c r="C601" t="s">
        <v>1568</v>
      </c>
      <c r="D601" s="2" t="s">
        <v>1569</v>
      </c>
      <c r="E601" s="1" t="s">
        <v>1567</v>
      </c>
      <c r="F601" t="s">
        <v>24</v>
      </c>
      <c r="G601" s="2" t="s">
        <v>1515</v>
      </c>
      <c r="H601" t="s">
        <v>26</v>
      </c>
      <c r="I601" t="s">
        <v>57</v>
      </c>
      <c r="J601" s="6">
        <v>40762</v>
      </c>
      <c r="K601" s="16">
        <v>10100</v>
      </c>
      <c r="L601" s="16">
        <v>10060</v>
      </c>
      <c r="M601" s="16">
        <v>10090</v>
      </c>
      <c r="N601" s="16">
        <v>9970</v>
      </c>
      <c r="O601" s="16">
        <v>10110</v>
      </c>
      <c r="P601" s="16">
        <v>10050</v>
      </c>
      <c r="Q601" s="16">
        <v>10115</v>
      </c>
      <c r="R601" s="16">
        <v>9995</v>
      </c>
      <c r="S601" s="16">
        <v>10080</v>
      </c>
      <c r="T601" s="16">
        <v>10025</v>
      </c>
      <c r="U601" s="15">
        <v>10059.5</v>
      </c>
      <c r="V601" t="s">
        <v>19</v>
      </c>
      <c r="W601" t="s">
        <v>28</v>
      </c>
      <c r="X601">
        <v>820</v>
      </c>
      <c r="Y601" s="16">
        <f>VLOOKUP(Tabela1[[#This Row],[SKU]],SKU!A:D,4,0)</f>
        <v>10000</v>
      </c>
      <c r="Z601" s="18">
        <f>IFERROR((Tabela1[[#This Row],[Média]]-Tabela1[[#This Row],[Meta]])/Tabela1[[#This Row],[Meta]],"")</f>
        <v>5.9500000000000004E-3</v>
      </c>
      <c r="AA601" s="22">
        <f>Tabela1[[#This Row],[Média]]-Tabela1[[#This Row],[Meta]]</f>
        <v>59.5</v>
      </c>
      <c r="AB601" s="6" t="str">
        <f>VLOOKUP(Tabela1[[#This Row],[SKU]],SKU!A:B,2,0)</f>
        <v>COXA SBCX LQ FG LP</v>
      </c>
      <c r="AC601" s="6" t="str">
        <f>VLOOKUP(Tabela1[[#This Row],[SKU]],SKU!A:C,3,0)</f>
        <v>PERNA</v>
      </c>
    </row>
    <row r="602" spans="1:29" x14ac:dyDescent="0.3">
      <c r="A602" s="2">
        <f>INT(Tabela1[[#This Row],[Data e Hora2]])</f>
        <v>46274</v>
      </c>
      <c r="B602" s="6" t="str">
        <f>UPPER(TEXT(Tabela1[[#This Row],[Data Corrigida]],"MMM"))</f>
        <v>SET</v>
      </c>
      <c r="C602" t="s">
        <v>1570</v>
      </c>
      <c r="D602" s="2" t="s">
        <v>1571</v>
      </c>
      <c r="E602" s="1" t="s">
        <v>1572</v>
      </c>
      <c r="F602" t="s">
        <v>24</v>
      </c>
      <c r="G602" s="2" t="s">
        <v>1515</v>
      </c>
      <c r="H602" t="s">
        <v>26</v>
      </c>
      <c r="I602" t="s">
        <v>57</v>
      </c>
      <c r="J602" s="6">
        <v>15229</v>
      </c>
      <c r="K602" s="16">
        <v>1006</v>
      </c>
      <c r="L602" s="16">
        <v>1013</v>
      </c>
      <c r="M602" s="16">
        <v>1013</v>
      </c>
      <c r="N602" s="16">
        <v>1015</v>
      </c>
      <c r="O602" s="16">
        <v>995</v>
      </c>
      <c r="P602" s="16">
        <v>1012</v>
      </c>
      <c r="Q602" s="16">
        <v>1018</v>
      </c>
      <c r="R602" s="16">
        <v>998</v>
      </c>
      <c r="S602" s="16">
        <v>1015</v>
      </c>
      <c r="T602" s="16">
        <v>1012</v>
      </c>
      <c r="U602" s="15">
        <v>1009.7</v>
      </c>
      <c r="V602" t="s">
        <v>19</v>
      </c>
      <c r="W602" t="s">
        <v>28</v>
      </c>
      <c r="X602">
        <v>215</v>
      </c>
      <c r="Y602" s="16">
        <f>VLOOKUP(Tabela1[[#This Row],[SKU]],SKU!A:D,4,0)</f>
        <v>1000</v>
      </c>
      <c r="Z602" s="18">
        <f>IFERROR((Tabela1[[#This Row],[Média]]-Tabela1[[#This Row],[Meta]])/Tabela1[[#This Row],[Meta]],"")</f>
        <v>9.7000000000000454E-3</v>
      </c>
      <c r="AA602" s="22">
        <f>Tabela1[[#This Row],[Média]]-Tabela1[[#This Row],[Meta]]</f>
        <v>9.7000000000000455</v>
      </c>
      <c r="AB602" s="6" t="str">
        <f>VLOOKUP(Tabela1[[#This Row],[SKU]],SKU!A:B,2,0)</f>
        <v>COXA CG BDJ SE</v>
      </c>
      <c r="AC602" s="6" t="str">
        <f>VLOOKUP(Tabela1[[#This Row],[SKU]],SKU!A:C,3,0)</f>
        <v>PERNA</v>
      </c>
    </row>
    <row r="603" spans="1:29" x14ac:dyDescent="0.3">
      <c r="A603" s="2">
        <f>INT(Tabela1[[#This Row],[Data e Hora2]])</f>
        <v>46274</v>
      </c>
      <c r="B603" s="6" t="str">
        <f>UPPER(TEXT(Tabela1[[#This Row],[Data Corrigida]],"MMM"))</f>
        <v>SET</v>
      </c>
      <c r="C603" t="s">
        <v>1573</v>
      </c>
      <c r="D603" s="2" t="s">
        <v>1574</v>
      </c>
      <c r="E603" s="1" t="s">
        <v>1572</v>
      </c>
      <c r="F603" t="s">
        <v>24</v>
      </c>
      <c r="G603" s="2" t="s">
        <v>1515</v>
      </c>
      <c r="H603" t="s">
        <v>26</v>
      </c>
      <c r="I603" t="s">
        <v>57</v>
      </c>
      <c r="J603" s="6">
        <v>15229</v>
      </c>
      <c r="K603" s="16">
        <v>1011</v>
      </c>
      <c r="L603" s="16">
        <v>998</v>
      </c>
      <c r="M603" s="16">
        <v>1017</v>
      </c>
      <c r="N603" s="16">
        <v>1019</v>
      </c>
      <c r="O603" s="16">
        <v>1013</v>
      </c>
      <c r="P603" s="16">
        <v>1005</v>
      </c>
      <c r="Q603" s="16">
        <v>1012</v>
      </c>
      <c r="R603" s="16">
        <v>1004</v>
      </c>
      <c r="S603" s="16">
        <v>1004</v>
      </c>
      <c r="T603" s="16">
        <v>996</v>
      </c>
      <c r="U603" s="15">
        <v>1007.9</v>
      </c>
      <c r="V603" t="s">
        <v>19</v>
      </c>
      <c r="W603" t="s">
        <v>28</v>
      </c>
      <c r="X603">
        <v>125</v>
      </c>
      <c r="Y603" s="16">
        <f>VLOOKUP(Tabela1[[#This Row],[SKU]],SKU!A:D,4,0)</f>
        <v>1000</v>
      </c>
      <c r="Z603" s="18">
        <f>IFERROR((Tabela1[[#This Row],[Média]]-Tabela1[[#This Row],[Meta]])/Tabela1[[#This Row],[Meta]],"")</f>
        <v>7.8999999999999765E-3</v>
      </c>
      <c r="AA603" s="22">
        <f>Tabela1[[#This Row],[Média]]-Tabela1[[#This Row],[Meta]]</f>
        <v>7.8999999999999773</v>
      </c>
      <c r="AB603" s="6" t="str">
        <f>VLOOKUP(Tabela1[[#This Row],[SKU]],SKU!A:B,2,0)</f>
        <v>COXA CG BDJ SE</v>
      </c>
      <c r="AC603" s="6" t="str">
        <f>VLOOKUP(Tabela1[[#This Row],[SKU]],SKU!A:C,3,0)</f>
        <v>PERNA</v>
      </c>
    </row>
    <row r="604" spans="1:29" x14ac:dyDescent="0.3">
      <c r="A604" s="2">
        <f>INT(Tabela1[[#This Row],[Data e Hora2]])</f>
        <v>46274</v>
      </c>
      <c r="B604" s="6" t="str">
        <f>UPPER(TEXT(Tabela1[[#This Row],[Data Corrigida]],"MMM"))</f>
        <v>SET</v>
      </c>
      <c r="C604" t="s">
        <v>1575</v>
      </c>
      <c r="D604" s="2" t="s">
        <v>1576</v>
      </c>
      <c r="E604" s="1" t="s">
        <v>1577</v>
      </c>
      <c r="F604" t="s">
        <v>24</v>
      </c>
      <c r="G604" s="2" t="s">
        <v>1515</v>
      </c>
      <c r="H604" t="s">
        <v>26</v>
      </c>
      <c r="I604" t="s">
        <v>57</v>
      </c>
      <c r="J604" s="6">
        <v>15229</v>
      </c>
      <c r="K604" s="16">
        <v>1009</v>
      </c>
      <c r="L604" s="16">
        <v>1001</v>
      </c>
      <c r="M604" s="16">
        <v>999</v>
      </c>
      <c r="N604" s="16">
        <v>1006</v>
      </c>
      <c r="O604" s="16">
        <v>1013</v>
      </c>
      <c r="P604" s="16">
        <v>995</v>
      </c>
      <c r="Q604" s="16">
        <v>1004</v>
      </c>
      <c r="R604" s="16">
        <v>998</v>
      </c>
      <c r="S604" s="16">
        <v>1020</v>
      </c>
      <c r="T604" s="16">
        <v>1016</v>
      </c>
      <c r="U604" s="15">
        <v>1006.1</v>
      </c>
      <c r="V604" t="s">
        <v>19</v>
      </c>
      <c r="W604" t="s">
        <v>28</v>
      </c>
      <c r="X604">
        <v>227</v>
      </c>
      <c r="Y604" s="16">
        <f>VLOOKUP(Tabela1[[#This Row],[SKU]],SKU!A:D,4,0)</f>
        <v>1000</v>
      </c>
      <c r="Z604" s="18">
        <f>IFERROR((Tabela1[[#This Row],[Média]]-Tabela1[[#This Row],[Meta]])/Tabela1[[#This Row],[Meta]],"")</f>
        <v>6.1000000000000229E-3</v>
      </c>
      <c r="AA604" s="22">
        <f>Tabela1[[#This Row],[Média]]-Tabela1[[#This Row],[Meta]]</f>
        <v>6.1000000000000227</v>
      </c>
      <c r="AB604" s="6" t="str">
        <f>VLOOKUP(Tabela1[[#This Row],[SKU]],SKU!A:B,2,0)</f>
        <v>COXA CG BDJ SE</v>
      </c>
      <c r="AC604" s="6" t="str">
        <f>VLOOKUP(Tabela1[[#This Row],[SKU]],SKU!A:C,3,0)</f>
        <v>PERNA</v>
      </c>
    </row>
    <row r="605" spans="1:29" x14ac:dyDescent="0.3">
      <c r="A605" s="2">
        <f>INT(Tabela1[[#This Row],[Data e Hora2]])</f>
        <v>46274</v>
      </c>
      <c r="B605" s="6" t="str">
        <f>UPPER(TEXT(Tabela1[[#This Row],[Data Corrigida]],"MMM"))</f>
        <v>SET</v>
      </c>
      <c r="C605" t="s">
        <v>1578</v>
      </c>
      <c r="D605" s="2" t="s">
        <v>1579</v>
      </c>
      <c r="E605" s="1" t="s">
        <v>1580</v>
      </c>
      <c r="F605" t="s">
        <v>24</v>
      </c>
      <c r="G605" s="2" t="s">
        <v>1515</v>
      </c>
      <c r="H605" t="s">
        <v>26</v>
      </c>
      <c r="I605" t="s">
        <v>57</v>
      </c>
      <c r="J605" s="6">
        <v>197734</v>
      </c>
      <c r="K605" s="16">
        <v>1007</v>
      </c>
      <c r="L605" s="16">
        <v>995</v>
      </c>
      <c r="M605" s="16">
        <v>1014</v>
      </c>
      <c r="N605" s="16">
        <v>1010</v>
      </c>
      <c r="O605" s="16">
        <v>997</v>
      </c>
      <c r="P605" s="16">
        <v>997</v>
      </c>
      <c r="Q605" s="16">
        <v>996</v>
      </c>
      <c r="R605" s="16">
        <v>1032</v>
      </c>
      <c r="S605" s="16">
        <v>1046</v>
      </c>
      <c r="T605" s="16">
        <v>1044</v>
      </c>
      <c r="U605" s="15">
        <v>1013.8</v>
      </c>
      <c r="V605" t="s">
        <v>19</v>
      </c>
      <c r="W605" t="s">
        <v>28</v>
      </c>
      <c r="X605">
        <v>486</v>
      </c>
      <c r="Y605" s="16">
        <f>VLOOKUP(Tabela1[[#This Row],[SKU]],SKU!A:D,4,0)</f>
        <v>1000</v>
      </c>
      <c r="Z605" s="18">
        <f>IFERROR((Tabela1[[#This Row],[Média]]-Tabela1[[#This Row],[Meta]])/Tabela1[[#This Row],[Meta]],"")</f>
        <v>1.3799999999999955E-2</v>
      </c>
      <c r="AA605" s="22">
        <f>Tabela1[[#This Row],[Média]]-Tabela1[[#This Row],[Meta]]</f>
        <v>13.799999999999955</v>
      </c>
      <c r="AB605" s="6" t="str">
        <f>VLOOKUP(Tabela1[[#This Row],[SKU]],SKU!A:B,2,0)</f>
        <v>FILEZINHO FRANGO IQF ALM SE</v>
      </c>
      <c r="AC605" s="6" t="str">
        <f>VLOOKUP(Tabela1[[#This Row],[SKU]],SKU!A:C,3,0)</f>
        <v>SASSAMI</v>
      </c>
    </row>
    <row r="606" spans="1:29" x14ac:dyDescent="0.3">
      <c r="A606" s="2">
        <f>INT(Tabela1[[#This Row],[Data e Hora2]])</f>
        <v>46274</v>
      </c>
      <c r="B606" s="6" t="str">
        <f>UPPER(TEXT(Tabela1[[#This Row],[Data Corrigida]],"MMM"))</f>
        <v>SET</v>
      </c>
      <c r="C606" t="s">
        <v>1581</v>
      </c>
      <c r="D606" s="2" t="s">
        <v>1582</v>
      </c>
      <c r="E606" s="1" t="s">
        <v>1583</v>
      </c>
      <c r="F606" t="s">
        <v>24</v>
      </c>
      <c r="G606" s="2" t="s">
        <v>1515</v>
      </c>
      <c r="H606" t="s">
        <v>26</v>
      </c>
      <c r="I606" t="s">
        <v>57</v>
      </c>
      <c r="J606" s="6">
        <v>15105</v>
      </c>
      <c r="K606" s="16">
        <v>999</v>
      </c>
      <c r="L606" s="16">
        <v>1004</v>
      </c>
      <c r="M606" s="16">
        <v>1008</v>
      </c>
      <c r="N606" s="16">
        <v>1009</v>
      </c>
      <c r="O606" s="16">
        <v>985</v>
      </c>
      <c r="P606" s="16">
        <v>1044</v>
      </c>
      <c r="Q606" s="16">
        <v>1009</v>
      </c>
      <c r="R606" s="16">
        <v>1019</v>
      </c>
      <c r="S606" s="16">
        <v>1031</v>
      </c>
      <c r="T606" s="16">
        <v>1229</v>
      </c>
      <c r="U606" s="15">
        <v>1033.7</v>
      </c>
      <c r="V606" t="s">
        <v>19</v>
      </c>
      <c r="W606" t="s">
        <v>28</v>
      </c>
      <c r="X606">
        <v>333</v>
      </c>
      <c r="Y606" s="16">
        <f>VLOOKUP(Tabela1[[#This Row],[SKU]],SKU!A:D,4,0)</f>
        <v>1000</v>
      </c>
      <c r="Z606" s="18">
        <f>IFERROR((Tabela1[[#This Row],[Média]]-Tabela1[[#This Row],[Meta]])/Tabela1[[#This Row],[Meta]],"")</f>
        <v>3.3700000000000042E-2</v>
      </c>
      <c r="AA606" s="22">
        <f>Tabela1[[#This Row],[Média]]-Tabela1[[#This Row],[Meta]]</f>
        <v>33.700000000000045</v>
      </c>
      <c r="AB606" s="6" t="str">
        <f>VLOOKUP(Tabela1[[#This Row],[SKU]],SKU!A:B,2,0)</f>
        <v>FILE PEITO MET CG BDJ SE</v>
      </c>
      <c r="AC606" s="6" t="str">
        <f>VLOOKUP(Tabela1[[#This Row],[SKU]],SKU!A:C,3,0)</f>
        <v>PEITO</v>
      </c>
    </row>
    <row r="607" spans="1:29" x14ac:dyDescent="0.3">
      <c r="A607" s="2">
        <f>INT(Tabela1[[#This Row],[Data e Hora2]])</f>
        <v>46274</v>
      </c>
      <c r="B607" s="6" t="str">
        <f>UPPER(TEXT(Tabela1[[#This Row],[Data Corrigida]],"MMM"))</f>
        <v>SET</v>
      </c>
      <c r="C607" t="s">
        <v>1584</v>
      </c>
      <c r="D607" s="2" t="s">
        <v>1585</v>
      </c>
      <c r="E607" s="1" t="s">
        <v>1583</v>
      </c>
      <c r="F607" t="s">
        <v>24</v>
      </c>
      <c r="G607" s="2" t="s">
        <v>1515</v>
      </c>
      <c r="H607" t="s">
        <v>26</v>
      </c>
      <c r="I607" t="s">
        <v>57</v>
      </c>
      <c r="J607" s="6">
        <v>15105</v>
      </c>
      <c r="K607" s="16">
        <v>1004</v>
      </c>
      <c r="L607" s="16">
        <v>1011</v>
      </c>
      <c r="M607" s="16">
        <v>1004</v>
      </c>
      <c r="N607" s="16">
        <v>1047</v>
      </c>
      <c r="O607" s="16">
        <v>1019</v>
      </c>
      <c r="P607" s="16">
        <v>1023</v>
      </c>
      <c r="Q607" s="16">
        <v>1010</v>
      </c>
      <c r="R607" s="16">
        <v>989</v>
      </c>
      <c r="S607" s="16">
        <v>1044</v>
      </c>
      <c r="T607" s="16">
        <v>1034</v>
      </c>
      <c r="U607" s="15">
        <v>1018.5</v>
      </c>
      <c r="V607" t="s">
        <v>19</v>
      </c>
      <c r="W607" t="s">
        <v>28</v>
      </c>
      <c r="X607">
        <v>453</v>
      </c>
      <c r="Y607" s="16">
        <f>VLOOKUP(Tabela1[[#This Row],[SKU]],SKU!A:D,4,0)</f>
        <v>1000</v>
      </c>
      <c r="Z607" s="18">
        <f>IFERROR((Tabela1[[#This Row],[Média]]-Tabela1[[#This Row],[Meta]])/Tabela1[[#This Row],[Meta]],"")</f>
        <v>1.8499999999999999E-2</v>
      </c>
      <c r="AA607" s="22">
        <f>Tabela1[[#This Row],[Média]]-Tabela1[[#This Row],[Meta]]</f>
        <v>18.5</v>
      </c>
      <c r="AB607" s="6" t="str">
        <f>VLOOKUP(Tabela1[[#This Row],[SKU]],SKU!A:B,2,0)</f>
        <v>FILE PEITO MET CG BDJ SE</v>
      </c>
      <c r="AC607" s="6" t="str">
        <f>VLOOKUP(Tabela1[[#This Row],[SKU]],SKU!A:C,3,0)</f>
        <v>PEITO</v>
      </c>
    </row>
    <row r="608" spans="1:29" x14ac:dyDescent="0.3">
      <c r="A608" s="2">
        <f>INT(Tabela1[[#This Row],[Data e Hora2]])</f>
        <v>46274</v>
      </c>
      <c r="B608" s="6" t="str">
        <f>UPPER(TEXT(Tabela1[[#This Row],[Data Corrigida]],"MMM"))</f>
        <v>SET</v>
      </c>
      <c r="C608" t="s">
        <v>1586</v>
      </c>
      <c r="D608" s="2" t="s">
        <v>1587</v>
      </c>
      <c r="E608" s="1" t="s">
        <v>1588</v>
      </c>
      <c r="F608" t="s">
        <v>24</v>
      </c>
      <c r="G608" s="2" t="s">
        <v>1515</v>
      </c>
      <c r="H608" t="s">
        <v>26</v>
      </c>
      <c r="I608" t="s">
        <v>57</v>
      </c>
      <c r="J608" s="6">
        <v>40762</v>
      </c>
      <c r="K608" s="16">
        <v>10030</v>
      </c>
      <c r="L608" s="16">
        <v>9990</v>
      </c>
      <c r="M608" s="16">
        <v>9960</v>
      </c>
      <c r="N608" s="16">
        <v>10040</v>
      </c>
      <c r="O608" s="16">
        <v>10030</v>
      </c>
      <c r="P608" s="16">
        <v>9925</v>
      </c>
      <c r="Q608" s="16">
        <v>10010</v>
      </c>
      <c r="R608" s="16">
        <v>9995</v>
      </c>
      <c r="S608" s="16">
        <v>10050</v>
      </c>
      <c r="T608" s="16">
        <v>10015</v>
      </c>
      <c r="U608" s="15">
        <v>10004.5</v>
      </c>
      <c r="V608" t="s">
        <v>19</v>
      </c>
      <c r="W608" t="s">
        <v>28</v>
      </c>
      <c r="X608">
        <v>271</v>
      </c>
      <c r="Y608" s="16">
        <f>VLOOKUP(Tabela1[[#This Row],[SKU]],SKU!A:D,4,0)</f>
        <v>10000</v>
      </c>
      <c r="Z608" s="18">
        <f>IFERROR((Tabela1[[#This Row],[Média]]-Tabela1[[#This Row],[Meta]])/Tabela1[[#This Row],[Meta]],"")</f>
        <v>4.4999999999999999E-4</v>
      </c>
      <c r="AA608" s="22">
        <f>Tabela1[[#This Row],[Média]]-Tabela1[[#This Row],[Meta]]</f>
        <v>4.5</v>
      </c>
      <c r="AB608" s="6" t="str">
        <f>VLOOKUP(Tabela1[[#This Row],[SKU]],SKU!A:B,2,0)</f>
        <v>COXA SBCX LQ FG LP</v>
      </c>
      <c r="AC608" s="6" t="str">
        <f>VLOOKUP(Tabela1[[#This Row],[SKU]],SKU!A:C,3,0)</f>
        <v>PERNA</v>
      </c>
    </row>
    <row r="609" spans="1:29" x14ac:dyDescent="0.3">
      <c r="A609" s="2">
        <f>INT(Tabela1[[#This Row],[Data e Hora2]])</f>
        <v>46274</v>
      </c>
      <c r="B609" s="6" t="str">
        <f>UPPER(TEXT(Tabela1[[#This Row],[Data Corrigida]],"MMM"))</f>
        <v>SET</v>
      </c>
      <c r="C609" t="s">
        <v>1589</v>
      </c>
      <c r="D609" s="2" t="s">
        <v>1590</v>
      </c>
      <c r="E609" s="1" t="s">
        <v>1588</v>
      </c>
      <c r="F609" t="s">
        <v>24</v>
      </c>
      <c r="G609" s="2" t="s">
        <v>1515</v>
      </c>
      <c r="H609" t="s">
        <v>26</v>
      </c>
      <c r="I609" t="s">
        <v>57</v>
      </c>
      <c r="J609" s="6">
        <v>40762</v>
      </c>
      <c r="K609" s="16">
        <v>9950</v>
      </c>
      <c r="L609" s="16">
        <v>9980</v>
      </c>
      <c r="M609" s="16">
        <v>10120</v>
      </c>
      <c r="N609" s="16">
        <v>9935</v>
      </c>
      <c r="O609" s="16">
        <v>9990</v>
      </c>
      <c r="P609" s="16">
        <v>9950</v>
      </c>
      <c r="Q609" s="16">
        <v>10000</v>
      </c>
      <c r="R609" s="16">
        <v>10045</v>
      </c>
      <c r="S609" s="16">
        <v>9950</v>
      </c>
      <c r="T609" s="16">
        <v>10010</v>
      </c>
      <c r="U609" s="15">
        <v>9993</v>
      </c>
      <c r="V609" t="s">
        <v>19</v>
      </c>
      <c r="W609" t="s">
        <v>28</v>
      </c>
      <c r="X609">
        <v>532</v>
      </c>
      <c r="Y609" s="16">
        <f>VLOOKUP(Tabela1[[#This Row],[SKU]],SKU!A:D,4,0)</f>
        <v>10000</v>
      </c>
      <c r="Z609" s="18">
        <f>IFERROR((Tabela1[[#This Row],[Média]]-Tabela1[[#This Row],[Meta]])/Tabela1[[#This Row],[Meta]],"")</f>
        <v>-6.9999999999999999E-4</v>
      </c>
      <c r="AA609" s="22">
        <f>Tabela1[[#This Row],[Média]]-Tabela1[[#This Row],[Meta]]</f>
        <v>-7</v>
      </c>
      <c r="AB609" s="6" t="str">
        <f>VLOOKUP(Tabela1[[#This Row],[SKU]],SKU!A:B,2,0)</f>
        <v>COXA SBCX LQ FG LP</v>
      </c>
      <c r="AC609" s="6" t="str">
        <f>VLOOKUP(Tabela1[[#This Row],[SKU]],SKU!A:C,3,0)</f>
        <v>PERNA</v>
      </c>
    </row>
    <row r="610" spans="1:29" x14ac:dyDescent="0.3">
      <c r="A610" s="2">
        <f>INT(Tabela1[[#This Row],[Data e Hora2]])</f>
        <v>46274</v>
      </c>
      <c r="B610" s="6" t="str">
        <f>UPPER(TEXT(Tabela1[[#This Row],[Data Corrigida]],"MMM"))</f>
        <v>SET</v>
      </c>
      <c r="C610" t="s">
        <v>1591</v>
      </c>
      <c r="D610" s="2" t="s">
        <v>1592</v>
      </c>
      <c r="E610" s="1" t="s">
        <v>1588</v>
      </c>
      <c r="F610" t="s">
        <v>24</v>
      </c>
      <c r="G610" s="2" t="s">
        <v>1515</v>
      </c>
      <c r="H610" t="s">
        <v>26</v>
      </c>
      <c r="I610" t="s">
        <v>57</v>
      </c>
      <c r="J610" s="6">
        <v>40762</v>
      </c>
      <c r="K610" s="16">
        <v>10045</v>
      </c>
      <c r="L610" s="16">
        <v>10095</v>
      </c>
      <c r="M610" s="16">
        <v>10025</v>
      </c>
      <c r="N610" s="16">
        <v>10015</v>
      </c>
      <c r="O610" s="16">
        <v>10045</v>
      </c>
      <c r="P610" s="16">
        <v>10085</v>
      </c>
      <c r="Q610" s="16">
        <v>9985</v>
      </c>
      <c r="R610" s="16">
        <v>9950</v>
      </c>
      <c r="S610" s="16">
        <v>9960</v>
      </c>
      <c r="T610" s="16">
        <v>10000</v>
      </c>
      <c r="U610" s="15">
        <v>10020.5</v>
      </c>
      <c r="V610" t="s">
        <v>19</v>
      </c>
      <c r="W610" t="s">
        <v>28</v>
      </c>
      <c r="X610">
        <v>786</v>
      </c>
      <c r="Y610" s="16">
        <f>VLOOKUP(Tabela1[[#This Row],[SKU]],SKU!A:D,4,0)</f>
        <v>10000</v>
      </c>
      <c r="Z610" s="18">
        <f>IFERROR((Tabela1[[#This Row],[Média]]-Tabela1[[#This Row],[Meta]])/Tabela1[[#This Row],[Meta]],"")</f>
        <v>2.0500000000000002E-3</v>
      </c>
      <c r="AA610" s="22">
        <f>Tabela1[[#This Row],[Média]]-Tabela1[[#This Row],[Meta]]</f>
        <v>20.5</v>
      </c>
      <c r="AB610" s="6" t="str">
        <f>VLOOKUP(Tabela1[[#This Row],[SKU]],SKU!A:B,2,0)</f>
        <v>COXA SBCX LQ FG LP</v>
      </c>
      <c r="AC610" s="6" t="str">
        <f>VLOOKUP(Tabela1[[#This Row],[SKU]],SKU!A:C,3,0)</f>
        <v>PERNA</v>
      </c>
    </row>
    <row r="611" spans="1:29" x14ac:dyDescent="0.3">
      <c r="A611" s="2">
        <f>INT(Tabela1[[#This Row],[Data e Hora2]])</f>
        <v>46274</v>
      </c>
      <c r="B611" s="6" t="str">
        <f>UPPER(TEXT(Tabela1[[#This Row],[Data Corrigida]],"MMM"))</f>
        <v>SET</v>
      </c>
      <c r="C611" t="s">
        <v>1593</v>
      </c>
      <c r="D611" s="2" t="s">
        <v>1594</v>
      </c>
      <c r="E611" s="1" t="s">
        <v>1595</v>
      </c>
      <c r="F611" t="s">
        <v>24</v>
      </c>
      <c r="G611" s="2" t="s">
        <v>1515</v>
      </c>
      <c r="H611" t="s">
        <v>142</v>
      </c>
      <c r="I611" t="s">
        <v>462</v>
      </c>
      <c r="J611" s="6">
        <v>42838</v>
      </c>
      <c r="K611" s="16">
        <v>1991</v>
      </c>
      <c r="L611" s="16">
        <v>2050</v>
      </c>
      <c r="M611" s="16">
        <v>2073</v>
      </c>
      <c r="N611" s="16">
        <v>2018</v>
      </c>
      <c r="O611" s="16">
        <v>2050</v>
      </c>
      <c r="P611" s="16">
        <v>1864</v>
      </c>
      <c r="Q611" s="16">
        <v>2100</v>
      </c>
      <c r="R611" s="16">
        <v>2008</v>
      </c>
      <c r="S611" s="16">
        <v>2062</v>
      </c>
      <c r="T611" s="16">
        <v>1983</v>
      </c>
      <c r="U611" s="15">
        <v>2019.9</v>
      </c>
      <c r="V611" t="s">
        <v>19</v>
      </c>
      <c r="W611" t="s">
        <v>28</v>
      </c>
      <c r="X611">
        <v>423</v>
      </c>
      <c r="Y611" s="16">
        <f>VLOOKUP(Tabela1[[#This Row],[SKU]],SKU!A:D,4,0)</f>
        <v>2000</v>
      </c>
      <c r="Z611" s="18">
        <f>IFERROR((Tabela1[[#This Row],[Média]]-Tabela1[[#This Row],[Meta]])/Tabela1[[#This Row],[Meta]],"")</f>
        <v>9.9500000000000456E-3</v>
      </c>
      <c r="AA611" s="22">
        <f>Tabela1[[#This Row],[Média]]-Tabela1[[#This Row],[Meta]]</f>
        <v>19.900000000000091</v>
      </c>
      <c r="AB611" s="6" t="str">
        <f>VLOOKUP(Tabela1[[#This Row],[SKU]],SKU!A:B,2,0)</f>
        <v>COXA SBCX S/O FG 220-240g PB</v>
      </c>
      <c r="AC611" s="6" t="str">
        <f>VLOOKUP(Tabela1[[#This Row],[SKU]],SKU!A:C,3,0)</f>
        <v>PERNA</v>
      </c>
    </row>
    <row r="612" spans="1:29" x14ac:dyDescent="0.3">
      <c r="A612" s="2">
        <f>INT(Tabela1[[#This Row],[Data e Hora2]])</f>
        <v>46274</v>
      </c>
      <c r="B612" s="6" t="str">
        <f>UPPER(TEXT(Tabela1[[#This Row],[Data Corrigida]],"MMM"))</f>
        <v>SET</v>
      </c>
      <c r="C612" t="s">
        <v>1596</v>
      </c>
      <c r="D612" s="2" t="s">
        <v>1597</v>
      </c>
      <c r="E612" s="1" t="s">
        <v>1595</v>
      </c>
      <c r="F612" t="s">
        <v>24</v>
      </c>
      <c r="G612" s="2" t="s">
        <v>1515</v>
      </c>
      <c r="H612" t="s">
        <v>142</v>
      </c>
      <c r="I612" t="s">
        <v>462</v>
      </c>
      <c r="J612" s="6">
        <v>15105</v>
      </c>
      <c r="K612" s="16">
        <v>1044</v>
      </c>
      <c r="L612" s="16">
        <v>981</v>
      </c>
      <c r="M612" s="16">
        <v>1011</v>
      </c>
      <c r="N612" s="16">
        <v>1023</v>
      </c>
      <c r="O612" s="16">
        <v>1022</v>
      </c>
      <c r="P612" s="16">
        <v>1010</v>
      </c>
      <c r="Q612" s="16">
        <v>1019</v>
      </c>
      <c r="R612" s="16">
        <v>1007</v>
      </c>
      <c r="S612" s="16">
        <v>1040</v>
      </c>
      <c r="T612" s="16">
        <v>1026</v>
      </c>
      <c r="U612" s="15">
        <v>1018.3</v>
      </c>
      <c r="V612" t="s">
        <v>19</v>
      </c>
      <c r="W612" t="s">
        <v>28</v>
      </c>
      <c r="X612">
        <v>229</v>
      </c>
      <c r="Y612" s="16">
        <f>VLOOKUP(Tabela1[[#This Row],[SKU]],SKU!A:D,4,0)</f>
        <v>1000</v>
      </c>
      <c r="Z612" s="18">
        <f>IFERROR((Tabela1[[#This Row],[Média]]-Tabela1[[#This Row],[Meta]])/Tabela1[[#This Row],[Meta]],"")</f>
        <v>1.8299999999999955E-2</v>
      </c>
      <c r="AA612" s="22">
        <f>Tabela1[[#This Row],[Média]]-Tabela1[[#This Row],[Meta]]</f>
        <v>18.299999999999955</v>
      </c>
      <c r="AB612" s="6" t="str">
        <f>VLOOKUP(Tabela1[[#This Row],[SKU]],SKU!A:B,2,0)</f>
        <v>FILE PEITO MET CG BDJ SE</v>
      </c>
      <c r="AC612" s="6" t="str">
        <f>VLOOKUP(Tabela1[[#This Row],[SKU]],SKU!A:C,3,0)</f>
        <v>PEITO</v>
      </c>
    </row>
    <row r="613" spans="1:29" x14ac:dyDescent="0.3">
      <c r="A613" s="2">
        <f>INT(Tabela1[[#This Row],[Data e Hora2]])</f>
        <v>46274</v>
      </c>
      <c r="B613" s="6" t="str">
        <f>UPPER(TEXT(Tabela1[[#This Row],[Data Corrigida]],"MMM"))</f>
        <v>SET</v>
      </c>
      <c r="C613" t="s">
        <v>1598</v>
      </c>
      <c r="D613" s="2" t="s">
        <v>1599</v>
      </c>
      <c r="E613" s="1" t="s">
        <v>1595</v>
      </c>
      <c r="F613" t="s">
        <v>24</v>
      </c>
      <c r="G613" s="2" t="s">
        <v>1515</v>
      </c>
      <c r="H613" t="s">
        <v>142</v>
      </c>
      <c r="I613" t="s">
        <v>462</v>
      </c>
      <c r="J613" s="6">
        <v>209299</v>
      </c>
      <c r="K613" s="16">
        <v>1032</v>
      </c>
      <c r="L613" s="16">
        <v>1038</v>
      </c>
      <c r="M613" s="16">
        <v>1009</v>
      </c>
      <c r="N613" s="16">
        <v>1004</v>
      </c>
      <c r="O613" s="16">
        <v>1035</v>
      </c>
      <c r="P613" s="16">
        <v>1015</v>
      </c>
      <c r="Q613" s="16">
        <v>1033</v>
      </c>
      <c r="R613" s="16">
        <v>1033</v>
      </c>
      <c r="S613" s="16">
        <v>1037</v>
      </c>
      <c r="T613" s="16">
        <v>1029</v>
      </c>
      <c r="U613" s="15">
        <v>1026.5</v>
      </c>
      <c r="V613" t="s">
        <v>19</v>
      </c>
      <c r="W613" t="s">
        <v>28</v>
      </c>
      <c r="X613">
        <v>411</v>
      </c>
      <c r="Y613" s="16">
        <f>VLOOKUP(Tabela1[[#This Row],[SKU]],SKU!A:D,4,0)</f>
        <v>1000</v>
      </c>
      <c r="Z613" s="18">
        <f>IFERROR((Tabela1[[#This Row],[Média]]-Tabela1[[#This Row],[Meta]])/Tabela1[[#This Row],[Meta]],"")</f>
        <v>2.6499999999999999E-2</v>
      </c>
      <c r="AA613" s="22">
        <f>Tabela1[[#This Row],[Média]]-Tabela1[[#This Row],[Meta]]</f>
        <v>26.5</v>
      </c>
      <c r="AB613" s="6" t="str">
        <f>VLOOKUP(Tabela1[[#This Row],[SKU]],SKU!A:B,2,0)</f>
        <v>SBCOXA SEM PELE IQF 1KG</v>
      </c>
      <c r="AC613" s="6" t="str">
        <f>VLOOKUP(Tabela1[[#This Row],[SKU]],SKU!A:C,3,0)</f>
        <v>PERNA</v>
      </c>
    </row>
    <row r="614" spans="1:29" x14ac:dyDescent="0.3">
      <c r="A614" s="2">
        <f>INT(Tabela1[[#This Row],[Data e Hora2]])</f>
        <v>46274</v>
      </c>
      <c r="B614" s="6" t="str">
        <f>UPPER(TEXT(Tabela1[[#This Row],[Data Corrigida]],"MMM"))</f>
        <v>SET</v>
      </c>
      <c r="C614" t="s">
        <v>1600</v>
      </c>
      <c r="D614" s="2" t="s">
        <v>1601</v>
      </c>
      <c r="E614" s="1" t="s">
        <v>1595</v>
      </c>
      <c r="F614" t="s">
        <v>24</v>
      </c>
      <c r="G614" s="2" t="s">
        <v>1515</v>
      </c>
      <c r="H614" t="s">
        <v>142</v>
      </c>
      <c r="I614" t="s">
        <v>462</v>
      </c>
      <c r="J614" s="6">
        <v>15105</v>
      </c>
      <c r="K614" s="16">
        <v>1019</v>
      </c>
      <c r="L614" s="16">
        <v>999</v>
      </c>
      <c r="M614" s="16">
        <v>1027</v>
      </c>
      <c r="N614" s="16">
        <v>1024</v>
      </c>
      <c r="O614" s="16">
        <v>1001</v>
      </c>
      <c r="P614" s="16">
        <v>1016</v>
      </c>
      <c r="Q614" s="16">
        <v>1020</v>
      </c>
      <c r="R614" s="16">
        <v>1041</v>
      </c>
      <c r="S614" s="16">
        <v>1025</v>
      </c>
      <c r="T614" s="16">
        <v>1008</v>
      </c>
      <c r="U614" s="15">
        <v>1018</v>
      </c>
      <c r="V614" t="s">
        <v>19</v>
      </c>
      <c r="W614" t="s">
        <v>28</v>
      </c>
      <c r="X614">
        <v>284</v>
      </c>
      <c r="Y614" s="16">
        <f>VLOOKUP(Tabela1[[#This Row],[SKU]],SKU!A:D,4,0)</f>
        <v>1000</v>
      </c>
      <c r="Z614" s="18">
        <f>IFERROR((Tabela1[[#This Row],[Média]]-Tabela1[[#This Row],[Meta]])/Tabela1[[#This Row],[Meta]],"")</f>
        <v>1.7999999999999999E-2</v>
      </c>
      <c r="AA614" s="22">
        <f>Tabela1[[#This Row],[Média]]-Tabela1[[#This Row],[Meta]]</f>
        <v>18</v>
      </c>
      <c r="AB614" s="6" t="str">
        <f>VLOOKUP(Tabela1[[#This Row],[SKU]],SKU!A:B,2,0)</f>
        <v>FILE PEITO MET CG BDJ SE</v>
      </c>
      <c r="AC614" s="6" t="str">
        <f>VLOOKUP(Tabela1[[#This Row],[SKU]],SKU!A:C,3,0)</f>
        <v>PEITO</v>
      </c>
    </row>
    <row r="615" spans="1:29" x14ac:dyDescent="0.3">
      <c r="A615" s="2">
        <f>INT(Tabela1[[#This Row],[Data e Hora2]])</f>
        <v>46274</v>
      </c>
      <c r="B615" s="6" t="str">
        <f>UPPER(TEXT(Tabela1[[#This Row],[Data Corrigida]],"MMM"))</f>
        <v>SET</v>
      </c>
      <c r="C615" t="s">
        <v>1602</v>
      </c>
      <c r="D615" s="2" t="s">
        <v>1603</v>
      </c>
      <c r="E615" s="1" t="s">
        <v>1595</v>
      </c>
      <c r="F615" t="s">
        <v>24</v>
      </c>
      <c r="G615" s="2" t="s">
        <v>1515</v>
      </c>
      <c r="H615" t="s">
        <v>142</v>
      </c>
      <c r="I615" t="s">
        <v>462</v>
      </c>
      <c r="J615" s="6">
        <v>42846</v>
      </c>
      <c r="K615" s="16">
        <v>2005</v>
      </c>
      <c r="L615" s="16">
        <v>2012</v>
      </c>
      <c r="M615" s="16">
        <v>2006</v>
      </c>
      <c r="N615" s="16">
        <v>2008</v>
      </c>
      <c r="O615" s="16">
        <v>2006</v>
      </c>
      <c r="P615" s="16">
        <v>2002</v>
      </c>
      <c r="Q615" s="16">
        <v>2011</v>
      </c>
      <c r="R615" s="16">
        <v>2012</v>
      </c>
      <c r="S615" s="16">
        <v>2018</v>
      </c>
      <c r="T615" s="16">
        <v>2008</v>
      </c>
      <c r="U615" s="15">
        <v>2008.8</v>
      </c>
      <c r="V615" t="s">
        <v>19</v>
      </c>
      <c r="W615" t="s">
        <v>28</v>
      </c>
      <c r="X615">
        <v>352</v>
      </c>
      <c r="Y615" s="16">
        <f>VLOOKUP(Tabela1[[#This Row],[SKU]],SKU!A:D,4,0)</f>
        <v>2000</v>
      </c>
      <c r="Z615" s="18">
        <f>IFERROR((Tabela1[[#This Row],[Média]]-Tabela1[[#This Row],[Meta]])/Tabela1[[#This Row],[Meta]],"")</f>
        <v>4.3999999999999768E-3</v>
      </c>
      <c r="AA615" s="22">
        <f>Tabela1[[#This Row],[Média]]-Tabela1[[#This Row],[Meta]]</f>
        <v>8.7999999999999545</v>
      </c>
      <c r="AB615" s="6" t="str">
        <f>VLOOKUP(Tabela1[[#This Row],[SKU]],SKU!A:B,2,0)</f>
        <v>COXA SBCX S/O FG 240-260g PB</v>
      </c>
      <c r="AC615" s="6" t="str">
        <f>VLOOKUP(Tabela1[[#This Row],[SKU]],SKU!A:C,3,0)</f>
        <v>PERNA</v>
      </c>
    </row>
    <row r="616" spans="1:29" x14ac:dyDescent="0.3">
      <c r="A616" s="2">
        <f>INT(Tabela1[[#This Row],[Data e Hora2]])</f>
        <v>46274</v>
      </c>
      <c r="B616" s="6" t="str">
        <f>UPPER(TEXT(Tabela1[[#This Row],[Data Corrigida]],"MMM"))</f>
        <v>SET</v>
      </c>
      <c r="C616" t="s">
        <v>1604</v>
      </c>
      <c r="D616" s="2" t="s">
        <v>1605</v>
      </c>
      <c r="E616" s="1" t="s">
        <v>1595</v>
      </c>
      <c r="F616" t="s">
        <v>24</v>
      </c>
      <c r="G616" s="2" t="s">
        <v>1515</v>
      </c>
      <c r="H616" t="s">
        <v>142</v>
      </c>
      <c r="I616" t="s">
        <v>462</v>
      </c>
      <c r="J616" s="6">
        <v>54632</v>
      </c>
      <c r="K616" s="16">
        <v>1010</v>
      </c>
      <c r="L616" s="16">
        <v>1002</v>
      </c>
      <c r="M616" s="16">
        <v>1009</v>
      </c>
      <c r="N616" s="16">
        <v>1008</v>
      </c>
      <c r="O616" s="16">
        <v>995</v>
      </c>
      <c r="P616" s="16">
        <v>1004</v>
      </c>
      <c r="Q616" s="16">
        <v>1016</v>
      </c>
      <c r="R616" s="16">
        <v>1015</v>
      </c>
      <c r="S616" s="16">
        <v>1019</v>
      </c>
      <c r="T616" s="16">
        <v>1009</v>
      </c>
      <c r="U616" s="15">
        <v>1008.7</v>
      </c>
      <c r="V616" t="s">
        <v>19</v>
      </c>
      <c r="W616" t="s">
        <v>28</v>
      </c>
      <c r="X616">
        <v>211</v>
      </c>
      <c r="Y616" s="16">
        <f>VLOOKUP(Tabela1[[#This Row],[SKU]],SKU!A:D,4,0)</f>
        <v>1000</v>
      </c>
      <c r="Z616" s="18">
        <f>IFERROR((Tabela1[[#This Row],[Média]]-Tabela1[[#This Row],[Meta]])/Tabela1[[#This Row],[Meta]],"")</f>
        <v>8.7000000000000462E-3</v>
      </c>
      <c r="AA616" s="22">
        <f>Tabela1[[#This Row],[Média]]-Tabela1[[#This Row],[Meta]]</f>
        <v>8.7000000000000455</v>
      </c>
      <c r="AB616" s="6" t="str">
        <f>VLOOKUP(Tabela1[[#This Row],[SKU]],SKU!A:B,2,0)</f>
        <v>COXA SBCX S/O BDJ CG</v>
      </c>
      <c r="AC616" s="6" t="str">
        <f>VLOOKUP(Tabela1[[#This Row],[SKU]],SKU!A:C,3,0)</f>
        <v>PERNA</v>
      </c>
    </row>
    <row r="617" spans="1:29" x14ac:dyDescent="0.3">
      <c r="A617" s="2">
        <f>INT(Tabela1[[#This Row],[Data e Hora2]])</f>
        <v>46274</v>
      </c>
      <c r="B617" s="6" t="str">
        <f>UPPER(TEXT(Tabela1[[#This Row],[Data Corrigida]],"MMM"))</f>
        <v>SET</v>
      </c>
      <c r="C617" t="s">
        <v>1606</v>
      </c>
      <c r="D617" s="2" t="s">
        <v>1607</v>
      </c>
      <c r="E617" s="1" t="s">
        <v>1608</v>
      </c>
      <c r="F617" t="s">
        <v>24</v>
      </c>
      <c r="G617" s="2" t="s">
        <v>1515</v>
      </c>
      <c r="H617" t="s">
        <v>142</v>
      </c>
      <c r="I617" t="s">
        <v>143</v>
      </c>
      <c r="J617" s="6">
        <v>42838</v>
      </c>
      <c r="K617" s="16">
        <v>2025</v>
      </c>
      <c r="L617" s="16">
        <v>2111</v>
      </c>
      <c r="M617" s="16">
        <v>2033</v>
      </c>
      <c r="N617" s="16">
        <v>2081</v>
      </c>
      <c r="O617" s="16">
        <v>2056</v>
      </c>
      <c r="P617" s="16">
        <v>2067</v>
      </c>
      <c r="Q617" s="16">
        <v>2057</v>
      </c>
      <c r="R617" s="16">
        <v>2038</v>
      </c>
      <c r="S617" s="16">
        <v>2073</v>
      </c>
      <c r="T617" s="16">
        <v>2032</v>
      </c>
      <c r="U617" s="15">
        <v>2057.3000000000002</v>
      </c>
      <c r="V617" t="s">
        <v>19</v>
      </c>
      <c r="W617" t="s">
        <v>19</v>
      </c>
      <c r="X617">
        <v>264</v>
      </c>
      <c r="Y617" s="16">
        <f>VLOOKUP(Tabela1[[#This Row],[SKU]],SKU!A:D,4,0)</f>
        <v>2000</v>
      </c>
      <c r="Z617" s="18">
        <f>IFERROR((Tabela1[[#This Row],[Média]]-Tabela1[[#This Row],[Meta]])/Tabela1[[#This Row],[Meta]],"")</f>
        <v>2.8650000000000092E-2</v>
      </c>
      <c r="AA617" s="22">
        <f>Tabela1[[#This Row],[Média]]-Tabela1[[#This Row],[Meta]]</f>
        <v>57.300000000000182</v>
      </c>
      <c r="AB617" s="6" t="str">
        <f>VLOOKUP(Tabela1[[#This Row],[SKU]],SKU!A:B,2,0)</f>
        <v>COXA SBCX S/O FG 220-240g PB</v>
      </c>
      <c r="AC617" s="6" t="str">
        <f>VLOOKUP(Tabela1[[#This Row],[SKU]],SKU!A:C,3,0)</f>
        <v>PERNA</v>
      </c>
    </row>
    <row r="618" spans="1:29" x14ac:dyDescent="0.3">
      <c r="A618" s="2">
        <f>INT(Tabela1[[#This Row],[Data e Hora2]])</f>
        <v>46274</v>
      </c>
      <c r="B618" s="6" t="str">
        <f>UPPER(TEXT(Tabela1[[#This Row],[Data Corrigida]],"MMM"))</f>
        <v>SET</v>
      </c>
      <c r="C618" t="s">
        <v>1609</v>
      </c>
      <c r="D618" s="2" t="s">
        <v>1610</v>
      </c>
      <c r="E618" s="1" t="s">
        <v>1611</v>
      </c>
      <c r="F618" t="s">
        <v>24</v>
      </c>
      <c r="G618" s="2" t="s">
        <v>1515</v>
      </c>
      <c r="H618" t="s">
        <v>142</v>
      </c>
      <c r="I618" t="s">
        <v>143</v>
      </c>
      <c r="J618" s="6">
        <v>18163</v>
      </c>
      <c r="K618" s="16">
        <v>1003</v>
      </c>
      <c r="L618" s="16">
        <v>1004</v>
      </c>
      <c r="M618" s="16">
        <v>1003</v>
      </c>
      <c r="N618" s="16">
        <v>1004</v>
      </c>
      <c r="O618" s="16">
        <v>1004</v>
      </c>
      <c r="P618" s="16">
        <v>1002</v>
      </c>
      <c r="Q618" s="16">
        <v>1015</v>
      </c>
      <c r="R618" s="16">
        <v>1005</v>
      </c>
      <c r="S618" s="16">
        <v>1006</v>
      </c>
      <c r="T618" s="16">
        <v>998</v>
      </c>
      <c r="U618" s="15">
        <v>1004.4</v>
      </c>
      <c r="V618" t="s">
        <v>19</v>
      </c>
      <c r="W618" t="s">
        <v>28</v>
      </c>
      <c r="X618">
        <v>287</v>
      </c>
      <c r="Y618" s="16">
        <f>VLOOKUP(Tabela1[[#This Row],[SKU]],SKU!A:D,4,0)</f>
        <v>1000</v>
      </c>
      <c r="Z618" s="18">
        <f>IFERROR((Tabela1[[#This Row],[Média]]-Tabela1[[#This Row],[Meta]])/Tabela1[[#This Row],[Meta]],"")</f>
        <v>4.3999999999999768E-3</v>
      </c>
      <c r="AA618" s="22">
        <f>Tabela1[[#This Row],[Média]]-Tabela1[[#This Row],[Meta]]</f>
        <v>4.3999999999999773</v>
      </c>
      <c r="AB618" s="6" t="str">
        <f>VLOOKUP(Tabela1[[#This Row],[SKU]],SKU!A:B,2,0)</f>
        <v>CORACAO FGO CG ALM SE</v>
      </c>
      <c r="AC618" s="6" t="str">
        <f>VLOOKUP(Tabela1[[#This Row],[SKU]],SKU!A:C,3,0)</f>
        <v>CORAÇÃO</v>
      </c>
    </row>
    <row r="619" spans="1:29" x14ac:dyDescent="0.3">
      <c r="A619" s="2">
        <f>INT(Tabela1[[#This Row],[Data e Hora2]])</f>
        <v>46274</v>
      </c>
      <c r="B619" s="6" t="str">
        <f>UPPER(TEXT(Tabela1[[#This Row],[Data Corrigida]],"MMM"))</f>
        <v>SET</v>
      </c>
      <c r="C619" t="s">
        <v>1612</v>
      </c>
      <c r="D619" s="2" t="s">
        <v>1613</v>
      </c>
      <c r="E619" s="1" t="s">
        <v>1614</v>
      </c>
      <c r="F619" t="s">
        <v>24</v>
      </c>
      <c r="G619" s="2" t="s">
        <v>1515</v>
      </c>
      <c r="H619" t="s">
        <v>142</v>
      </c>
      <c r="I619" t="s">
        <v>143</v>
      </c>
      <c r="J619" s="6">
        <v>197734</v>
      </c>
      <c r="K619" s="16">
        <v>1005</v>
      </c>
      <c r="L619" s="16">
        <v>1008</v>
      </c>
      <c r="M619" s="16">
        <v>1015</v>
      </c>
      <c r="N619" s="16">
        <v>997</v>
      </c>
      <c r="O619" s="16">
        <v>1038</v>
      </c>
      <c r="P619" s="16">
        <v>945</v>
      </c>
      <c r="Q619" s="16">
        <v>1066</v>
      </c>
      <c r="R619" s="16">
        <v>1002</v>
      </c>
      <c r="S619" s="16">
        <v>1000</v>
      </c>
      <c r="T619" s="16">
        <v>1025</v>
      </c>
      <c r="U619" s="15">
        <v>1010.1</v>
      </c>
      <c r="V619" t="s">
        <v>19</v>
      </c>
      <c r="W619" t="s">
        <v>28</v>
      </c>
      <c r="X619">
        <v>185</v>
      </c>
      <c r="Y619" s="16">
        <f>VLOOKUP(Tabela1[[#This Row],[SKU]],SKU!A:D,4,0)</f>
        <v>1000</v>
      </c>
      <c r="Z619" s="18">
        <f>IFERROR((Tabela1[[#This Row],[Média]]-Tabela1[[#This Row],[Meta]])/Tabela1[[#This Row],[Meta]],"")</f>
        <v>1.0100000000000022E-2</v>
      </c>
      <c r="AA619" s="22">
        <f>Tabela1[[#This Row],[Média]]-Tabela1[[#This Row],[Meta]]</f>
        <v>10.100000000000023</v>
      </c>
      <c r="AB619" s="6" t="str">
        <f>VLOOKUP(Tabela1[[#This Row],[SKU]],SKU!A:B,2,0)</f>
        <v>FILEZINHO FRANGO IQF ALM SE</v>
      </c>
      <c r="AC619" s="6" t="str">
        <f>VLOOKUP(Tabela1[[#This Row],[SKU]],SKU!A:C,3,0)</f>
        <v>SASSAMI</v>
      </c>
    </row>
    <row r="620" spans="1:29" x14ac:dyDescent="0.3">
      <c r="A620" s="2">
        <f>INT(Tabela1[[#This Row],[Data e Hora2]])</f>
        <v>46274</v>
      </c>
      <c r="B620" s="6" t="str">
        <f>UPPER(TEXT(Tabela1[[#This Row],[Data Corrigida]],"MMM"))</f>
        <v>SET</v>
      </c>
      <c r="C620" t="s">
        <v>1615</v>
      </c>
      <c r="D620" s="2" t="s">
        <v>1616</v>
      </c>
      <c r="E620" s="1" t="s">
        <v>1617</v>
      </c>
      <c r="F620" t="s">
        <v>24</v>
      </c>
      <c r="G620" s="2" t="s">
        <v>1515</v>
      </c>
      <c r="H620" t="s">
        <v>142</v>
      </c>
      <c r="I620" t="s">
        <v>143</v>
      </c>
      <c r="J620" s="6">
        <v>42846</v>
      </c>
      <c r="K620" s="16">
        <v>2004</v>
      </c>
      <c r="L620" s="16">
        <v>2009</v>
      </c>
      <c r="M620" s="16">
        <v>2004</v>
      </c>
      <c r="N620" s="16">
        <v>2013</v>
      </c>
      <c r="O620" s="16">
        <v>2017</v>
      </c>
      <c r="P620" s="16">
        <v>2009</v>
      </c>
      <c r="Q620" s="16">
        <v>2015</v>
      </c>
      <c r="R620" s="16">
        <v>2012</v>
      </c>
      <c r="S620" s="16">
        <v>2018</v>
      </c>
      <c r="T620" s="16">
        <v>2011</v>
      </c>
      <c r="U620" s="15">
        <v>2011.2</v>
      </c>
      <c r="V620" t="s">
        <v>19</v>
      </c>
      <c r="W620" t="s">
        <v>28</v>
      </c>
      <c r="X620">
        <v>177</v>
      </c>
      <c r="Y620" s="16">
        <f>VLOOKUP(Tabela1[[#This Row],[SKU]],SKU!A:D,4,0)</f>
        <v>2000</v>
      </c>
      <c r="Z620" s="18">
        <f>IFERROR((Tabela1[[#This Row],[Média]]-Tabela1[[#This Row],[Meta]])/Tabela1[[#This Row],[Meta]],"")</f>
        <v>5.6000000000000225E-3</v>
      </c>
      <c r="AA620" s="22">
        <f>Tabela1[[#This Row],[Média]]-Tabela1[[#This Row],[Meta]]</f>
        <v>11.200000000000045</v>
      </c>
      <c r="AB620" s="6" t="str">
        <f>VLOOKUP(Tabela1[[#This Row],[SKU]],SKU!A:B,2,0)</f>
        <v>COXA SBCX S/O FG 240-260g PB</v>
      </c>
      <c r="AC620" s="6" t="str">
        <f>VLOOKUP(Tabela1[[#This Row],[SKU]],SKU!A:C,3,0)</f>
        <v>PERNA</v>
      </c>
    </row>
    <row r="621" spans="1:29" x14ac:dyDescent="0.3">
      <c r="A621" s="2">
        <f>INT(Tabela1[[#This Row],[Data e Hora2]])</f>
        <v>46274</v>
      </c>
      <c r="B621" s="6" t="str">
        <f>UPPER(TEXT(Tabela1[[#This Row],[Data Corrigida]],"MMM"))</f>
        <v>SET</v>
      </c>
      <c r="C621" t="s">
        <v>1618</v>
      </c>
      <c r="D621" s="2" t="s">
        <v>1619</v>
      </c>
      <c r="E621" s="1" t="s">
        <v>1620</v>
      </c>
      <c r="F621" t="s">
        <v>24</v>
      </c>
      <c r="G621" s="2" t="s">
        <v>1515</v>
      </c>
      <c r="H621" t="s">
        <v>142</v>
      </c>
      <c r="I621" t="s">
        <v>143</v>
      </c>
      <c r="J621" s="6">
        <v>15105</v>
      </c>
      <c r="K621" s="16">
        <v>1048</v>
      </c>
      <c r="L621" s="16">
        <v>1056</v>
      </c>
      <c r="M621" s="16">
        <v>1029</v>
      </c>
      <c r="N621" s="16">
        <v>1164</v>
      </c>
      <c r="O621" s="16">
        <v>1014</v>
      </c>
      <c r="P621" s="16">
        <v>1008</v>
      </c>
      <c r="Q621" s="16">
        <v>1006</v>
      </c>
      <c r="R621" s="16">
        <v>1040</v>
      </c>
      <c r="S621" s="16">
        <v>1035</v>
      </c>
      <c r="T621" s="16">
        <v>1025</v>
      </c>
      <c r="U621" s="15">
        <v>1042.5</v>
      </c>
      <c r="V621" t="s">
        <v>19</v>
      </c>
      <c r="W621" t="s">
        <v>28</v>
      </c>
      <c r="X621">
        <v>409</v>
      </c>
      <c r="Y621" s="16">
        <f>VLOOKUP(Tabela1[[#This Row],[SKU]],SKU!A:D,4,0)</f>
        <v>1000</v>
      </c>
      <c r="Z621" s="18">
        <f>IFERROR((Tabela1[[#This Row],[Média]]-Tabela1[[#This Row],[Meta]])/Tabela1[[#This Row],[Meta]],"")</f>
        <v>4.2500000000000003E-2</v>
      </c>
      <c r="AA621" s="22">
        <f>Tabela1[[#This Row],[Média]]-Tabela1[[#This Row],[Meta]]</f>
        <v>42.5</v>
      </c>
      <c r="AB621" s="6" t="str">
        <f>VLOOKUP(Tabela1[[#This Row],[SKU]],SKU!A:B,2,0)</f>
        <v>FILE PEITO MET CG BDJ SE</v>
      </c>
      <c r="AC621" s="6" t="str">
        <f>VLOOKUP(Tabela1[[#This Row],[SKU]],SKU!A:C,3,0)</f>
        <v>PEITO</v>
      </c>
    </row>
    <row r="622" spans="1:29" x14ac:dyDescent="0.3">
      <c r="A622" s="2">
        <f>INT(Tabela1[[#This Row],[Data e Hora2]])</f>
        <v>46274</v>
      </c>
      <c r="B622" s="6" t="str">
        <f>UPPER(TEXT(Tabela1[[#This Row],[Data Corrigida]],"MMM"))</f>
        <v>SET</v>
      </c>
      <c r="C622" t="s">
        <v>1621</v>
      </c>
      <c r="D622" s="2" t="s">
        <v>1622</v>
      </c>
      <c r="E622" s="1" t="s">
        <v>1623</v>
      </c>
      <c r="F622" t="s">
        <v>24</v>
      </c>
      <c r="G622" s="2" t="s">
        <v>1515</v>
      </c>
      <c r="H622" t="s">
        <v>142</v>
      </c>
      <c r="I622" t="s">
        <v>143</v>
      </c>
      <c r="J622" s="6">
        <v>18228</v>
      </c>
      <c r="K622" s="16">
        <v>1004</v>
      </c>
      <c r="L622" s="16">
        <v>995</v>
      </c>
      <c r="M622" s="16">
        <v>995</v>
      </c>
      <c r="N622" s="16">
        <v>1003</v>
      </c>
      <c r="O622" s="16">
        <v>1003</v>
      </c>
      <c r="P622" s="16">
        <v>999</v>
      </c>
      <c r="Q622" s="16">
        <v>998</v>
      </c>
      <c r="R622" s="16">
        <v>1011</v>
      </c>
      <c r="S622" s="16">
        <v>1000</v>
      </c>
      <c r="T622" s="16">
        <v>995</v>
      </c>
      <c r="U622" s="15">
        <v>1000.3</v>
      </c>
      <c r="V622" t="s">
        <v>19</v>
      </c>
      <c r="W622" t="s">
        <v>28</v>
      </c>
      <c r="X622">
        <v>241</v>
      </c>
      <c r="Y622" s="16">
        <f>VLOOKUP(Tabela1[[#This Row],[SKU]],SKU!A:D,4,0)</f>
        <v>1000</v>
      </c>
      <c r="Z622" s="18">
        <f>IFERROR((Tabela1[[#This Row],[Média]]-Tabela1[[#This Row],[Meta]])/Tabela1[[#This Row],[Meta]],"")</f>
        <v>2.9999999999995455E-4</v>
      </c>
      <c r="AA622" s="22">
        <f>Tabela1[[#This Row],[Média]]-Tabela1[[#This Row],[Meta]]</f>
        <v>0.29999999999995453</v>
      </c>
      <c r="AB622" s="6" t="str">
        <f>VLOOKUP(Tabela1[[#This Row],[SKU]],SKU!A:B,2,0)</f>
        <v>MOELA FRANGO CG ALM SE</v>
      </c>
      <c r="AC622" s="6" t="str">
        <f>VLOOKUP(Tabela1[[#This Row],[SKU]],SKU!A:C,3,0)</f>
        <v>MOELA</v>
      </c>
    </row>
    <row r="623" spans="1:29" x14ac:dyDescent="0.3">
      <c r="A623" s="2">
        <f>INT(Tabela1[[#This Row],[Data e Hora2]])</f>
        <v>46274</v>
      </c>
      <c r="B623" s="6" t="str">
        <f>UPPER(TEXT(Tabela1[[#This Row],[Data Corrigida]],"MMM"))</f>
        <v>SET</v>
      </c>
      <c r="C623" t="s">
        <v>1624</v>
      </c>
      <c r="D623" s="2" t="s">
        <v>1625</v>
      </c>
      <c r="E623" s="1" t="s">
        <v>1623</v>
      </c>
      <c r="F623" t="s">
        <v>24</v>
      </c>
      <c r="G623" s="2" t="s">
        <v>1515</v>
      </c>
      <c r="H623" t="s">
        <v>142</v>
      </c>
      <c r="I623" t="s">
        <v>143</v>
      </c>
      <c r="J623" s="6">
        <v>42854</v>
      </c>
      <c r="K623" s="16">
        <v>2136</v>
      </c>
      <c r="L623" s="16">
        <v>2145</v>
      </c>
      <c r="M623" s="16">
        <v>2155</v>
      </c>
      <c r="N623" s="16">
        <v>2166</v>
      </c>
      <c r="O623" s="16">
        <v>2135</v>
      </c>
      <c r="P623" s="16">
        <v>2181</v>
      </c>
      <c r="Q623" s="16">
        <v>2131</v>
      </c>
      <c r="R623" s="16">
        <v>2086</v>
      </c>
      <c r="S623" s="16">
        <v>2149</v>
      </c>
      <c r="T623" s="16">
        <v>2161</v>
      </c>
      <c r="U623" s="15">
        <v>2144.5</v>
      </c>
      <c r="V623" t="s">
        <v>19</v>
      </c>
      <c r="W623" t="s">
        <v>19</v>
      </c>
      <c r="X623">
        <v>545</v>
      </c>
      <c r="Y623" s="16">
        <f>VLOOKUP(Tabela1[[#This Row],[SKU]],SKU!A:D,4,0)</f>
        <v>2080</v>
      </c>
      <c r="Z623" s="18">
        <f>IFERROR((Tabela1[[#This Row],[Média]]-Tabela1[[#This Row],[Meta]])/Tabela1[[#This Row],[Meta]],"")</f>
        <v>3.1009615384615385E-2</v>
      </c>
      <c r="AA623" s="22">
        <f>Tabela1[[#This Row],[Média]]-Tabela1[[#This Row],[Meta]]</f>
        <v>64.5</v>
      </c>
      <c r="AB623" s="6" t="str">
        <f>VLOOKUP(Tabela1[[#This Row],[SKU]],SKU!A:B,2,0)</f>
        <v>COXA SBCX S/O FG 260-280g PB</v>
      </c>
      <c r="AC623" s="6" t="str">
        <f>VLOOKUP(Tabela1[[#This Row],[SKU]],SKU!A:C,3,0)</f>
        <v>PERNA</v>
      </c>
    </row>
    <row r="624" spans="1:29" x14ac:dyDescent="0.3">
      <c r="A624" s="2">
        <f>INT(Tabela1[[#This Row],[Data e Hora2]])</f>
        <v>46274</v>
      </c>
      <c r="B624" s="6" t="str">
        <f>UPPER(TEXT(Tabela1[[#This Row],[Data Corrigida]],"MMM"))</f>
        <v>SET</v>
      </c>
      <c r="C624" t="s">
        <v>1626</v>
      </c>
      <c r="D624" s="2" t="s">
        <v>1627</v>
      </c>
      <c r="E624" s="1" t="s">
        <v>1623</v>
      </c>
      <c r="F624" t="s">
        <v>24</v>
      </c>
      <c r="G624" s="2" t="s">
        <v>1515</v>
      </c>
      <c r="H624" t="s">
        <v>142</v>
      </c>
      <c r="I624" t="s">
        <v>143</v>
      </c>
      <c r="J624" s="6">
        <v>864048</v>
      </c>
      <c r="K624" s="16">
        <v>2018</v>
      </c>
      <c r="L624" s="16">
        <v>2006</v>
      </c>
      <c r="M624" s="16">
        <v>2019</v>
      </c>
      <c r="N624" s="16">
        <v>2013</v>
      </c>
      <c r="O624" s="16">
        <v>2014</v>
      </c>
      <c r="P624" s="16">
        <v>2013</v>
      </c>
      <c r="Q624" s="16">
        <v>2018</v>
      </c>
      <c r="R624" s="16">
        <v>2020</v>
      </c>
      <c r="S624" s="16">
        <v>2012</v>
      </c>
      <c r="T624" s="16">
        <v>2001</v>
      </c>
      <c r="U624" s="15">
        <v>2013.4</v>
      </c>
      <c r="V624" t="s">
        <v>19</v>
      </c>
      <c r="W624" t="s">
        <v>28</v>
      </c>
      <c r="X624">
        <v>289</v>
      </c>
      <c r="Y624" s="16">
        <f>VLOOKUP(Tabela1[[#This Row],[SKU]],SKU!A:D,4,0)</f>
        <v>2000</v>
      </c>
      <c r="Z624" s="18">
        <f>IFERROR((Tabela1[[#This Row],[Média]]-Tabela1[[#This Row],[Meta]])/Tabela1[[#This Row],[Meta]],"")</f>
        <v>6.7000000000000453E-3</v>
      </c>
      <c r="AA624" s="22">
        <f>Tabela1[[#This Row],[Média]]-Tabela1[[#This Row],[Meta]]</f>
        <v>13.400000000000091</v>
      </c>
      <c r="AB624" s="6" t="str">
        <f>VLOOKUP(Tabela1[[#This Row],[SKU]],SKU!A:B,2,0)</f>
        <v>COXA SBCX S/O 200g FG UP PB</v>
      </c>
      <c r="AC624" s="6" t="str">
        <f>VLOOKUP(Tabela1[[#This Row],[SKU]],SKU!A:C,3,0)</f>
        <v>PERNA</v>
      </c>
    </row>
    <row r="625" spans="1:29" x14ac:dyDescent="0.3">
      <c r="A625" s="2">
        <f>INT(Tabela1[[#This Row],[Data e Hora2]])</f>
        <v>46277</v>
      </c>
      <c r="B625" s="6" t="str">
        <f>UPPER(TEXT(Tabela1[[#This Row],[Data Corrigida]],"MMM"))</f>
        <v>SET</v>
      </c>
      <c r="C625" s="26" t="s">
        <v>1628</v>
      </c>
      <c r="D625" s="2" t="s">
        <v>1629</v>
      </c>
      <c r="E625" s="1" t="s">
        <v>1630</v>
      </c>
      <c r="F625" t="s">
        <v>24</v>
      </c>
      <c r="G625" s="2" t="s">
        <v>1631</v>
      </c>
      <c r="H625" t="s">
        <v>26</v>
      </c>
      <c r="I625" t="s">
        <v>57</v>
      </c>
      <c r="J625" s="6">
        <v>15105</v>
      </c>
      <c r="K625" s="16">
        <v>1134</v>
      </c>
      <c r="L625" s="16">
        <v>1020</v>
      </c>
      <c r="M625" s="16">
        <v>971</v>
      </c>
      <c r="N625" s="16">
        <v>1008</v>
      </c>
      <c r="O625" s="16">
        <v>1048</v>
      </c>
      <c r="P625" s="16">
        <v>1046</v>
      </c>
      <c r="Q625" s="16">
        <v>1025</v>
      </c>
      <c r="R625" s="16">
        <v>1040</v>
      </c>
      <c r="S625" s="16">
        <v>1063</v>
      </c>
      <c r="T625" s="16">
        <v>1160</v>
      </c>
      <c r="U625" s="15">
        <v>1051.5</v>
      </c>
      <c r="V625" t="s">
        <v>19</v>
      </c>
      <c r="W625" t="s">
        <v>28</v>
      </c>
      <c r="X625">
        <v>308</v>
      </c>
      <c r="Y625" s="16">
        <f>VLOOKUP(Tabela1[[#This Row],[SKU]],SKU!A:D,4,0)</f>
        <v>1000</v>
      </c>
      <c r="Z625" s="18">
        <f>IFERROR((Tabela1[[#This Row],[Média]]-Tabela1[[#This Row],[Meta]])/Tabela1[[#This Row],[Meta]],"")</f>
        <v>5.1499999999999997E-2</v>
      </c>
      <c r="AA625" s="19">
        <f>Tabela1[[#This Row],[Média]]-Tabela1[[#This Row],[Meta]]</f>
        <v>51.5</v>
      </c>
      <c r="AB625" s="6" t="str">
        <f>VLOOKUP(Tabela1[[#This Row],[SKU]],SKU!A:B,2,0)</f>
        <v>FILE PEITO MET CG BDJ SE</v>
      </c>
      <c r="AC625" s="6" t="str">
        <f>VLOOKUP(Tabela1[[#This Row],[SKU]],SKU!A:C,3,0)</f>
        <v>PEITO</v>
      </c>
    </row>
    <row r="626" spans="1:29" x14ac:dyDescent="0.3">
      <c r="A626" s="2">
        <f>INT(Tabela1[[#This Row],[Data e Hora2]])</f>
        <v>46277</v>
      </c>
      <c r="B626" s="6" t="str">
        <f>UPPER(TEXT(Tabela1[[#This Row],[Data Corrigida]],"MMM"))</f>
        <v>SET</v>
      </c>
      <c r="C626" t="s">
        <v>1632</v>
      </c>
      <c r="D626" s="2" t="s">
        <v>1633</v>
      </c>
      <c r="E626" s="1" t="s">
        <v>1630</v>
      </c>
      <c r="F626" t="s">
        <v>24</v>
      </c>
      <c r="G626" s="2" t="s">
        <v>1631</v>
      </c>
      <c r="H626" t="s">
        <v>26</v>
      </c>
      <c r="I626" t="s">
        <v>57</v>
      </c>
      <c r="J626" s="6">
        <v>15105</v>
      </c>
      <c r="K626" s="16">
        <v>1006</v>
      </c>
      <c r="L626" s="16">
        <v>1037</v>
      </c>
      <c r="M626" s="16">
        <v>1046</v>
      </c>
      <c r="N626" s="16">
        <v>1051</v>
      </c>
      <c r="O626" s="16">
        <v>1088</v>
      </c>
      <c r="P626" s="16">
        <v>993</v>
      </c>
      <c r="Q626" s="16">
        <v>968</v>
      </c>
      <c r="R626" s="16">
        <v>996</v>
      </c>
      <c r="S626" s="16">
        <v>1015</v>
      </c>
      <c r="T626" s="16">
        <v>973</v>
      </c>
      <c r="U626" s="15">
        <v>1017.3</v>
      </c>
      <c r="V626" t="s">
        <v>19</v>
      </c>
      <c r="W626" t="s">
        <v>28</v>
      </c>
      <c r="X626">
        <v>540</v>
      </c>
      <c r="Y626" s="16">
        <f>VLOOKUP(Tabela1[[#This Row],[SKU]],SKU!A:D,4,0)</f>
        <v>1000</v>
      </c>
      <c r="Z626" s="18">
        <f>IFERROR((Tabela1[[#This Row],[Média]]-Tabela1[[#This Row],[Meta]])/Tabela1[[#This Row],[Meta]],"")</f>
        <v>1.7299999999999954E-2</v>
      </c>
      <c r="AA626" s="19">
        <f>Tabela1[[#This Row],[Média]]-Tabela1[[#This Row],[Meta]]</f>
        <v>17.299999999999955</v>
      </c>
      <c r="AB626" s="6" t="str">
        <f>VLOOKUP(Tabela1[[#This Row],[SKU]],SKU!A:B,2,0)</f>
        <v>FILE PEITO MET CG BDJ SE</v>
      </c>
      <c r="AC626" s="6" t="str">
        <f>VLOOKUP(Tabela1[[#This Row],[SKU]],SKU!A:C,3,0)</f>
        <v>PEITO</v>
      </c>
    </row>
    <row r="627" spans="1:29" x14ac:dyDescent="0.3">
      <c r="A627" s="2">
        <f>INT(Tabela1[[#This Row],[Data e Hora2]])</f>
        <v>46277</v>
      </c>
      <c r="B627" s="6" t="str">
        <f>UPPER(TEXT(Tabela1[[#This Row],[Data Corrigida]],"MMM"))</f>
        <v>SET</v>
      </c>
      <c r="C627" t="s">
        <v>1634</v>
      </c>
      <c r="D627" s="2" t="s">
        <v>1635</v>
      </c>
      <c r="E627" s="1" t="s">
        <v>1636</v>
      </c>
      <c r="F627" t="s">
        <v>24</v>
      </c>
      <c r="G627" s="2" t="s">
        <v>1631</v>
      </c>
      <c r="H627" t="s">
        <v>26</v>
      </c>
      <c r="I627" t="s">
        <v>57</v>
      </c>
      <c r="J627" s="6">
        <v>197734</v>
      </c>
      <c r="K627" s="16">
        <v>1020</v>
      </c>
      <c r="L627" s="16">
        <v>995</v>
      </c>
      <c r="M627" s="16">
        <v>1019</v>
      </c>
      <c r="N627" s="16">
        <v>997</v>
      </c>
      <c r="O627" s="16">
        <v>999</v>
      </c>
      <c r="P627" s="16">
        <v>1020</v>
      </c>
      <c r="Q627" s="16">
        <v>1001</v>
      </c>
      <c r="R627" s="16">
        <v>990</v>
      </c>
      <c r="S627" s="16">
        <v>999</v>
      </c>
      <c r="T627" s="16">
        <v>1003</v>
      </c>
      <c r="U627" s="15">
        <v>1004.3</v>
      </c>
      <c r="V627" t="s">
        <v>19</v>
      </c>
      <c r="W627" t="s">
        <v>28</v>
      </c>
      <c r="X627">
        <v>144</v>
      </c>
      <c r="Y627" s="16">
        <f>VLOOKUP(Tabela1[[#This Row],[SKU]],SKU!A:D,4,0)</f>
        <v>1000</v>
      </c>
      <c r="Z627" s="18">
        <f>IFERROR((Tabela1[[#This Row],[Média]]-Tabela1[[#This Row],[Meta]])/Tabela1[[#This Row],[Meta]],"")</f>
        <v>4.2999999999999549E-3</v>
      </c>
      <c r="AA627" s="19">
        <f>Tabela1[[#This Row],[Média]]-Tabela1[[#This Row],[Meta]]</f>
        <v>4.2999999999999545</v>
      </c>
      <c r="AB627" s="6" t="str">
        <f>VLOOKUP(Tabela1[[#This Row],[SKU]],SKU!A:B,2,0)</f>
        <v>FILEZINHO FRANGO IQF ALM SE</v>
      </c>
      <c r="AC627" s="6" t="str">
        <f>VLOOKUP(Tabela1[[#This Row],[SKU]],SKU!A:C,3,0)</f>
        <v>SASSAMI</v>
      </c>
    </row>
    <row r="628" spans="1:29" x14ac:dyDescent="0.3">
      <c r="A628" s="2">
        <f>INT(Tabela1[[#This Row],[Data e Hora2]])</f>
        <v>46277</v>
      </c>
      <c r="B628" s="6" t="str">
        <f>UPPER(TEXT(Tabela1[[#This Row],[Data Corrigida]],"MMM"))</f>
        <v>SET</v>
      </c>
      <c r="C628" t="s">
        <v>1637</v>
      </c>
      <c r="D628" s="2" t="s">
        <v>1638</v>
      </c>
      <c r="E628" s="1" t="s">
        <v>1636</v>
      </c>
      <c r="F628" t="s">
        <v>24</v>
      </c>
      <c r="G628" s="2" t="s">
        <v>1631</v>
      </c>
      <c r="H628" t="s">
        <v>26</v>
      </c>
      <c r="I628" t="s">
        <v>57</v>
      </c>
      <c r="J628" s="6">
        <v>197734</v>
      </c>
      <c r="K628" s="16">
        <v>990</v>
      </c>
      <c r="L628" s="16">
        <v>993</v>
      </c>
      <c r="M628" s="16">
        <v>1024</v>
      </c>
      <c r="N628" s="16">
        <v>997</v>
      </c>
      <c r="O628" s="16">
        <v>1001</v>
      </c>
      <c r="P628" s="16">
        <v>1017</v>
      </c>
      <c r="Q628" s="16">
        <v>1012</v>
      </c>
      <c r="R628" s="16">
        <v>1003</v>
      </c>
      <c r="S628" s="16">
        <v>1012</v>
      </c>
      <c r="T628" s="16">
        <v>1008</v>
      </c>
      <c r="U628" s="15">
        <v>1005.7</v>
      </c>
      <c r="V628" t="s">
        <v>19</v>
      </c>
      <c r="W628" t="s">
        <v>28</v>
      </c>
      <c r="X628">
        <v>246</v>
      </c>
      <c r="Y628" s="16">
        <f>VLOOKUP(Tabela1[[#This Row],[SKU]],SKU!A:D,4,0)</f>
        <v>1000</v>
      </c>
      <c r="Z628" s="18">
        <f>IFERROR((Tabela1[[#This Row],[Média]]-Tabela1[[#This Row],[Meta]])/Tabela1[[#This Row],[Meta]],"")</f>
        <v>5.7000000000000453E-3</v>
      </c>
      <c r="AA628" s="19">
        <f>Tabela1[[#This Row],[Média]]-Tabela1[[#This Row],[Meta]]</f>
        <v>5.7000000000000455</v>
      </c>
      <c r="AB628" s="6" t="str">
        <f>VLOOKUP(Tabela1[[#This Row],[SKU]],SKU!A:B,2,0)</f>
        <v>FILEZINHO FRANGO IQF ALM SE</v>
      </c>
      <c r="AC628" s="6" t="str">
        <f>VLOOKUP(Tabela1[[#This Row],[SKU]],SKU!A:C,3,0)</f>
        <v>SASSAMI</v>
      </c>
    </row>
    <row r="629" spans="1:29" x14ac:dyDescent="0.3">
      <c r="A629" s="2">
        <f>INT(Tabela1[[#This Row],[Data e Hora2]])</f>
        <v>46277</v>
      </c>
      <c r="B629" s="6" t="str">
        <f>UPPER(TEXT(Tabela1[[#This Row],[Data Corrigida]],"MMM"))</f>
        <v>SET</v>
      </c>
      <c r="C629" t="s">
        <v>1639</v>
      </c>
      <c r="D629" s="2" t="s">
        <v>1640</v>
      </c>
      <c r="E629" s="1" t="s">
        <v>1641</v>
      </c>
      <c r="F629" t="s">
        <v>24</v>
      </c>
      <c r="G629" s="2" t="s">
        <v>1631</v>
      </c>
      <c r="H629" t="s">
        <v>26</v>
      </c>
      <c r="I629" t="s">
        <v>57</v>
      </c>
      <c r="J629" s="6">
        <v>42862</v>
      </c>
      <c r="K629" s="16">
        <v>2005</v>
      </c>
      <c r="L629" s="16">
        <v>2019</v>
      </c>
      <c r="M629" s="16">
        <v>2014</v>
      </c>
      <c r="N629" s="16">
        <v>2024</v>
      </c>
      <c r="O629" s="16">
        <v>2040</v>
      </c>
      <c r="P629" s="16">
        <v>1987</v>
      </c>
      <c r="Q629" s="16">
        <v>2020</v>
      </c>
      <c r="R629" s="16">
        <v>2010</v>
      </c>
      <c r="S629" s="16">
        <v>2038</v>
      </c>
      <c r="T629" s="16">
        <v>1989</v>
      </c>
      <c r="U629" s="15">
        <v>2014.6</v>
      </c>
      <c r="V629" t="s">
        <v>19</v>
      </c>
      <c r="W629" t="s">
        <v>28</v>
      </c>
      <c r="X629">
        <v>390</v>
      </c>
      <c r="Y629" s="16">
        <f>VLOOKUP(Tabela1[[#This Row],[SKU]],SKU!A:D,4,0)</f>
        <v>2000</v>
      </c>
      <c r="Z629" s="18">
        <f>IFERROR((Tabela1[[#This Row],[Média]]-Tabela1[[#This Row],[Meta]])/Tabela1[[#This Row],[Meta]],"")</f>
        <v>7.2999999999999541E-3</v>
      </c>
      <c r="AA629" s="19">
        <f>Tabela1[[#This Row],[Média]]-Tabela1[[#This Row],[Meta]]</f>
        <v>14.599999999999909</v>
      </c>
      <c r="AB629" s="6" t="str">
        <f>VLOOKUP(Tabela1[[#This Row],[SKU]],SKU!A:B,2,0)</f>
        <v>COXA SBCX S/O FG 280-300g PB</v>
      </c>
      <c r="AC629" s="6" t="str">
        <f>VLOOKUP(Tabela1[[#This Row],[SKU]],SKU!A:C,3,0)</f>
        <v>PERNA</v>
      </c>
    </row>
    <row r="630" spans="1:29" x14ac:dyDescent="0.3">
      <c r="A630" s="2">
        <f>INT(Tabela1[[#This Row],[Data e Hora2]])</f>
        <v>46277</v>
      </c>
      <c r="B630" s="6" t="str">
        <f>UPPER(TEXT(Tabela1[[#This Row],[Data Corrigida]],"MMM"))</f>
        <v>SET</v>
      </c>
      <c r="C630" t="s">
        <v>1642</v>
      </c>
      <c r="D630" s="2" t="s">
        <v>1643</v>
      </c>
      <c r="E630" s="1" t="s">
        <v>1641</v>
      </c>
      <c r="F630" t="s">
        <v>24</v>
      </c>
      <c r="G630" s="2" t="s">
        <v>1631</v>
      </c>
      <c r="H630" t="s">
        <v>26</v>
      </c>
      <c r="I630" t="s">
        <v>57</v>
      </c>
      <c r="J630" s="6">
        <v>42846</v>
      </c>
      <c r="K630" s="16">
        <v>2037</v>
      </c>
      <c r="L630" s="16">
        <v>2000</v>
      </c>
      <c r="M630" s="16">
        <v>1999</v>
      </c>
      <c r="N630" s="16">
        <v>2020</v>
      </c>
      <c r="O630" s="16">
        <v>2058</v>
      </c>
      <c r="P630" s="16">
        <v>1997</v>
      </c>
      <c r="Q630" s="16">
        <v>2016</v>
      </c>
      <c r="R630" s="16">
        <v>1995</v>
      </c>
      <c r="S630" s="16">
        <v>1999</v>
      </c>
      <c r="T630" s="16">
        <v>2012</v>
      </c>
      <c r="U630" s="15">
        <v>2013</v>
      </c>
      <c r="V630" t="s">
        <v>19</v>
      </c>
      <c r="W630" t="s">
        <v>28</v>
      </c>
      <c r="X630">
        <v>243</v>
      </c>
      <c r="Y630" s="16">
        <f>VLOOKUP(Tabela1[[#This Row],[SKU]],SKU!A:D,4,0)</f>
        <v>2000</v>
      </c>
      <c r="Z630" s="18">
        <f>IFERROR((Tabela1[[#This Row],[Média]]-Tabela1[[#This Row],[Meta]])/Tabela1[[#This Row],[Meta]],"")</f>
        <v>6.4999999999999997E-3</v>
      </c>
      <c r="AA630" s="19">
        <f>Tabela1[[#This Row],[Média]]-Tabela1[[#This Row],[Meta]]</f>
        <v>13</v>
      </c>
      <c r="AB630" s="6" t="str">
        <f>VLOOKUP(Tabela1[[#This Row],[SKU]],SKU!A:B,2,0)</f>
        <v>COXA SBCX S/O FG 240-260g PB</v>
      </c>
      <c r="AC630" s="6" t="str">
        <f>VLOOKUP(Tabela1[[#This Row],[SKU]],SKU!A:C,3,0)</f>
        <v>PERNA</v>
      </c>
    </row>
    <row r="631" spans="1:29" x14ac:dyDescent="0.3">
      <c r="A631" s="2">
        <f>INT(Tabela1[[#This Row],[Data e Hora2]])</f>
        <v>46277</v>
      </c>
      <c r="B631" s="6" t="str">
        <f>UPPER(TEXT(Tabela1[[#This Row],[Data Corrigida]],"MMM"))</f>
        <v>SET</v>
      </c>
      <c r="C631" t="s">
        <v>1644</v>
      </c>
      <c r="D631" s="2" t="s">
        <v>1645</v>
      </c>
      <c r="E631" s="1" t="s">
        <v>1641</v>
      </c>
      <c r="F631" t="s">
        <v>24</v>
      </c>
      <c r="G631" s="2" t="s">
        <v>1631</v>
      </c>
      <c r="H631" t="s">
        <v>26</v>
      </c>
      <c r="I631" t="s">
        <v>57</v>
      </c>
      <c r="J631" s="6">
        <v>42838</v>
      </c>
      <c r="K631" s="16">
        <v>2054</v>
      </c>
      <c r="L631" s="16">
        <v>2052</v>
      </c>
      <c r="M631" s="16">
        <v>2034</v>
      </c>
      <c r="N631" s="16">
        <v>2077</v>
      </c>
      <c r="O631" s="16">
        <v>2062</v>
      </c>
      <c r="P631" s="16">
        <v>2024</v>
      </c>
      <c r="Q631" s="16">
        <v>2003</v>
      </c>
      <c r="R631" s="16">
        <v>2061</v>
      </c>
      <c r="S631" s="16">
        <v>2005</v>
      </c>
      <c r="T631" s="16">
        <v>2009</v>
      </c>
      <c r="U631" s="15">
        <v>2038.1</v>
      </c>
      <c r="V631" t="s">
        <v>19</v>
      </c>
      <c r="W631" t="s">
        <v>28</v>
      </c>
      <c r="X631">
        <v>331</v>
      </c>
      <c r="Y631" s="16">
        <f>VLOOKUP(Tabela1[[#This Row],[SKU]],SKU!A:D,4,0)</f>
        <v>2000</v>
      </c>
      <c r="Z631" s="18">
        <f>IFERROR((Tabela1[[#This Row],[Média]]-Tabela1[[#This Row],[Meta]])/Tabela1[[#This Row],[Meta]],"")</f>
        <v>1.9049999999999956E-2</v>
      </c>
      <c r="AA631" s="19">
        <f>Tabela1[[#This Row],[Média]]-Tabela1[[#This Row],[Meta]]</f>
        <v>38.099999999999909</v>
      </c>
      <c r="AB631" s="6" t="str">
        <f>VLOOKUP(Tabela1[[#This Row],[SKU]],SKU!A:B,2,0)</f>
        <v>COXA SBCX S/O FG 220-240g PB</v>
      </c>
      <c r="AC631" s="6" t="str">
        <f>VLOOKUP(Tabela1[[#This Row],[SKU]],SKU!A:C,3,0)</f>
        <v>PERNA</v>
      </c>
    </row>
    <row r="632" spans="1:29" x14ac:dyDescent="0.3">
      <c r="A632" s="2">
        <f>INT(Tabela1[[#This Row],[Data e Hora2]])</f>
        <v>46277</v>
      </c>
      <c r="B632" s="6" t="str">
        <f>UPPER(TEXT(Tabela1[[#This Row],[Data Corrigida]],"MMM"))</f>
        <v>SET</v>
      </c>
      <c r="C632" t="s">
        <v>1646</v>
      </c>
      <c r="D632" s="2" t="s">
        <v>1647</v>
      </c>
      <c r="E632" s="1" t="s">
        <v>1648</v>
      </c>
      <c r="F632" t="s">
        <v>24</v>
      </c>
      <c r="G632" s="2" t="s">
        <v>1631</v>
      </c>
      <c r="H632" t="s">
        <v>26</v>
      </c>
      <c r="I632" t="s">
        <v>57</v>
      </c>
      <c r="J632" s="6">
        <v>42820</v>
      </c>
      <c r="K632" s="16">
        <v>2025</v>
      </c>
      <c r="L632" s="16">
        <v>1979</v>
      </c>
      <c r="M632" s="16">
        <v>2029</v>
      </c>
      <c r="N632" s="16">
        <v>2088</v>
      </c>
      <c r="O632" s="16">
        <v>2004</v>
      </c>
      <c r="P632" s="16">
        <v>2051</v>
      </c>
      <c r="Q632" s="16">
        <v>2007</v>
      </c>
      <c r="R632" s="16">
        <v>2039</v>
      </c>
      <c r="S632" s="16">
        <v>2013</v>
      </c>
      <c r="T632" s="16">
        <v>2004</v>
      </c>
      <c r="U632" s="15">
        <v>2023.9</v>
      </c>
      <c r="V632" t="s">
        <v>19</v>
      </c>
      <c r="W632" t="s">
        <v>28</v>
      </c>
      <c r="X632">
        <v>243</v>
      </c>
      <c r="Y632" s="16">
        <f>VLOOKUP(Tabela1[[#This Row],[SKU]],SKU!A:D,4,0)</f>
        <v>2000</v>
      </c>
      <c r="Z632" s="18">
        <f>IFERROR((Tabela1[[#This Row],[Média]]-Tabela1[[#This Row],[Meta]])/Tabela1[[#This Row],[Meta]],"")</f>
        <v>1.1950000000000046E-2</v>
      </c>
      <c r="AA632" s="19">
        <f>Tabela1[[#This Row],[Média]]-Tabela1[[#This Row],[Meta]]</f>
        <v>23.900000000000091</v>
      </c>
      <c r="AB632" s="6" t="str">
        <f>VLOOKUP(Tabela1[[#This Row],[SKU]],SKU!A:B,2,0)</f>
        <v>COXA SBCX S/O FG 200-220g PB</v>
      </c>
      <c r="AC632" s="6" t="str">
        <f>VLOOKUP(Tabela1[[#This Row],[SKU]],SKU!A:C,3,0)</f>
        <v>PERNA</v>
      </c>
    </row>
    <row r="633" spans="1:29" x14ac:dyDescent="0.3">
      <c r="A633" s="2">
        <f>INT(Tabela1[[#This Row],[Data e Hora2]])</f>
        <v>46277</v>
      </c>
      <c r="B633" s="6" t="str">
        <f>UPPER(TEXT(Tabela1[[#This Row],[Data Corrigida]],"MMM"))</f>
        <v>SET</v>
      </c>
      <c r="C633" t="s">
        <v>1649</v>
      </c>
      <c r="D633" s="2" t="s">
        <v>1650</v>
      </c>
      <c r="E633" s="1" t="s">
        <v>1648</v>
      </c>
      <c r="F633" t="s">
        <v>24</v>
      </c>
      <c r="G633" s="2" t="s">
        <v>1631</v>
      </c>
      <c r="H633" t="s">
        <v>26</v>
      </c>
      <c r="I633" t="s">
        <v>57</v>
      </c>
      <c r="J633" s="6">
        <v>42854</v>
      </c>
      <c r="K633" s="16">
        <v>2106</v>
      </c>
      <c r="L633" s="16">
        <v>2091</v>
      </c>
      <c r="M633" s="16">
        <v>2128</v>
      </c>
      <c r="N633" s="16">
        <v>2084</v>
      </c>
      <c r="O633" s="16">
        <v>2076</v>
      </c>
      <c r="P633" s="16">
        <v>2075</v>
      </c>
      <c r="Q633" s="16">
        <v>2108</v>
      </c>
      <c r="R633" s="16">
        <v>2089</v>
      </c>
      <c r="S633" s="16">
        <v>2073</v>
      </c>
      <c r="T633" s="16">
        <v>2072</v>
      </c>
      <c r="U633" s="15">
        <v>2090.1999999999998</v>
      </c>
      <c r="V633" t="s">
        <v>19</v>
      </c>
      <c r="W633" t="s">
        <v>28</v>
      </c>
      <c r="X633">
        <v>171</v>
      </c>
      <c r="Y633" s="16">
        <f>VLOOKUP(Tabela1[[#This Row],[SKU]],SKU!A:D,4,0)</f>
        <v>2080</v>
      </c>
      <c r="Z633" s="18">
        <f>IFERROR((Tabela1[[#This Row],[Média]]-Tabela1[[#This Row],[Meta]])/Tabela1[[#This Row],[Meta]],"")</f>
        <v>4.903846153846066E-3</v>
      </c>
      <c r="AA633" s="19">
        <f>Tabela1[[#This Row],[Média]]-Tabela1[[#This Row],[Meta]]</f>
        <v>10.199999999999818</v>
      </c>
      <c r="AB633" s="6" t="str">
        <f>VLOOKUP(Tabela1[[#This Row],[SKU]],SKU!A:B,2,0)</f>
        <v>COXA SBCX S/O FG 260-280g PB</v>
      </c>
      <c r="AC633" s="6" t="str">
        <f>VLOOKUP(Tabela1[[#This Row],[SKU]],SKU!A:C,3,0)</f>
        <v>PERNA</v>
      </c>
    </row>
    <row r="634" spans="1:29" x14ac:dyDescent="0.3">
      <c r="A634" s="2">
        <f>INT(Tabela1[[#This Row],[Data e Hora2]])</f>
        <v>46277</v>
      </c>
      <c r="B634" s="6" t="str">
        <f>UPPER(TEXT(Tabela1[[#This Row],[Data Corrigida]],"MMM"))</f>
        <v>SET</v>
      </c>
      <c r="C634" t="s">
        <v>1651</v>
      </c>
      <c r="D634" s="2" t="s">
        <v>1652</v>
      </c>
      <c r="E634" s="1" t="s">
        <v>1653</v>
      </c>
      <c r="F634" t="s">
        <v>24</v>
      </c>
      <c r="G634" s="2" t="s">
        <v>1631</v>
      </c>
      <c r="H634" t="s">
        <v>26</v>
      </c>
      <c r="I634" t="s">
        <v>57</v>
      </c>
      <c r="J634" s="6">
        <v>40762</v>
      </c>
      <c r="K634" s="16">
        <v>10040</v>
      </c>
      <c r="L634" s="16">
        <v>10060</v>
      </c>
      <c r="M634" s="16">
        <v>9985</v>
      </c>
      <c r="N634" s="16">
        <v>10120</v>
      </c>
      <c r="O634" s="16">
        <v>10020</v>
      </c>
      <c r="P634" s="16">
        <v>9980</v>
      </c>
      <c r="Q634" s="16">
        <v>10085</v>
      </c>
      <c r="R634" s="16">
        <v>9955</v>
      </c>
      <c r="S634" s="16">
        <v>10100</v>
      </c>
      <c r="T634" s="16">
        <v>9965</v>
      </c>
      <c r="U634" s="15">
        <v>10031</v>
      </c>
      <c r="V634" t="s">
        <v>19</v>
      </c>
      <c r="W634" t="s">
        <v>28</v>
      </c>
      <c r="X634">
        <v>740</v>
      </c>
      <c r="Y634" s="16">
        <f>VLOOKUP(Tabela1[[#This Row],[SKU]],SKU!A:D,4,0)</f>
        <v>10000</v>
      </c>
      <c r="Z634" s="18">
        <f>IFERROR((Tabela1[[#This Row],[Média]]-Tabela1[[#This Row],[Meta]])/Tabela1[[#This Row],[Meta]],"")</f>
        <v>3.0999999999999999E-3</v>
      </c>
      <c r="AA634" s="19">
        <f>Tabela1[[#This Row],[Média]]-Tabela1[[#This Row],[Meta]]</f>
        <v>31</v>
      </c>
      <c r="AB634" s="6" t="str">
        <f>VLOOKUP(Tabela1[[#This Row],[SKU]],SKU!A:B,2,0)</f>
        <v>COXA SBCX LQ FG LP</v>
      </c>
      <c r="AC634" s="6" t="str">
        <f>VLOOKUP(Tabela1[[#This Row],[SKU]],SKU!A:C,3,0)</f>
        <v>PERNA</v>
      </c>
    </row>
    <row r="635" spans="1:29" x14ac:dyDescent="0.3">
      <c r="A635" s="2">
        <f>INT(Tabela1[[#This Row],[Data e Hora2]])</f>
        <v>46277</v>
      </c>
      <c r="B635" s="6" t="str">
        <f>UPPER(TEXT(Tabela1[[#This Row],[Data Corrigida]],"MMM"))</f>
        <v>SET</v>
      </c>
      <c r="C635" t="s">
        <v>1654</v>
      </c>
      <c r="D635" s="2" t="s">
        <v>1655</v>
      </c>
      <c r="E635" s="1" t="s">
        <v>1656</v>
      </c>
      <c r="F635" t="s">
        <v>24</v>
      </c>
      <c r="G635" s="2" t="s">
        <v>1631</v>
      </c>
      <c r="H635" t="s">
        <v>26</v>
      </c>
      <c r="I635" t="s">
        <v>57</v>
      </c>
      <c r="J635" s="6">
        <v>40762</v>
      </c>
      <c r="K635" s="16">
        <v>10040</v>
      </c>
      <c r="L635" s="16">
        <v>9980</v>
      </c>
      <c r="M635" s="16">
        <v>10120</v>
      </c>
      <c r="N635" s="16">
        <v>10040</v>
      </c>
      <c r="O635" s="16">
        <v>9965</v>
      </c>
      <c r="P635" s="16">
        <v>10095</v>
      </c>
      <c r="Q635" s="16">
        <v>9980</v>
      </c>
      <c r="R635" s="16">
        <v>9945</v>
      </c>
      <c r="S635" s="16">
        <v>10140</v>
      </c>
      <c r="T635" s="16">
        <v>10080</v>
      </c>
      <c r="U635" s="15">
        <v>10039</v>
      </c>
      <c r="V635" t="s">
        <v>19</v>
      </c>
      <c r="W635" t="s">
        <v>28</v>
      </c>
      <c r="X635">
        <v>825</v>
      </c>
      <c r="Y635" s="16">
        <f>VLOOKUP(Tabela1[[#This Row],[SKU]],SKU!A:D,4,0)</f>
        <v>10000</v>
      </c>
      <c r="Z635" s="18">
        <f>IFERROR((Tabela1[[#This Row],[Média]]-Tabela1[[#This Row],[Meta]])/Tabela1[[#This Row],[Meta]],"")</f>
        <v>3.8999999999999998E-3</v>
      </c>
      <c r="AA635" s="19">
        <f>Tabela1[[#This Row],[Média]]-Tabela1[[#This Row],[Meta]]</f>
        <v>39</v>
      </c>
      <c r="AB635" s="6" t="str">
        <f>VLOOKUP(Tabela1[[#This Row],[SKU]],SKU!A:B,2,0)</f>
        <v>COXA SBCX LQ FG LP</v>
      </c>
      <c r="AC635" s="6" t="str">
        <f>VLOOKUP(Tabela1[[#This Row],[SKU]],SKU!A:C,3,0)</f>
        <v>PERNA</v>
      </c>
    </row>
    <row r="636" spans="1:29" x14ac:dyDescent="0.3">
      <c r="A636" s="2">
        <f>INT(Tabela1[[#This Row],[Data e Hora2]])</f>
        <v>46277</v>
      </c>
      <c r="B636" s="6" t="str">
        <f>UPPER(TEXT(Tabela1[[#This Row],[Data Corrigida]],"MMM"))</f>
        <v>SET</v>
      </c>
      <c r="C636" t="s">
        <v>1657</v>
      </c>
      <c r="D636" s="2" t="s">
        <v>1658</v>
      </c>
      <c r="E636" s="1" t="s">
        <v>1659</v>
      </c>
      <c r="F636" t="s">
        <v>24</v>
      </c>
      <c r="G636" s="2" t="s">
        <v>1631</v>
      </c>
      <c r="H636" t="s">
        <v>26</v>
      </c>
      <c r="I636" t="s">
        <v>57</v>
      </c>
      <c r="J636" s="6">
        <v>15229</v>
      </c>
      <c r="K636" s="16">
        <v>1002</v>
      </c>
      <c r="L636" s="16">
        <v>1012</v>
      </c>
      <c r="M636" s="16">
        <v>1005</v>
      </c>
      <c r="N636" s="16">
        <v>999</v>
      </c>
      <c r="O636" s="16">
        <v>1004</v>
      </c>
      <c r="P636" s="16">
        <v>1006</v>
      </c>
      <c r="Q636" s="16">
        <v>994</v>
      </c>
      <c r="R636" s="16">
        <v>1014</v>
      </c>
      <c r="S636" s="16">
        <v>1003</v>
      </c>
      <c r="T636" s="16">
        <v>1005</v>
      </c>
      <c r="U636" s="15">
        <v>1004.4</v>
      </c>
      <c r="V636" t="s">
        <v>19</v>
      </c>
      <c r="W636" t="s">
        <v>28</v>
      </c>
      <c r="X636">
        <v>286</v>
      </c>
      <c r="Y636" s="16">
        <f>VLOOKUP(Tabela1[[#This Row],[SKU]],SKU!A:D,4,0)</f>
        <v>1000</v>
      </c>
      <c r="Z636" s="18">
        <f>IFERROR((Tabela1[[#This Row],[Média]]-Tabela1[[#This Row],[Meta]])/Tabela1[[#This Row],[Meta]],"")</f>
        <v>4.3999999999999768E-3</v>
      </c>
      <c r="AA636" s="19">
        <f>Tabela1[[#This Row],[Média]]-Tabela1[[#This Row],[Meta]]</f>
        <v>4.3999999999999773</v>
      </c>
      <c r="AB636" s="6" t="str">
        <f>VLOOKUP(Tabela1[[#This Row],[SKU]],SKU!A:B,2,0)</f>
        <v>COXA CG BDJ SE</v>
      </c>
      <c r="AC636" s="6" t="str">
        <f>VLOOKUP(Tabela1[[#This Row],[SKU]],SKU!A:C,3,0)</f>
        <v>PERNA</v>
      </c>
    </row>
    <row r="637" spans="1:29" x14ac:dyDescent="0.3">
      <c r="A637" s="2">
        <f>INT(Tabela1[[#This Row],[Data e Hora2]])</f>
        <v>46277</v>
      </c>
      <c r="B637" s="6" t="str">
        <f>UPPER(TEXT(Tabela1[[#This Row],[Data Corrigida]],"MMM"))</f>
        <v>SET</v>
      </c>
      <c r="C637" t="s">
        <v>1660</v>
      </c>
      <c r="D637" s="2" t="s">
        <v>1661</v>
      </c>
      <c r="E637" s="1" t="s">
        <v>1659</v>
      </c>
      <c r="F637" t="s">
        <v>24</v>
      </c>
      <c r="G637" s="2" t="s">
        <v>1631</v>
      </c>
      <c r="H637" t="s">
        <v>26</v>
      </c>
      <c r="I637" t="s">
        <v>57</v>
      </c>
      <c r="J637" s="6">
        <v>15229</v>
      </c>
      <c r="K637" s="16">
        <v>1003</v>
      </c>
      <c r="L637" s="16">
        <v>1005</v>
      </c>
      <c r="M637" s="16">
        <v>1009</v>
      </c>
      <c r="N637" s="16">
        <v>1012</v>
      </c>
      <c r="O637" s="16">
        <v>1007</v>
      </c>
      <c r="P637" s="16">
        <v>995</v>
      </c>
      <c r="Q637" s="16">
        <v>1001</v>
      </c>
      <c r="R637" s="16">
        <v>999</v>
      </c>
      <c r="S637" s="16">
        <v>1011</v>
      </c>
      <c r="T637" s="16">
        <v>1000</v>
      </c>
      <c r="U637" s="15">
        <v>1004.2</v>
      </c>
      <c r="V637" t="s">
        <v>19</v>
      </c>
      <c r="W637" t="s">
        <v>28</v>
      </c>
      <c r="X637">
        <v>432</v>
      </c>
      <c r="Y637" s="16">
        <f>VLOOKUP(Tabela1[[#This Row],[SKU]],SKU!A:D,4,0)</f>
        <v>1000</v>
      </c>
      <c r="Z637" s="18">
        <f>IFERROR((Tabela1[[#This Row],[Média]]-Tabela1[[#This Row],[Meta]])/Tabela1[[#This Row],[Meta]],"")</f>
        <v>4.2000000000000457E-3</v>
      </c>
      <c r="AA637" s="19">
        <f>Tabela1[[#This Row],[Média]]-Tabela1[[#This Row],[Meta]]</f>
        <v>4.2000000000000455</v>
      </c>
      <c r="AB637" s="6" t="str">
        <f>VLOOKUP(Tabela1[[#This Row],[SKU]],SKU!A:B,2,0)</f>
        <v>COXA CG BDJ SE</v>
      </c>
      <c r="AC637" s="6" t="str">
        <f>VLOOKUP(Tabela1[[#This Row],[SKU]],SKU!A:C,3,0)</f>
        <v>PERNA</v>
      </c>
    </row>
    <row r="638" spans="1:29" x14ac:dyDescent="0.3">
      <c r="A638" s="2">
        <f>INT(Tabela1[[#This Row],[Data e Hora2]])</f>
        <v>46277</v>
      </c>
      <c r="B638" s="6" t="str">
        <f>UPPER(TEXT(Tabela1[[#This Row],[Data Corrigida]],"MMM"))</f>
        <v>SET</v>
      </c>
      <c r="C638" t="s">
        <v>1662</v>
      </c>
      <c r="D638" s="2" t="s">
        <v>1663</v>
      </c>
      <c r="E638" s="1" t="s">
        <v>1659</v>
      </c>
      <c r="F638" t="s">
        <v>24</v>
      </c>
      <c r="G638" s="2" t="s">
        <v>1631</v>
      </c>
      <c r="H638" t="s">
        <v>26</v>
      </c>
      <c r="I638" t="s">
        <v>57</v>
      </c>
      <c r="J638" s="6">
        <v>13188</v>
      </c>
      <c r="K638" s="16">
        <v>1002</v>
      </c>
      <c r="L638" s="16">
        <v>1007</v>
      </c>
      <c r="M638" s="16">
        <v>1013</v>
      </c>
      <c r="N638" s="16">
        <v>997</v>
      </c>
      <c r="O638" s="16">
        <v>1006</v>
      </c>
      <c r="P638" s="16">
        <v>994</v>
      </c>
      <c r="Q638" s="16">
        <v>1000</v>
      </c>
      <c r="R638" s="16">
        <v>1001</v>
      </c>
      <c r="S638" s="16">
        <v>997</v>
      </c>
      <c r="T638" s="16">
        <v>999</v>
      </c>
      <c r="U638" s="15">
        <v>1001.6</v>
      </c>
      <c r="V638" t="s">
        <v>19</v>
      </c>
      <c r="W638" t="s">
        <v>28</v>
      </c>
      <c r="X638">
        <v>140</v>
      </c>
      <c r="Y638" s="16">
        <f>VLOOKUP(Tabela1[[#This Row],[SKU]],SKU!A:D,4,0)</f>
        <v>1000</v>
      </c>
      <c r="Z638" s="18">
        <f>IFERROR((Tabela1[[#This Row],[Média]]-Tabela1[[#This Row],[Meta]])/Tabela1[[#This Row],[Meta]],"")</f>
        <v>1.6000000000000228E-3</v>
      </c>
      <c r="AA638" s="19">
        <f>Tabela1[[#This Row],[Média]]-Tabela1[[#This Row],[Meta]]</f>
        <v>1.6000000000000227</v>
      </c>
      <c r="AB638" s="6" t="str">
        <f>VLOOKUP(Tabela1[[#This Row],[SKU]],SKU!A:B,2,0)</f>
        <v>SOBRECOXA CG BDJ SE</v>
      </c>
      <c r="AC638" s="6" t="str">
        <f>VLOOKUP(Tabela1[[#This Row],[SKU]],SKU!A:C,3,0)</f>
        <v>PERNA</v>
      </c>
    </row>
    <row r="639" spans="1:29" x14ac:dyDescent="0.3">
      <c r="A639" s="2">
        <f>INT(Tabela1[[#This Row],[Data e Hora2]])</f>
        <v>46277</v>
      </c>
      <c r="B639" s="6" t="str">
        <f>UPPER(TEXT(Tabela1[[#This Row],[Data Corrigida]],"MMM"))</f>
        <v>SET</v>
      </c>
      <c r="C639" t="s">
        <v>1664</v>
      </c>
      <c r="D639" s="2" t="s">
        <v>1665</v>
      </c>
      <c r="E639" s="1" t="s">
        <v>1659</v>
      </c>
      <c r="F639" t="s">
        <v>24</v>
      </c>
      <c r="G639" s="2" t="s">
        <v>1631</v>
      </c>
      <c r="H639" t="s">
        <v>26</v>
      </c>
      <c r="I639" t="s">
        <v>57</v>
      </c>
      <c r="J639" s="6">
        <v>13188</v>
      </c>
      <c r="K639" s="16">
        <v>997</v>
      </c>
      <c r="L639" s="16">
        <v>1004</v>
      </c>
      <c r="M639" s="16">
        <v>994</v>
      </c>
      <c r="N639" s="16">
        <v>1008</v>
      </c>
      <c r="O639" s="16">
        <v>1010</v>
      </c>
      <c r="P639" s="16">
        <v>1005</v>
      </c>
      <c r="Q639" s="16">
        <v>1002</v>
      </c>
      <c r="R639" s="16">
        <v>999</v>
      </c>
      <c r="S639" s="16">
        <v>1011</v>
      </c>
      <c r="T639" s="16">
        <v>1011</v>
      </c>
      <c r="U639" s="15">
        <v>1004.1</v>
      </c>
      <c r="V639" t="s">
        <v>19</v>
      </c>
      <c r="W639" t="s">
        <v>28</v>
      </c>
      <c r="X639">
        <v>239</v>
      </c>
      <c r="Y639" s="16">
        <f>VLOOKUP(Tabela1[[#This Row],[SKU]],SKU!A:D,4,0)</f>
        <v>1000</v>
      </c>
      <c r="Z639" s="18">
        <f>IFERROR((Tabela1[[#This Row],[Média]]-Tabela1[[#This Row],[Meta]])/Tabela1[[#This Row],[Meta]],"")</f>
        <v>4.1000000000000229E-3</v>
      </c>
      <c r="AA639" s="19">
        <f>Tabela1[[#This Row],[Média]]-Tabela1[[#This Row],[Meta]]</f>
        <v>4.1000000000000227</v>
      </c>
      <c r="AB639" s="6" t="str">
        <f>VLOOKUP(Tabela1[[#This Row],[SKU]],SKU!A:B,2,0)</f>
        <v>SOBRECOXA CG BDJ SE</v>
      </c>
      <c r="AC639" s="6" t="str">
        <f>VLOOKUP(Tabela1[[#This Row],[SKU]],SKU!A:C,3,0)</f>
        <v>PERNA</v>
      </c>
    </row>
    <row r="640" spans="1:29" x14ac:dyDescent="0.3">
      <c r="A640" s="2">
        <f>INT(Tabela1[[#This Row],[Data e Hora2]])</f>
        <v>46277</v>
      </c>
      <c r="B640" s="6" t="str">
        <f>UPPER(TEXT(Tabela1[[#This Row],[Data Corrigida]],"MMM"))</f>
        <v>SET</v>
      </c>
      <c r="C640" t="s">
        <v>1666</v>
      </c>
      <c r="D640" s="2" t="s">
        <v>1667</v>
      </c>
      <c r="E640" s="1" t="s">
        <v>1668</v>
      </c>
      <c r="F640" t="s">
        <v>24</v>
      </c>
      <c r="G640" s="2" t="s">
        <v>1631</v>
      </c>
      <c r="H640" t="s">
        <v>26</v>
      </c>
      <c r="I640" t="s">
        <v>57</v>
      </c>
      <c r="J640" s="6">
        <v>15105</v>
      </c>
      <c r="K640" s="16">
        <v>991</v>
      </c>
      <c r="L640" s="16">
        <v>1016</v>
      </c>
      <c r="M640" s="16">
        <v>1017</v>
      </c>
      <c r="N640" s="16">
        <v>993</v>
      </c>
      <c r="O640" s="16">
        <v>988</v>
      </c>
      <c r="P640" s="16">
        <v>1019</v>
      </c>
      <c r="Q640" s="16">
        <v>1003</v>
      </c>
      <c r="R640" s="16">
        <v>1012</v>
      </c>
      <c r="S640" s="16">
        <v>1037</v>
      </c>
      <c r="T640" s="16">
        <v>974</v>
      </c>
      <c r="U640" s="15">
        <v>1005</v>
      </c>
      <c r="V640" t="s">
        <v>19</v>
      </c>
      <c r="W640" t="s">
        <v>28</v>
      </c>
      <c r="X640">
        <v>207</v>
      </c>
      <c r="Y640" s="16">
        <f>VLOOKUP(Tabela1[[#This Row],[SKU]],SKU!A:D,4,0)</f>
        <v>1000</v>
      </c>
      <c r="Z640" s="18">
        <f>IFERROR((Tabela1[[#This Row],[Média]]-Tabela1[[#This Row],[Meta]])/Tabela1[[#This Row],[Meta]],"")</f>
        <v>5.0000000000000001E-3</v>
      </c>
      <c r="AA640" s="19">
        <f>Tabela1[[#This Row],[Média]]-Tabela1[[#This Row],[Meta]]</f>
        <v>5</v>
      </c>
      <c r="AB640" s="6" t="str">
        <f>VLOOKUP(Tabela1[[#This Row],[SKU]],SKU!A:B,2,0)</f>
        <v>FILE PEITO MET CG BDJ SE</v>
      </c>
      <c r="AC640" s="6" t="str">
        <f>VLOOKUP(Tabela1[[#This Row],[SKU]],SKU!A:C,3,0)</f>
        <v>PEITO</v>
      </c>
    </row>
    <row r="641" spans="1:29" x14ac:dyDescent="0.3">
      <c r="A641" s="2">
        <f>INT(Tabela1[[#This Row],[Data e Hora2]])</f>
        <v>46277</v>
      </c>
      <c r="B641" s="6" t="str">
        <f>UPPER(TEXT(Tabela1[[#This Row],[Data Corrigida]],"MMM"))</f>
        <v>SET</v>
      </c>
      <c r="C641" t="s">
        <v>1669</v>
      </c>
      <c r="D641" s="2" t="s">
        <v>1670</v>
      </c>
      <c r="E641" s="1" t="s">
        <v>1668</v>
      </c>
      <c r="F641" t="s">
        <v>24</v>
      </c>
      <c r="G641" s="2" t="s">
        <v>1631</v>
      </c>
      <c r="H641" t="s">
        <v>26</v>
      </c>
      <c r="I641" t="s">
        <v>57</v>
      </c>
      <c r="J641" s="6">
        <v>15105</v>
      </c>
      <c r="K641" s="16">
        <v>964</v>
      </c>
      <c r="L641" s="16">
        <v>1046</v>
      </c>
      <c r="M641" s="16">
        <v>993</v>
      </c>
      <c r="N641" s="16">
        <v>1024</v>
      </c>
      <c r="O641" s="16">
        <v>1019</v>
      </c>
      <c r="P641" s="16">
        <v>1006</v>
      </c>
      <c r="Q641" s="16">
        <v>873</v>
      </c>
      <c r="R641" s="16">
        <v>1021</v>
      </c>
      <c r="S641" s="16">
        <v>1019</v>
      </c>
      <c r="T641" s="16">
        <v>1010</v>
      </c>
      <c r="U641" s="15">
        <v>997.5</v>
      </c>
      <c r="V641" t="s">
        <v>19</v>
      </c>
      <c r="W641" t="s">
        <v>28</v>
      </c>
      <c r="X641">
        <v>201</v>
      </c>
      <c r="Y641" s="16">
        <f>VLOOKUP(Tabela1[[#This Row],[SKU]],SKU!A:D,4,0)</f>
        <v>1000</v>
      </c>
      <c r="Z641" s="18">
        <f>IFERROR((Tabela1[[#This Row],[Média]]-Tabela1[[#This Row],[Meta]])/Tabela1[[#This Row],[Meta]],"")</f>
        <v>-2.5000000000000001E-3</v>
      </c>
      <c r="AA641" s="19">
        <f>Tabela1[[#This Row],[Média]]-Tabela1[[#This Row],[Meta]]</f>
        <v>-2.5</v>
      </c>
      <c r="AB641" s="6" t="str">
        <f>VLOOKUP(Tabela1[[#This Row],[SKU]],SKU!A:B,2,0)</f>
        <v>FILE PEITO MET CG BDJ SE</v>
      </c>
      <c r="AC641" s="6" t="str">
        <f>VLOOKUP(Tabela1[[#This Row],[SKU]],SKU!A:C,3,0)</f>
        <v>PEITO</v>
      </c>
    </row>
    <row r="642" spans="1:29" x14ac:dyDescent="0.3">
      <c r="A642" s="2">
        <f>INT(Tabela1[[#This Row],[Data e Hora2]])</f>
        <v>46276</v>
      </c>
      <c r="B642" s="6" t="str">
        <f>UPPER(TEXT(Tabela1[[#This Row],[Data Corrigida]],"MMM"))</f>
        <v>SET</v>
      </c>
      <c r="C642" t="s">
        <v>1671</v>
      </c>
      <c r="D642" s="2" t="s">
        <v>1672</v>
      </c>
      <c r="E642" s="1" t="s">
        <v>1673</v>
      </c>
      <c r="F642" t="s">
        <v>24</v>
      </c>
      <c r="G642" s="2" t="s">
        <v>1674</v>
      </c>
      <c r="H642" t="s">
        <v>26</v>
      </c>
      <c r="I642" t="s">
        <v>27</v>
      </c>
      <c r="J642" s="6">
        <v>42820</v>
      </c>
      <c r="K642" s="16">
        <v>2023</v>
      </c>
      <c r="L642" s="16">
        <v>2051</v>
      </c>
      <c r="M642" s="16">
        <v>2032</v>
      </c>
      <c r="N642" s="16">
        <v>2036</v>
      </c>
      <c r="O642" s="16">
        <v>2016</v>
      </c>
      <c r="P642" s="16">
        <v>2034</v>
      </c>
      <c r="Q642" s="16">
        <v>2026</v>
      </c>
      <c r="R642" s="16">
        <v>2020</v>
      </c>
      <c r="S642" s="16">
        <v>2029</v>
      </c>
      <c r="T642" s="16">
        <v>2035</v>
      </c>
      <c r="U642" s="15">
        <v>2030.2</v>
      </c>
      <c r="V642" t="s">
        <v>19</v>
      </c>
      <c r="W642" t="s">
        <v>28</v>
      </c>
      <c r="X642">
        <v>999</v>
      </c>
      <c r="Y642" s="16">
        <f>VLOOKUP(Tabela1[[#This Row],[SKU]],SKU!A:D,4,0)</f>
        <v>2000</v>
      </c>
      <c r="Z642" s="18">
        <f>IFERROR((Tabela1[[#This Row],[Média]]-Tabela1[[#This Row],[Meta]])/Tabela1[[#This Row],[Meta]],"")</f>
        <v>1.5100000000000023E-2</v>
      </c>
      <c r="AA642" s="19">
        <f>Tabela1[[#This Row],[Média]]-Tabela1[[#This Row],[Meta]]</f>
        <v>30.200000000000045</v>
      </c>
      <c r="AB642" s="6" t="str">
        <f>VLOOKUP(Tabela1[[#This Row],[SKU]],SKU!A:B,2,0)</f>
        <v>COXA SBCX S/O FG 200-220g PB</v>
      </c>
      <c r="AC642" s="6" t="str">
        <f>VLOOKUP(Tabela1[[#This Row],[SKU]],SKU!A:C,3,0)</f>
        <v>PERNA</v>
      </c>
    </row>
    <row r="643" spans="1:29" x14ac:dyDescent="0.3">
      <c r="A643" s="2">
        <f>INT(Tabela1[[#This Row],[Data e Hora2]])</f>
        <v>46276</v>
      </c>
      <c r="B643" s="6" t="str">
        <f>UPPER(TEXT(Tabela1[[#This Row],[Data Corrigida]],"MMM"))</f>
        <v>SET</v>
      </c>
      <c r="C643" t="s">
        <v>1675</v>
      </c>
      <c r="D643" s="2" t="s">
        <v>1676</v>
      </c>
      <c r="E643" s="1" t="s">
        <v>1673</v>
      </c>
      <c r="F643" t="s">
        <v>24</v>
      </c>
      <c r="G643" s="2" t="s">
        <v>1674</v>
      </c>
      <c r="H643" t="s">
        <v>26</v>
      </c>
      <c r="I643" t="s">
        <v>27</v>
      </c>
      <c r="J643" s="6">
        <v>42846</v>
      </c>
      <c r="K643" s="16">
        <v>2012</v>
      </c>
      <c r="L643" s="16">
        <v>2003</v>
      </c>
      <c r="M643" s="16">
        <v>2013</v>
      </c>
      <c r="N643" s="16">
        <v>2006</v>
      </c>
      <c r="O643" s="16">
        <v>2017</v>
      </c>
      <c r="P643" s="16">
        <v>2017</v>
      </c>
      <c r="Q643" s="16">
        <v>2013</v>
      </c>
      <c r="R643" s="16">
        <v>2016</v>
      </c>
      <c r="S643" s="16">
        <v>2014</v>
      </c>
      <c r="T643" s="16">
        <v>2009</v>
      </c>
      <c r="U643" s="15">
        <v>2012</v>
      </c>
      <c r="V643" t="s">
        <v>19</v>
      </c>
      <c r="W643" t="s">
        <v>28</v>
      </c>
      <c r="X643">
        <v>2500</v>
      </c>
      <c r="Y643" s="16">
        <f>VLOOKUP(Tabela1[[#This Row],[SKU]],SKU!A:D,4,0)</f>
        <v>2000</v>
      </c>
      <c r="Z643" s="18">
        <f>IFERROR((Tabela1[[#This Row],[Média]]-Tabela1[[#This Row],[Meta]])/Tabela1[[#This Row],[Meta]],"")</f>
        <v>6.0000000000000001E-3</v>
      </c>
      <c r="AA643" s="19">
        <f>Tabela1[[#This Row],[Média]]-Tabela1[[#This Row],[Meta]]</f>
        <v>12</v>
      </c>
      <c r="AB643" s="6" t="str">
        <f>VLOOKUP(Tabela1[[#This Row],[SKU]],SKU!A:B,2,0)</f>
        <v>COXA SBCX S/O FG 240-260g PB</v>
      </c>
      <c r="AC643" s="6" t="str">
        <f>VLOOKUP(Tabela1[[#This Row],[SKU]],SKU!A:C,3,0)</f>
        <v>PERNA</v>
      </c>
    </row>
    <row r="644" spans="1:29" x14ac:dyDescent="0.3">
      <c r="A644" s="2">
        <f>INT(Tabela1[[#This Row],[Data e Hora2]])</f>
        <v>46276</v>
      </c>
      <c r="B644" s="6" t="str">
        <f>UPPER(TEXT(Tabela1[[#This Row],[Data Corrigida]],"MMM"))</f>
        <v>SET</v>
      </c>
      <c r="C644" t="s">
        <v>1677</v>
      </c>
      <c r="D644" s="2" t="s">
        <v>1678</v>
      </c>
      <c r="E644" s="1" t="s">
        <v>1673</v>
      </c>
      <c r="F644" t="s">
        <v>24</v>
      </c>
      <c r="G644" s="2" t="s">
        <v>1674</v>
      </c>
      <c r="H644" t="s">
        <v>26</v>
      </c>
      <c r="I644" t="s">
        <v>27</v>
      </c>
      <c r="J644" s="6">
        <v>42862</v>
      </c>
      <c r="K644" s="16">
        <v>1999</v>
      </c>
      <c r="L644" s="16">
        <v>1999</v>
      </c>
      <c r="M644" s="16">
        <v>1995</v>
      </c>
      <c r="N644" s="16">
        <v>2035</v>
      </c>
      <c r="O644" s="16">
        <v>2010</v>
      </c>
      <c r="P644" s="16">
        <v>2009</v>
      </c>
      <c r="Q644" s="16">
        <v>2007</v>
      </c>
      <c r="R644" s="16">
        <v>2021</v>
      </c>
      <c r="S644" s="16">
        <v>2008</v>
      </c>
      <c r="T644" s="16">
        <v>1999</v>
      </c>
      <c r="U644" s="15">
        <v>2008.2</v>
      </c>
      <c r="V644" t="s">
        <v>19</v>
      </c>
      <c r="W644" t="s">
        <v>28</v>
      </c>
      <c r="X644">
        <v>578</v>
      </c>
      <c r="Y644" s="16">
        <f>VLOOKUP(Tabela1[[#This Row],[SKU]],SKU!A:D,4,0)</f>
        <v>2000</v>
      </c>
      <c r="Z644" s="18">
        <f>IFERROR((Tabela1[[#This Row],[Média]]-Tabela1[[#This Row],[Meta]])/Tabela1[[#This Row],[Meta]],"")</f>
        <v>4.1000000000000229E-3</v>
      </c>
      <c r="AA644" s="19">
        <f>Tabela1[[#This Row],[Média]]-Tabela1[[#This Row],[Meta]]</f>
        <v>8.2000000000000455</v>
      </c>
      <c r="AB644" s="6" t="str">
        <f>VLOOKUP(Tabela1[[#This Row],[SKU]],SKU!A:B,2,0)</f>
        <v>COXA SBCX S/O FG 280-300g PB</v>
      </c>
      <c r="AC644" s="6" t="str">
        <f>VLOOKUP(Tabela1[[#This Row],[SKU]],SKU!A:C,3,0)</f>
        <v>PERNA</v>
      </c>
    </row>
    <row r="645" spans="1:29" x14ac:dyDescent="0.3">
      <c r="A645" s="2">
        <f>INT(Tabela1[[#This Row],[Data e Hora2]])</f>
        <v>46276</v>
      </c>
      <c r="B645" s="6" t="str">
        <f>UPPER(TEXT(Tabela1[[#This Row],[Data Corrigida]],"MMM"))</f>
        <v>SET</v>
      </c>
      <c r="C645" t="s">
        <v>1679</v>
      </c>
      <c r="D645" s="2" t="s">
        <v>1680</v>
      </c>
      <c r="E645" s="1" t="s">
        <v>1673</v>
      </c>
      <c r="F645" t="s">
        <v>24</v>
      </c>
      <c r="G645" s="2" t="s">
        <v>1674</v>
      </c>
      <c r="H645" t="s">
        <v>26</v>
      </c>
      <c r="I645" t="s">
        <v>27</v>
      </c>
      <c r="J645" s="6">
        <v>864048</v>
      </c>
      <c r="K645" s="16">
        <v>2058</v>
      </c>
      <c r="L645" s="16">
        <v>2021</v>
      </c>
      <c r="M645" s="16">
        <v>2094</v>
      </c>
      <c r="N645" s="16">
        <v>2077</v>
      </c>
      <c r="O645" s="16">
        <v>1987</v>
      </c>
      <c r="P645" s="16">
        <v>2020</v>
      </c>
      <c r="Q645" s="16">
        <v>2017</v>
      </c>
      <c r="R645" s="16">
        <v>2006</v>
      </c>
      <c r="S645" s="16">
        <v>2065</v>
      </c>
      <c r="T645" s="16">
        <v>2021</v>
      </c>
      <c r="U645" s="15">
        <v>2036.6</v>
      </c>
      <c r="V645" t="s">
        <v>19</v>
      </c>
      <c r="W645" t="s">
        <v>19</v>
      </c>
      <c r="X645">
        <v>477</v>
      </c>
      <c r="Y645" s="16">
        <f>VLOOKUP(Tabela1[[#This Row],[SKU]],SKU!A:D,4,0)</f>
        <v>2000</v>
      </c>
      <c r="Z645" s="18">
        <f>IFERROR((Tabela1[[#This Row],[Média]]-Tabela1[[#This Row],[Meta]])/Tabela1[[#This Row],[Meta]],"")</f>
        <v>1.8299999999999955E-2</v>
      </c>
      <c r="AA645" s="19">
        <f>Tabela1[[#This Row],[Média]]-Tabela1[[#This Row],[Meta]]</f>
        <v>36.599999999999909</v>
      </c>
      <c r="AB645" s="6" t="str">
        <f>VLOOKUP(Tabela1[[#This Row],[SKU]],SKU!A:B,2,0)</f>
        <v>COXA SBCX S/O 200g FG UP PB</v>
      </c>
      <c r="AC645" s="6" t="str">
        <f>VLOOKUP(Tabela1[[#This Row],[SKU]],SKU!A:C,3,0)</f>
        <v>PERNA</v>
      </c>
    </row>
    <row r="646" spans="1:29" x14ac:dyDescent="0.3">
      <c r="A646" s="2">
        <f>INT(Tabela1[[#This Row],[Data e Hora2]])</f>
        <v>46276</v>
      </c>
      <c r="B646" s="6" t="str">
        <f>UPPER(TEXT(Tabela1[[#This Row],[Data Corrigida]],"MMM"))</f>
        <v>SET</v>
      </c>
      <c r="C646" t="s">
        <v>1681</v>
      </c>
      <c r="D646" s="2" t="s">
        <v>1682</v>
      </c>
      <c r="E646" s="1" t="s">
        <v>1673</v>
      </c>
      <c r="F646" t="s">
        <v>24</v>
      </c>
      <c r="G646" s="2" t="s">
        <v>1674</v>
      </c>
      <c r="H646" t="s">
        <v>26</v>
      </c>
      <c r="I646" t="s">
        <v>27</v>
      </c>
      <c r="J646" s="6">
        <v>40762</v>
      </c>
      <c r="K646" s="16">
        <v>10055</v>
      </c>
      <c r="L646" s="16">
        <v>9940</v>
      </c>
      <c r="M646" s="16">
        <v>9925</v>
      </c>
      <c r="N646" s="16">
        <v>10010</v>
      </c>
      <c r="O646" s="16">
        <v>10000</v>
      </c>
      <c r="P646" s="16">
        <v>10040</v>
      </c>
      <c r="Q646" s="16">
        <v>9990</v>
      </c>
      <c r="R646" s="16">
        <v>10060</v>
      </c>
      <c r="S646" s="16">
        <v>10065</v>
      </c>
      <c r="T646" s="16">
        <v>10070</v>
      </c>
      <c r="U646" s="15">
        <v>10015.5</v>
      </c>
      <c r="V646" t="s">
        <v>19</v>
      </c>
      <c r="W646" t="s">
        <v>28</v>
      </c>
      <c r="X646">
        <v>487</v>
      </c>
      <c r="Y646" s="16">
        <f>VLOOKUP(Tabela1[[#This Row],[SKU]],SKU!A:D,4,0)</f>
        <v>10000</v>
      </c>
      <c r="Z646" s="18">
        <f>IFERROR((Tabela1[[#This Row],[Média]]-Tabela1[[#This Row],[Meta]])/Tabela1[[#This Row],[Meta]],"")</f>
        <v>1.5499999999999999E-3</v>
      </c>
      <c r="AA646" s="19">
        <f>Tabela1[[#This Row],[Média]]-Tabela1[[#This Row],[Meta]]</f>
        <v>15.5</v>
      </c>
      <c r="AB646" s="6" t="str">
        <f>VLOOKUP(Tabela1[[#This Row],[SKU]],SKU!A:B,2,0)</f>
        <v>COXA SBCX LQ FG LP</v>
      </c>
      <c r="AC646" s="6" t="str">
        <f>VLOOKUP(Tabela1[[#This Row],[SKU]],SKU!A:C,3,0)</f>
        <v>PERNA</v>
      </c>
    </row>
    <row r="647" spans="1:29" x14ac:dyDescent="0.3">
      <c r="A647" s="2">
        <f>INT(Tabela1[[#This Row],[Data e Hora2]])</f>
        <v>46276</v>
      </c>
      <c r="B647" s="6" t="str">
        <f>UPPER(TEXT(Tabela1[[#This Row],[Data Corrigida]],"MMM"))</f>
        <v>SET</v>
      </c>
      <c r="C647" t="s">
        <v>1683</v>
      </c>
      <c r="D647" s="2" t="s">
        <v>1684</v>
      </c>
      <c r="E647" s="1" t="s">
        <v>1673</v>
      </c>
      <c r="F647" t="s">
        <v>24</v>
      </c>
      <c r="G647" s="2" t="s">
        <v>1674</v>
      </c>
      <c r="H647" t="s">
        <v>26</v>
      </c>
      <c r="I647" t="s">
        <v>27</v>
      </c>
      <c r="J647" s="6">
        <v>15849</v>
      </c>
      <c r="K647" s="16">
        <v>1000</v>
      </c>
      <c r="L647" s="16">
        <v>1005</v>
      </c>
      <c r="M647" s="16">
        <v>1008</v>
      </c>
      <c r="N647" s="16">
        <v>1005</v>
      </c>
      <c r="O647" s="16">
        <v>1011</v>
      </c>
      <c r="P647" s="16">
        <v>1007</v>
      </c>
      <c r="Q647" s="16">
        <v>1006</v>
      </c>
      <c r="R647" s="16">
        <v>1002</v>
      </c>
      <c r="S647" s="16">
        <v>1003</v>
      </c>
      <c r="T647" s="16">
        <v>1005</v>
      </c>
      <c r="U647" s="15">
        <v>1005.2</v>
      </c>
      <c r="V647" t="s">
        <v>19</v>
      </c>
      <c r="W647" t="s">
        <v>28</v>
      </c>
      <c r="X647">
        <v>230</v>
      </c>
      <c r="Y647" s="16">
        <f>VLOOKUP(Tabela1[[#This Row],[SKU]],SKU!A:D,4,0)</f>
        <v>1000</v>
      </c>
      <c r="Z647" s="18">
        <f>IFERROR((Tabela1[[#This Row],[Média]]-Tabela1[[#This Row],[Meta]])/Tabela1[[#This Row],[Meta]],"")</f>
        <v>5.2000000000000457E-3</v>
      </c>
      <c r="AA647" s="19">
        <f>Tabela1[[#This Row],[Média]]-Tabela1[[#This Row],[Meta]]</f>
        <v>5.2000000000000455</v>
      </c>
      <c r="AB647" s="6" t="str">
        <f>VLOOKUP(Tabela1[[#This Row],[SKU]],SKU!A:B,2,0)</f>
        <v>FILEZINHO PEITO CG BDJ SE</v>
      </c>
      <c r="AC647" s="6" t="str">
        <f>VLOOKUP(Tabela1[[#This Row],[SKU]],SKU!A:C,3,0)</f>
        <v>SASSAMI</v>
      </c>
    </row>
    <row r="648" spans="1:29" x14ac:dyDescent="0.3">
      <c r="A648" s="2">
        <f>INT(Tabela1[[#This Row],[Data e Hora2]])</f>
        <v>46276</v>
      </c>
      <c r="B648" s="6" t="str">
        <f>UPPER(TEXT(Tabela1[[#This Row],[Data Corrigida]],"MMM"))</f>
        <v>SET</v>
      </c>
      <c r="C648" t="s">
        <v>1685</v>
      </c>
      <c r="D648" s="2" t="s">
        <v>1686</v>
      </c>
      <c r="E648" s="1" t="s">
        <v>1673</v>
      </c>
      <c r="F648" t="s">
        <v>24</v>
      </c>
      <c r="G648" s="2" t="s">
        <v>1674</v>
      </c>
      <c r="H648" t="s">
        <v>26</v>
      </c>
      <c r="I648" t="s">
        <v>27</v>
      </c>
      <c r="J648" s="6">
        <v>15229</v>
      </c>
      <c r="K648" s="16">
        <v>1006</v>
      </c>
      <c r="L648" s="16">
        <v>1007</v>
      </c>
      <c r="M648" s="16">
        <v>1003</v>
      </c>
      <c r="N648" s="16">
        <v>1004</v>
      </c>
      <c r="O648" s="16">
        <v>996</v>
      </c>
      <c r="P648" s="16">
        <v>996</v>
      </c>
      <c r="Q648" s="16">
        <v>1001</v>
      </c>
      <c r="R648" s="16">
        <v>1004</v>
      </c>
      <c r="S648" s="16">
        <v>1013</v>
      </c>
      <c r="T648" s="16">
        <v>1019</v>
      </c>
      <c r="U648" s="15">
        <v>1004.9</v>
      </c>
      <c r="V648" t="s">
        <v>19</v>
      </c>
      <c r="W648" t="s">
        <v>19</v>
      </c>
      <c r="X648">
        <v>2327</v>
      </c>
      <c r="Y648" s="16">
        <f>VLOOKUP(Tabela1[[#This Row],[SKU]],SKU!A:D,4,0)</f>
        <v>1000</v>
      </c>
      <c r="Z648" s="18">
        <f>IFERROR((Tabela1[[#This Row],[Média]]-Tabela1[[#This Row],[Meta]])/Tabela1[[#This Row],[Meta]],"")</f>
        <v>4.8999999999999773E-3</v>
      </c>
      <c r="AA648" s="19">
        <f>Tabela1[[#This Row],[Média]]-Tabela1[[#This Row],[Meta]]</f>
        <v>4.8999999999999773</v>
      </c>
      <c r="AB648" s="6" t="str">
        <f>VLOOKUP(Tabela1[[#This Row],[SKU]],SKU!A:B,2,0)</f>
        <v>COXA CG BDJ SE</v>
      </c>
      <c r="AC648" s="6" t="str">
        <f>VLOOKUP(Tabela1[[#This Row],[SKU]],SKU!A:C,3,0)</f>
        <v>PERNA</v>
      </c>
    </row>
    <row r="649" spans="1:29" x14ac:dyDescent="0.3">
      <c r="A649" s="2">
        <f>INT(Tabela1[[#This Row],[Data e Hora2]])</f>
        <v>46276</v>
      </c>
      <c r="B649" s="6" t="str">
        <f>UPPER(TEXT(Tabela1[[#This Row],[Data Corrigida]],"MMM"))</f>
        <v>SET</v>
      </c>
      <c r="C649" t="s">
        <v>1687</v>
      </c>
      <c r="D649" s="2" t="s">
        <v>1688</v>
      </c>
      <c r="E649" s="1" t="s">
        <v>1673</v>
      </c>
      <c r="F649" t="s">
        <v>24</v>
      </c>
      <c r="G649" s="2" t="s">
        <v>1674</v>
      </c>
      <c r="H649" t="s">
        <v>26</v>
      </c>
      <c r="I649" t="s">
        <v>27</v>
      </c>
      <c r="J649" s="6">
        <v>13188</v>
      </c>
      <c r="K649" s="16">
        <v>1020</v>
      </c>
      <c r="L649" s="16">
        <v>1019</v>
      </c>
      <c r="M649" s="16">
        <v>1011</v>
      </c>
      <c r="N649" s="16">
        <v>1020</v>
      </c>
      <c r="O649" s="16">
        <v>1017</v>
      </c>
      <c r="P649" s="16">
        <v>1020</v>
      </c>
      <c r="Q649" s="16">
        <v>1020</v>
      </c>
      <c r="R649" s="16">
        <v>1020</v>
      </c>
      <c r="S649" s="16">
        <v>1021</v>
      </c>
      <c r="T649" s="16">
        <v>1025</v>
      </c>
      <c r="U649" s="15">
        <v>1019.3</v>
      </c>
      <c r="V649" t="s">
        <v>19</v>
      </c>
      <c r="W649" t="s">
        <v>28</v>
      </c>
      <c r="X649">
        <v>544</v>
      </c>
      <c r="Y649" s="16">
        <f>VLOOKUP(Tabela1[[#This Row],[SKU]],SKU!A:D,4,0)</f>
        <v>1000</v>
      </c>
      <c r="Z649" s="18">
        <f>IFERROR((Tabela1[[#This Row],[Média]]-Tabela1[[#This Row],[Meta]])/Tabela1[[#This Row],[Meta]],"")</f>
        <v>1.9299999999999956E-2</v>
      </c>
      <c r="AA649" s="19">
        <f>Tabela1[[#This Row],[Média]]-Tabela1[[#This Row],[Meta]]</f>
        <v>19.299999999999955</v>
      </c>
      <c r="AB649" s="6" t="str">
        <f>VLOOKUP(Tabela1[[#This Row],[SKU]],SKU!A:B,2,0)</f>
        <v>SOBRECOXA CG BDJ SE</v>
      </c>
      <c r="AC649" s="6" t="str">
        <f>VLOOKUP(Tabela1[[#This Row],[SKU]],SKU!A:C,3,0)</f>
        <v>PERNA</v>
      </c>
    </row>
    <row r="650" spans="1:29" x14ac:dyDescent="0.3">
      <c r="A650" s="2">
        <f>INT(Tabela1[[#This Row],[Data e Hora2]])</f>
        <v>46276</v>
      </c>
      <c r="B650" s="6" t="str">
        <f>UPPER(TEXT(Tabela1[[#This Row],[Data Corrigida]],"MMM"))</f>
        <v>SET</v>
      </c>
      <c r="C650" t="s">
        <v>1689</v>
      </c>
      <c r="D650" s="2" t="s">
        <v>1690</v>
      </c>
      <c r="E650" s="1" t="s">
        <v>1673</v>
      </c>
      <c r="F650" t="s">
        <v>24</v>
      </c>
      <c r="G650" s="2" t="s">
        <v>1674</v>
      </c>
      <c r="H650" t="s">
        <v>26</v>
      </c>
      <c r="I650" t="s">
        <v>27</v>
      </c>
      <c r="J650" s="6">
        <v>15849</v>
      </c>
      <c r="K650" s="16">
        <v>1004</v>
      </c>
      <c r="L650" s="16">
        <v>1012</v>
      </c>
      <c r="M650" s="16">
        <v>1010</v>
      </c>
      <c r="N650" s="16">
        <v>1008</v>
      </c>
      <c r="O650" s="16">
        <v>1013</v>
      </c>
      <c r="P650" s="16">
        <v>1002</v>
      </c>
      <c r="Q650" s="16">
        <v>1012</v>
      </c>
      <c r="R650" s="16">
        <v>1003</v>
      </c>
      <c r="S650" s="16">
        <v>1009</v>
      </c>
      <c r="T650" s="16">
        <v>1001</v>
      </c>
      <c r="U650" s="15">
        <v>1007.4</v>
      </c>
      <c r="V650" t="s">
        <v>19</v>
      </c>
      <c r="W650" t="s">
        <v>19</v>
      </c>
      <c r="X650">
        <v>243</v>
      </c>
      <c r="Y650" s="16">
        <f>VLOOKUP(Tabela1[[#This Row],[SKU]],SKU!A:D,4,0)</f>
        <v>1000</v>
      </c>
      <c r="Z650" s="18">
        <f>IFERROR((Tabela1[[#This Row],[Média]]-Tabela1[[#This Row],[Meta]])/Tabela1[[#This Row],[Meta]],"")</f>
        <v>7.3999999999999769E-3</v>
      </c>
      <c r="AA650" s="19">
        <f>Tabela1[[#This Row],[Média]]-Tabela1[[#This Row],[Meta]]</f>
        <v>7.3999999999999773</v>
      </c>
      <c r="AB650" s="6" t="str">
        <f>VLOOKUP(Tabela1[[#This Row],[SKU]],SKU!A:B,2,0)</f>
        <v>FILEZINHO PEITO CG BDJ SE</v>
      </c>
      <c r="AC650" s="6" t="str">
        <f>VLOOKUP(Tabela1[[#This Row],[SKU]],SKU!A:C,3,0)</f>
        <v>SASSAMI</v>
      </c>
    </row>
    <row r="651" spans="1:29" x14ac:dyDescent="0.3">
      <c r="A651" s="2">
        <f>INT(Tabela1[[#This Row],[Data e Hora2]])</f>
        <v>46276</v>
      </c>
      <c r="B651" s="6" t="str">
        <f>UPPER(TEXT(Tabela1[[#This Row],[Data Corrigida]],"MMM"))</f>
        <v>SET</v>
      </c>
      <c r="C651" t="s">
        <v>1691</v>
      </c>
      <c r="D651" s="2" t="s">
        <v>1692</v>
      </c>
      <c r="E651" s="1" t="s">
        <v>1673</v>
      </c>
      <c r="F651" t="s">
        <v>24</v>
      </c>
      <c r="G651" s="2" t="s">
        <v>1674</v>
      </c>
      <c r="H651" t="s">
        <v>26</v>
      </c>
      <c r="I651" t="s">
        <v>27</v>
      </c>
      <c r="J651" s="6">
        <v>15105</v>
      </c>
      <c r="K651" s="16">
        <v>1022</v>
      </c>
      <c r="L651" s="16">
        <v>1008</v>
      </c>
      <c r="M651" s="16">
        <v>1030</v>
      </c>
      <c r="N651" s="16">
        <v>1029</v>
      </c>
      <c r="O651" s="16">
        <v>1043</v>
      </c>
      <c r="P651" s="16">
        <v>1016</v>
      </c>
      <c r="Q651" s="16">
        <v>1025</v>
      </c>
      <c r="R651" s="16">
        <v>1024</v>
      </c>
      <c r="S651" s="16">
        <v>1008</v>
      </c>
      <c r="T651" s="16">
        <v>1031</v>
      </c>
      <c r="U651" s="15">
        <v>1023.6</v>
      </c>
      <c r="V651" t="s">
        <v>19</v>
      </c>
      <c r="W651" t="s">
        <v>28</v>
      </c>
      <c r="X651">
        <v>189</v>
      </c>
      <c r="Y651" s="16">
        <f>VLOOKUP(Tabela1[[#This Row],[SKU]],SKU!A:D,4,0)</f>
        <v>1000</v>
      </c>
      <c r="Z651" s="18">
        <f>IFERROR((Tabela1[[#This Row],[Média]]-Tabela1[[#This Row],[Meta]])/Tabela1[[#This Row],[Meta]],"")</f>
        <v>2.3600000000000024E-2</v>
      </c>
      <c r="AA651" s="19">
        <f>Tabela1[[#This Row],[Média]]-Tabela1[[#This Row],[Meta]]</f>
        <v>23.600000000000023</v>
      </c>
      <c r="AB651" s="6" t="str">
        <f>VLOOKUP(Tabela1[[#This Row],[SKU]],SKU!A:B,2,0)</f>
        <v>FILE PEITO MET CG BDJ SE</v>
      </c>
      <c r="AC651" s="6" t="str">
        <f>VLOOKUP(Tabela1[[#This Row],[SKU]],SKU!A:C,3,0)</f>
        <v>PEITO</v>
      </c>
    </row>
    <row r="652" spans="1:29" x14ac:dyDescent="0.3">
      <c r="A652" s="2">
        <f>INT(Tabela1[[#This Row],[Data e Hora2]])</f>
        <v>46276</v>
      </c>
      <c r="B652" s="6" t="str">
        <f>UPPER(TEXT(Tabela1[[#This Row],[Data Corrigida]],"MMM"))</f>
        <v>SET</v>
      </c>
      <c r="C652" t="s">
        <v>1693</v>
      </c>
      <c r="D652" s="2" t="s">
        <v>1694</v>
      </c>
      <c r="E652" s="1" t="s">
        <v>1695</v>
      </c>
      <c r="F652" t="s">
        <v>24</v>
      </c>
      <c r="G652" s="2" t="s">
        <v>1674</v>
      </c>
      <c r="H652" t="s">
        <v>26</v>
      </c>
      <c r="I652" t="s">
        <v>27</v>
      </c>
      <c r="J652" s="6">
        <v>209069</v>
      </c>
      <c r="K652" s="16">
        <v>996</v>
      </c>
      <c r="L652" s="16">
        <v>994</v>
      </c>
      <c r="M652" s="16">
        <v>1010</v>
      </c>
      <c r="N652" s="16">
        <v>1007</v>
      </c>
      <c r="O652" s="16">
        <v>1007</v>
      </c>
      <c r="P652" s="16">
        <v>1049</v>
      </c>
      <c r="Q652" s="16">
        <v>1037</v>
      </c>
      <c r="R652" s="16">
        <v>1004</v>
      </c>
      <c r="S652" s="16">
        <v>993</v>
      </c>
      <c r="T652" s="16">
        <v>1025</v>
      </c>
      <c r="U652" s="15">
        <v>1012.2</v>
      </c>
      <c r="V652" t="s">
        <v>19</v>
      </c>
      <c r="W652" t="s">
        <v>28</v>
      </c>
      <c r="X652">
        <v>167</v>
      </c>
      <c r="Y652" s="16">
        <f>VLOOKUP(Tabela1[[#This Row],[SKU]],SKU!A:D,4,0)</f>
        <v>1000</v>
      </c>
      <c r="Z652" s="18">
        <f>IFERROR((Tabela1[[#This Row],[Média]]-Tabela1[[#This Row],[Meta]])/Tabela1[[#This Row],[Meta]],"")</f>
        <v>1.2200000000000046E-2</v>
      </c>
      <c r="AA652" s="19">
        <f>Tabela1[[#This Row],[Média]]-Tabela1[[#This Row],[Meta]]</f>
        <v>12.200000000000045</v>
      </c>
      <c r="AB652" s="6" t="str">
        <f>VLOOKUP(Tabela1[[#This Row],[SKU]],SKU!A:B,2,0)</f>
        <v>FILE PEITO CG IQF1KG</v>
      </c>
      <c r="AC652" s="6" t="str">
        <f>VLOOKUP(Tabela1[[#This Row],[SKU]],SKU!A:C,3,0)</f>
        <v>PEITO</v>
      </c>
    </row>
    <row r="653" spans="1:29" x14ac:dyDescent="0.3">
      <c r="A653" s="2">
        <f>INT(Tabela1[[#This Row],[Data e Hora2]])</f>
        <v>46276</v>
      </c>
      <c r="B653" s="6" t="str">
        <f>UPPER(TEXT(Tabela1[[#This Row],[Data Corrigida]],"MMM"))</f>
        <v>SET</v>
      </c>
      <c r="C653" t="s">
        <v>1696</v>
      </c>
      <c r="D653" s="2" t="s">
        <v>1697</v>
      </c>
      <c r="E653" s="1" t="s">
        <v>1695</v>
      </c>
      <c r="F653" t="s">
        <v>24</v>
      </c>
      <c r="G653" s="2" t="s">
        <v>1674</v>
      </c>
      <c r="H653" t="s">
        <v>26</v>
      </c>
      <c r="I653" t="s">
        <v>27</v>
      </c>
      <c r="J653" s="6">
        <v>15849</v>
      </c>
      <c r="K653" s="16">
        <v>1010</v>
      </c>
      <c r="L653" s="16">
        <v>993</v>
      </c>
      <c r="M653" s="16">
        <v>1007</v>
      </c>
      <c r="N653" s="16">
        <v>997</v>
      </c>
      <c r="O653" s="16">
        <v>995</v>
      </c>
      <c r="P653" s="16">
        <v>1001</v>
      </c>
      <c r="Q653" s="16">
        <v>990</v>
      </c>
      <c r="R653" s="16">
        <v>1032</v>
      </c>
      <c r="S653" s="16">
        <v>1004</v>
      </c>
      <c r="T653" s="16">
        <v>995</v>
      </c>
      <c r="U653" s="15">
        <v>1002.4</v>
      </c>
      <c r="V653" t="s">
        <v>19</v>
      </c>
      <c r="W653" t="s">
        <v>19</v>
      </c>
      <c r="X653">
        <v>578</v>
      </c>
      <c r="Y653" s="16">
        <f>VLOOKUP(Tabela1[[#This Row],[SKU]],SKU!A:D,4,0)</f>
        <v>1000</v>
      </c>
      <c r="Z653" s="18">
        <f>IFERROR((Tabela1[[#This Row],[Média]]-Tabela1[[#This Row],[Meta]])/Tabela1[[#This Row],[Meta]],"")</f>
        <v>2.3999999999999772E-3</v>
      </c>
      <c r="AA653" s="19">
        <f>Tabela1[[#This Row],[Média]]-Tabela1[[#This Row],[Meta]]</f>
        <v>2.3999999999999773</v>
      </c>
      <c r="AB653" s="6" t="str">
        <f>VLOOKUP(Tabela1[[#This Row],[SKU]],SKU!A:B,2,0)</f>
        <v>FILEZINHO PEITO CG BDJ SE</v>
      </c>
      <c r="AC653" s="6" t="str">
        <f>VLOOKUP(Tabela1[[#This Row],[SKU]],SKU!A:C,3,0)</f>
        <v>SASSAMI</v>
      </c>
    </row>
    <row r="654" spans="1:29" x14ac:dyDescent="0.3">
      <c r="A654" s="2">
        <f>INT(Tabela1[[#This Row],[Data e Hora2]])</f>
        <v>46276</v>
      </c>
      <c r="B654" s="6" t="str">
        <f>UPPER(TEXT(Tabela1[[#This Row],[Data Corrigida]],"MMM"))</f>
        <v>SET</v>
      </c>
      <c r="C654" t="s">
        <v>1698</v>
      </c>
      <c r="D654" s="2" t="s">
        <v>1699</v>
      </c>
      <c r="E654" s="1" t="s">
        <v>1695</v>
      </c>
      <c r="F654" t="s">
        <v>24</v>
      </c>
      <c r="G654" s="2" t="s">
        <v>1674</v>
      </c>
      <c r="H654" t="s">
        <v>26</v>
      </c>
      <c r="I654" t="s">
        <v>27</v>
      </c>
      <c r="J654" s="6">
        <v>992093</v>
      </c>
      <c r="K654" s="16">
        <v>5015</v>
      </c>
      <c r="L654" s="16">
        <v>5005</v>
      </c>
      <c r="M654" s="16">
        <v>5006</v>
      </c>
      <c r="N654" s="16">
        <v>5011</v>
      </c>
      <c r="O654" s="16">
        <v>5005</v>
      </c>
      <c r="P654" s="16">
        <v>5008</v>
      </c>
      <c r="Q654" s="16">
        <v>5006</v>
      </c>
      <c r="R654" s="16">
        <v>5013</v>
      </c>
      <c r="S654" s="16">
        <v>5009</v>
      </c>
      <c r="T654" s="16">
        <v>5008</v>
      </c>
      <c r="U654" s="15">
        <v>5008.6000000000004</v>
      </c>
      <c r="V654" t="s">
        <v>19</v>
      </c>
      <c r="W654" t="s">
        <v>28</v>
      </c>
      <c r="X654">
        <v>463</v>
      </c>
      <c r="Y654" s="16">
        <f>VLOOKUP(Tabela1[[#This Row],[SKU]],SKU!A:D,4,0)</f>
        <v>5000</v>
      </c>
      <c r="Z654" s="18">
        <f>IFERROR((Tabela1[[#This Row],[Média]]-Tabela1[[#This Row],[Meta]])/Tabela1[[#This Row],[Meta]],"")</f>
        <v>1.7200000000000728E-3</v>
      </c>
      <c r="AA654" s="19">
        <f>Tabela1[[#This Row],[Média]]-Tabela1[[#This Row],[Meta]]</f>
        <v>8.6000000000003638</v>
      </c>
      <c r="AB654" s="6" t="str">
        <f>VLOOKUP(Tabela1[[#This Row],[SKU]],SKU!A:B,2,0)</f>
        <v>PONTA ASA FG PB CG</v>
      </c>
      <c r="AC654" s="6" t="str">
        <f>VLOOKUP(Tabela1[[#This Row],[SKU]],SKU!A:C,3,0)</f>
        <v>ASA</v>
      </c>
    </row>
    <row r="655" spans="1:29" x14ac:dyDescent="0.3">
      <c r="A655" s="2">
        <f>INT(Tabela1[[#This Row],[Data e Hora2]])</f>
        <v>46276</v>
      </c>
      <c r="B655" s="6" t="str">
        <f>UPPER(TEXT(Tabela1[[#This Row],[Data Corrigida]],"MMM"))</f>
        <v>SET</v>
      </c>
      <c r="C655" t="s">
        <v>1700</v>
      </c>
      <c r="D655" s="2" t="s">
        <v>1701</v>
      </c>
      <c r="E655" s="1" t="s">
        <v>1695</v>
      </c>
      <c r="F655" t="s">
        <v>24</v>
      </c>
      <c r="G655" s="2" t="s">
        <v>1674</v>
      </c>
      <c r="H655" t="s">
        <v>26</v>
      </c>
      <c r="I655" t="s">
        <v>27</v>
      </c>
      <c r="J655" s="6">
        <v>42862</v>
      </c>
      <c r="K655" s="16">
        <v>2011</v>
      </c>
      <c r="L655" s="16">
        <v>2012</v>
      </c>
      <c r="M655" s="16">
        <v>2009</v>
      </c>
      <c r="N655" s="16">
        <v>2001</v>
      </c>
      <c r="O655" s="16">
        <v>2006</v>
      </c>
      <c r="P655" s="16">
        <v>2006</v>
      </c>
      <c r="Q655" s="16">
        <v>2004</v>
      </c>
      <c r="R655" s="16">
        <v>2022</v>
      </c>
      <c r="S655" s="16">
        <v>2014</v>
      </c>
      <c r="T655" s="16">
        <v>2005</v>
      </c>
      <c r="U655" s="15">
        <v>2009</v>
      </c>
      <c r="V655" t="s">
        <v>19</v>
      </c>
      <c r="W655" t="s">
        <v>19</v>
      </c>
      <c r="X655">
        <v>1606</v>
      </c>
      <c r="Y655" s="16">
        <f>VLOOKUP(Tabela1[[#This Row],[SKU]],SKU!A:D,4,0)</f>
        <v>2000</v>
      </c>
      <c r="Z655" s="18">
        <f>IFERROR((Tabela1[[#This Row],[Média]]-Tabela1[[#This Row],[Meta]])/Tabela1[[#This Row],[Meta]],"")</f>
        <v>4.4999999999999997E-3</v>
      </c>
      <c r="AA655" s="19">
        <f>Tabela1[[#This Row],[Média]]-Tabela1[[#This Row],[Meta]]</f>
        <v>9</v>
      </c>
      <c r="AB655" s="6" t="str">
        <f>VLOOKUP(Tabela1[[#This Row],[SKU]],SKU!A:B,2,0)</f>
        <v>COXA SBCX S/O FG 280-300g PB</v>
      </c>
      <c r="AC655" s="6" t="str">
        <f>VLOOKUP(Tabela1[[#This Row],[SKU]],SKU!A:C,3,0)</f>
        <v>PERNA</v>
      </c>
    </row>
    <row r="656" spans="1:29" x14ac:dyDescent="0.3">
      <c r="A656" s="2">
        <f>INT(Tabela1[[#This Row],[Data e Hora2]])</f>
        <v>46276</v>
      </c>
      <c r="B656" s="6" t="str">
        <f>UPPER(TEXT(Tabela1[[#This Row],[Data Corrigida]],"MMM"))</f>
        <v>SET</v>
      </c>
      <c r="C656" t="s">
        <v>1702</v>
      </c>
      <c r="D656" s="2" t="s">
        <v>1703</v>
      </c>
      <c r="E656" s="1" t="s">
        <v>1695</v>
      </c>
      <c r="F656" t="s">
        <v>24</v>
      </c>
      <c r="G656" s="2" t="s">
        <v>1674</v>
      </c>
      <c r="H656" t="s">
        <v>26</v>
      </c>
      <c r="I656" t="s">
        <v>27</v>
      </c>
      <c r="J656" s="6">
        <v>42846</v>
      </c>
      <c r="K656" s="16">
        <v>2027</v>
      </c>
      <c r="L656" s="16">
        <v>2010</v>
      </c>
      <c r="M656" s="16">
        <v>2013</v>
      </c>
      <c r="N656" s="16">
        <v>2012</v>
      </c>
      <c r="O656" s="16">
        <v>2006</v>
      </c>
      <c r="P656" s="16">
        <v>2017</v>
      </c>
      <c r="Q656" s="16">
        <v>2001</v>
      </c>
      <c r="R656" s="16">
        <v>2000</v>
      </c>
      <c r="S656" s="16">
        <v>1999</v>
      </c>
      <c r="T656" s="16">
        <v>2003</v>
      </c>
      <c r="U656" s="15">
        <v>2008.8</v>
      </c>
      <c r="V656" t="s">
        <v>19</v>
      </c>
      <c r="W656" t="s">
        <v>28</v>
      </c>
      <c r="X656">
        <v>163</v>
      </c>
      <c r="Y656" s="16">
        <f>VLOOKUP(Tabela1[[#This Row],[SKU]],SKU!A:D,4,0)</f>
        <v>2000</v>
      </c>
      <c r="Z656" s="18">
        <f>IFERROR((Tabela1[[#This Row],[Média]]-Tabela1[[#This Row],[Meta]])/Tabela1[[#This Row],[Meta]],"")</f>
        <v>4.3999999999999768E-3</v>
      </c>
      <c r="AA656" s="19">
        <f>Tabela1[[#This Row],[Média]]-Tabela1[[#This Row],[Meta]]</f>
        <v>8.7999999999999545</v>
      </c>
      <c r="AB656" s="6" t="str">
        <f>VLOOKUP(Tabela1[[#This Row],[SKU]],SKU!A:B,2,0)</f>
        <v>COXA SBCX S/O FG 240-260g PB</v>
      </c>
      <c r="AC656" s="6" t="str">
        <f>VLOOKUP(Tabela1[[#This Row],[SKU]],SKU!A:C,3,0)</f>
        <v>PERNA</v>
      </c>
    </row>
    <row r="657" spans="1:29" x14ac:dyDescent="0.3">
      <c r="A657" s="2">
        <f>INT(Tabela1[[#This Row],[Data e Hora2]])</f>
        <v>46276</v>
      </c>
      <c r="B657" s="6" t="str">
        <f>UPPER(TEXT(Tabela1[[#This Row],[Data Corrigida]],"MMM"))</f>
        <v>SET</v>
      </c>
      <c r="C657" t="s">
        <v>1704</v>
      </c>
      <c r="D657" s="2" t="s">
        <v>1705</v>
      </c>
      <c r="E657" s="1" t="s">
        <v>1695</v>
      </c>
      <c r="F657" t="s">
        <v>24</v>
      </c>
      <c r="G657" s="2" t="s">
        <v>1674</v>
      </c>
      <c r="H657" t="s">
        <v>26</v>
      </c>
      <c r="I657" t="s">
        <v>27</v>
      </c>
      <c r="J657" s="6">
        <v>42838</v>
      </c>
      <c r="K657" s="16">
        <v>2020</v>
      </c>
      <c r="L657" s="16">
        <v>2009</v>
      </c>
      <c r="M657" s="16">
        <v>2007</v>
      </c>
      <c r="N657" s="16">
        <v>2037</v>
      </c>
      <c r="O657" s="16">
        <v>2013</v>
      </c>
      <c r="P657" s="16">
        <v>2020</v>
      </c>
      <c r="Q657" s="16">
        <v>2032</v>
      </c>
      <c r="R657" s="16">
        <v>2041</v>
      </c>
      <c r="S657" s="16">
        <v>2002</v>
      </c>
      <c r="T657" s="16">
        <v>2032</v>
      </c>
      <c r="U657" s="15">
        <v>2021.3</v>
      </c>
      <c r="V657" t="s">
        <v>19</v>
      </c>
      <c r="W657" t="s">
        <v>19</v>
      </c>
      <c r="X657">
        <v>104</v>
      </c>
      <c r="Y657" s="16">
        <f>VLOOKUP(Tabela1[[#This Row],[SKU]],SKU!A:D,4,0)</f>
        <v>2000</v>
      </c>
      <c r="Z657" s="18">
        <f>IFERROR((Tabela1[[#This Row],[Média]]-Tabela1[[#This Row],[Meta]])/Tabela1[[#This Row],[Meta]],"")</f>
        <v>1.0649999999999977E-2</v>
      </c>
      <c r="AA657" s="19">
        <f>Tabela1[[#This Row],[Média]]-Tabela1[[#This Row],[Meta]]</f>
        <v>21.299999999999955</v>
      </c>
      <c r="AB657" s="6" t="str">
        <f>VLOOKUP(Tabela1[[#This Row],[SKU]],SKU!A:B,2,0)</f>
        <v>COXA SBCX S/O FG 220-240g PB</v>
      </c>
      <c r="AC657" s="6" t="str">
        <f>VLOOKUP(Tabela1[[#This Row],[SKU]],SKU!A:C,3,0)</f>
        <v>PERNA</v>
      </c>
    </row>
    <row r="658" spans="1:29" x14ac:dyDescent="0.3">
      <c r="A658" s="2">
        <f>INT(Tabela1[[#This Row],[Data e Hora2]])</f>
        <v>46276</v>
      </c>
      <c r="B658" s="6" t="str">
        <f>UPPER(TEXT(Tabela1[[#This Row],[Data Corrigida]],"MMM"))</f>
        <v>SET</v>
      </c>
      <c r="C658" t="s">
        <v>1706</v>
      </c>
      <c r="D658" s="2" t="s">
        <v>1707</v>
      </c>
      <c r="E658" s="1" t="s">
        <v>1695</v>
      </c>
      <c r="F658" t="s">
        <v>24</v>
      </c>
      <c r="G658" s="2" t="s">
        <v>1674</v>
      </c>
      <c r="H658" t="s">
        <v>26</v>
      </c>
      <c r="I658" t="s">
        <v>27</v>
      </c>
      <c r="J658" s="6">
        <v>42854</v>
      </c>
      <c r="K658" s="16">
        <v>2086</v>
      </c>
      <c r="L658" s="16">
        <v>2109</v>
      </c>
      <c r="M658" s="16">
        <v>2121</v>
      </c>
      <c r="N658" s="16">
        <v>2077</v>
      </c>
      <c r="O658" s="16">
        <v>2113</v>
      </c>
      <c r="P658" s="16">
        <v>2098</v>
      </c>
      <c r="Q658" s="16">
        <v>2096</v>
      </c>
      <c r="R658" s="16">
        <v>2114</v>
      </c>
      <c r="S658" s="16">
        <v>2106</v>
      </c>
      <c r="T658" s="16">
        <v>2111</v>
      </c>
      <c r="U658" s="15">
        <v>2103.1</v>
      </c>
      <c r="V658" t="s">
        <v>19</v>
      </c>
      <c r="W658" t="s">
        <v>28</v>
      </c>
      <c r="X658">
        <v>973</v>
      </c>
      <c r="Y658" s="16">
        <f>VLOOKUP(Tabela1[[#This Row],[SKU]],SKU!A:D,4,0)</f>
        <v>2080</v>
      </c>
      <c r="Z658" s="18">
        <f>IFERROR((Tabela1[[#This Row],[Média]]-Tabela1[[#This Row],[Meta]])/Tabela1[[#This Row],[Meta]],"")</f>
        <v>1.1105769230769186E-2</v>
      </c>
      <c r="AA658" s="19">
        <f>Tabela1[[#This Row],[Média]]-Tabela1[[#This Row],[Meta]]</f>
        <v>23.099999999999909</v>
      </c>
      <c r="AB658" s="6" t="str">
        <f>VLOOKUP(Tabela1[[#This Row],[SKU]],SKU!A:B,2,0)</f>
        <v>COXA SBCX S/O FG 260-280g PB</v>
      </c>
      <c r="AC658" s="6" t="str">
        <f>VLOOKUP(Tabela1[[#This Row],[SKU]],SKU!A:C,3,0)</f>
        <v>PERNA</v>
      </c>
    </row>
    <row r="659" spans="1:29" x14ac:dyDescent="0.3">
      <c r="A659" s="2">
        <f>INT(Tabela1[[#This Row],[Data e Hora2]])</f>
        <v>46276</v>
      </c>
      <c r="B659" s="6" t="str">
        <f>UPPER(TEXT(Tabela1[[#This Row],[Data Corrigida]],"MMM"))</f>
        <v>SET</v>
      </c>
      <c r="C659" t="s">
        <v>1708</v>
      </c>
      <c r="D659" s="2" t="s">
        <v>1709</v>
      </c>
      <c r="E659" s="1" t="s">
        <v>1695</v>
      </c>
      <c r="F659" t="s">
        <v>24</v>
      </c>
      <c r="G659" s="2" t="s">
        <v>1674</v>
      </c>
      <c r="H659" t="s">
        <v>26</v>
      </c>
      <c r="I659" t="s">
        <v>27</v>
      </c>
      <c r="J659" s="6">
        <v>40762</v>
      </c>
      <c r="K659" s="16">
        <v>9945</v>
      </c>
      <c r="L659" s="16">
        <v>9965</v>
      </c>
      <c r="M659" s="16">
        <v>10075</v>
      </c>
      <c r="N659" s="16">
        <v>10065</v>
      </c>
      <c r="O659" s="16">
        <v>10110</v>
      </c>
      <c r="P659" s="16">
        <v>10055</v>
      </c>
      <c r="Q659" s="16">
        <v>10050</v>
      </c>
      <c r="R659" s="16">
        <v>10020</v>
      </c>
      <c r="S659" s="16">
        <v>9965</v>
      </c>
      <c r="T659" s="16">
        <v>10055</v>
      </c>
      <c r="U659" s="15">
        <v>10030.5</v>
      </c>
      <c r="V659" t="s">
        <v>19</v>
      </c>
      <c r="W659" t="s">
        <v>28</v>
      </c>
      <c r="X659">
        <v>251</v>
      </c>
      <c r="Y659" s="16">
        <f>VLOOKUP(Tabela1[[#This Row],[SKU]],SKU!A:D,4,0)</f>
        <v>10000</v>
      </c>
      <c r="Z659" s="18">
        <f>IFERROR((Tabela1[[#This Row],[Média]]-Tabela1[[#This Row],[Meta]])/Tabela1[[#This Row],[Meta]],"")</f>
        <v>3.0500000000000002E-3</v>
      </c>
      <c r="AA659" s="19">
        <f>Tabela1[[#This Row],[Média]]-Tabela1[[#This Row],[Meta]]</f>
        <v>30.5</v>
      </c>
      <c r="AB659" s="6" t="str">
        <f>VLOOKUP(Tabela1[[#This Row],[SKU]],SKU!A:B,2,0)</f>
        <v>COXA SBCX LQ FG LP</v>
      </c>
      <c r="AC659" s="6" t="str">
        <f>VLOOKUP(Tabela1[[#This Row],[SKU]],SKU!A:C,3,0)</f>
        <v>PERNA</v>
      </c>
    </row>
    <row r="660" spans="1:29" x14ac:dyDescent="0.3">
      <c r="A660" s="2">
        <f>INT(Tabela1[[#This Row],[Data e Hora2]])</f>
        <v>46276</v>
      </c>
      <c r="B660" s="6" t="str">
        <f>UPPER(TEXT(Tabela1[[#This Row],[Data Corrigida]],"MMM"))</f>
        <v>SET</v>
      </c>
      <c r="C660" t="s">
        <v>1710</v>
      </c>
      <c r="D660" s="2" t="s">
        <v>1711</v>
      </c>
      <c r="E660" s="1" t="s">
        <v>1695</v>
      </c>
      <c r="F660" t="s">
        <v>24</v>
      </c>
      <c r="G660" s="2" t="s">
        <v>1674</v>
      </c>
      <c r="H660" t="s">
        <v>26</v>
      </c>
      <c r="I660" t="s">
        <v>27</v>
      </c>
      <c r="J660" s="6">
        <v>792799</v>
      </c>
      <c r="K660" s="16">
        <v>15070</v>
      </c>
      <c r="L660" s="16">
        <v>15050</v>
      </c>
      <c r="M660" s="16">
        <v>15105</v>
      </c>
      <c r="N660" s="16">
        <v>15075</v>
      </c>
      <c r="O660" s="16">
        <v>14990</v>
      </c>
      <c r="P660" s="16">
        <v>15065</v>
      </c>
      <c r="Q660" s="16">
        <v>15080</v>
      </c>
      <c r="R660" s="16">
        <v>15065</v>
      </c>
      <c r="S660" s="16">
        <v>15075</v>
      </c>
      <c r="T660" s="16">
        <v>15060</v>
      </c>
      <c r="U660" s="15">
        <v>15063.5</v>
      </c>
      <c r="V660" t="s">
        <v>19</v>
      </c>
      <c r="W660" t="s">
        <v>19</v>
      </c>
      <c r="X660">
        <v>281</v>
      </c>
      <c r="Y660" s="16">
        <f>VLOOKUP(Tabela1[[#This Row],[SKU]],SKU!A:D,4,0)</f>
        <v>15000</v>
      </c>
      <c r="Z660" s="18">
        <f>IFERROR((Tabela1[[#This Row],[Média]]-Tabela1[[#This Row],[Meta]])/Tabela1[[#This Row],[Meta]],"")</f>
        <v>4.2333333333333337E-3</v>
      </c>
      <c r="AA660" s="19">
        <f>Tabela1[[#This Row],[Média]]-Tabela1[[#This Row],[Meta]]</f>
        <v>63.5</v>
      </c>
      <c r="AB660" s="6" t="str">
        <f>VLOOKUP(Tabela1[[#This Row],[SKU]],SKU!A:B,2,0)</f>
        <v>ASAS FG 100g UP LP</v>
      </c>
      <c r="AC660" s="6" t="str">
        <f>VLOOKUP(Tabela1[[#This Row],[SKU]],SKU!A:C,3,0)</f>
        <v>ASA</v>
      </c>
    </row>
    <row r="661" spans="1:29" x14ac:dyDescent="0.3">
      <c r="A661" s="2">
        <f>INT(Tabela1[[#This Row],[Data e Hora2]])</f>
        <v>46276</v>
      </c>
      <c r="B661" s="6" t="str">
        <f>UPPER(TEXT(Tabela1[[#This Row],[Data Corrigida]],"MMM"))</f>
        <v>SET</v>
      </c>
      <c r="C661" t="s">
        <v>1712</v>
      </c>
      <c r="D661" s="2" t="s">
        <v>1713</v>
      </c>
      <c r="E661" s="1" t="s">
        <v>1695</v>
      </c>
      <c r="F661" t="s">
        <v>24</v>
      </c>
      <c r="G661" s="2" t="s">
        <v>1674</v>
      </c>
      <c r="H661" t="s">
        <v>26</v>
      </c>
      <c r="I661" t="s">
        <v>27</v>
      </c>
      <c r="J661" s="6">
        <v>15105</v>
      </c>
      <c r="K661" s="16">
        <v>1060</v>
      </c>
      <c r="L661" s="16">
        <v>1004</v>
      </c>
      <c r="M661" s="16">
        <v>980</v>
      </c>
      <c r="N661" s="16">
        <v>1008</v>
      </c>
      <c r="O661" s="16">
        <v>1002</v>
      </c>
      <c r="P661" s="16">
        <v>1015</v>
      </c>
      <c r="Q661" s="16">
        <v>1024</v>
      </c>
      <c r="R661" s="16">
        <v>1026</v>
      </c>
      <c r="S661" s="16">
        <v>1031</v>
      </c>
      <c r="T661" s="16">
        <v>1018</v>
      </c>
      <c r="U661" s="15">
        <v>1016.8</v>
      </c>
      <c r="V661" t="s">
        <v>19</v>
      </c>
      <c r="W661" t="s">
        <v>28</v>
      </c>
      <c r="X661">
        <v>203</v>
      </c>
      <c r="Y661" s="16">
        <f>VLOOKUP(Tabela1[[#This Row],[SKU]],SKU!A:D,4,0)</f>
        <v>1000</v>
      </c>
      <c r="Z661" s="18">
        <f>IFERROR((Tabela1[[#This Row],[Média]]-Tabela1[[#This Row],[Meta]])/Tabela1[[#This Row],[Meta]],"")</f>
        <v>1.6799999999999954E-2</v>
      </c>
      <c r="AA661" s="19">
        <f>Tabela1[[#This Row],[Média]]-Tabela1[[#This Row],[Meta]]</f>
        <v>16.799999999999955</v>
      </c>
      <c r="AB661" s="6" t="str">
        <f>VLOOKUP(Tabela1[[#This Row],[SKU]],SKU!A:B,2,0)</f>
        <v>FILE PEITO MET CG BDJ SE</v>
      </c>
      <c r="AC661" s="6" t="str">
        <f>VLOOKUP(Tabela1[[#This Row],[SKU]],SKU!A:C,3,0)</f>
        <v>PEITO</v>
      </c>
    </row>
    <row r="662" spans="1:29" x14ac:dyDescent="0.3">
      <c r="A662" s="2">
        <f>INT(Tabela1[[#This Row],[Data e Hora2]])</f>
        <v>46276</v>
      </c>
      <c r="B662" s="6" t="str">
        <f>UPPER(TEXT(Tabela1[[#This Row],[Data Corrigida]],"MMM"))</f>
        <v>SET</v>
      </c>
      <c r="C662" t="s">
        <v>1714</v>
      </c>
      <c r="D662" s="2" t="s">
        <v>1715</v>
      </c>
      <c r="E662" s="1" t="s">
        <v>1716</v>
      </c>
      <c r="F662" t="s">
        <v>24</v>
      </c>
      <c r="G662" s="2" t="s">
        <v>1674</v>
      </c>
      <c r="H662" t="s">
        <v>26</v>
      </c>
      <c r="I662" t="s">
        <v>19</v>
      </c>
      <c r="J662" s="6">
        <v>15849</v>
      </c>
      <c r="K662" s="16">
        <v>994</v>
      </c>
      <c r="L662" s="16">
        <v>996</v>
      </c>
      <c r="M662" s="16">
        <v>995</v>
      </c>
      <c r="N662" s="16">
        <v>1006</v>
      </c>
      <c r="O662" s="16">
        <v>996</v>
      </c>
      <c r="P662" s="16">
        <v>1011</v>
      </c>
      <c r="Q662" s="16">
        <v>996</v>
      </c>
      <c r="R662" s="16">
        <v>1013</v>
      </c>
      <c r="S662" s="16">
        <v>1004</v>
      </c>
      <c r="T662" s="16">
        <v>998</v>
      </c>
      <c r="U662" s="15">
        <v>1000.9</v>
      </c>
      <c r="V662" t="s">
        <v>19</v>
      </c>
      <c r="W662" t="s">
        <v>28</v>
      </c>
      <c r="X662">
        <v>254</v>
      </c>
      <c r="Y662" s="16">
        <f>VLOOKUP(Tabela1[[#This Row],[SKU]],SKU!A:D,4,0)</f>
        <v>1000</v>
      </c>
      <c r="Z662" s="18">
        <f>IFERROR((Tabela1[[#This Row],[Média]]-Tabela1[[#This Row],[Meta]])/Tabela1[[#This Row],[Meta]],"")</f>
        <v>8.9999999999997732E-4</v>
      </c>
      <c r="AA662" s="19">
        <f>Tabela1[[#This Row],[Média]]-Tabela1[[#This Row],[Meta]]</f>
        <v>0.89999999999997726</v>
      </c>
      <c r="AB662" s="6" t="str">
        <f>VLOOKUP(Tabela1[[#This Row],[SKU]],SKU!A:B,2,0)</f>
        <v>FILEZINHO PEITO CG BDJ SE</v>
      </c>
      <c r="AC662" s="6" t="str">
        <f>VLOOKUP(Tabela1[[#This Row],[SKU]],SKU!A:C,3,0)</f>
        <v>SASSAMI</v>
      </c>
    </row>
    <row r="663" spans="1:29" x14ac:dyDescent="0.3">
      <c r="A663" s="2">
        <f>INT(Tabela1[[#This Row],[Data e Hora2]])</f>
        <v>46276</v>
      </c>
      <c r="B663" s="6" t="str">
        <f>UPPER(TEXT(Tabela1[[#This Row],[Data Corrigida]],"MMM"))</f>
        <v>SET</v>
      </c>
      <c r="C663" t="s">
        <v>1717</v>
      </c>
      <c r="D663" s="2" t="s">
        <v>1718</v>
      </c>
      <c r="E663" s="1" t="s">
        <v>1716</v>
      </c>
      <c r="F663" t="s">
        <v>24</v>
      </c>
      <c r="G663" s="2" t="s">
        <v>1674</v>
      </c>
      <c r="H663" t="s">
        <v>26</v>
      </c>
      <c r="I663" t="s">
        <v>57</v>
      </c>
      <c r="J663" s="6">
        <v>15849</v>
      </c>
      <c r="K663" s="16">
        <v>992</v>
      </c>
      <c r="L663" s="16">
        <v>989</v>
      </c>
      <c r="M663" s="16">
        <v>994</v>
      </c>
      <c r="N663" s="16">
        <v>1000</v>
      </c>
      <c r="O663" s="16">
        <v>992</v>
      </c>
      <c r="P663" s="16">
        <v>988</v>
      </c>
      <c r="Q663" s="16">
        <v>996</v>
      </c>
      <c r="R663" s="16">
        <v>1003</v>
      </c>
      <c r="S663" s="16">
        <v>1014</v>
      </c>
      <c r="T663" s="16">
        <v>1000</v>
      </c>
      <c r="U663" s="15">
        <v>996.8</v>
      </c>
      <c r="V663" t="s">
        <v>19</v>
      </c>
      <c r="W663" t="s">
        <v>28</v>
      </c>
      <c r="X663">
        <v>496</v>
      </c>
      <c r="Y663" s="16">
        <f>VLOOKUP(Tabela1[[#This Row],[SKU]],SKU!A:D,4,0)</f>
        <v>1000</v>
      </c>
      <c r="Z663" s="18">
        <f>IFERROR((Tabela1[[#This Row],[Média]]-Tabela1[[#This Row],[Meta]])/Tabela1[[#This Row],[Meta]],"")</f>
        <v>-3.2000000000000457E-3</v>
      </c>
      <c r="AA663" s="19">
        <f>Tabela1[[#This Row],[Média]]-Tabela1[[#This Row],[Meta]]</f>
        <v>-3.2000000000000455</v>
      </c>
      <c r="AB663" s="6" t="str">
        <f>VLOOKUP(Tabela1[[#This Row],[SKU]],SKU!A:B,2,0)</f>
        <v>FILEZINHO PEITO CG BDJ SE</v>
      </c>
      <c r="AC663" s="6" t="str">
        <f>VLOOKUP(Tabela1[[#This Row],[SKU]],SKU!A:C,3,0)</f>
        <v>SASSAMI</v>
      </c>
    </row>
    <row r="664" spans="1:29" x14ac:dyDescent="0.3">
      <c r="A664" s="2">
        <f>INT(Tabela1[[#This Row],[Data e Hora2]])</f>
        <v>46276</v>
      </c>
      <c r="B664" s="6" t="str">
        <f>UPPER(TEXT(Tabela1[[#This Row],[Data Corrigida]],"MMM"))</f>
        <v>SET</v>
      </c>
      <c r="C664" t="s">
        <v>1719</v>
      </c>
      <c r="D664" s="2" t="s">
        <v>1720</v>
      </c>
      <c r="E664" s="1" t="s">
        <v>1716</v>
      </c>
      <c r="F664" t="s">
        <v>24</v>
      </c>
      <c r="G664" s="2" t="s">
        <v>1674</v>
      </c>
      <c r="H664" t="s">
        <v>26</v>
      </c>
      <c r="I664" t="s">
        <v>57</v>
      </c>
      <c r="J664" s="6">
        <v>15229</v>
      </c>
      <c r="K664" s="16">
        <v>1003</v>
      </c>
      <c r="L664" s="16">
        <v>1007</v>
      </c>
      <c r="M664" s="16">
        <v>1003</v>
      </c>
      <c r="N664" s="16">
        <v>1015</v>
      </c>
      <c r="O664" s="16">
        <v>1016</v>
      </c>
      <c r="P664" s="16">
        <v>1007</v>
      </c>
      <c r="Q664" s="16">
        <v>1004</v>
      </c>
      <c r="R664" s="16">
        <v>1008</v>
      </c>
      <c r="S664" s="16">
        <v>1005</v>
      </c>
      <c r="T664" s="16">
        <v>1014</v>
      </c>
      <c r="U664" s="15">
        <v>1008.2</v>
      </c>
      <c r="V664" t="s">
        <v>19</v>
      </c>
      <c r="W664" t="s">
        <v>28</v>
      </c>
      <c r="X664">
        <v>146</v>
      </c>
      <c r="Y664" s="16">
        <f>VLOOKUP(Tabela1[[#This Row],[SKU]],SKU!A:D,4,0)</f>
        <v>1000</v>
      </c>
      <c r="Z664" s="18">
        <f>IFERROR((Tabela1[[#This Row],[Média]]-Tabela1[[#This Row],[Meta]])/Tabela1[[#This Row],[Meta]],"")</f>
        <v>8.2000000000000458E-3</v>
      </c>
      <c r="AA664" s="19">
        <f>Tabela1[[#This Row],[Média]]-Tabela1[[#This Row],[Meta]]</f>
        <v>8.2000000000000455</v>
      </c>
      <c r="AB664" s="6" t="str">
        <f>VLOOKUP(Tabela1[[#This Row],[SKU]],SKU!A:B,2,0)</f>
        <v>COXA CG BDJ SE</v>
      </c>
      <c r="AC664" s="6" t="str">
        <f>VLOOKUP(Tabela1[[#This Row],[SKU]],SKU!A:C,3,0)</f>
        <v>PERNA</v>
      </c>
    </row>
    <row r="665" spans="1:29" x14ac:dyDescent="0.3">
      <c r="A665" s="2">
        <f>INT(Tabela1[[#This Row],[Data e Hora2]])</f>
        <v>46276</v>
      </c>
      <c r="B665" s="6" t="str">
        <f>UPPER(TEXT(Tabela1[[#This Row],[Data Corrigida]],"MMM"))</f>
        <v>SET</v>
      </c>
      <c r="C665" t="s">
        <v>1721</v>
      </c>
      <c r="D665" s="2" t="s">
        <v>1722</v>
      </c>
      <c r="E665" s="1" t="s">
        <v>1716</v>
      </c>
      <c r="F665" t="s">
        <v>24</v>
      </c>
      <c r="G665" s="2" t="s">
        <v>1674</v>
      </c>
      <c r="H665" t="s">
        <v>26</v>
      </c>
      <c r="I665" t="s">
        <v>57</v>
      </c>
      <c r="J665" s="6">
        <v>15229</v>
      </c>
      <c r="K665" s="16">
        <v>1009</v>
      </c>
      <c r="L665" s="16">
        <v>997</v>
      </c>
      <c r="M665" s="16">
        <v>1019</v>
      </c>
      <c r="N665" s="16">
        <v>1005</v>
      </c>
      <c r="O665" s="16">
        <v>1003</v>
      </c>
      <c r="P665" s="16">
        <v>999</v>
      </c>
      <c r="Q665" s="16">
        <v>1011</v>
      </c>
      <c r="R665" s="16">
        <v>999</v>
      </c>
      <c r="S665" s="16">
        <v>1007</v>
      </c>
      <c r="T665" s="16">
        <v>1001</v>
      </c>
      <c r="U665" s="15">
        <v>1005</v>
      </c>
      <c r="V665" t="s">
        <v>19</v>
      </c>
      <c r="W665" t="s">
        <v>28</v>
      </c>
      <c r="X665">
        <v>249</v>
      </c>
      <c r="Y665" s="16">
        <f>VLOOKUP(Tabela1[[#This Row],[SKU]],SKU!A:D,4,0)</f>
        <v>1000</v>
      </c>
      <c r="Z665" s="18">
        <f>IFERROR((Tabela1[[#This Row],[Média]]-Tabela1[[#This Row],[Meta]])/Tabela1[[#This Row],[Meta]],"")</f>
        <v>5.0000000000000001E-3</v>
      </c>
      <c r="AA665" s="19">
        <f>Tabela1[[#This Row],[Média]]-Tabela1[[#This Row],[Meta]]</f>
        <v>5</v>
      </c>
      <c r="AB665" s="6" t="str">
        <f>VLOOKUP(Tabela1[[#This Row],[SKU]],SKU!A:B,2,0)</f>
        <v>COXA CG BDJ SE</v>
      </c>
      <c r="AC665" s="6" t="str">
        <f>VLOOKUP(Tabela1[[#This Row],[SKU]],SKU!A:C,3,0)</f>
        <v>PERNA</v>
      </c>
    </row>
    <row r="666" spans="1:29" x14ac:dyDescent="0.3">
      <c r="A666" s="2">
        <f>INT(Tabela1[[#This Row],[Data e Hora2]])</f>
        <v>46276</v>
      </c>
      <c r="B666" s="6" t="str">
        <f>UPPER(TEXT(Tabela1[[#This Row],[Data Corrigida]],"MMM"))</f>
        <v>SET</v>
      </c>
      <c r="C666" t="s">
        <v>1723</v>
      </c>
      <c r="D666" s="2" t="s">
        <v>1724</v>
      </c>
      <c r="E666" s="1" t="s">
        <v>1725</v>
      </c>
      <c r="F666" t="s">
        <v>24</v>
      </c>
      <c r="G666" s="2" t="s">
        <v>1674</v>
      </c>
      <c r="H666" t="s">
        <v>26</v>
      </c>
      <c r="I666" t="s">
        <v>57</v>
      </c>
      <c r="J666" s="6">
        <v>209039</v>
      </c>
      <c r="K666" s="16">
        <v>1020</v>
      </c>
      <c r="L666" s="16">
        <v>1020</v>
      </c>
      <c r="M666" s="16">
        <v>1007</v>
      </c>
      <c r="N666" s="16">
        <v>997</v>
      </c>
      <c r="O666" s="16">
        <v>1004</v>
      </c>
      <c r="P666" s="16">
        <v>1005</v>
      </c>
      <c r="Q666" s="16">
        <v>1006</v>
      </c>
      <c r="R666" s="16">
        <v>996</v>
      </c>
      <c r="S666" s="16">
        <v>1005</v>
      </c>
      <c r="T666" s="16">
        <v>1014</v>
      </c>
      <c r="U666" s="15">
        <v>1007.4</v>
      </c>
      <c r="V666" t="s">
        <v>19</v>
      </c>
      <c r="W666" t="s">
        <v>28</v>
      </c>
      <c r="X666">
        <v>196</v>
      </c>
      <c r="Y666" s="16">
        <f>VLOOKUP(Tabela1[[#This Row],[SKU]],SKU!A:D,4,0)</f>
        <v>1000</v>
      </c>
      <c r="Z666" s="18">
        <f>IFERROR((Tabela1[[#This Row],[Média]]-Tabela1[[#This Row],[Meta]])/Tabela1[[#This Row],[Meta]],"")</f>
        <v>7.3999999999999769E-3</v>
      </c>
      <c r="AA666" s="19">
        <f>Tabela1[[#This Row],[Média]]-Tabela1[[#This Row],[Meta]]</f>
        <v>7.3999999999999773</v>
      </c>
      <c r="AB666" s="6" t="str">
        <f>VLOOKUP(Tabela1[[#This Row],[SKU]],SKU!A:B,2,0)</f>
        <v>COXINHA ASA IQF ALM 1KG</v>
      </c>
      <c r="AC666" s="6" t="str">
        <f>VLOOKUP(Tabela1[[#This Row],[SKU]],SKU!A:C,3,0)</f>
        <v>ASA</v>
      </c>
    </row>
    <row r="667" spans="1:29" x14ac:dyDescent="0.3">
      <c r="A667" s="2">
        <f>INT(Tabela1[[#This Row],[Data e Hora2]])</f>
        <v>46276</v>
      </c>
      <c r="B667" s="6" t="str">
        <f>UPPER(TEXT(Tabela1[[#This Row],[Data Corrigida]],"MMM"))</f>
        <v>SET</v>
      </c>
      <c r="C667" t="s">
        <v>1726</v>
      </c>
      <c r="D667" s="2" t="s">
        <v>1727</v>
      </c>
      <c r="E667" s="1" t="s">
        <v>1728</v>
      </c>
      <c r="F667" t="s">
        <v>24</v>
      </c>
      <c r="G667" s="2" t="s">
        <v>1674</v>
      </c>
      <c r="H667" t="s">
        <v>26</v>
      </c>
      <c r="I667" t="s">
        <v>57</v>
      </c>
      <c r="J667" s="6">
        <v>209039</v>
      </c>
      <c r="K667" s="16">
        <v>1018</v>
      </c>
      <c r="L667" s="16">
        <v>1001</v>
      </c>
      <c r="M667" s="16">
        <v>952</v>
      </c>
      <c r="N667" s="16">
        <v>1005</v>
      </c>
      <c r="O667" s="16">
        <v>1004</v>
      </c>
      <c r="P667" s="16">
        <v>1007</v>
      </c>
      <c r="Q667" s="16">
        <v>1017</v>
      </c>
      <c r="R667" s="16">
        <v>998</v>
      </c>
      <c r="S667" s="16">
        <v>1020</v>
      </c>
      <c r="T667" s="16">
        <v>949</v>
      </c>
      <c r="U667" s="15">
        <v>997.1</v>
      </c>
      <c r="V667" t="s">
        <v>19</v>
      </c>
      <c r="W667" t="s">
        <v>28</v>
      </c>
      <c r="X667">
        <v>428</v>
      </c>
      <c r="Y667" s="16">
        <f>VLOOKUP(Tabela1[[#This Row],[SKU]],SKU!A:D,4,0)</f>
        <v>1000</v>
      </c>
      <c r="Z667" s="18">
        <f>IFERROR((Tabela1[[#This Row],[Média]]-Tabela1[[#This Row],[Meta]])/Tabela1[[#This Row],[Meta]],"")</f>
        <v>-2.8999999999999772E-3</v>
      </c>
      <c r="AA667" s="19">
        <f>Tabela1[[#This Row],[Média]]-Tabela1[[#This Row],[Meta]]</f>
        <v>-2.8999999999999773</v>
      </c>
      <c r="AB667" s="6" t="str">
        <f>VLOOKUP(Tabela1[[#This Row],[SKU]],SKU!A:B,2,0)</f>
        <v>COXINHA ASA IQF ALM 1KG</v>
      </c>
      <c r="AC667" s="6" t="str">
        <f>VLOOKUP(Tabela1[[#This Row],[SKU]],SKU!A:C,3,0)</f>
        <v>ASA</v>
      </c>
    </row>
    <row r="668" spans="1:29" x14ac:dyDescent="0.3">
      <c r="A668" s="2">
        <f>INT(Tabela1[[#This Row],[Data e Hora2]])</f>
        <v>46276</v>
      </c>
      <c r="B668" s="6" t="str">
        <f>UPPER(TEXT(Tabela1[[#This Row],[Data Corrigida]],"MMM"))</f>
        <v>SET</v>
      </c>
      <c r="C668" t="s">
        <v>1729</v>
      </c>
      <c r="D668" s="2" t="s">
        <v>1730</v>
      </c>
      <c r="E668" s="1" t="s">
        <v>1731</v>
      </c>
      <c r="F668" t="s">
        <v>24</v>
      </c>
      <c r="G668" s="2" t="s">
        <v>1674</v>
      </c>
      <c r="H668" t="s">
        <v>26</v>
      </c>
      <c r="I668" t="s">
        <v>57</v>
      </c>
      <c r="J668" s="6">
        <v>15105</v>
      </c>
      <c r="K668" s="16">
        <v>1028</v>
      </c>
      <c r="L668" s="16">
        <v>1012</v>
      </c>
      <c r="M668" s="16">
        <v>997</v>
      </c>
      <c r="N668" s="16">
        <v>1012</v>
      </c>
      <c r="O668" s="16">
        <v>995</v>
      </c>
      <c r="P668" s="16">
        <v>1002</v>
      </c>
      <c r="Q668" s="16">
        <v>1042</v>
      </c>
      <c r="R668" s="16">
        <v>1005</v>
      </c>
      <c r="S668" s="16">
        <v>998</v>
      </c>
      <c r="T668" s="16">
        <v>996</v>
      </c>
      <c r="U668" s="15">
        <v>1008.7</v>
      </c>
      <c r="V668" t="s">
        <v>19</v>
      </c>
      <c r="W668" t="s">
        <v>28</v>
      </c>
      <c r="X668">
        <v>208</v>
      </c>
      <c r="Y668" s="16">
        <f>VLOOKUP(Tabela1[[#This Row],[SKU]],SKU!A:D,4,0)</f>
        <v>1000</v>
      </c>
      <c r="Z668" s="18">
        <f>IFERROR((Tabela1[[#This Row],[Média]]-Tabela1[[#This Row],[Meta]])/Tabela1[[#This Row],[Meta]],"")</f>
        <v>8.7000000000000462E-3</v>
      </c>
      <c r="AA668" s="19">
        <f>Tabela1[[#This Row],[Média]]-Tabela1[[#This Row],[Meta]]</f>
        <v>8.7000000000000455</v>
      </c>
      <c r="AB668" s="6" t="str">
        <f>VLOOKUP(Tabela1[[#This Row],[SKU]],SKU!A:B,2,0)</f>
        <v>FILE PEITO MET CG BDJ SE</v>
      </c>
      <c r="AC668" s="6" t="str">
        <f>VLOOKUP(Tabela1[[#This Row],[SKU]],SKU!A:C,3,0)</f>
        <v>PEITO</v>
      </c>
    </row>
    <row r="669" spans="1:29" x14ac:dyDescent="0.3">
      <c r="A669" s="2">
        <f>INT(Tabela1[[#This Row],[Data e Hora2]])</f>
        <v>46276</v>
      </c>
      <c r="B669" s="6" t="str">
        <f>UPPER(TEXT(Tabela1[[#This Row],[Data Corrigida]],"MMM"))</f>
        <v>SET</v>
      </c>
      <c r="C669" t="s">
        <v>1732</v>
      </c>
      <c r="D669" s="2" t="s">
        <v>1733</v>
      </c>
      <c r="E669" s="1" t="s">
        <v>1734</v>
      </c>
      <c r="F669" t="s">
        <v>24</v>
      </c>
      <c r="G669" s="2" t="s">
        <v>1674</v>
      </c>
      <c r="H669" t="s">
        <v>26</v>
      </c>
      <c r="I669" t="s">
        <v>57</v>
      </c>
      <c r="J669" s="6">
        <v>15105</v>
      </c>
      <c r="K669" s="16">
        <v>997</v>
      </c>
      <c r="L669" s="16">
        <v>995</v>
      </c>
      <c r="M669" s="16">
        <v>1006</v>
      </c>
      <c r="N669" s="16">
        <v>1027</v>
      </c>
      <c r="O669" s="16">
        <v>1054</v>
      </c>
      <c r="P669" s="16">
        <v>1001</v>
      </c>
      <c r="Q669" s="16">
        <v>1013</v>
      </c>
      <c r="R669" s="16">
        <v>1028</v>
      </c>
      <c r="S669" s="16">
        <v>1017</v>
      </c>
      <c r="T669" s="16">
        <v>1007</v>
      </c>
      <c r="U669" s="15">
        <v>1014.5</v>
      </c>
      <c r="V669" t="s">
        <v>19</v>
      </c>
      <c r="W669" t="s">
        <v>28</v>
      </c>
      <c r="X669">
        <v>198</v>
      </c>
      <c r="Y669" s="16">
        <f>VLOOKUP(Tabela1[[#This Row],[SKU]],SKU!A:D,4,0)</f>
        <v>1000</v>
      </c>
      <c r="Z669" s="18">
        <f>IFERROR((Tabela1[[#This Row],[Média]]-Tabela1[[#This Row],[Meta]])/Tabela1[[#This Row],[Meta]],"")</f>
        <v>1.4500000000000001E-2</v>
      </c>
      <c r="AA669" s="19">
        <f>Tabela1[[#This Row],[Média]]-Tabela1[[#This Row],[Meta]]</f>
        <v>14.5</v>
      </c>
      <c r="AB669" s="6" t="str">
        <f>VLOOKUP(Tabela1[[#This Row],[SKU]],SKU!A:B,2,0)</f>
        <v>FILE PEITO MET CG BDJ SE</v>
      </c>
      <c r="AC669" s="6" t="str">
        <f>VLOOKUP(Tabela1[[#This Row],[SKU]],SKU!A:C,3,0)</f>
        <v>PEITO</v>
      </c>
    </row>
    <row r="670" spans="1:29" x14ac:dyDescent="0.3">
      <c r="A670" s="2">
        <f>INT(Tabela1[[#This Row],[Data e Hora2]])</f>
        <v>46276</v>
      </c>
      <c r="B670" s="6" t="str">
        <f>UPPER(TEXT(Tabela1[[#This Row],[Data Corrigida]],"MMM"))</f>
        <v>SET</v>
      </c>
      <c r="C670" t="s">
        <v>1735</v>
      </c>
      <c r="D670" s="2" t="s">
        <v>1736</v>
      </c>
      <c r="E670" s="1" t="s">
        <v>1734</v>
      </c>
      <c r="F670" t="s">
        <v>24</v>
      </c>
      <c r="G670" s="2" t="s">
        <v>1674</v>
      </c>
      <c r="H670" t="s">
        <v>26</v>
      </c>
      <c r="I670" t="s">
        <v>57</v>
      </c>
      <c r="J670" s="6">
        <v>15105</v>
      </c>
      <c r="K670" s="16">
        <v>1042</v>
      </c>
      <c r="L670" s="16">
        <v>1043</v>
      </c>
      <c r="M670" s="16">
        <v>1045</v>
      </c>
      <c r="N670" s="16">
        <v>1029</v>
      </c>
      <c r="O670" s="16">
        <v>1014</v>
      </c>
      <c r="P670" s="16">
        <v>1024</v>
      </c>
      <c r="Q670" s="16">
        <v>1013</v>
      </c>
      <c r="R670" s="16">
        <v>1020</v>
      </c>
      <c r="S670" s="16">
        <v>1054</v>
      </c>
      <c r="T670" s="16">
        <v>1045</v>
      </c>
      <c r="U670" s="15">
        <v>1032.9000000000001</v>
      </c>
      <c r="V670" t="s">
        <v>19</v>
      </c>
      <c r="W670" t="s">
        <v>28</v>
      </c>
      <c r="X670">
        <v>480</v>
      </c>
      <c r="Y670" s="16">
        <f>VLOOKUP(Tabela1[[#This Row],[SKU]],SKU!A:D,4,0)</f>
        <v>1000</v>
      </c>
      <c r="Z670" s="18">
        <f>IFERROR((Tabela1[[#This Row],[Média]]-Tabela1[[#This Row],[Meta]])/Tabela1[[#This Row],[Meta]],"")</f>
        <v>3.2900000000000089E-2</v>
      </c>
      <c r="AA670" s="19">
        <f>Tabela1[[#This Row],[Média]]-Tabela1[[#This Row],[Meta]]</f>
        <v>32.900000000000091</v>
      </c>
      <c r="AB670" s="6" t="str">
        <f>VLOOKUP(Tabela1[[#This Row],[SKU]],SKU!A:B,2,0)</f>
        <v>FILE PEITO MET CG BDJ SE</v>
      </c>
      <c r="AC670" s="6" t="str">
        <f>VLOOKUP(Tabela1[[#This Row],[SKU]],SKU!A:C,3,0)</f>
        <v>PEITO</v>
      </c>
    </row>
    <row r="671" spans="1:29" x14ac:dyDescent="0.3">
      <c r="A671" s="2">
        <f>INT(Tabela1[[#This Row],[Data e Hora2]])</f>
        <v>46276</v>
      </c>
      <c r="B671" s="6" t="str">
        <f>UPPER(TEXT(Tabela1[[#This Row],[Data Corrigida]],"MMM"))</f>
        <v>SET</v>
      </c>
      <c r="C671" t="s">
        <v>1737</v>
      </c>
      <c r="D671" s="2" t="s">
        <v>1738</v>
      </c>
      <c r="E671" s="1" t="s">
        <v>1739</v>
      </c>
      <c r="F671" t="s">
        <v>24</v>
      </c>
      <c r="G671" s="2" t="s">
        <v>1674</v>
      </c>
      <c r="H671" t="s">
        <v>26</v>
      </c>
      <c r="I671" t="s">
        <v>57</v>
      </c>
      <c r="J671" s="6">
        <v>209099</v>
      </c>
      <c r="K671" s="16">
        <v>1040</v>
      </c>
      <c r="L671" s="16">
        <v>997</v>
      </c>
      <c r="M671" s="16">
        <v>1025</v>
      </c>
      <c r="N671" s="16">
        <v>1003</v>
      </c>
      <c r="O671" s="16">
        <v>1040</v>
      </c>
      <c r="P671" s="16">
        <v>1028</v>
      </c>
      <c r="Q671" s="16">
        <v>1004</v>
      </c>
      <c r="R671" s="16">
        <v>1014</v>
      </c>
      <c r="S671" s="16">
        <v>1001</v>
      </c>
      <c r="T671" s="16">
        <v>999</v>
      </c>
      <c r="U671" s="15">
        <v>1015.1</v>
      </c>
      <c r="V671" t="s">
        <v>19</v>
      </c>
      <c r="W671" t="s">
        <v>28</v>
      </c>
      <c r="X671">
        <v>286</v>
      </c>
      <c r="Y671" s="16">
        <f>VLOOKUP(Tabela1[[#This Row],[SKU]],SKU!A:D,4,0)</f>
        <v>1000</v>
      </c>
      <c r="Z671" s="18">
        <f>IFERROR((Tabela1[[#This Row],[Média]]-Tabela1[[#This Row],[Meta]])/Tabela1[[#This Row],[Meta]],"")</f>
        <v>1.5100000000000023E-2</v>
      </c>
      <c r="AA671" s="19">
        <f>Tabela1[[#This Row],[Média]]-Tabela1[[#This Row],[Meta]]</f>
        <v>15.100000000000023</v>
      </c>
      <c r="AB671" s="6" t="str">
        <f>VLOOKUP(Tabela1[[#This Row],[SKU]],SKU!A:B,2,0)</f>
        <v>FILE DE SOBRECOXA IQF</v>
      </c>
      <c r="AC671" s="6" t="str">
        <f>VLOOKUP(Tabela1[[#This Row],[SKU]],SKU!A:C,3,0)</f>
        <v>PERNA</v>
      </c>
    </row>
    <row r="672" spans="1:29" x14ac:dyDescent="0.3">
      <c r="A672" s="2">
        <f>INT(Tabela1[[#This Row],[Data e Hora2]])</f>
        <v>46276</v>
      </c>
      <c r="B672" s="6" t="str">
        <f>UPPER(TEXT(Tabela1[[#This Row],[Data Corrigida]],"MMM"))</f>
        <v>SET</v>
      </c>
      <c r="C672" t="s">
        <v>1740</v>
      </c>
      <c r="D672" s="2" t="s">
        <v>1741</v>
      </c>
      <c r="E672" s="1" t="s">
        <v>1742</v>
      </c>
      <c r="F672" t="s">
        <v>24</v>
      </c>
      <c r="G672" s="2" t="s">
        <v>1674</v>
      </c>
      <c r="H672" t="s">
        <v>26</v>
      </c>
      <c r="I672" t="s">
        <v>57</v>
      </c>
      <c r="J672" s="6">
        <v>209099</v>
      </c>
      <c r="K672" s="16">
        <v>1027</v>
      </c>
      <c r="L672" s="16">
        <v>1023</v>
      </c>
      <c r="M672" s="16">
        <v>990</v>
      </c>
      <c r="N672" s="16">
        <v>999</v>
      </c>
      <c r="O672" s="16">
        <v>1014</v>
      </c>
      <c r="P672" s="16">
        <v>999</v>
      </c>
      <c r="Q672" s="16">
        <v>1005</v>
      </c>
      <c r="R672" s="16">
        <v>998</v>
      </c>
      <c r="S672" s="16">
        <v>1047</v>
      </c>
      <c r="T672" s="16">
        <v>999</v>
      </c>
      <c r="U672" s="15">
        <v>1010.1</v>
      </c>
      <c r="V672" t="s">
        <v>19</v>
      </c>
      <c r="W672" t="s">
        <v>28</v>
      </c>
      <c r="X672">
        <v>402</v>
      </c>
      <c r="Y672" s="16">
        <f>VLOOKUP(Tabela1[[#This Row],[SKU]],SKU!A:D,4,0)</f>
        <v>1000</v>
      </c>
      <c r="Z672" s="18">
        <f>IFERROR((Tabela1[[#This Row],[Média]]-Tabela1[[#This Row],[Meta]])/Tabela1[[#This Row],[Meta]],"")</f>
        <v>1.0100000000000022E-2</v>
      </c>
      <c r="AA672" s="19">
        <f>Tabela1[[#This Row],[Média]]-Tabela1[[#This Row],[Meta]]</f>
        <v>10.100000000000023</v>
      </c>
      <c r="AB672" s="6" t="str">
        <f>VLOOKUP(Tabela1[[#This Row],[SKU]],SKU!A:B,2,0)</f>
        <v>FILE DE SOBRECOXA IQF</v>
      </c>
      <c r="AC672" s="6" t="str">
        <f>VLOOKUP(Tabela1[[#This Row],[SKU]],SKU!A:C,3,0)</f>
        <v>PERNA</v>
      </c>
    </row>
    <row r="673" spans="1:29" x14ac:dyDescent="0.3">
      <c r="A673" s="2">
        <f>INT(Tabela1[[#This Row],[Data e Hora2]])</f>
        <v>46276</v>
      </c>
      <c r="B673" s="6" t="str">
        <f>UPPER(TEXT(Tabela1[[#This Row],[Data Corrigida]],"MMM"))</f>
        <v>SET</v>
      </c>
      <c r="C673" t="s">
        <v>1743</v>
      </c>
      <c r="D673" s="2" t="s">
        <v>1744</v>
      </c>
      <c r="E673" s="1" t="s">
        <v>1745</v>
      </c>
      <c r="F673" t="s">
        <v>24</v>
      </c>
      <c r="G673" s="2" t="s">
        <v>1674</v>
      </c>
      <c r="H673" t="s">
        <v>26</v>
      </c>
      <c r="I673" t="s">
        <v>57</v>
      </c>
      <c r="J673" s="6">
        <v>55552</v>
      </c>
      <c r="K673" s="16">
        <v>15025</v>
      </c>
      <c r="L673" s="16">
        <v>15025</v>
      </c>
      <c r="M673" s="16">
        <v>15020</v>
      </c>
      <c r="N673" s="16">
        <v>15045</v>
      </c>
      <c r="O673" s="16">
        <v>15040</v>
      </c>
      <c r="P673" s="16">
        <v>15035</v>
      </c>
      <c r="Q673" s="16">
        <v>15020</v>
      </c>
      <c r="R673" s="16">
        <v>15020</v>
      </c>
      <c r="S673" s="16">
        <v>15025</v>
      </c>
      <c r="T673" s="16">
        <v>15035</v>
      </c>
      <c r="U673" s="15">
        <v>15029</v>
      </c>
      <c r="V673" t="s">
        <v>19</v>
      </c>
      <c r="W673" t="s">
        <v>28</v>
      </c>
      <c r="X673">
        <v>520</v>
      </c>
      <c r="Y673" s="16">
        <f>VLOOKUP(Tabela1[[#This Row],[SKU]],SKU!A:D,4,0)</f>
        <v>15000</v>
      </c>
      <c r="Z673" s="18">
        <f>IFERROR((Tabela1[[#This Row],[Média]]-Tabela1[[#This Row],[Meta]])/Tabela1[[#This Row],[Meta]],"")</f>
        <v>1.9333333333333333E-3</v>
      </c>
      <c r="AA673" s="19">
        <f>Tabela1[[#This Row],[Média]]-Tabela1[[#This Row],[Meta]]</f>
        <v>29</v>
      </c>
      <c r="AB673" s="6" t="str">
        <f>VLOOKUP(Tabela1[[#This Row],[SKU]],SKU!A:B,2,0)</f>
        <v>COXA SBCX  S/O CG MP</v>
      </c>
      <c r="AC673" s="6" t="str">
        <f>VLOOKUP(Tabela1[[#This Row],[SKU]],SKU!A:C,3,0)</f>
        <v>PERNA</v>
      </c>
    </row>
    <row r="674" spans="1:29" x14ac:dyDescent="0.3">
      <c r="A674" s="2">
        <f>INT(Tabela1[[#This Row],[Data e Hora2]])</f>
        <v>46276</v>
      </c>
      <c r="B674" s="6" t="str">
        <f>UPPER(TEXT(Tabela1[[#This Row],[Data Corrigida]],"MMM"))</f>
        <v>SET</v>
      </c>
      <c r="C674" t="s">
        <v>1746</v>
      </c>
      <c r="D674" s="2" t="s">
        <v>1747</v>
      </c>
      <c r="E674" s="1" t="s">
        <v>1745</v>
      </c>
      <c r="F674" t="s">
        <v>24</v>
      </c>
      <c r="G674" s="2" t="s">
        <v>1674</v>
      </c>
      <c r="H674" t="s">
        <v>26</v>
      </c>
      <c r="I674" t="s">
        <v>57</v>
      </c>
      <c r="J674" s="6">
        <v>55552</v>
      </c>
      <c r="K674" s="16">
        <v>15020</v>
      </c>
      <c r="L674" s="16">
        <v>15035</v>
      </c>
      <c r="M674" s="16">
        <v>15035</v>
      </c>
      <c r="N674" s="16">
        <v>15030</v>
      </c>
      <c r="O674" s="16">
        <v>15020</v>
      </c>
      <c r="P674" s="16">
        <v>15025</v>
      </c>
      <c r="Q674" s="16">
        <v>15035</v>
      </c>
      <c r="R674" s="16">
        <v>15030</v>
      </c>
      <c r="S674" s="16">
        <v>15045</v>
      </c>
      <c r="T674" s="16">
        <v>15020</v>
      </c>
      <c r="U674" s="15">
        <v>15029.5</v>
      </c>
      <c r="V674" t="s">
        <v>19</v>
      </c>
      <c r="W674" t="s">
        <v>28</v>
      </c>
      <c r="X674">
        <v>677</v>
      </c>
      <c r="Y674" s="16">
        <f>VLOOKUP(Tabela1[[#This Row],[SKU]],SKU!A:D,4,0)</f>
        <v>15000</v>
      </c>
      <c r="Z674" s="18">
        <f>IFERROR((Tabela1[[#This Row],[Média]]-Tabela1[[#This Row],[Meta]])/Tabela1[[#This Row],[Meta]],"")</f>
        <v>1.9666666666666665E-3</v>
      </c>
      <c r="AA674" s="19">
        <f>Tabela1[[#This Row],[Média]]-Tabela1[[#This Row],[Meta]]</f>
        <v>29.5</v>
      </c>
      <c r="AB674" s="6" t="str">
        <f>VLOOKUP(Tabela1[[#This Row],[SKU]],SKU!A:B,2,0)</f>
        <v>COXA SBCX  S/O CG MP</v>
      </c>
      <c r="AC674" s="6" t="str">
        <f>VLOOKUP(Tabela1[[#This Row],[SKU]],SKU!A:C,3,0)</f>
        <v>PERNA</v>
      </c>
    </row>
    <row r="675" spans="1:29" x14ac:dyDescent="0.3">
      <c r="A675" s="2">
        <f>INT(Tabela1[[#This Row],[Data e Hora2]])</f>
        <v>46276</v>
      </c>
      <c r="B675" s="6" t="str">
        <f>UPPER(TEXT(Tabela1[[#This Row],[Data Corrigida]],"MMM"))</f>
        <v>SET</v>
      </c>
      <c r="C675" t="s">
        <v>1748</v>
      </c>
      <c r="D675" s="2" t="s">
        <v>1749</v>
      </c>
      <c r="E675" s="1" t="s">
        <v>1750</v>
      </c>
      <c r="F675" t="s">
        <v>24</v>
      </c>
      <c r="G675" s="2" t="s">
        <v>1674</v>
      </c>
      <c r="H675" t="s">
        <v>26</v>
      </c>
      <c r="I675" t="s">
        <v>57</v>
      </c>
      <c r="J675" s="6">
        <v>15229</v>
      </c>
      <c r="K675" s="16">
        <v>1012</v>
      </c>
      <c r="L675" s="16">
        <v>1010</v>
      </c>
      <c r="M675" s="16">
        <v>1016</v>
      </c>
      <c r="N675" s="16">
        <v>1013</v>
      </c>
      <c r="O675" s="16">
        <v>1010</v>
      </c>
      <c r="P675" s="16">
        <v>1015</v>
      </c>
      <c r="Q675" s="16">
        <v>1009</v>
      </c>
      <c r="R675" s="16">
        <v>1020</v>
      </c>
      <c r="S675" s="16">
        <v>1022</v>
      </c>
      <c r="T675" s="16">
        <v>1020</v>
      </c>
      <c r="U675" s="15">
        <v>1014.7</v>
      </c>
      <c r="V675" t="s">
        <v>19</v>
      </c>
      <c r="W675" t="s">
        <v>28</v>
      </c>
      <c r="X675">
        <v>195</v>
      </c>
      <c r="Y675" s="16">
        <f>VLOOKUP(Tabela1[[#This Row],[SKU]],SKU!A:D,4,0)</f>
        <v>1000</v>
      </c>
      <c r="Z675" s="18">
        <f>IFERROR((Tabela1[[#This Row],[Média]]-Tabela1[[#This Row],[Meta]])/Tabela1[[#This Row],[Meta]],"")</f>
        <v>1.4700000000000045E-2</v>
      </c>
      <c r="AA675" s="19">
        <f>Tabela1[[#This Row],[Média]]-Tabela1[[#This Row],[Meta]]</f>
        <v>14.700000000000045</v>
      </c>
      <c r="AB675" s="6" t="str">
        <f>VLOOKUP(Tabela1[[#This Row],[SKU]],SKU!A:B,2,0)</f>
        <v>COXA CG BDJ SE</v>
      </c>
      <c r="AC675" s="6" t="str">
        <f>VLOOKUP(Tabela1[[#This Row],[SKU]],SKU!A:C,3,0)</f>
        <v>PERNA</v>
      </c>
    </row>
    <row r="676" spans="1:29" x14ac:dyDescent="0.3">
      <c r="A676" s="2">
        <f>INT(Tabela1[[#This Row],[Data e Hora2]])</f>
        <v>46276</v>
      </c>
      <c r="B676" s="6" t="str">
        <f>UPPER(TEXT(Tabela1[[#This Row],[Data Corrigida]],"MMM"))</f>
        <v>SET</v>
      </c>
      <c r="C676" t="s">
        <v>1751</v>
      </c>
      <c r="D676" s="2" t="s">
        <v>1752</v>
      </c>
      <c r="E676" s="1" t="s">
        <v>1750</v>
      </c>
      <c r="F676" t="s">
        <v>24</v>
      </c>
      <c r="G676" s="2" t="s">
        <v>1674</v>
      </c>
      <c r="H676" t="s">
        <v>26</v>
      </c>
      <c r="I676" t="s">
        <v>57</v>
      </c>
      <c r="J676" s="6">
        <v>13188</v>
      </c>
      <c r="K676" s="16">
        <v>1018</v>
      </c>
      <c r="L676" s="16">
        <v>999</v>
      </c>
      <c r="M676" s="16">
        <v>1013</v>
      </c>
      <c r="N676" s="16">
        <v>996</v>
      </c>
      <c r="O676" s="16">
        <v>1015</v>
      </c>
      <c r="P676" s="16">
        <v>1008</v>
      </c>
      <c r="Q676" s="16">
        <v>1016</v>
      </c>
      <c r="R676" s="16">
        <v>1018</v>
      </c>
      <c r="S676" s="16">
        <v>997</v>
      </c>
      <c r="T676" s="16">
        <v>995</v>
      </c>
      <c r="U676" s="15">
        <v>1007.5</v>
      </c>
      <c r="V676" t="s">
        <v>19</v>
      </c>
      <c r="W676" t="s">
        <v>28</v>
      </c>
      <c r="X676">
        <v>87</v>
      </c>
      <c r="Y676" s="16">
        <f>VLOOKUP(Tabela1[[#This Row],[SKU]],SKU!A:D,4,0)</f>
        <v>1000</v>
      </c>
      <c r="Z676" s="18">
        <f>IFERROR((Tabela1[[#This Row],[Média]]-Tabela1[[#This Row],[Meta]])/Tabela1[[#This Row],[Meta]],"")</f>
        <v>7.4999999999999997E-3</v>
      </c>
      <c r="AA676" s="19">
        <f>Tabela1[[#This Row],[Média]]-Tabela1[[#This Row],[Meta]]</f>
        <v>7.5</v>
      </c>
      <c r="AB676" s="6" t="str">
        <f>VLOOKUP(Tabela1[[#This Row],[SKU]],SKU!A:B,2,0)</f>
        <v>SOBRECOXA CG BDJ SE</v>
      </c>
      <c r="AC676" s="6" t="str">
        <f>VLOOKUP(Tabela1[[#This Row],[SKU]],SKU!A:C,3,0)</f>
        <v>PERNA</v>
      </c>
    </row>
    <row r="677" spans="1:29" x14ac:dyDescent="0.3">
      <c r="A677" s="2">
        <f>INT(Tabela1[[#This Row],[Data e Hora2]])</f>
        <v>46276</v>
      </c>
      <c r="B677" s="6" t="str">
        <f>UPPER(TEXT(Tabela1[[#This Row],[Data Corrigida]],"MMM"))</f>
        <v>SET</v>
      </c>
      <c r="C677" t="s">
        <v>1753</v>
      </c>
      <c r="D677" s="2" t="s">
        <v>1754</v>
      </c>
      <c r="E677" s="1" t="s">
        <v>1750</v>
      </c>
      <c r="F677" t="s">
        <v>24</v>
      </c>
      <c r="G677" s="2" t="s">
        <v>1674</v>
      </c>
      <c r="H677" t="s">
        <v>26</v>
      </c>
      <c r="I677" t="s">
        <v>57</v>
      </c>
      <c r="J677" s="6">
        <v>13188</v>
      </c>
      <c r="K677" s="16">
        <v>998</v>
      </c>
      <c r="L677" s="16">
        <v>998</v>
      </c>
      <c r="M677" s="16">
        <v>1019</v>
      </c>
      <c r="N677" s="16">
        <v>1011</v>
      </c>
      <c r="O677" s="16">
        <v>1010</v>
      </c>
      <c r="P677" s="16">
        <v>1014</v>
      </c>
      <c r="Q677" s="16">
        <v>1005</v>
      </c>
      <c r="R677" s="16">
        <v>999</v>
      </c>
      <c r="S677" s="16">
        <v>1006</v>
      </c>
      <c r="T677" s="16">
        <v>1014</v>
      </c>
      <c r="U677" s="15">
        <v>1007.4</v>
      </c>
      <c r="V677" t="s">
        <v>19</v>
      </c>
      <c r="W677" t="s">
        <v>28</v>
      </c>
      <c r="X677">
        <v>258</v>
      </c>
      <c r="Y677" s="16">
        <f>VLOOKUP(Tabela1[[#This Row],[SKU]],SKU!A:D,4,0)</f>
        <v>1000</v>
      </c>
      <c r="Z677" s="18">
        <f>IFERROR((Tabela1[[#This Row],[Média]]-Tabela1[[#This Row],[Meta]])/Tabela1[[#This Row],[Meta]],"")</f>
        <v>7.3999999999999769E-3</v>
      </c>
      <c r="AA677" s="19">
        <f>Tabela1[[#This Row],[Média]]-Tabela1[[#This Row],[Meta]]</f>
        <v>7.3999999999999773</v>
      </c>
      <c r="AB677" s="6" t="str">
        <f>VLOOKUP(Tabela1[[#This Row],[SKU]],SKU!A:B,2,0)</f>
        <v>SOBRECOXA CG BDJ SE</v>
      </c>
      <c r="AC677" s="6" t="str">
        <f>VLOOKUP(Tabela1[[#This Row],[SKU]],SKU!A:C,3,0)</f>
        <v>PERNA</v>
      </c>
    </row>
    <row r="678" spans="1:29" x14ac:dyDescent="0.3">
      <c r="A678" s="2">
        <f>INT(Tabela1[[#This Row],[Data e Hora2]])</f>
        <v>46276</v>
      </c>
      <c r="B678" s="6" t="str">
        <f>UPPER(TEXT(Tabela1[[#This Row],[Data Corrigida]],"MMM"))</f>
        <v>SET</v>
      </c>
      <c r="C678" t="s">
        <v>1755</v>
      </c>
      <c r="D678" s="2" t="s">
        <v>1756</v>
      </c>
      <c r="E678" s="1" t="s">
        <v>1757</v>
      </c>
      <c r="F678" t="s">
        <v>24</v>
      </c>
      <c r="G678" s="2" t="s">
        <v>1674</v>
      </c>
      <c r="H678" t="s">
        <v>26</v>
      </c>
      <c r="I678" t="s">
        <v>57</v>
      </c>
      <c r="J678" s="6">
        <v>15105</v>
      </c>
      <c r="K678" s="16">
        <v>1018</v>
      </c>
      <c r="L678" s="16">
        <v>996</v>
      </c>
      <c r="M678" s="16">
        <v>1000</v>
      </c>
      <c r="N678" s="16">
        <v>1018</v>
      </c>
      <c r="O678" s="16">
        <v>1069</v>
      </c>
      <c r="P678" s="16">
        <v>1028</v>
      </c>
      <c r="Q678" s="16">
        <v>1014</v>
      </c>
      <c r="R678" s="16">
        <v>1012</v>
      </c>
      <c r="S678" s="16">
        <v>1007</v>
      </c>
      <c r="T678" s="16">
        <v>991</v>
      </c>
      <c r="U678" s="15">
        <v>1015.3</v>
      </c>
      <c r="V678" t="s">
        <v>19</v>
      </c>
      <c r="W678" t="s">
        <v>28</v>
      </c>
      <c r="X678">
        <v>920</v>
      </c>
      <c r="Y678" s="16">
        <f>VLOOKUP(Tabela1[[#This Row],[SKU]],SKU!A:D,4,0)</f>
        <v>1000</v>
      </c>
      <c r="Z678" s="18">
        <f>IFERROR((Tabela1[[#This Row],[Média]]-Tabela1[[#This Row],[Meta]])/Tabela1[[#This Row],[Meta]],"")</f>
        <v>1.5299999999999954E-2</v>
      </c>
      <c r="AA678" s="19">
        <f>Tabela1[[#This Row],[Média]]-Tabela1[[#This Row],[Meta]]</f>
        <v>15.299999999999955</v>
      </c>
      <c r="AB678" s="6" t="str">
        <f>VLOOKUP(Tabela1[[#This Row],[SKU]],SKU!A:B,2,0)</f>
        <v>FILE PEITO MET CG BDJ SE</v>
      </c>
      <c r="AC678" s="6" t="str">
        <f>VLOOKUP(Tabela1[[#This Row],[SKU]],SKU!A:C,3,0)</f>
        <v>PEITO</v>
      </c>
    </row>
    <row r="679" spans="1:29" x14ac:dyDescent="0.3">
      <c r="A679" s="2">
        <f>INT(Tabela1[[#This Row],[Data e Hora2]])</f>
        <v>46276</v>
      </c>
      <c r="B679" s="6" t="str">
        <f>UPPER(TEXT(Tabela1[[#This Row],[Data Corrigida]],"MMM"))</f>
        <v>SET</v>
      </c>
      <c r="C679" t="s">
        <v>1758</v>
      </c>
      <c r="D679" s="2" t="s">
        <v>1759</v>
      </c>
      <c r="E679" s="1" t="s">
        <v>1760</v>
      </c>
      <c r="F679" t="s">
        <v>24</v>
      </c>
      <c r="G679" s="2" t="s">
        <v>1674</v>
      </c>
      <c r="H679" t="s">
        <v>26</v>
      </c>
      <c r="I679" t="s">
        <v>57</v>
      </c>
      <c r="J679" s="6">
        <v>15105</v>
      </c>
      <c r="K679" s="16">
        <v>970</v>
      </c>
      <c r="L679" s="16">
        <v>1020</v>
      </c>
      <c r="M679" s="16">
        <v>996</v>
      </c>
      <c r="N679" s="16">
        <v>1014</v>
      </c>
      <c r="O679" s="16">
        <v>1051</v>
      </c>
      <c r="P679" s="16">
        <v>1002</v>
      </c>
      <c r="Q679" s="16">
        <v>1060</v>
      </c>
      <c r="R679" s="16">
        <v>1023</v>
      </c>
      <c r="S679" s="16">
        <v>1049</v>
      </c>
      <c r="T679" s="16">
        <v>1056</v>
      </c>
      <c r="U679" s="15">
        <v>1024.0999999999999</v>
      </c>
      <c r="V679" t="s">
        <v>19</v>
      </c>
      <c r="W679" t="s">
        <v>28</v>
      </c>
      <c r="X679">
        <v>275</v>
      </c>
      <c r="Y679" s="16">
        <f>VLOOKUP(Tabela1[[#This Row],[SKU]],SKU!A:D,4,0)</f>
        <v>1000</v>
      </c>
      <c r="Z679" s="18">
        <f>IFERROR((Tabela1[[#This Row],[Média]]-Tabela1[[#This Row],[Meta]])/Tabela1[[#This Row],[Meta]],"")</f>
        <v>2.409999999999991E-2</v>
      </c>
      <c r="AA679" s="19">
        <f>Tabela1[[#This Row],[Média]]-Tabela1[[#This Row],[Meta]]</f>
        <v>24.099999999999909</v>
      </c>
      <c r="AB679" s="6" t="str">
        <f>VLOOKUP(Tabela1[[#This Row],[SKU]],SKU!A:B,2,0)</f>
        <v>FILE PEITO MET CG BDJ SE</v>
      </c>
      <c r="AC679" s="6" t="str">
        <f>VLOOKUP(Tabela1[[#This Row],[SKU]],SKU!A:C,3,0)</f>
        <v>PEITO</v>
      </c>
    </row>
    <row r="680" spans="1:29" x14ac:dyDescent="0.3">
      <c r="A680" s="2">
        <f>INT(Tabela1[[#This Row],[Data e Hora2]])</f>
        <v>46276</v>
      </c>
      <c r="B680" s="6" t="str">
        <f>UPPER(TEXT(Tabela1[[#This Row],[Data Corrigida]],"MMM"))</f>
        <v>SET</v>
      </c>
      <c r="C680" t="s">
        <v>1761</v>
      </c>
      <c r="D680" s="2" t="s">
        <v>1762</v>
      </c>
      <c r="E680" s="1" t="s">
        <v>1763</v>
      </c>
      <c r="F680" t="s">
        <v>24</v>
      </c>
      <c r="G680" s="2" t="s">
        <v>1674</v>
      </c>
      <c r="H680" t="s">
        <v>26</v>
      </c>
      <c r="I680" t="s">
        <v>57</v>
      </c>
      <c r="J680" s="6">
        <v>42846</v>
      </c>
      <c r="K680" s="16">
        <v>1986</v>
      </c>
      <c r="L680" s="16">
        <v>2007</v>
      </c>
      <c r="M680" s="16">
        <v>1988</v>
      </c>
      <c r="N680" s="16">
        <v>2027</v>
      </c>
      <c r="O680" s="16">
        <v>2001</v>
      </c>
      <c r="P680" s="16">
        <v>2002</v>
      </c>
      <c r="Q680" s="16">
        <v>1976</v>
      </c>
      <c r="R680" s="16">
        <v>2009</v>
      </c>
      <c r="S680" s="16">
        <v>2013</v>
      </c>
      <c r="T680" s="16">
        <v>2006</v>
      </c>
      <c r="U680" s="15">
        <v>2001.5</v>
      </c>
      <c r="V680" t="s">
        <v>19</v>
      </c>
      <c r="W680" t="s">
        <v>28</v>
      </c>
      <c r="X680">
        <v>355</v>
      </c>
      <c r="Y680" s="16">
        <f>VLOOKUP(Tabela1[[#This Row],[SKU]],SKU!A:D,4,0)</f>
        <v>2000</v>
      </c>
      <c r="Z680" s="18">
        <f>IFERROR((Tabela1[[#This Row],[Média]]-Tabela1[[#This Row],[Meta]])/Tabela1[[#This Row],[Meta]],"")</f>
        <v>7.5000000000000002E-4</v>
      </c>
      <c r="AA680" s="19">
        <f>Tabela1[[#This Row],[Média]]-Tabela1[[#This Row],[Meta]]</f>
        <v>1.5</v>
      </c>
      <c r="AB680" s="6" t="str">
        <f>VLOOKUP(Tabela1[[#This Row],[SKU]],SKU!A:B,2,0)</f>
        <v>COXA SBCX S/O FG 240-260g PB</v>
      </c>
      <c r="AC680" s="6" t="str">
        <f>VLOOKUP(Tabela1[[#This Row],[SKU]],SKU!A:C,3,0)</f>
        <v>PERNA</v>
      </c>
    </row>
    <row r="681" spans="1:29" x14ac:dyDescent="0.3">
      <c r="A681" s="2">
        <f>INT(Tabela1[[#This Row],[Data e Hora2]])</f>
        <v>46276</v>
      </c>
      <c r="B681" s="6" t="str">
        <f>UPPER(TEXT(Tabela1[[#This Row],[Data Corrigida]],"MMM"))</f>
        <v>SET</v>
      </c>
      <c r="C681" t="s">
        <v>1764</v>
      </c>
      <c r="D681" s="2" t="s">
        <v>1765</v>
      </c>
      <c r="E681" s="1" t="s">
        <v>1763</v>
      </c>
      <c r="F681" t="s">
        <v>24</v>
      </c>
      <c r="G681" s="2" t="s">
        <v>1674</v>
      </c>
      <c r="H681" t="s">
        <v>26</v>
      </c>
      <c r="I681" t="s">
        <v>57</v>
      </c>
      <c r="J681" s="6">
        <v>42862</v>
      </c>
      <c r="K681" s="16">
        <v>2012</v>
      </c>
      <c r="L681" s="16">
        <v>2019</v>
      </c>
      <c r="M681" s="16">
        <v>2012</v>
      </c>
      <c r="N681" s="16">
        <v>2013</v>
      </c>
      <c r="O681" s="16">
        <v>2025</v>
      </c>
      <c r="P681" s="16">
        <v>2023</v>
      </c>
      <c r="Q681" s="16">
        <v>2015</v>
      </c>
      <c r="R681" s="16">
        <v>2015</v>
      </c>
      <c r="S681" s="16">
        <v>2006</v>
      </c>
      <c r="T681" s="16">
        <v>1995</v>
      </c>
      <c r="U681" s="15">
        <v>2013.5</v>
      </c>
      <c r="V681" t="s">
        <v>19</v>
      </c>
      <c r="W681" t="s">
        <v>28</v>
      </c>
      <c r="X681">
        <v>711</v>
      </c>
      <c r="Y681" s="16">
        <f>VLOOKUP(Tabela1[[#This Row],[SKU]],SKU!A:D,4,0)</f>
        <v>2000</v>
      </c>
      <c r="Z681" s="18">
        <f>IFERROR((Tabela1[[#This Row],[Média]]-Tabela1[[#This Row],[Meta]])/Tabela1[[#This Row],[Meta]],"")</f>
        <v>6.7499999999999999E-3</v>
      </c>
      <c r="AA681" s="19">
        <f>Tabela1[[#This Row],[Média]]-Tabela1[[#This Row],[Meta]]</f>
        <v>13.5</v>
      </c>
      <c r="AB681" s="6" t="str">
        <f>VLOOKUP(Tabela1[[#This Row],[SKU]],SKU!A:B,2,0)</f>
        <v>COXA SBCX S/O FG 280-300g PB</v>
      </c>
      <c r="AC681" s="6" t="str">
        <f>VLOOKUP(Tabela1[[#This Row],[SKU]],SKU!A:C,3,0)</f>
        <v>PERNA</v>
      </c>
    </row>
    <row r="682" spans="1:29" x14ac:dyDescent="0.3">
      <c r="A682" s="2">
        <f>INT(Tabela1[[#This Row],[Data e Hora2]])</f>
        <v>46276</v>
      </c>
      <c r="B682" s="6" t="str">
        <f>UPPER(TEXT(Tabela1[[#This Row],[Data Corrigida]],"MMM"))</f>
        <v>SET</v>
      </c>
      <c r="C682" t="s">
        <v>1766</v>
      </c>
      <c r="D682" s="2" t="s">
        <v>1767</v>
      </c>
      <c r="E682" s="1" t="s">
        <v>1763</v>
      </c>
      <c r="F682" t="s">
        <v>24</v>
      </c>
      <c r="G682" s="2" t="s">
        <v>1674</v>
      </c>
      <c r="H682" t="s">
        <v>26</v>
      </c>
      <c r="I682" t="s">
        <v>57</v>
      </c>
      <c r="J682" s="6">
        <v>42838</v>
      </c>
      <c r="K682" s="16">
        <v>2014</v>
      </c>
      <c r="L682" s="16">
        <v>2042</v>
      </c>
      <c r="M682" s="16">
        <v>2043</v>
      </c>
      <c r="N682" s="16">
        <v>2040</v>
      </c>
      <c r="O682" s="16">
        <v>2024</v>
      </c>
      <c r="P682" s="16">
        <v>2027</v>
      </c>
      <c r="Q682" s="16">
        <v>2037</v>
      </c>
      <c r="R682" s="16">
        <v>2006</v>
      </c>
      <c r="S682" s="16">
        <v>2011</v>
      </c>
      <c r="T682" s="16">
        <v>2030</v>
      </c>
      <c r="U682" s="15">
        <v>2027.4</v>
      </c>
      <c r="V682" t="s">
        <v>19</v>
      </c>
      <c r="W682" t="s">
        <v>28</v>
      </c>
      <c r="X682">
        <v>810</v>
      </c>
      <c r="Y682" s="16">
        <f>VLOOKUP(Tabela1[[#This Row],[SKU]],SKU!A:D,4,0)</f>
        <v>2000</v>
      </c>
      <c r="Z682" s="18">
        <f>IFERROR((Tabela1[[#This Row],[Média]]-Tabela1[[#This Row],[Meta]])/Tabela1[[#This Row],[Meta]],"")</f>
        <v>1.3700000000000045E-2</v>
      </c>
      <c r="AA682" s="19">
        <f>Tabela1[[#This Row],[Média]]-Tabela1[[#This Row],[Meta]]</f>
        <v>27.400000000000091</v>
      </c>
      <c r="AB682" s="6" t="str">
        <f>VLOOKUP(Tabela1[[#This Row],[SKU]],SKU!A:B,2,0)</f>
        <v>COXA SBCX S/O FG 220-240g PB</v>
      </c>
      <c r="AC682" s="6" t="str">
        <f>VLOOKUP(Tabela1[[#This Row],[SKU]],SKU!A:C,3,0)</f>
        <v>PERNA</v>
      </c>
    </row>
    <row r="683" spans="1:29" x14ac:dyDescent="0.3">
      <c r="A683" s="2">
        <f>INT(Tabela1[[#This Row],[Data e Hora2]])</f>
        <v>46276</v>
      </c>
      <c r="B683" s="6" t="str">
        <f>UPPER(TEXT(Tabela1[[#This Row],[Data Corrigida]],"MMM"))</f>
        <v>SET</v>
      </c>
      <c r="C683" t="s">
        <v>1768</v>
      </c>
      <c r="D683" s="2" t="s">
        <v>1769</v>
      </c>
      <c r="E683" s="1" t="s">
        <v>1763</v>
      </c>
      <c r="F683" t="s">
        <v>24</v>
      </c>
      <c r="G683" s="2" t="s">
        <v>1674</v>
      </c>
      <c r="H683" t="s">
        <v>26</v>
      </c>
      <c r="I683" t="s">
        <v>57</v>
      </c>
      <c r="J683" s="6">
        <v>42854</v>
      </c>
      <c r="K683" s="16">
        <v>2104</v>
      </c>
      <c r="L683" s="16">
        <v>2113</v>
      </c>
      <c r="M683" s="16">
        <v>2115</v>
      </c>
      <c r="N683" s="16">
        <v>2080</v>
      </c>
      <c r="O683" s="16">
        <v>2132</v>
      </c>
      <c r="P683" s="16">
        <v>2116</v>
      </c>
      <c r="Q683" s="16">
        <v>2099</v>
      </c>
      <c r="R683" s="16">
        <v>2107</v>
      </c>
      <c r="S683" s="16">
        <v>2111</v>
      </c>
      <c r="T683" s="16">
        <v>2124</v>
      </c>
      <c r="U683" s="15">
        <v>2110.1</v>
      </c>
      <c r="V683" t="s">
        <v>19</v>
      </c>
      <c r="W683" t="s">
        <v>28</v>
      </c>
      <c r="X683">
        <v>949</v>
      </c>
      <c r="Y683" s="16">
        <f>VLOOKUP(Tabela1[[#This Row],[SKU]],SKU!A:D,4,0)</f>
        <v>2080</v>
      </c>
      <c r="Z683" s="18">
        <f>IFERROR((Tabela1[[#This Row],[Média]]-Tabela1[[#This Row],[Meta]])/Tabela1[[#This Row],[Meta]],"")</f>
        <v>1.4471153846153802E-2</v>
      </c>
      <c r="AA683" s="19">
        <f>Tabela1[[#This Row],[Média]]-Tabela1[[#This Row],[Meta]]</f>
        <v>30.099999999999909</v>
      </c>
      <c r="AB683" s="6" t="str">
        <f>VLOOKUP(Tabela1[[#This Row],[SKU]],SKU!A:B,2,0)</f>
        <v>COXA SBCX S/O FG 260-280g PB</v>
      </c>
      <c r="AC683" s="6" t="str">
        <f>VLOOKUP(Tabela1[[#This Row],[SKU]],SKU!A:C,3,0)</f>
        <v>PERNA</v>
      </c>
    </row>
    <row r="684" spans="1:29" x14ac:dyDescent="0.3">
      <c r="A684" s="2">
        <f>INT(Tabela1[[#This Row],[Data e Hora2]])</f>
        <v>46276</v>
      </c>
      <c r="B684" s="6" t="str">
        <f>UPPER(TEXT(Tabela1[[#This Row],[Data Corrigida]],"MMM"))</f>
        <v>SET</v>
      </c>
      <c r="C684" t="s">
        <v>1770</v>
      </c>
      <c r="D684" s="2" t="s">
        <v>1771</v>
      </c>
      <c r="E684" s="1" t="s">
        <v>1763</v>
      </c>
      <c r="F684" t="s">
        <v>24</v>
      </c>
      <c r="G684" s="2" t="s">
        <v>1674</v>
      </c>
      <c r="H684" t="s">
        <v>26</v>
      </c>
      <c r="I684" t="s">
        <v>57</v>
      </c>
      <c r="J684" s="6">
        <v>40762</v>
      </c>
      <c r="K684" s="16">
        <v>10030</v>
      </c>
      <c r="L684" s="16">
        <v>10025</v>
      </c>
      <c r="M684" s="16">
        <v>10010</v>
      </c>
      <c r="N684" s="16">
        <v>9990</v>
      </c>
      <c r="O684" s="16">
        <v>10060</v>
      </c>
      <c r="P684" s="16">
        <v>10045</v>
      </c>
      <c r="Q684" s="16">
        <v>9955</v>
      </c>
      <c r="R684" s="16">
        <v>10050</v>
      </c>
      <c r="S684" s="16">
        <v>9990</v>
      </c>
      <c r="T684" s="16">
        <v>9960</v>
      </c>
      <c r="U684" s="15">
        <v>10011.5</v>
      </c>
      <c r="V684" t="s">
        <v>19</v>
      </c>
      <c r="W684" t="s">
        <v>28</v>
      </c>
      <c r="X684">
        <v>300</v>
      </c>
      <c r="Y684" s="16">
        <f>VLOOKUP(Tabela1[[#This Row],[SKU]],SKU!A:D,4,0)</f>
        <v>10000</v>
      </c>
      <c r="Z684" s="18">
        <f>IFERROR((Tabela1[[#This Row],[Média]]-Tabela1[[#This Row],[Meta]])/Tabela1[[#This Row],[Meta]],"")</f>
        <v>1.15E-3</v>
      </c>
      <c r="AA684" s="19">
        <f>Tabela1[[#This Row],[Média]]-Tabela1[[#This Row],[Meta]]</f>
        <v>11.5</v>
      </c>
      <c r="AB684" s="6" t="str">
        <f>VLOOKUP(Tabela1[[#This Row],[SKU]],SKU!A:B,2,0)</f>
        <v>COXA SBCX LQ FG LP</v>
      </c>
      <c r="AC684" s="6" t="str">
        <f>VLOOKUP(Tabela1[[#This Row],[SKU]],SKU!A:C,3,0)</f>
        <v>PERNA</v>
      </c>
    </row>
    <row r="685" spans="1:29" x14ac:dyDescent="0.3">
      <c r="A685" s="2">
        <f>INT(Tabela1[[#This Row],[Data e Hora2]])</f>
        <v>46276</v>
      </c>
      <c r="B685" s="6" t="str">
        <f>UPPER(TEXT(Tabela1[[#This Row],[Data Corrigida]],"MMM"))</f>
        <v>SET</v>
      </c>
      <c r="C685" t="s">
        <v>1772</v>
      </c>
      <c r="D685" s="2" t="s">
        <v>1773</v>
      </c>
      <c r="E685" s="1" t="s">
        <v>1763</v>
      </c>
      <c r="F685" t="s">
        <v>24</v>
      </c>
      <c r="G685" s="2" t="s">
        <v>1674</v>
      </c>
      <c r="H685" t="s">
        <v>26</v>
      </c>
      <c r="I685" t="s">
        <v>57</v>
      </c>
      <c r="J685" s="6">
        <v>40762</v>
      </c>
      <c r="K685" s="16">
        <v>9955</v>
      </c>
      <c r="L685" s="16">
        <v>9990</v>
      </c>
      <c r="M685" s="16">
        <v>9980</v>
      </c>
      <c r="N685" s="16">
        <v>10110</v>
      </c>
      <c r="O685" s="16">
        <v>10020</v>
      </c>
      <c r="P685" s="16">
        <v>10000</v>
      </c>
      <c r="Q685" s="16">
        <v>9970</v>
      </c>
      <c r="R685" s="16">
        <v>9960</v>
      </c>
      <c r="S685" s="16">
        <v>10005</v>
      </c>
      <c r="T685" s="16">
        <v>9975</v>
      </c>
      <c r="U685" s="15">
        <v>9996.5</v>
      </c>
      <c r="V685" t="s">
        <v>19</v>
      </c>
      <c r="W685" t="s">
        <v>28</v>
      </c>
      <c r="X685">
        <v>505</v>
      </c>
      <c r="Y685" s="16">
        <f>VLOOKUP(Tabela1[[#This Row],[SKU]],SKU!A:D,4,0)</f>
        <v>10000</v>
      </c>
      <c r="Z685" s="18">
        <f>IFERROR((Tabela1[[#This Row],[Média]]-Tabela1[[#This Row],[Meta]])/Tabela1[[#This Row],[Meta]],"")</f>
        <v>-3.5E-4</v>
      </c>
      <c r="AA685" s="19">
        <f>Tabela1[[#This Row],[Média]]-Tabela1[[#This Row],[Meta]]</f>
        <v>-3.5</v>
      </c>
      <c r="AB685" s="6" t="str">
        <f>VLOOKUP(Tabela1[[#This Row],[SKU]],SKU!A:B,2,0)</f>
        <v>COXA SBCX LQ FG LP</v>
      </c>
      <c r="AC685" s="6" t="str">
        <f>VLOOKUP(Tabela1[[#This Row],[SKU]],SKU!A:C,3,0)</f>
        <v>PERNA</v>
      </c>
    </row>
    <row r="686" spans="1:29" x14ac:dyDescent="0.3">
      <c r="A686" s="2">
        <f>INT(Tabela1[[#This Row],[Data e Hora2]])</f>
        <v>46276</v>
      </c>
      <c r="B686" s="6" t="str">
        <f>UPPER(TEXT(Tabela1[[#This Row],[Data Corrigida]],"MMM"))</f>
        <v>SET</v>
      </c>
      <c r="C686" t="s">
        <v>1774</v>
      </c>
      <c r="D686" s="2" t="s">
        <v>1775</v>
      </c>
      <c r="E686" s="1" t="s">
        <v>1763</v>
      </c>
      <c r="F686" t="s">
        <v>24</v>
      </c>
      <c r="G686" s="2" t="s">
        <v>1674</v>
      </c>
      <c r="H686" t="s">
        <v>26</v>
      </c>
      <c r="I686" t="s">
        <v>57</v>
      </c>
      <c r="J686" s="6">
        <v>15105</v>
      </c>
      <c r="K686" s="16">
        <v>1011</v>
      </c>
      <c r="L686" s="16">
        <v>1031</v>
      </c>
      <c r="M686" s="16">
        <v>1003</v>
      </c>
      <c r="N686" s="16">
        <v>1011</v>
      </c>
      <c r="O686" s="16">
        <v>1038</v>
      </c>
      <c r="P686" s="16">
        <v>1060</v>
      </c>
      <c r="Q686" s="16">
        <v>1019</v>
      </c>
      <c r="R686" s="16">
        <v>1028</v>
      </c>
      <c r="S686" s="16">
        <v>1017</v>
      </c>
      <c r="T686" s="16">
        <v>1037</v>
      </c>
      <c r="U686" s="15">
        <v>1025.5</v>
      </c>
      <c r="V686" t="s">
        <v>19</v>
      </c>
      <c r="W686" t="s">
        <v>28</v>
      </c>
      <c r="X686">
        <v>347</v>
      </c>
      <c r="Y686" s="16">
        <f>VLOOKUP(Tabela1[[#This Row],[SKU]],SKU!A:D,4,0)</f>
        <v>1000</v>
      </c>
      <c r="Z686" s="18">
        <f>IFERROR((Tabela1[[#This Row],[Média]]-Tabela1[[#This Row],[Meta]])/Tabela1[[#This Row],[Meta]],"")</f>
        <v>2.5499999999999998E-2</v>
      </c>
      <c r="AA686" s="19">
        <f>Tabela1[[#This Row],[Média]]-Tabela1[[#This Row],[Meta]]</f>
        <v>25.5</v>
      </c>
      <c r="AB686" s="6" t="str">
        <f>VLOOKUP(Tabela1[[#This Row],[SKU]],SKU!A:B,2,0)</f>
        <v>FILE PEITO MET CG BDJ SE</v>
      </c>
      <c r="AC686" s="6" t="str">
        <f>VLOOKUP(Tabela1[[#This Row],[SKU]],SKU!A:C,3,0)</f>
        <v>PEITO</v>
      </c>
    </row>
    <row r="687" spans="1:29" x14ac:dyDescent="0.3">
      <c r="A687" s="2">
        <f>INT(Tabela1[[#This Row],[Data e Hora2]])</f>
        <v>46275</v>
      </c>
      <c r="B687" s="6" t="str">
        <f>UPPER(TEXT(Tabela1[[#This Row],[Data Corrigida]],"MMM"))</f>
        <v>SET</v>
      </c>
      <c r="C687" t="s">
        <v>1776</v>
      </c>
      <c r="D687" s="2" t="s">
        <v>1777</v>
      </c>
      <c r="E687" s="1" t="s">
        <v>1778</v>
      </c>
      <c r="F687" t="s">
        <v>24</v>
      </c>
      <c r="G687" s="2" t="s">
        <v>1436</v>
      </c>
      <c r="H687" t="s">
        <v>142</v>
      </c>
      <c r="I687" t="s">
        <v>143</v>
      </c>
      <c r="J687" s="6">
        <v>15105</v>
      </c>
      <c r="K687" s="16">
        <v>1011</v>
      </c>
      <c r="L687" s="16">
        <v>1027</v>
      </c>
      <c r="M687" s="16">
        <v>1005</v>
      </c>
      <c r="N687" s="16">
        <v>1004</v>
      </c>
      <c r="O687" s="16">
        <v>1010</v>
      </c>
      <c r="P687" s="16">
        <v>1039</v>
      </c>
      <c r="Q687" s="16">
        <v>1015</v>
      </c>
      <c r="R687" s="16">
        <v>1013</v>
      </c>
      <c r="S687" s="16">
        <v>1025</v>
      </c>
      <c r="T687" s="16">
        <v>998</v>
      </c>
      <c r="U687" s="15">
        <v>1014.7</v>
      </c>
      <c r="V687" t="s">
        <v>19</v>
      </c>
      <c r="W687" t="s">
        <v>28</v>
      </c>
      <c r="X687">
        <v>90642</v>
      </c>
      <c r="Y687" s="16">
        <f>VLOOKUP(Tabela1[[#This Row],[SKU]],SKU!A:D,4,0)</f>
        <v>1000</v>
      </c>
      <c r="Z687" s="18">
        <f>IFERROR((Tabela1[[#This Row],[Média]]-Tabela1[[#This Row],[Meta]])/Tabela1[[#This Row],[Meta]],"")</f>
        <v>1.4700000000000045E-2</v>
      </c>
      <c r="AA687" s="19">
        <f>Tabela1[[#This Row],[Média]]-Tabela1[[#This Row],[Meta]]</f>
        <v>14.700000000000045</v>
      </c>
      <c r="AB687" s="6" t="str">
        <f>VLOOKUP(Tabela1[[#This Row],[SKU]],SKU!A:B,2,0)</f>
        <v>FILE PEITO MET CG BDJ SE</v>
      </c>
      <c r="AC687" s="6" t="str">
        <f>VLOOKUP(Tabela1[[#This Row],[SKU]],SKU!A:C,3,0)</f>
        <v>PEITO</v>
      </c>
    </row>
    <row r="688" spans="1:29" x14ac:dyDescent="0.3">
      <c r="A688" s="2">
        <f>INT(Tabela1[[#This Row],[Data e Hora2]])</f>
        <v>46279</v>
      </c>
      <c r="B688" s="6" t="str">
        <f>UPPER(TEXT(Tabela1[[#This Row],[Data Corrigida]],"MMM"))</f>
        <v>SET</v>
      </c>
      <c r="C688" s="26" t="s">
        <v>1779</v>
      </c>
      <c r="D688" s="2" t="s">
        <v>1780</v>
      </c>
      <c r="E688" s="1" t="s">
        <v>1781</v>
      </c>
      <c r="F688" t="s">
        <v>24</v>
      </c>
      <c r="G688" s="2" t="s">
        <v>1782</v>
      </c>
      <c r="H688" t="s">
        <v>26</v>
      </c>
      <c r="I688" t="s">
        <v>27</v>
      </c>
      <c r="J688" s="6">
        <v>15229</v>
      </c>
      <c r="K688" s="16">
        <v>997</v>
      </c>
      <c r="L688" s="16">
        <v>1015</v>
      </c>
      <c r="M688" s="16">
        <v>1011</v>
      </c>
      <c r="N688" s="16">
        <v>997</v>
      </c>
      <c r="O688" s="16">
        <v>992</v>
      </c>
      <c r="P688" s="16">
        <v>1009</v>
      </c>
      <c r="Q688" s="16">
        <v>1009</v>
      </c>
      <c r="R688" s="16">
        <v>1010</v>
      </c>
      <c r="S688" s="16">
        <v>1000</v>
      </c>
      <c r="T688" s="16">
        <v>1010</v>
      </c>
      <c r="U688" s="15">
        <v>1005</v>
      </c>
      <c r="V688" t="s">
        <v>19</v>
      </c>
      <c r="W688" t="s">
        <v>28</v>
      </c>
      <c r="X688">
        <v>5482</v>
      </c>
      <c r="Y688" s="16">
        <f>VLOOKUP(Tabela1[[#This Row],[SKU]],SKU!A:D,4,0)</f>
        <v>1000</v>
      </c>
      <c r="Z688" s="18">
        <f>IFERROR((Tabela1[[#This Row],[Média]]-Tabela1[[#This Row],[Meta]])/Tabela1[[#This Row],[Meta]],"")</f>
        <v>5.0000000000000001E-3</v>
      </c>
      <c r="AA688" s="27">
        <f>Tabela1[[#This Row],[Média]]-Tabela1[[#This Row],[Meta]]</f>
        <v>5</v>
      </c>
      <c r="AB688" s="6" t="str">
        <f>VLOOKUP(Tabela1[[#This Row],[SKU]],SKU!A:B,2,0)</f>
        <v>COXA CG BDJ SE</v>
      </c>
      <c r="AC688" s="6" t="str">
        <f>VLOOKUP(Tabela1[[#This Row],[SKU]],SKU!A:C,3,0)</f>
        <v>PERNA</v>
      </c>
    </row>
    <row r="689" spans="1:29" x14ac:dyDescent="0.3">
      <c r="A689" s="2">
        <f>INT(Tabela1[[#This Row],[Data e Hora2]])</f>
        <v>46279</v>
      </c>
      <c r="B689" s="6" t="str">
        <f>UPPER(TEXT(Tabela1[[#This Row],[Data Corrigida]],"MMM"))</f>
        <v>SET</v>
      </c>
      <c r="C689" t="s">
        <v>1783</v>
      </c>
      <c r="D689" s="2" t="s">
        <v>1784</v>
      </c>
      <c r="E689" s="1" t="s">
        <v>1781</v>
      </c>
      <c r="F689" t="s">
        <v>24</v>
      </c>
      <c r="G689" s="2" t="s">
        <v>1782</v>
      </c>
      <c r="H689" t="s">
        <v>26</v>
      </c>
      <c r="I689" t="s">
        <v>27</v>
      </c>
      <c r="J689" s="6">
        <v>13188</v>
      </c>
      <c r="K689" s="16">
        <v>1002</v>
      </c>
      <c r="L689" s="16">
        <v>1008</v>
      </c>
      <c r="M689" s="16">
        <v>992</v>
      </c>
      <c r="N689" s="16">
        <v>1009</v>
      </c>
      <c r="O689" s="16">
        <v>1005</v>
      </c>
      <c r="P689" s="16">
        <v>1001</v>
      </c>
      <c r="Q689" s="16">
        <v>1013</v>
      </c>
      <c r="R689" s="16">
        <v>1009</v>
      </c>
      <c r="S689" s="16">
        <v>1004</v>
      </c>
      <c r="T689" s="16">
        <v>998</v>
      </c>
      <c r="U689" s="15">
        <v>1004.1</v>
      </c>
      <c r="V689" t="s">
        <v>19</v>
      </c>
      <c r="W689" t="s">
        <v>28</v>
      </c>
      <c r="X689">
        <v>170</v>
      </c>
      <c r="Y689" s="16">
        <f>VLOOKUP(Tabela1[[#This Row],[SKU]],SKU!A:D,4,0)</f>
        <v>1000</v>
      </c>
      <c r="Z689" s="18">
        <f>IFERROR((Tabela1[[#This Row],[Média]]-Tabela1[[#This Row],[Meta]])/Tabela1[[#This Row],[Meta]],"")</f>
        <v>4.1000000000000229E-3</v>
      </c>
      <c r="AA689" s="27">
        <f>Tabela1[[#This Row],[Média]]-Tabela1[[#This Row],[Meta]]</f>
        <v>4.1000000000000227</v>
      </c>
      <c r="AB689" s="6" t="str">
        <f>VLOOKUP(Tabela1[[#This Row],[SKU]],SKU!A:B,2,0)</f>
        <v>SOBRECOXA CG BDJ SE</v>
      </c>
      <c r="AC689" s="6" t="str">
        <f>VLOOKUP(Tabela1[[#This Row],[SKU]],SKU!A:C,3,0)</f>
        <v>PERNA</v>
      </c>
    </row>
    <row r="690" spans="1:29" x14ac:dyDescent="0.3">
      <c r="A690" s="2">
        <f>INT(Tabela1[[#This Row],[Data e Hora2]])</f>
        <v>46279</v>
      </c>
      <c r="B690" s="6" t="str">
        <f>UPPER(TEXT(Tabela1[[#This Row],[Data Corrigida]],"MMM"))</f>
        <v>SET</v>
      </c>
      <c r="C690" t="s">
        <v>1785</v>
      </c>
      <c r="D690" s="2" t="s">
        <v>1786</v>
      </c>
      <c r="E690" s="1" t="s">
        <v>1787</v>
      </c>
      <c r="F690" t="s">
        <v>24</v>
      </c>
      <c r="G690" s="2" t="s">
        <v>1782</v>
      </c>
      <c r="H690" t="s">
        <v>26</v>
      </c>
      <c r="I690" t="s">
        <v>27</v>
      </c>
      <c r="J690" s="6">
        <v>40762</v>
      </c>
      <c r="K690" s="16">
        <v>10060</v>
      </c>
      <c r="L690" s="16">
        <v>9930</v>
      </c>
      <c r="M690" s="16">
        <v>10015</v>
      </c>
      <c r="N690" s="16">
        <v>10000</v>
      </c>
      <c r="O690" s="16">
        <v>9960</v>
      </c>
      <c r="P690" s="16">
        <v>10045</v>
      </c>
      <c r="Q690" s="16">
        <v>10040</v>
      </c>
      <c r="R690" s="16">
        <v>9920</v>
      </c>
      <c r="S690" s="16">
        <v>9965</v>
      </c>
      <c r="T690" s="16">
        <v>10065</v>
      </c>
      <c r="U690" s="15">
        <v>10000</v>
      </c>
      <c r="V690" t="s">
        <v>19</v>
      </c>
      <c r="W690" t="s">
        <v>28</v>
      </c>
      <c r="X690">
        <v>583</v>
      </c>
      <c r="Y690" s="16">
        <f>VLOOKUP(Tabela1[[#This Row],[SKU]],SKU!A:D,4,0)</f>
        <v>10000</v>
      </c>
      <c r="Z690" s="18">
        <f>IFERROR((Tabela1[[#This Row],[Média]]-Tabela1[[#This Row],[Meta]])/Tabela1[[#This Row],[Meta]],"")</f>
        <v>0</v>
      </c>
      <c r="AA690" s="27">
        <f>Tabela1[[#This Row],[Média]]-Tabela1[[#This Row],[Meta]]</f>
        <v>0</v>
      </c>
      <c r="AB690" s="6" t="str">
        <f>VLOOKUP(Tabela1[[#This Row],[SKU]],SKU!A:B,2,0)</f>
        <v>COXA SBCX LQ FG LP</v>
      </c>
      <c r="AC690" s="6" t="str">
        <f>VLOOKUP(Tabela1[[#This Row],[SKU]],SKU!A:C,3,0)</f>
        <v>PERNA</v>
      </c>
    </row>
    <row r="691" spans="1:29" x14ac:dyDescent="0.3">
      <c r="A691" s="2">
        <f>INT(Tabela1[[#This Row],[Data e Hora2]])</f>
        <v>46279</v>
      </c>
      <c r="B691" s="6" t="str">
        <f>UPPER(TEXT(Tabela1[[#This Row],[Data Corrigida]],"MMM"))</f>
        <v>SET</v>
      </c>
      <c r="C691" t="s">
        <v>1788</v>
      </c>
      <c r="D691" s="2" t="s">
        <v>1789</v>
      </c>
      <c r="E691" s="1" t="s">
        <v>1787</v>
      </c>
      <c r="F691" t="s">
        <v>24</v>
      </c>
      <c r="G691" s="2" t="s">
        <v>1782</v>
      </c>
      <c r="H691" t="s">
        <v>26</v>
      </c>
      <c r="I691" t="s">
        <v>27</v>
      </c>
      <c r="J691" s="6">
        <v>15105</v>
      </c>
      <c r="K691" s="16">
        <v>1014</v>
      </c>
      <c r="L691" s="16">
        <v>1018</v>
      </c>
      <c r="M691" s="16">
        <v>997</v>
      </c>
      <c r="N691" s="16">
        <v>1028</v>
      </c>
      <c r="O691" s="16">
        <v>1033</v>
      </c>
      <c r="P691" s="16">
        <v>1001</v>
      </c>
      <c r="Q691" s="16">
        <v>1019</v>
      </c>
      <c r="R691" s="16">
        <v>993</v>
      </c>
      <c r="S691" s="16">
        <v>1025</v>
      </c>
      <c r="T691" s="16">
        <v>1054</v>
      </c>
      <c r="U691" s="15">
        <v>1018.2</v>
      </c>
      <c r="V691" t="s">
        <v>19</v>
      </c>
      <c r="W691" t="s">
        <v>28</v>
      </c>
      <c r="X691">
        <v>1767</v>
      </c>
      <c r="Y691" s="16">
        <f>VLOOKUP(Tabela1[[#This Row],[SKU]],SKU!A:D,4,0)</f>
        <v>1000</v>
      </c>
      <c r="Z691" s="18">
        <f>IFERROR((Tabela1[[#This Row],[Média]]-Tabela1[[#This Row],[Meta]])/Tabela1[[#This Row],[Meta]],"")</f>
        <v>1.8200000000000046E-2</v>
      </c>
      <c r="AA691" s="27">
        <f>Tabela1[[#This Row],[Média]]-Tabela1[[#This Row],[Meta]]</f>
        <v>18.200000000000045</v>
      </c>
      <c r="AB691" s="6" t="str">
        <f>VLOOKUP(Tabela1[[#This Row],[SKU]],SKU!A:B,2,0)</f>
        <v>FILE PEITO MET CG BDJ SE</v>
      </c>
      <c r="AC691" s="6" t="str">
        <f>VLOOKUP(Tabela1[[#This Row],[SKU]],SKU!A:C,3,0)</f>
        <v>PEITO</v>
      </c>
    </row>
    <row r="692" spans="1:29" x14ac:dyDescent="0.3">
      <c r="A692" s="2">
        <f>INT(Tabela1[[#This Row],[Data e Hora2]])</f>
        <v>46279</v>
      </c>
      <c r="B692" s="6" t="str">
        <f>UPPER(TEXT(Tabela1[[#This Row],[Data Corrigida]],"MMM"))</f>
        <v>SET</v>
      </c>
      <c r="C692" t="s">
        <v>1790</v>
      </c>
      <c r="D692" s="2" t="s">
        <v>1791</v>
      </c>
      <c r="E692" s="1" t="s">
        <v>1787</v>
      </c>
      <c r="F692" t="s">
        <v>24</v>
      </c>
      <c r="G692" s="2" t="s">
        <v>1782</v>
      </c>
      <c r="H692" t="s">
        <v>26</v>
      </c>
      <c r="I692" t="s">
        <v>27</v>
      </c>
      <c r="J692" s="6">
        <v>15849</v>
      </c>
      <c r="K692" s="16">
        <v>998</v>
      </c>
      <c r="L692" s="16">
        <v>998</v>
      </c>
      <c r="M692" s="16">
        <v>1006</v>
      </c>
      <c r="N692" s="16">
        <v>993</v>
      </c>
      <c r="O692" s="16">
        <v>1004</v>
      </c>
      <c r="P692" s="16">
        <v>1005</v>
      </c>
      <c r="Q692" s="16">
        <v>1006</v>
      </c>
      <c r="R692" s="16">
        <v>992</v>
      </c>
      <c r="S692" s="16">
        <v>1005</v>
      </c>
      <c r="T692" s="16">
        <v>995</v>
      </c>
      <c r="U692" s="15">
        <v>1000.2</v>
      </c>
      <c r="V692" t="s">
        <v>19</v>
      </c>
      <c r="W692" t="s">
        <v>28</v>
      </c>
      <c r="X692">
        <v>136</v>
      </c>
      <c r="Y692" s="16">
        <f>VLOOKUP(Tabela1[[#This Row],[SKU]],SKU!A:D,4,0)</f>
        <v>1000</v>
      </c>
      <c r="Z692" s="18">
        <f>IFERROR((Tabela1[[#This Row],[Média]]-Tabela1[[#This Row],[Meta]])/Tabela1[[#This Row],[Meta]],"")</f>
        <v>2.0000000000004546E-4</v>
      </c>
      <c r="AA692" s="27">
        <f>Tabela1[[#This Row],[Média]]-Tabela1[[#This Row],[Meta]]</f>
        <v>0.20000000000004547</v>
      </c>
      <c r="AB692" s="6" t="str">
        <f>VLOOKUP(Tabela1[[#This Row],[SKU]],SKU!A:B,2,0)</f>
        <v>FILEZINHO PEITO CG BDJ SE</v>
      </c>
      <c r="AC692" s="6" t="str">
        <f>VLOOKUP(Tabela1[[#This Row],[SKU]],SKU!A:C,3,0)</f>
        <v>SASSAMI</v>
      </c>
    </row>
    <row r="693" spans="1:29" x14ac:dyDescent="0.3">
      <c r="A693" s="2">
        <f>INT(Tabela1[[#This Row],[Data e Hora2]])</f>
        <v>46279</v>
      </c>
      <c r="B693" s="6" t="str">
        <f>UPPER(TEXT(Tabela1[[#This Row],[Data Corrigida]],"MMM"))</f>
        <v>SET</v>
      </c>
      <c r="C693" t="s">
        <v>1792</v>
      </c>
      <c r="D693" s="2" t="s">
        <v>1793</v>
      </c>
      <c r="E693" s="1" t="s">
        <v>1787</v>
      </c>
      <c r="F693" t="s">
        <v>24</v>
      </c>
      <c r="G693" s="2" t="s">
        <v>1782</v>
      </c>
      <c r="H693" t="s">
        <v>26</v>
      </c>
      <c r="I693" t="s">
        <v>27</v>
      </c>
      <c r="J693" s="6">
        <v>15849</v>
      </c>
      <c r="K693" s="16">
        <v>1009</v>
      </c>
      <c r="L693" s="16">
        <v>935</v>
      </c>
      <c r="M693" s="16">
        <v>996</v>
      </c>
      <c r="N693" s="16">
        <v>1006</v>
      </c>
      <c r="O693" s="16">
        <v>1006</v>
      </c>
      <c r="P693" s="16">
        <v>1003</v>
      </c>
      <c r="Q693" s="16">
        <v>1006</v>
      </c>
      <c r="R693" s="16">
        <v>1003</v>
      </c>
      <c r="S693" s="16">
        <v>993</v>
      </c>
      <c r="T693" s="16">
        <v>998</v>
      </c>
      <c r="U693" s="15">
        <v>995.5</v>
      </c>
      <c r="V693" t="s">
        <v>19</v>
      </c>
      <c r="W693" t="s">
        <v>28</v>
      </c>
      <c r="X693">
        <v>13390</v>
      </c>
      <c r="Y693" s="16">
        <f>VLOOKUP(Tabela1[[#This Row],[SKU]],SKU!A:D,4,0)</f>
        <v>1000</v>
      </c>
      <c r="Z693" s="18">
        <f>IFERROR((Tabela1[[#This Row],[Média]]-Tabela1[[#This Row],[Meta]])/Tabela1[[#This Row],[Meta]],"")</f>
        <v>-4.4999999999999997E-3</v>
      </c>
      <c r="AA693" s="27">
        <f>Tabela1[[#This Row],[Média]]-Tabela1[[#This Row],[Meta]]</f>
        <v>-4.5</v>
      </c>
      <c r="AB693" s="6" t="str">
        <f>VLOOKUP(Tabela1[[#This Row],[SKU]],SKU!A:B,2,0)</f>
        <v>FILEZINHO PEITO CG BDJ SE</v>
      </c>
      <c r="AC693" s="6" t="str">
        <f>VLOOKUP(Tabela1[[#This Row],[SKU]],SKU!A:C,3,0)</f>
        <v>SASSAMI</v>
      </c>
    </row>
    <row r="694" spans="1:29" x14ac:dyDescent="0.3">
      <c r="A694" s="2">
        <f>INT(Tabela1[[#This Row],[Data e Hora2]])</f>
        <v>46279</v>
      </c>
      <c r="B694" s="6" t="str">
        <f>UPPER(TEXT(Tabela1[[#This Row],[Data Corrigida]],"MMM"))</f>
        <v>SET</v>
      </c>
      <c r="C694" t="s">
        <v>1794</v>
      </c>
      <c r="D694" s="2" t="s">
        <v>1795</v>
      </c>
      <c r="E694" s="1" t="s">
        <v>1787</v>
      </c>
      <c r="F694" t="s">
        <v>24</v>
      </c>
      <c r="G694" s="2" t="s">
        <v>1782</v>
      </c>
      <c r="H694" t="s">
        <v>26</v>
      </c>
      <c r="I694" t="s">
        <v>27</v>
      </c>
      <c r="J694" s="6">
        <v>42854</v>
      </c>
      <c r="K694" s="16">
        <v>2095</v>
      </c>
      <c r="L694" s="16">
        <v>2142</v>
      </c>
      <c r="M694" s="16">
        <v>2109</v>
      </c>
      <c r="N694" s="16">
        <v>2128</v>
      </c>
      <c r="O694" s="16">
        <v>2085</v>
      </c>
      <c r="P694" s="16">
        <v>2131</v>
      </c>
      <c r="Q694" s="16">
        <v>2078</v>
      </c>
      <c r="R694" s="16">
        <v>2143</v>
      </c>
      <c r="S694" s="16">
        <v>2093</v>
      </c>
      <c r="T694" s="16">
        <v>2103</v>
      </c>
      <c r="U694" s="15">
        <v>2110.6999999999998</v>
      </c>
      <c r="V694" t="s">
        <v>19</v>
      </c>
      <c r="W694" t="s">
        <v>19</v>
      </c>
      <c r="X694">
        <v>136</v>
      </c>
      <c r="Y694" s="16">
        <f>VLOOKUP(Tabela1[[#This Row],[SKU]],SKU!A:D,4,0)</f>
        <v>2080</v>
      </c>
      <c r="Z694" s="18">
        <f>IFERROR((Tabela1[[#This Row],[Média]]-Tabela1[[#This Row],[Meta]])/Tabela1[[#This Row],[Meta]],"")</f>
        <v>1.4759615384615296E-2</v>
      </c>
      <c r="AA694" s="27">
        <f>Tabela1[[#This Row],[Média]]-Tabela1[[#This Row],[Meta]]</f>
        <v>30.699999999999818</v>
      </c>
      <c r="AB694" s="6" t="str">
        <f>VLOOKUP(Tabela1[[#This Row],[SKU]],SKU!A:B,2,0)</f>
        <v>COXA SBCX S/O FG 260-280g PB</v>
      </c>
      <c r="AC694" s="6" t="str">
        <f>VLOOKUP(Tabela1[[#This Row],[SKU]],SKU!A:C,3,0)</f>
        <v>PERNA</v>
      </c>
    </row>
    <row r="695" spans="1:29" x14ac:dyDescent="0.3">
      <c r="A695" s="2">
        <f>INT(Tabela1[[#This Row],[Data e Hora2]])</f>
        <v>46279</v>
      </c>
      <c r="B695" s="6" t="str">
        <f>UPPER(TEXT(Tabela1[[#This Row],[Data Corrigida]],"MMM"))</f>
        <v>SET</v>
      </c>
      <c r="C695" t="s">
        <v>1796</v>
      </c>
      <c r="D695" s="2" t="s">
        <v>1797</v>
      </c>
      <c r="E695" s="1" t="s">
        <v>1787</v>
      </c>
      <c r="F695" t="s">
        <v>24</v>
      </c>
      <c r="G695" s="2" t="s">
        <v>1782</v>
      </c>
      <c r="H695" t="s">
        <v>26</v>
      </c>
      <c r="I695" t="s">
        <v>27</v>
      </c>
      <c r="J695" s="6">
        <v>42862</v>
      </c>
      <c r="K695" s="16">
        <v>2012</v>
      </c>
      <c r="L695" s="16">
        <v>2009</v>
      </c>
      <c r="M695" s="16">
        <v>2030</v>
      </c>
      <c r="N695" s="16">
        <v>2048</v>
      </c>
      <c r="O695" s="16">
        <v>2000</v>
      </c>
      <c r="P695" s="16">
        <v>2029</v>
      </c>
      <c r="Q695" s="16">
        <v>2007</v>
      </c>
      <c r="R695" s="16">
        <v>1995</v>
      </c>
      <c r="S695" s="16">
        <v>2026</v>
      </c>
      <c r="T695" s="16">
        <v>2000</v>
      </c>
      <c r="U695" s="15">
        <v>2015.6</v>
      </c>
      <c r="V695" t="s">
        <v>19</v>
      </c>
      <c r="W695" t="s">
        <v>28</v>
      </c>
      <c r="X695">
        <v>136</v>
      </c>
      <c r="Y695" s="16">
        <f>VLOOKUP(Tabela1[[#This Row],[SKU]],SKU!A:D,4,0)</f>
        <v>2000</v>
      </c>
      <c r="Z695" s="18">
        <f>IFERROR((Tabela1[[#This Row],[Média]]-Tabela1[[#This Row],[Meta]])/Tabela1[[#This Row],[Meta]],"")</f>
        <v>7.7999999999999545E-3</v>
      </c>
      <c r="AA695" s="27">
        <f>Tabela1[[#This Row],[Média]]-Tabela1[[#This Row],[Meta]]</f>
        <v>15.599999999999909</v>
      </c>
      <c r="AB695" s="6" t="str">
        <f>VLOOKUP(Tabela1[[#This Row],[SKU]],SKU!A:B,2,0)</f>
        <v>COXA SBCX S/O FG 280-300g PB</v>
      </c>
      <c r="AC695" s="6" t="str">
        <f>VLOOKUP(Tabela1[[#This Row],[SKU]],SKU!A:C,3,0)</f>
        <v>PERNA</v>
      </c>
    </row>
    <row r="696" spans="1:29" x14ac:dyDescent="0.3">
      <c r="A696" s="2">
        <f>INT(Tabela1[[#This Row],[Data e Hora2]])</f>
        <v>46279</v>
      </c>
      <c r="B696" s="6" t="str">
        <f>UPPER(TEXT(Tabela1[[#This Row],[Data Corrigida]],"MMM"))</f>
        <v>SET</v>
      </c>
      <c r="C696" t="s">
        <v>1798</v>
      </c>
      <c r="D696" s="2" t="s">
        <v>1799</v>
      </c>
      <c r="E696" s="1" t="s">
        <v>1787</v>
      </c>
      <c r="F696" t="s">
        <v>24</v>
      </c>
      <c r="G696" s="2" t="s">
        <v>1782</v>
      </c>
      <c r="H696" t="s">
        <v>26</v>
      </c>
      <c r="I696" t="s">
        <v>27</v>
      </c>
      <c r="J696" s="6">
        <v>42846</v>
      </c>
      <c r="K696" s="16">
        <v>2008</v>
      </c>
      <c r="L696" s="16">
        <v>2028</v>
      </c>
      <c r="M696" s="16">
        <v>2000</v>
      </c>
      <c r="N696" s="16">
        <v>2015</v>
      </c>
      <c r="O696" s="16">
        <v>2035</v>
      </c>
      <c r="P696" s="16">
        <v>2009</v>
      </c>
      <c r="Q696" s="16">
        <v>2035</v>
      </c>
      <c r="R696" s="16">
        <v>2030</v>
      </c>
      <c r="S696" s="16">
        <v>2033</v>
      </c>
      <c r="T696" s="16">
        <v>2001</v>
      </c>
      <c r="U696" s="15">
        <v>2019.4</v>
      </c>
      <c r="V696" t="s">
        <v>19</v>
      </c>
      <c r="W696" t="s">
        <v>19</v>
      </c>
      <c r="X696">
        <v>142</v>
      </c>
      <c r="Y696" s="16">
        <f>VLOOKUP(Tabela1[[#This Row],[SKU]],SKU!A:D,4,0)</f>
        <v>2000</v>
      </c>
      <c r="Z696" s="18">
        <f>IFERROR((Tabela1[[#This Row],[Média]]-Tabela1[[#This Row],[Meta]])/Tabela1[[#This Row],[Meta]],"")</f>
        <v>9.7000000000000454E-3</v>
      </c>
      <c r="AA696" s="27">
        <f>Tabela1[[#This Row],[Média]]-Tabela1[[#This Row],[Meta]]</f>
        <v>19.400000000000091</v>
      </c>
      <c r="AB696" s="6" t="str">
        <f>VLOOKUP(Tabela1[[#This Row],[SKU]],SKU!A:B,2,0)</f>
        <v>COXA SBCX S/O FG 240-260g PB</v>
      </c>
      <c r="AC696" s="6" t="str">
        <f>VLOOKUP(Tabela1[[#This Row],[SKU]],SKU!A:C,3,0)</f>
        <v>PERNA</v>
      </c>
    </row>
    <row r="697" spans="1:29" x14ac:dyDescent="0.3">
      <c r="A697" s="2">
        <f>INT(Tabela1[[#This Row],[Data e Hora2]])</f>
        <v>46279</v>
      </c>
      <c r="B697" s="6" t="str">
        <f>UPPER(TEXT(Tabela1[[#This Row],[Data Corrigida]],"MMM"))</f>
        <v>SET</v>
      </c>
      <c r="C697" t="s">
        <v>1800</v>
      </c>
      <c r="D697" s="2" t="s">
        <v>1801</v>
      </c>
      <c r="E697" s="1" t="s">
        <v>1787</v>
      </c>
      <c r="F697" t="s">
        <v>24</v>
      </c>
      <c r="G697" s="2" t="s">
        <v>1782</v>
      </c>
      <c r="H697" t="s">
        <v>26</v>
      </c>
      <c r="I697" t="s">
        <v>27</v>
      </c>
      <c r="J697" s="6">
        <v>42838</v>
      </c>
      <c r="K697" s="16">
        <v>2010</v>
      </c>
      <c r="L697" s="16">
        <v>2043</v>
      </c>
      <c r="M697" s="16">
        <v>2063</v>
      </c>
      <c r="N697" s="16">
        <v>2023</v>
      </c>
      <c r="O697" s="16">
        <v>2050</v>
      </c>
      <c r="P697" s="16">
        <v>2018</v>
      </c>
      <c r="Q697" s="16">
        <v>2019</v>
      </c>
      <c r="R697" s="16">
        <v>2049</v>
      </c>
      <c r="S697" s="16">
        <v>2052</v>
      </c>
      <c r="T697" s="16">
        <v>2033</v>
      </c>
      <c r="U697" s="15">
        <v>2036</v>
      </c>
      <c r="V697" t="s">
        <v>19</v>
      </c>
      <c r="W697" t="s">
        <v>28</v>
      </c>
      <c r="X697">
        <v>595</v>
      </c>
      <c r="Y697" s="16">
        <f>VLOOKUP(Tabela1[[#This Row],[SKU]],SKU!A:D,4,0)</f>
        <v>2000</v>
      </c>
      <c r="Z697" s="18">
        <f>IFERROR((Tabela1[[#This Row],[Média]]-Tabela1[[#This Row],[Meta]])/Tabela1[[#This Row],[Meta]],"")</f>
        <v>1.7999999999999999E-2</v>
      </c>
      <c r="AA697" s="27">
        <f>Tabela1[[#This Row],[Média]]-Tabela1[[#This Row],[Meta]]</f>
        <v>36</v>
      </c>
      <c r="AB697" s="6" t="str">
        <f>VLOOKUP(Tabela1[[#This Row],[SKU]],SKU!A:B,2,0)</f>
        <v>COXA SBCX S/O FG 220-240g PB</v>
      </c>
      <c r="AC697" s="6" t="str">
        <f>VLOOKUP(Tabela1[[#This Row],[SKU]],SKU!A:C,3,0)</f>
        <v>PERNA</v>
      </c>
    </row>
    <row r="698" spans="1:29" x14ac:dyDescent="0.3">
      <c r="A698" s="2">
        <f>INT(Tabela1[[#This Row],[Data e Hora2]])</f>
        <v>46279</v>
      </c>
      <c r="B698" s="6" t="str">
        <f>UPPER(TEXT(Tabela1[[#This Row],[Data Corrigida]],"MMM"))</f>
        <v>SET</v>
      </c>
      <c r="C698" t="s">
        <v>1802</v>
      </c>
      <c r="D698" s="2" t="s">
        <v>1803</v>
      </c>
      <c r="E698" s="1" t="s">
        <v>1787</v>
      </c>
      <c r="F698" t="s">
        <v>24</v>
      </c>
      <c r="G698" s="2" t="s">
        <v>1782</v>
      </c>
      <c r="H698" t="s">
        <v>26</v>
      </c>
      <c r="I698" t="s">
        <v>27</v>
      </c>
      <c r="J698" s="6">
        <v>995638</v>
      </c>
      <c r="K698" s="16">
        <v>15020</v>
      </c>
      <c r="L698" s="16">
        <v>15040</v>
      </c>
      <c r="M698" s="16">
        <v>15045</v>
      </c>
      <c r="N698" s="16">
        <v>15005</v>
      </c>
      <c r="O698" s="16">
        <v>15060</v>
      </c>
      <c r="P698" s="16">
        <v>15070</v>
      </c>
      <c r="Q698" s="16">
        <v>15025</v>
      </c>
      <c r="R698" s="16">
        <v>15015</v>
      </c>
      <c r="S698" s="16">
        <v>15035</v>
      </c>
      <c r="T698" s="16">
        <v>15015</v>
      </c>
      <c r="U698" s="15">
        <v>15033</v>
      </c>
      <c r="V698" t="s">
        <v>19</v>
      </c>
      <c r="W698" t="s">
        <v>19</v>
      </c>
      <c r="X698">
        <v>448</v>
      </c>
      <c r="Y698" s="16">
        <f>VLOOKUP(Tabela1[[#This Row],[SKU]],SKU!A:D,4,0)</f>
        <v>15000</v>
      </c>
      <c r="Z698" s="18">
        <f>IFERROR((Tabela1[[#This Row],[Média]]-Tabela1[[#This Row],[Meta]])/Tabela1[[#This Row],[Meta]],"")</f>
        <v>2.2000000000000001E-3</v>
      </c>
      <c r="AA698" s="27">
        <f>Tabela1[[#This Row],[Média]]-Tabela1[[#This Row],[Meta]]</f>
        <v>33</v>
      </c>
      <c r="AB698" s="6" t="str">
        <f>VLOOKUP(Tabela1[[#This Row],[SKU]],SKU!A:B,2,0)</f>
        <v>MEIO DA ASA 40-50G LP</v>
      </c>
      <c r="AC698" s="6" t="str">
        <f>VLOOKUP(Tabela1[[#This Row],[SKU]],SKU!A:C,3,0)</f>
        <v>ASA</v>
      </c>
    </row>
    <row r="699" spans="1:29" x14ac:dyDescent="0.3">
      <c r="A699" s="2">
        <f>INT(Tabela1[[#This Row],[Data e Hora2]])</f>
        <v>46279</v>
      </c>
      <c r="B699" s="6" t="str">
        <f>UPPER(TEXT(Tabela1[[#This Row],[Data Corrigida]],"MMM"))</f>
        <v>SET</v>
      </c>
      <c r="C699" t="s">
        <v>1804</v>
      </c>
      <c r="D699" s="2" t="s">
        <v>1805</v>
      </c>
      <c r="E699" s="1" t="s">
        <v>1787</v>
      </c>
      <c r="F699" t="s">
        <v>24</v>
      </c>
      <c r="G699" s="2" t="s">
        <v>1782</v>
      </c>
      <c r="H699" t="s">
        <v>26</v>
      </c>
      <c r="I699" t="s">
        <v>27</v>
      </c>
      <c r="J699" s="6">
        <v>992093</v>
      </c>
      <c r="K699" s="16">
        <v>5011</v>
      </c>
      <c r="L699" s="16">
        <v>5023</v>
      </c>
      <c r="M699" s="16">
        <v>5011</v>
      </c>
      <c r="N699" s="16">
        <v>5012</v>
      </c>
      <c r="O699" s="16">
        <v>5015</v>
      </c>
      <c r="P699" s="16">
        <v>5007</v>
      </c>
      <c r="Q699" s="16">
        <v>5013</v>
      </c>
      <c r="R699" s="16">
        <v>5002</v>
      </c>
      <c r="S699" s="16">
        <v>5001</v>
      </c>
      <c r="T699" s="16">
        <v>5008</v>
      </c>
      <c r="U699" s="15">
        <v>5010.3</v>
      </c>
      <c r="V699" t="s">
        <v>19</v>
      </c>
      <c r="W699" t="s">
        <v>28</v>
      </c>
      <c r="X699">
        <v>446</v>
      </c>
      <c r="Y699" s="16">
        <f>VLOOKUP(Tabela1[[#This Row],[SKU]],SKU!A:D,4,0)</f>
        <v>5000</v>
      </c>
      <c r="Z699" s="18">
        <f>IFERROR((Tabela1[[#This Row],[Média]]-Tabela1[[#This Row],[Meta]])/Tabela1[[#This Row],[Meta]],"")</f>
        <v>2.0600000000000362E-3</v>
      </c>
      <c r="AA699" s="27">
        <f>Tabela1[[#This Row],[Média]]-Tabela1[[#This Row],[Meta]]</f>
        <v>10.300000000000182</v>
      </c>
      <c r="AB699" s="6" t="str">
        <f>VLOOKUP(Tabela1[[#This Row],[SKU]],SKU!A:B,2,0)</f>
        <v>PONTA ASA FG PB CG</v>
      </c>
      <c r="AC699" s="6" t="str">
        <f>VLOOKUP(Tabela1[[#This Row],[SKU]],SKU!A:C,3,0)</f>
        <v>ASA</v>
      </c>
    </row>
    <row r="700" spans="1:29" x14ac:dyDescent="0.3">
      <c r="A700" s="2">
        <f>INT(Tabela1[[#This Row],[Data e Hora2]])</f>
        <v>46279</v>
      </c>
      <c r="B700" s="6" t="str">
        <f>UPPER(TEXT(Tabela1[[#This Row],[Data Corrigida]],"MMM"))</f>
        <v>SET</v>
      </c>
      <c r="C700" t="s">
        <v>1806</v>
      </c>
      <c r="D700" s="2" t="s">
        <v>1807</v>
      </c>
      <c r="E700" s="1" t="s">
        <v>1787</v>
      </c>
      <c r="F700" t="s">
        <v>24</v>
      </c>
      <c r="G700" s="2" t="s">
        <v>1782</v>
      </c>
      <c r="H700" t="s">
        <v>26</v>
      </c>
      <c r="I700" t="s">
        <v>27</v>
      </c>
      <c r="J700" s="6">
        <v>209069</v>
      </c>
      <c r="K700" s="16">
        <v>1003</v>
      </c>
      <c r="L700" s="16">
        <v>1003</v>
      </c>
      <c r="M700" s="16">
        <v>1016</v>
      </c>
      <c r="N700" s="16">
        <v>998</v>
      </c>
      <c r="O700" s="16">
        <v>1003</v>
      </c>
      <c r="P700" s="16">
        <v>1001</v>
      </c>
      <c r="Q700" s="16">
        <v>1004</v>
      </c>
      <c r="R700" s="16">
        <v>1002</v>
      </c>
      <c r="S700" s="16">
        <v>1024</v>
      </c>
      <c r="T700" s="16">
        <v>1027</v>
      </c>
      <c r="U700" s="15">
        <v>1008.1</v>
      </c>
      <c r="V700" t="s">
        <v>19</v>
      </c>
      <c r="W700" t="s">
        <v>28</v>
      </c>
      <c r="X700">
        <v>139</v>
      </c>
      <c r="Y700" s="16">
        <f>VLOOKUP(Tabela1[[#This Row],[SKU]],SKU!A:D,4,0)</f>
        <v>1000</v>
      </c>
      <c r="Z700" s="18">
        <f>IFERROR((Tabela1[[#This Row],[Média]]-Tabela1[[#This Row],[Meta]])/Tabela1[[#This Row],[Meta]],"")</f>
        <v>8.1000000000000221E-3</v>
      </c>
      <c r="AA700" s="27">
        <f>Tabela1[[#This Row],[Média]]-Tabela1[[#This Row],[Meta]]</f>
        <v>8.1000000000000227</v>
      </c>
      <c r="AB700" s="6" t="str">
        <f>VLOOKUP(Tabela1[[#This Row],[SKU]],SKU!A:B,2,0)</f>
        <v>FILE PEITO CG IQF1KG</v>
      </c>
      <c r="AC700" s="6" t="str">
        <f>VLOOKUP(Tabela1[[#This Row],[SKU]],SKU!A:C,3,0)</f>
        <v>PEITO</v>
      </c>
    </row>
    <row r="701" spans="1:29" x14ac:dyDescent="0.3">
      <c r="A701" s="2">
        <f>INT(Tabela1[[#This Row],[Data e Hora2]])</f>
        <v>46279</v>
      </c>
      <c r="B701" s="6" t="str">
        <f>UPPER(TEXT(Tabela1[[#This Row],[Data Corrigida]],"MMM"))</f>
        <v>SET</v>
      </c>
      <c r="C701" t="s">
        <v>1808</v>
      </c>
      <c r="D701" s="2" t="s">
        <v>1809</v>
      </c>
      <c r="E701" s="1" t="s">
        <v>1810</v>
      </c>
      <c r="F701" t="s">
        <v>24</v>
      </c>
      <c r="G701" s="2" t="s">
        <v>1782</v>
      </c>
      <c r="H701" t="s">
        <v>26</v>
      </c>
      <c r="I701" t="s">
        <v>27</v>
      </c>
      <c r="J701" s="6">
        <v>40762</v>
      </c>
      <c r="K701" s="16">
        <v>10055</v>
      </c>
      <c r="L701" s="16">
        <v>10035</v>
      </c>
      <c r="M701" s="16">
        <v>9905</v>
      </c>
      <c r="N701" s="16">
        <v>10030</v>
      </c>
      <c r="O701" s="16">
        <v>9970</v>
      </c>
      <c r="P701" s="16">
        <v>10045</v>
      </c>
      <c r="Q701" s="16">
        <v>10060</v>
      </c>
      <c r="R701" s="16">
        <v>9990</v>
      </c>
      <c r="S701" s="16">
        <v>9855</v>
      </c>
      <c r="T701" s="16">
        <v>9950</v>
      </c>
      <c r="U701" s="15">
        <v>9989.5</v>
      </c>
      <c r="V701" t="s">
        <v>19</v>
      </c>
      <c r="W701" t="s">
        <v>19</v>
      </c>
      <c r="X701">
        <v>476</v>
      </c>
      <c r="Y701" s="16">
        <f>VLOOKUP(Tabela1[[#This Row],[SKU]],SKU!A:D,4,0)</f>
        <v>10000</v>
      </c>
      <c r="Z701" s="18">
        <f>IFERROR((Tabela1[[#This Row],[Média]]-Tabela1[[#This Row],[Meta]])/Tabela1[[#This Row],[Meta]],"")</f>
        <v>-1.0499999999999999E-3</v>
      </c>
      <c r="AA701" s="27">
        <f>Tabela1[[#This Row],[Média]]-Tabela1[[#This Row],[Meta]]</f>
        <v>-10.5</v>
      </c>
      <c r="AB701" s="6" t="str">
        <f>VLOOKUP(Tabela1[[#This Row],[SKU]],SKU!A:B,2,0)</f>
        <v>COXA SBCX LQ FG LP</v>
      </c>
      <c r="AC701" s="6" t="str">
        <f>VLOOKUP(Tabela1[[#This Row],[SKU]],SKU!A:C,3,0)</f>
        <v>PERNA</v>
      </c>
    </row>
    <row r="702" spans="1:29" x14ac:dyDescent="0.3">
      <c r="A702" s="2">
        <f>INT(Tabela1[[#This Row],[Data e Hora2]])</f>
        <v>46279</v>
      </c>
      <c r="B702" s="6" t="str">
        <f>UPPER(TEXT(Tabela1[[#This Row],[Data Corrigida]],"MMM"))</f>
        <v>SET</v>
      </c>
      <c r="C702" t="s">
        <v>1811</v>
      </c>
      <c r="D702" s="2" t="s">
        <v>1812</v>
      </c>
      <c r="E702" s="1" t="s">
        <v>1810</v>
      </c>
      <c r="F702" t="s">
        <v>24</v>
      </c>
      <c r="G702" s="2" t="s">
        <v>1782</v>
      </c>
      <c r="H702" t="s">
        <v>26</v>
      </c>
      <c r="I702" t="s">
        <v>27</v>
      </c>
      <c r="J702" s="6">
        <v>15229</v>
      </c>
      <c r="K702" s="16">
        <v>1012</v>
      </c>
      <c r="L702" s="16">
        <v>1020</v>
      </c>
      <c r="M702" s="16">
        <v>1014</v>
      </c>
      <c r="N702" s="16">
        <v>1009</v>
      </c>
      <c r="O702" s="16">
        <v>1017</v>
      </c>
      <c r="P702" s="16">
        <v>999</v>
      </c>
      <c r="Q702" s="16">
        <v>1010</v>
      </c>
      <c r="R702" s="16">
        <v>1016</v>
      </c>
      <c r="S702" s="16">
        <v>1003</v>
      </c>
      <c r="T702" s="16">
        <v>989</v>
      </c>
      <c r="U702" s="15">
        <v>1008.9</v>
      </c>
      <c r="V702" t="s">
        <v>19</v>
      </c>
      <c r="W702" t="s">
        <v>28</v>
      </c>
      <c r="X702">
        <v>280</v>
      </c>
      <c r="Y702" s="16">
        <f>VLOOKUP(Tabela1[[#This Row],[SKU]],SKU!A:D,4,0)</f>
        <v>1000</v>
      </c>
      <c r="Z702" s="18">
        <f>IFERROR((Tabela1[[#This Row],[Média]]-Tabela1[[#This Row],[Meta]])/Tabela1[[#This Row],[Meta]],"")</f>
        <v>8.8999999999999774E-3</v>
      </c>
      <c r="AA702" s="27">
        <f>Tabela1[[#This Row],[Média]]-Tabela1[[#This Row],[Meta]]</f>
        <v>8.8999999999999773</v>
      </c>
      <c r="AB702" s="6" t="str">
        <f>VLOOKUP(Tabela1[[#This Row],[SKU]],SKU!A:B,2,0)</f>
        <v>COXA CG BDJ SE</v>
      </c>
      <c r="AC702" s="6" t="str">
        <f>VLOOKUP(Tabela1[[#This Row],[SKU]],SKU!A:C,3,0)</f>
        <v>PERNA</v>
      </c>
    </row>
    <row r="703" spans="1:29" x14ac:dyDescent="0.3">
      <c r="A703" s="2">
        <f>INT(Tabela1[[#This Row],[Data e Hora2]])</f>
        <v>46279</v>
      </c>
      <c r="B703" s="6" t="str">
        <f>UPPER(TEXT(Tabela1[[#This Row],[Data Corrigida]],"MMM"))</f>
        <v>SET</v>
      </c>
      <c r="C703" t="s">
        <v>1813</v>
      </c>
      <c r="D703" s="2" t="s">
        <v>1814</v>
      </c>
      <c r="E703" s="1" t="s">
        <v>1810</v>
      </c>
      <c r="F703" t="s">
        <v>24</v>
      </c>
      <c r="G703" s="2" t="s">
        <v>1782</v>
      </c>
      <c r="H703" t="s">
        <v>26</v>
      </c>
      <c r="I703" t="s">
        <v>27</v>
      </c>
      <c r="J703" s="6">
        <v>15229</v>
      </c>
      <c r="K703" s="16">
        <v>992</v>
      </c>
      <c r="L703" s="16">
        <v>991</v>
      </c>
      <c r="M703" s="16">
        <v>975</v>
      </c>
      <c r="N703" s="16">
        <v>978</v>
      </c>
      <c r="O703" s="16">
        <v>983</v>
      </c>
      <c r="P703" s="16">
        <v>974</v>
      </c>
      <c r="Q703" s="16">
        <v>988</v>
      </c>
      <c r="R703" s="16">
        <v>970</v>
      </c>
      <c r="S703" s="16">
        <v>990</v>
      </c>
      <c r="T703" s="16">
        <v>986</v>
      </c>
      <c r="U703" s="15">
        <v>982.7</v>
      </c>
      <c r="V703" t="s">
        <v>19</v>
      </c>
      <c r="W703" t="s">
        <v>19</v>
      </c>
      <c r="X703">
        <v>154</v>
      </c>
      <c r="Y703" s="16">
        <f>VLOOKUP(Tabela1[[#This Row],[SKU]],SKU!A:D,4,0)</f>
        <v>1000</v>
      </c>
      <c r="Z703" s="18">
        <f>IFERROR((Tabela1[[#This Row],[Média]]-Tabela1[[#This Row],[Meta]])/Tabela1[[#This Row],[Meta]],"")</f>
        <v>-1.7299999999999954E-2</v>
      </c>
      <c r="AA703" s="27">
        <f>Tabela1[[#This Row],[Média]]-Tabela1[[#This Row],[Meta]]</f>
        <v>-17.299999999999955</v>
      </c>
      <c r="AB703" s="6" t="str">
        <f>VLOOKUP(Tabela1[[#This Row],[SKU]],SKU!A:B,2,0)</f>
        <v>COXA CG BDJ SE</v>
      </c>
      <c r="AC703" s="6" t="str">
        <f>VLOOKUP(Tabela1[[#This Row],[SKU]],SKU!A:C,3,0)</f>
        <v>PERNA</v>
      </c>
    </row>
    <row r="704" spans="1:29" x14ac:dyDescent="0.3">
      <c r="A704" s="2">
        <f>INT(Tabela1[[#This Row],[Data e Hora2]])</f>
        <v>46279</v>
      </c>
      <c r="B704" s="6" t="str">
        <f>UPPER(TEXT(Tabela1[[#This Row],[Data Corrigida]],"MMM"))</f>
        <v>SET</v>
      </c>
      <c r="C704" t="s">
        <v>1815</v>
      </c>
      <c r="D704" s="2" t="s">
        <v>1816</v>
      </c>
      <c r="E704" s="1" t="s">
        <v>1810</v>
      </c>
      <c r="F704" t="s">
        <v>24</v>
      </c>
      <c r="G704" s="2" t="s">
        <v>1782</v>
      </c>
      <c r="H704" t="s">
        <v>26</v>
      </c>
      <c r="I704" t="s">
        <v>27</v>
      </c>
      <c r="J704" s="6">
        <v>13188</v>
      </c>
      <c r="K704" s="16">
        <v>1012</v>
      </c>
      <c r="L704" s="16">
        <v>1004</v>
      </c>
      <c r="M704" s="16">
        <v>1016</v>
      </c>
      <c r="N704" s="16">
        <v>1004</v>
      </c>
      <c r="O704" s="16">
        <v>1009</v>
      </c>
      <c r="P704" s="16">
        <v>1014</v>
      </c>
      <c r="Q704" s="16">
        <v>1011</v>
      </c>
      <c r="R704" s="16">
        <v>1010</v>
      </c>
      <c r="S704" s="16">
        <v>996</v>
      </c>
      <c r="T704" s="16">
        <v>1009</v>
      </c>
      <c r="U704" s="15">
        <v>1008.5</v>
      </c>
      <c r="V704" t="s">
        <v>19</v>
      </c>
      <c r="W704" t="s">
        <v>28</v>
      </c>
      <c r="X704">
        <v>296</v>
      </c>
      <c r="Y704" s="16">
        <f>VLOOKUP(Tabela1[[#This Row],[SKU]],SKU!A:D,4,0)</f>
        <v>1000</v>
      </c>
      <c r="Z704" s="18">
        <f>IFERROR((Tabela1[[#This Row],[Média]]-Tabela1[[#This Row],[Meta]])/Tabela1[[#This Row],[Meta]],"")</f>
        <v>8.5000000000000006E-3</v>
      </c>
      <c r="AA704" s="27">
        <f>Tabela1[[#This Row],[Média]]-Tabela1[[#This Row],[Meta]]</f>
        <v>8.5</v>
      </c>
      <c r="AB704" s="6" t="str">
        <f>VLOOKUP(Tabela1[[#This Row],[SKU]],SKU!A:B,2,0)</f>
        <v>SOBRECOXA CG BDJ SE</v>
      </c>
      <c r="AC704" s="6" t="str">
        <f>VLOOKUP(Tabela1[[#This Row],[SKU]],SKU!A:C,3,0)</f>
        <v>PERNA</v>
      </c>
    </row>
    <row r="705" spans="1:29" x14ac:dyDescent="0.3">
      <c r="A705" s="2">
        <f>INT(Tabela1[[#This Row],[Data e Hora2]])</f>
        <v>46279</v>
      </c>
      <c r="B705" s="6" t="str">
        <f>UPPER(TEXT(Tabela1[[#This Row],[Data Corrigida]],"MMM"))</f>
        <v>SET</v>
      </c>
      <c r="C705" t="s">
        <v>1817</v>
      </c>
      <c r="D705" s="2" t="s">
        <v>1818</v>
      </c>
      <c r="E705" s="1" t="s">
        <v>1810</v>
      </c>
      <c r="F705" t="s">
        <v>24</v>
      </c>
      <c r="G705" s="2" t="s">
        <v>1782</v>
      </c>
      <c r="H705" t="s">
        <v>26</v>
      </c>
      <c r="I705" t="s">
        <v>27</v>
      </c>
      <c r="J705" s="6">
        <v>15849</v>
      </c>
      <c r="K705" s="16">
        <v>1006</v>
      </c>
      <c r="L705" s="16">
        <v>997</v>
      </c>
      <c r="M705" s="16">
        <v>1023</v>
      </c>
      <c r="N705" s="16">
        <v>1012</v>
      </c>
      <c r="O705" s="16">
        <v>1002</v>
      </c>
      <c r="P705" s="16">
        <v>1019</v>
      </c>
      <c r="Q705" s="16">
        <v>1013</v>
      </c>
      <c r="R705" s="16">
        <v>1020</v>
      </c>
      <c r="S705" s="16">
        <v>1006</v>
      </c>
      <c r="T705" s="16">
        <v>1015</v>
      </c>
      <c r="U705" s="15">
        <v>1011.3</v>
      </c>
      <c r="V705" t="s">
        <v>19</v>
      </c>
      <c r="W705" t="s">
        <v>19</v>
      </c>
      <c r="X705">
        <v>192</v>
      </c>
      <c r="Y705" s="16">
        <f>VLOOKUP(Tabela1[[#This Row],[SKU]],SKU!A:D,4,0)</f>
        <v>1000</v>
      </c>
      <c r="Z705" s="18">
        <f>IFERROR((Tabela1[[#This Row],[Média]]-Tabela1[[#This Row],[Meta]])/Tabela1[[#This Row],[Meta]],"")</f>
        <v>1.1299999999999954E-2</v>
      </c>
      <c r="AA705" s="27">
        <f>Tabela1[[#This Row],[Média]]-Tabela1[[#This Row],[Meta]]</f>
        <v>11.299999999999955</v>
      </c>
      <c r="AB705" s="6" t="str">
        <f>VLOOKUP(Tabela1[[#This Row],[SKU]],SKU!A:B,2,0)</f>
        <v>FILEZINHO PEITO CG BDJ SE</v>
      </c>
      <c r="AC705" s="6" t="str">
        <f>VLOOKUP(Tabela1[[#This Row],[SKU]],SKU!A:C,3,0)</f>
        <v>SASSAMI</v>
      </c>
    </row>
    <row r="706" spans="1:29" x14ac:dyDescent="0.3">
      <c r="A706" s="2">
        <f>INT(Tabela1[[#This Row],[Data e Hora2]])</f>
        <v>46279</v>
      </c>
      <c r="B706" s="6" t="str">
        <f>UPPER(TEXT(Tabela1[[#This Row],[Data Corrigida]],"MMM"))</f>
        <v>SET</v>
      </c>
      <c r="C706" t="s">
        <v>1819</v>
      </c>
      <c r="D706" s="2" t="s">
        <v>1820</v>
      </c>
      <c r="E706" s="1" t="s">
        <v>1810</v>
      </c>
      <c r="F706" t="s">
        <v>24</v>
      </c>
      <c r="G706" s="2" t="s">
        <v>1782</v>
      </c>
      <c r="H706" t="s">
        <v>26</v>
      </c>
      <c r="I706" t="s">
        <v>27</v>
      </c>
      <c r="J706" s="6">
        <v>15105</v>
      </c>
      <c r="K706" s="16">
        <v>1011</v>
      </c>
      <c r="L706" s="16">
        <v>1000</v>
      </c>
      <c r="M706" s="16">
        <v>1007</v>
      </c>
      <c r="N706" s="16">
        <v>1010</v>
      </c>
      <c r="O706" s="16">
        <v>1004</v>
      </c>
      <c r="P706" s="16">
        <v>1038</v>
      </c>
      <c r="Q706" s="16">
        <v>1007</v>
      </c>
      <c r="R706" s="16">
        <v>1028</v>
      </c>
      <c r="S706" s="16">
        <v>830</v>
      </c>
      <c r="T706" s="16">
        <v>1044</v>
      </c>
      <c r="U706" s="15">
        <v>997.9</v>
      </c>
      <c r="V706" t="s">
        <v>19</v>
      </c>
      <c r="W706" t="s">
        <v>28</v>
      </c>
      <c r="X706">
        <v>244</v>
      </c>
      <c r="Y706" s="16">
        <f>VLOOKUP(Tabela1[[#This Row],[SKU]],SKU!A:D,4,0)</f>
        <v>1000</v>
      </c>
      <c r="Z706" s="18">
        <f>IFERROR((Tabela1[[#This Row],[Média]]-Tabela1[[#This Row],[Meta]])/Tabela1[[#This Row],[Meta]],"")</f>
        <v>-2.1000000000000229E-3</v>
      </c>
      <c r="AA706" s="27">
        <f>Tabela1[[#This Row],[Média]]-Tabela1[[#This Row],[Meta]]</f>
        <v>-2.1000000000000227</v>
      </c>
      <c r="AB706" s="6" t="str">
        <f>VLOOKUP(Tabela1[[#This Row],[SKU]],SKU!A:B,2,0)</f>
        <v>FILE PEITO MET CG BDJ SE</v>
      </c>
      <c r="AC706" s="6" t="str">
        <f>VLOOKUP(Tabela1[[#This Row],[SKU]],SKU!A:C,3,0)</f>
        <v>PEITO</v>
      </c>
    </row>
    <row r="707" spans="1:29" x14ac:dyDescent="0.3">
      <c r="A707" s="2">
        <f>INT(Tabela1[[#This Row],[Data e Hora2]])</f>
        <v>46279</v>
      </c>
      <c r="B707" s="6" t="str">
        <f>UPPER(TEXT(Tabela1[[#This Row],[Data Corrigida]],"MMM"))</f>
        <v>SET</v>
      </c>
      <c r="C707" t="s">
        <v>1821</v>
      </c>
      <c r="D707" s="2" t="s">
        <v>1822</v>
      </c>
      <c r="E707" s="1" t="s">
        <v>1823</v>
      </c>
      <c r="F707" t="s">
        <v>24</v>
      </c>
      <c r="G707" s="2" t="s">
        <v>1782</v>
      </c>
      <c r="H707" t="s">
        <v>26</v>
      </c>
      <c r="I707" t="s">
        <v>57</v>
      </c>
      <c r="J707" s="6">
        <v>42854</v>
      </c>
      <c r="K707" s="16">
        <v>2085</v>
      </c>
      <c r="L707" s="16">
        <v>2094</v>
      </c>
      <c r="M707" s="16">
        <v>2127</v>
      </c>
      <c r="N707" s="16">
        <v>2085</v>
      </c>
      <c r="O707" s="16">
        <v>2087</v>
      </c>
      <c r="P707" s="16">
        <v>2085</v>
      </c>
      <c r="Q707" s="16">
        <v>2098</v>
      </c>
      <c r="R707" s="16">
        <v>2110</v>
      </c>
      <c r="S707" s="16">
        <v>2154</v>
      </c>
      <c r="T707" s="16">
        <v>2152</v>
      </c>
      <c r="U707" s="15">
        <v>2107.6999999999998</v>
      </c>
      <c r="V707" t="s">
        <v>19</v>
      </c>
      <c r="W707" t="s">
        <v>28</v>
      </c>
      <c r="X707">
        <v>296</v>
      </c>
      <c r="Y707" s="16">
        <f>VLOOKUP(Tabela1[[#This Row],[SKU]],SKU!A:D,4,0)</f>
        <v>2080</v>
      </c>
      <c r="Z707" s="18">
        <f>IFERROR((Tabela1[[#This Row],[Média]]-Tabela1[[#This Row],[Meta]])/Tabela1[[#This Row],[Meta]],"")</f>
        <v>1.3317307692307604E-2</v>
      </c>
      <c r="AA707" s="27">
        <f>Tabela1[[#This Row],[Média]]-Tabela1[[#This Row],[Meta]]</f>
        <v>27.699999999999818</v>
      </c>
      <c r="AB707" s="6" t="str">
        <f>VLOOKUP(Tabela1[[#This Row],[SKU]],SKU!A:B,2,0)</f>
        <v>COXA SBCX S/O FG 260-280g PB</v>
      </c>
      <c r="AC707" s="6" t="str">
        <f>VLOOKUP(Tabela1[[#This Row],[SKU]],SKU!A:C,3,0)</f>
        <v>PERNA</v>
      </c>
    </row>
    <row r="708" spans="1:29" x14ac:dyDescent="0.3">
      <c r="A708" s="2">
        <f>INT(Tabela1[[#This Row],[Data e Hora2]])</f>
        <v>46279</v>
      </c>
      <c r="B708" s="6" t="str">
        <f>UPPER(TEXT(Tabela1[[#This Row],[Data Corrigida]],"MMM"))</f>
        <v>SET</v>
      </c>
      <c r="C708" t="s">
        <v>1824</v>
      </c>
      <c r="D708" s="2" t="s">
        <v>1825</v>
      </c>
      <c r="E708" s="1" t="s">
        <v>1823</v>
      </c>
      <c r="F708" t="s">
        <v>24</v>
      </c>
      <c r="G708" s="2" t="s">
        <v>1782</v>
      </c>
      <c r="H708" t="s">
        <v>26</v>
      </c>
      <c r="I708" t="s">
        <v>57</v>
      </c>
      <c r="J708" s="6">
        <v>42862</v>
      </c>
      <c r="K708" s="16">
        <v>2043</v>
      </c>
      <c r="L708" s="16">
        <v>2024</v>
      </c>
      <c r="M708" s="16">
        <v>2048</v>
      </c>
      <c r="N708" s="16">
        <v>2074</v>
      </c>
      <c r="O708" s="16">
        <v>2045</v>
      </c>
      <c r="P708" s="16">
        <v>2025</v>
      </c>
      <c r="Q708" s="16">
        <v>2016</v>
      </c>
      <c r="R708" s="16">
        <v>2022</v>
      </c>
      <c r="S708" s="16">
        <v>2066</v>
      </c>
      <c r="T708" s="16">
        <v>2021</v>
      </c>
      <c r="U708" s="15">
        <v>2038.4</v>
      </c>
      <c r="V708" t="s">
        <v>19</v>
      </c>
      <c r="W708" t="s">
        <v>28</v>
      </c>
      <c r="X708">
        <v>256</v>
      </c>
      <c r="Y708" s="16">
        <f>VLOOKUP(Tabela1[[#This Row],[SKU]],SKU!A:D,4,0)</f>
        <v>2000</v>
      </c>
      <c r="Z708" s="18">
        <f>IFERROR((Tabela1[[#This Row],[Média]]-Tabela1[[#This Row],[Meta]])/Tabela1[[#This Row],[Meta]],"")</f>
        <v>1.9200000000000047E-2</v>
      </c>
      <c r="AA708" s="27">
        <f>Tabela1[[#This Row],[Média]]-Tabela1[[#This Row],[Meta]]</f>
        <v>38.400000000000091</v>
      </c>
      <c r="AB708" s="6" t="str">
        <f>VLOOKUP(Tabela1[[#This Row],[SKU]],SKU!A:B,2,0)</f>
        <v>COXA SBCX S/O FG 280-300g PB</v>
      </c>
      <c r="AC708" s="6" t="str">
        <f>VLOOKUP(Tabela1[[#This Row],[SKU]],SKU!A:C,3,0)</f>
        <v>PERNA</v>
      </c>
    </row>
    <row r="709" spans="1:29" x14ac:dyDescent="0.3">
      <c r="A709" s="2">
        <f>INT(Tabela1[[#This Row],[Data e Hora2]])</f>
        <v>46279</v>
      </c>
      <c r="B709" s="6" t="str">
        <f>UPPER(TEXT(Tabela1[[#This Row],[Data Corrigida]],"MMM"))</f>
        <v>SET</v>
      </c>
      <c r="C709" t="s">
        <v>1826</v>
      </c>
      <c r="D709" s="2" t="s">
        <v>1827</v>
      </c>
      <c r="E709" s="1" t="s">
        <v>1823</v>
      </c>
      <c r="F709" t="s">
        <v>24</v>
      </c>
      <c r="G709" s="2" t="s">
        <v>1782</v>
      </c>
      <c r="H709" t="s">
        <v>26</v>
      </c>
      <c r="I709" t="s">
        <v>57</v>
      </c>
      <c r="J709" s="6">
        <v>42838</v>
      </c>
      <c r="K709" s="16">
        <v>2027</v>
      </c>
      <c r="L709" s="16">
        <v>2056</v>
      </c>
      <c r="M709" s="16">
        <v>2079</v>
      </c>
      <c r="N709" s="16">
        <v>2027</v>
      </c>
      <c r="O709" s="16">
        <v>2021</v>
      </c>
      <c r="P709" s="16">
        <v>2051</v>
      </c>
      <c r="Q709" s="16">
        <v>2019</v>
      </c>
      <c r="R709" s="16">
        <v>2054</v>
      </c>
      <c r="S709" s="16">
        <v>2031</v>
      </c>
      <c r="T709" s="16">
        <v>2032</v>
      </c>
      <c r="U709" s="15">
        <v>2039.7</v>
      </c>
      <c r="V709" t="s">
        <v>19</v>
      </c>
      <c r="W709" t="s">
        <v>28</v>
      </c>
      <c r="X709">
        <v>160</v>
      </c>
      <c r="Y709" s="16">
        <f>VLOOKUP(Tabela1[[#This Row],[SKU]],SKU!A:D,4,0)</f>
        <v>2000</v>
      </c>
      <c r="Z709" s="18">
        <f>IFERROR((Tabela1[[#This Row],[Média]]-Tabela1[[#This Row],[Meta]])/Tabela1[[#This Row],[Meta]],"")</f>
        <v>1.9850000000000024E-2</v>
      </c>
      <c r="AA709" s="27">
        <f>Tabela1[[#This Row],[Média]]-Tabela1[[#This Row],[Meta]]</f>
        <v>39.700000000000045</v>
      </c>
      <c r="AB709" s="6" t="str">
        <f>VLOOKUP(Tabela1[[#This Row],[SKU]],SKU!A:B,2,0)</f>
        <v>COXA SBCX S/O FG 220-240g PB</v>
      </c>
      <c r="AC709" s="6" t="str">
        <f>VLOOKUP(Tabela1[[#This Row],[SKU]],SKU!A:C,3,0)</f>
        <v>PERNA</v>
      </c>
    </row>
    <row r="710" spans="1:29" x14ac:dyDescent="0.3">
      <c r="A710" s="2">
        <f>INT(Tabela1[[#This Row],[Data e Hora2]])</f>
        <v>46279</v>
      </c>
      <c r="B710" s="6" t="str">
        <f>UPPER(TEXT(Tabela1[[#This Row],[Data Corrigida]],"MMM"))</f>
        <v>SET</v>
      </c>
      <c r="C710" t="s">
        <v>1828</v>
      </c>
      <c r="D710" s="2" t="s">
        <v>1829</v>
      </c>
      <c r="E710" s="1" t="s">
        <v>1823</v>
      </c>
      <c r="F710" t="s">
        <v>24</v>
      </c>
      <c r="G710" s="2" t="s">
        <v>1782</v>
      </c>
      <c r="H710" t="s">
        <v>26</v>
      </c>
      <c r="I710" t="s">
        <v>57</v>
      </c>
      <c r="J710" s="6">
        <v>42820</v>
      </c>
      <c r="K710" s="16">
        <v>2047</v>
      </c>
      <c r="L710" s="16">
        <v>1998</v>
      </c>
      <c r="M710" s="16">
        <v>2038</v>
      </c>
      <c r="N710" s="16">
        <v>2054</v>
      </c>
      <c r="O710" s="16">
        <v>2028</v>
      </c>
      <c r="P710" s="16">
        <v>2006</v>
      </c>
      <c r="Q710" s="16">
        <v>2048</v>
      </c>
      <c r="R710" s="16">
        <v>2047</v>
      </c>
      <c r="S710" s="16">
        <v>2028</v>
      </c>
      <c r="T710" s="16">
        <v>2036</v>
      </c>
      <c r="U710" s="15">
        <v>2033</v>
      </c>
      <c r="V710" t="s">
        <v>19</v>
      </c>
      <c r="W710" t="s">
        <v>28</v>
      </c>
      <c r="X710">
        <v>301</v>
      </c>
      <c r="Y710" s="16">
        <f>VLOOKUP(Tabela1[[#This Row],[SKU]],SKU!A:D,4,0)</f>
        <v>2000</v>
      </c>
      <c r="Z710" s="18">
        <f>IFERROR((Tabela1[[#This Row],[Média]]-Tabela1[[#This Row],[Meta]])/Tabela1[[#This Row],[Meta]],"")</f>
        <v>1.6500000000000001E-2</v>
      </c>
      <c r="AA710" s="27">
        <f>Tabela1[[#This Row],[Média]]-Tabela1[[#This Row],[Meta]]</f>
        <v>33</v>
      </c>
      <c r="AB710" s="6" t="str">
        <f>VLOOKUP(Tabela1[[#This Row],[SKU]],SKU!A:B,2,0)</f>
        <v>COXA SBCX S/O FG 200-220g PB</v>
      </c>
      <c r="AC710" s="6" t="str">
        <f>VLOOKUP(Tabela1[[#This Row],[SKU]],SKU!A:C,3,0)</f>
        <v>PERNA</v>
      </c>
    </row>
    <row r="711" spans="1:29" x14ac:dyDescent="0.3">
      <c r="A711" s="2">
        <f>INT(Tabela1[[#This Row],[Data e Hora2]])</f>
        <v>46279</v>
      </c>
      <c r="B711" s="6" t="str">
        <f>UPPER(TEXT(Tabela1[[#This Row],[Data Corrigida]],"MMM"))</f>
        <v>SET</v>
      </c>
      <c r="C711" t="s">
        <v>1830</v>
      </c>
      <c r="D711" s="2" t="s">
        <v>1831</v>
      </c>
      <c r="E711" s="1" t="s">
        <v>1823</v>
      </c>
      <c r="F711" t="s">
        <v>24</v>
      </c>
      <c r="G711" s="2" t="s">
        <v>1782</v>
      </c>
      <c r="H711" t="s">
        <v>26</v>
      </c>
      <c r="I711" t="s">
        <v>57</v>
      </c>
      <c r="J711" s="6">
        <v>42811</v>
      </c>
      <c r="K711" s="16">
        <v>2028</v>
      </c>
      <c r="L711" s="16">
        <v>2000</v>
      </c>
      <c r="M711" s="16">
        <v>1987</v>
      </c>
      <c r="N711" s="16">
        <v>2005</v>
      </c>
      <c r="O711" s="16">
        <v>2029</v>
      </c>
      <c r="P711" s="16">
        <v>2023</v>
      </c>
      <c r="Q711" s="16">
        <v>2000</v>
      </c>
      <c r="R711" s="16">
        <v>1990</v>
      </c>
      <c r="S711" s="16">
        <v>2009</v>
      </c>
      <c r="T711" s="16">
        <v>2008</v>
      </c>
      <c r="U711" s="15">
        <v>2007.9</v>
      </c>
      <c r="V711" t="s">
        <v>19</v>
      </c>
      <c r="W711" t="s">
        <v>28</v>
      </c>
      <c r="X711">
        <v>441</v>
      </c>
      <c r="Y711" s="16">
        <f>VLOOKUP(Tabela1[[#This Row],[SKU]],SKU!A:D,4,0)</f>
        <v>2000</v>
      </c>
      <c r="Z711" s="18">
        <f>IFERROR((Tabela1[[#This Row],[Média]]-Tabela1[[#This Row],[Meta]])/Tabela1[[#This Row],[Meta]],"")</f>
        <v>3.9500000000000455E-3</v>
      </c>
      <c r="AA711" s="27">
        <f>Tabela1[[#This Row],[Média]]-Tabela1[[#This Row],[Meta]]</f>
        <v>7.9000000000000909</v>
      </c>
      <c r="AB711" s="6" t="str">
        <f>VLOOKUP(Tabela1[[#This Row],[SKU]],SKU!A:B,2,0)</f>
        <v>COXA SBCX S/O FG 180-200g PB</v>
      </c>
      <c r="AC711" s="6" t="str">
        <f>VLOOKUP(Tabela1[[#This Row],[SKU]],SKU!A:C,3,0)</f>
        <v>PERNA</v>
      </c>
    </row>
    <row r="712" spans="1:29" x14ac:dyDescent="0.3">
      <c r="A712" s="2">
        <f>INT(Tabela1[[#This Row],[Data e Hora2]])</f>
        <v>46279</v>
      </c>
      <c r="B712" s="6" t="str">
        <f>UPPER(TEXT(Tabela1[[#This Row],[Data Corrigida]],"MMM"))</f>
        <v>SET</v>
      </c>
      <c r="C712" t="s">
        <v>1832</v>
      </c>
      <c r="D712" s="2" t="s">
        <v>1833</v>
      </c>
      <c r="E712" s="1" t="s">
        <v>1823</v>
      </c>
      <c r="F712" t="s">
        <v>24</v>
      </c>
      <c r="G712" s="2" t="s">
        <v>1782</v>
      </c>
      <c r="H712" t="s">
        <v>26</v>
      </c>
      <c r="I712" t="s">
        <v>57</v>
      </c>
      <c r="J712" s="6">
        <v>864048</v>
      </c>
      <c r="K712" s="16">
        <v>2046</v>
      </c>
      <c r="L712" s="16">
        <v>2033</v>
      </c>
      <c r="M712" s="16">
        <v>2011</v>
      </c>
      <c r="N712" s="16">
        <v>2001</v>
      </c>
      <c r="O712" s="16">
        <v>2039</v>
      </c>
      <c r="P712" s="16">
        <v>2009</v>
      </c>
      <c r="Q712" s="16">
        <v>2040</v>
      </c>
      <c r="R712" s="16">
        <v>2008</v>
      </c>
      <c r="S712" s="16">
        <v>2026</v>
      </c>
      <c r="T712" s="16">
        <v>2012</v>
      </c>
      <c r="U712" s="15">
        <v>2022.5</v>
      </c>
      <c r="V712" t="s">
        <v>19</v>
      </c>
      <c r="W712" t="s">
        <v>28</v>
      </c>
      <c r="X712">
        <v>190</v>
      </c>
      <c r="Y712" s="16">
        <f>VLOOKUP(Tabela1[[#This Row],[SKU]],SKU!A:D,4,0)</f>
        <v>2000</v>
      </c>
      <c r="Z712" s="18">
        <f>IFERROR((Tabela1[[#This Row],[Média]]-Tabela1[[#This Row],[Meta]])/Tabela1[[#This Row],[Meta]],"")</f>
        <v>1.125E-2</v>
      </c>
      <c r="AA712" s="27">
        <f>Tabela1[[#This Row],[Média]]-Tabela1[[#This Row],[Meta]]</f>
        <v>22.5</v>
      </c>
      <c r="AB712" s="6" t="str">
        <f>VLOOKUP(Tabela1[[#This Row],[SKU]],SKU!A:B,2,0)</f>
        <v>COXA SBCX S/O 200g FG UP PB</v>
      </c>
      <c r="AC712" s="6" t="str">
        <f>VLOOKUP(Tabela1[[#This Row],[SKU]],SKU!A:C,3,0)</f>
        <v>PERNA</v>
      </c>
    </row>
    <row r="713" spans="1:29" x14ac:dyDescent="0.3">
      <c r="A713" s="2">
        <f>INT(Tabela1[[#This Row],[Data e Hora2]])</f>
        <v>46279</v>
      </c>
      <c r="B713" s="6" t="str">
        <f>UPPER(TEXT(Tabela1[[#This Row],[Data Corrigida]],"MMM"))</f>
        <v>SET</v>
      </c>
      <c r="C713" t="s">
        <v>1834</v>
      </c>
      <c r="D713" s="2" t="s">
        <v>1835</v>
      </c>
      <c r="E713" s="1" t="s">
        <v>1823</v>
      </c>
      <c r="F713" t="s">
        <v>24</v>
      </c>
      <c r="G713" s="2" t="s">
        <v>1782</v>
      </c>
      <c r="H713" t="s">
        <v>26</v>
      </c>
      <c r="I713" t="s">
        <v>57</v>
      </c>
      <c r="J713" s="6">
        <v>42846</v>
      </c>
      <c r="K713" s="16">
        <v>2014</v>
      </c>
      <c r="L713" s="16">
        <v>2020</v>
      </c>
      <c r="M713" s="16">
        <v>2023</v>
      </c>
      <c r="N713" s="16">
        <v>2018</v>
      </c>
      <c r="O713" s="16">
        <v>2032</v>
      </c>
      <c r="P713" s="16">
        <v>2009</v>
      </c>
      <c r="Q713" s="16">
        <v>2018</v>
      </c>
      <c r="R713" s="16">
        <v>2028</v>
      </c>
      <c r="S713" s="16">
        <v>2020</v>
      </c>
      <c r="T713" s="16">
        <v>2041</v>
      </c>
      <c r="U713" s="15">
        <v>2022.3</v>
      </c>
      <c r="V713" t="s">
        <v>19</v>
      </c>
      <c r="W713" t="s">
        <v>28</v>
      </c>
      <c r="X713">
        <v>188</v>
      </c>
      <c r="Y713" s="16">
        <f>VLOOKUP(Tabela1[[#This Row],[SKU]],SKU!A:D,4,0)</f>
        <v>2000</v>
      </c>
      <c r="Z713" s="18">
        <f>IFERROR((Tabela1[[#This Row],[Média]]-Tabela1[[#This Row],[Meta]])/Tabela1[[#This Row],[Meta]],"")</f>
        <v>1.1149999999999978E-2</v>
      </c>
      <c r="AA713" s="27">
        <f>Tabela1[[#This Row],[Média]]-Tabela1[[#This Row],[Meta]]</f>
        <v>22.299999999999955</v>
      </c>
      <c r="AB713" s="6" t="str">
        <f>VLOOKUP(Tabela1[[#This Row],[SKU]],SKU!A:B,2,0)</f>
        <v>COXA SBCX S/O FG 240-260g PB</v>
      </c>
      <c r="AC713" s="6" t="str">
        <f>VLOOKUP(Tabela1[[#This Row],[SKU]],SKU!A:C,3,0)</f>
        <v>PERNA</v>
      </c>
    </row>
    <row r="714" spans="1:29" x14ac:dyDescent="0.3">
      <c r="A714" s="2">
        <f>INT(Tabela1[[#This Row],[Data e Hora2]])</f>
        <v>46279</v>
      </c>
      <c r="B714" s="6" t="str">
        <f>UPPER(TEXT(Tabela1[[#This Row],[Data Corrigida]],"MMM"))</f>
        <v>SET</v>
      </c>
      <c r="C714" t="s">
        <v>1836</v>
      </c>
      <c r="D714" s="2" t="s">
        <v>1837</v>
      </c>
      <c r="E714" s="1" t="s">
        <v>1838</v>
      </c>
      <c r="F714" t="s">
        <v>24</v>
      </c>
      <c r="G714" s="2" t="s">
        <v>1782</v>
      </c>
      <c r="H714" t="s">
        <v>26</v>
      </c>
      <c r="I714" t="s">
        <v>57</v>
      </c>
      <c r="J714" s="6">
        <v>55552</v>
      </c>
      <c r="K714" s="16">
        <v>15000</v>
      </c>
      <c r="L714" s="16">
        <v>15000</v>
      </c>
      <c r="M714" s="16">
        <v>15005</v>
      </c>
      <c r="N714" s="16">
        <v>15000</v>
      </c>
      <c r="O714" s="16">
        <v>15010</v>
      </c>
      <c r="P714" s="16">
        <v>15010</v>
      </c>
      <c r="Q714" s="16">
        <v>14970</v>
      </c>
      <c r="R714" s="16">
        <v>14990</v>
      </c>
      <c r="S714" s="16">
        <v>14990</v>
      </c>
      <c r="T714" s="16">
        <v>15005</v>
      </c>
      <c r="U714" s="15">
        <v>14998</v>
      </c>
      <c r="V714" t="s">
        <v>19</v>
      </c>
      <c r="W714" t="s">
        <v>28</v>
      </c>
      <c r="X714">
        <v>213</v>
      </c>
      <c r="Y714" s="16">
        <f>VLOOKUP(Tabela1[[#This Row],[SKU]],SKU!A:D,4,0)</f>
        <v>15000</v>
      </c>
      <c r="Z714" s="18">
        <f>IFERROR((Tabela1[[#This Row],[Média]]-Tabela1[[#This Row],[Meta]])/Tabela1[[#This Row],[Meta]],"")</f>
        <v>-1.3333333333333334E-4</v>
      </c>
      <c r="AA714" s="27">
        <f>Tabela1[[#This Row],[Média]]-Tabela1[[#This Row],[Meta]]</f>
        <v>-2</v>
      </c>
      <c r="AB714" s="6" t="str">
        <f>VLOOKUP(Tabela1[[#This Row],[SKU]],SKU!A:B,2,0)</f>
        <v>COXA SBCX  S/O CG MP</v>
      </c>
      <c r="AC714" s="6" t="str">
        <f>VLOOKUP(Tabela1[[#This Row],[SKU]],SKU!A:C,3,0)</f>
        <v>PERNA</v>
      </c>
    </row>
    <row r="715" spans="1:29" x14ac:dyDescent="0.3">
      <c r="A715" s="2">
        <f>INT(Tabela1[[#This Row],[Data e Hora2]])</f>
        <v>46279</v>
      </c>
      <c r="B715" s="6" t="str">
        <f>UPPER(TEXT(Tabela1[[#This Row],[Data Corrigida]],"MMM"))</f>
        <v>SET</v>
      </c>
      <c r="C715" t="s">
        <v>1839</v>
      </c>
      <c r="D715" s="2" t="s">
        <v>1840</v>
      </c>
      <c r="E715" s="1" t="s">
        <v>1841</v>
      </c>
      <c r="F715" t="s">
        <v>24</v>
      </c>
      <c r="G715" s="2" t="s">
        <v>1782</v>
      </c>
      <c r="H715" t="s">
        <v>26</v>
      </c>
      <c r="I715" t="s">
        <v>57</v>
      </c>
      <c r="J715" s="6">
        <v>40762</v>
      </c>
      <c r="K715" s="16">
        <v>10035</v>
      </c>
      <c r="L715" s="16">
        <v>10015</v>
      </c>
      <c r="M715" s="16">
        <v>9970</v>
      </c>
      <c r="N715" s="16">
        <v>10065</v>
      </c>
      <c r="O715" s="16">
        <v>9060</v>
      </c>
      <c r="P715" s="16">
        <v>10003</v>
      </c>
      <c r="Q715" s="16">
        <v>10030</v>
      </c>
      <c r="R715" s="16">
        <v>10035</v>
      </c>
      <c r="S715" s="16">
        <v>9985</v>
      </c>
      <c r="T715" s="16">
        <v>10010</v>
      </c>
      <c r="U715" s="15">
        <v>9920.7999999999993</v>
      </c>
      <c r="V715" t="s">
        <v>19</v>
      </c>
      <c r="W715" t="s">
        <v>28</v>
      </c>
      <c r="X715">
        <v>458</v>
      </c>
      <c r="Y715" s="16">
        <f>VLOOKUP(Tabela1[[#This Row],[SKU]],SKU!A:D,4,0)</f>
        <v>10000</v>
      </c>
      <c r="Z715" s="18">
        <f>IFERROR((Tabela1[[#This Row],[Média]]-Tabela1[[#This Row],[Meta]])/Tabela1[[#This Row],[Meta]],"")</f>
        <v>-7.9200000000000728E-3</v>
      </c>
      <c r="AA715" s="27">
        <f>Tabela1[[#This Row],[Média]]-Tabela1[[#This Row],[Meta]]</f>
        <v>-79.200000000000728</v>
      </c>
      <c r="AB715" s="6" t="str">
        <f>VLOOKUP(Tabela1[[#This Row],[SKU]],SKU!A:B,2,0)</f>
        <v>COXA SBCX LQ FG LP</v>
      </c>
      <c r="AC715" s="6" t="str">
        <f>VLOOKUP(Tabela1[[#This Row],[SKU]],SKU!A:C,3,0)</f>
        <v>PERNA</v>
      </c>
    </row>
    <row r="716" spans="1:29" x14ac:dyDescent="0.3">
      <c r="A716" s="2">
        <f>INT(Tabela1[[#This Row],[Data e Hora2]])</f>
        <v>46279</v>
      </c>
      <c r="B716" s="6" t="str">
        <f>UPPER(TEXT(Tabela1[[#This Row],[Data Corrigida]],"MMM"))</f>
        <v>SET</v>
      </c>
      <c r="C716" t="s">
        <v>1842</v>
      </c>
      <c r="D716" s="2" t="s">
        <v>1843</v>
      </c>
      <c r="E716" s="1" t="s">
        <v>1841</v>
      </c>
      <c r="F716" t="s">
        <v>24</v>
      </c>
      <c r="G716" s="2" t="s">
        <v>1782</v>
      </c>
      <c r="H716" t="s">
        <v>26</v>
      </c>
      <c r="I716" t="s">
        <v>57</v>
      </c>
      <c r="J716" s="6">
        <v>40762</v>
      </c>
      <c r="K716" s="16">
        <v>10055</v>
      </c>
      <c r="L716" s="16">
        <v>10005</v>
      </c>
      <c r="M716" s="16">
        <v>10035</v>
      </c>
      <c r="N716" s="16">
        <v>9910</v>
      </c>
      <c r="O716" s="16">
        <v>10065</v>
      </c>
      <c r="P716" s="16">
        <v>10025</v>
      </c>
      <c r="Q716" s="16">
        <v>10050</v>
      </c>
      <c r="R716" s="16">
        <v>10020</v>
      </c>
      <c r="S716" s="16">
        <v>10065</v>
      </c>
      <c r="T716" s="16">
        <v>10030</v>
      </c>
      <c r="U716" s="15">
        <v>10026</v>
      </c>
      <c r="V716" t="s">
        <v>19</v>
      </c>
      <c r="W716" t="s">
        <v>28</v>
      </c>
      <c r="X716">
        <v>712</v>
      </c>
      <c r="Y716" s="16">
        <f>VLOOKUP(Tabela1[[#This Row],[SKU]],SKU!A:D,4,0)</f>
        <v>10000</v>
      </c>
      <c r="Z716" s="18">
        <f>IFERROR((Tabela1[[#This Row],[Média]]-Tabela1[[#This Row],[Meta]])/Tabela1[[#This Row],[Meta]],"")</f>
        <v>2.5999999999999999E-3</v>
      </c>
      <c r="AA716" s="27">
        <f>Tabela1[[#This Row],[Média]]-Tabela1[[#This Row],[Meta]]</f>
        <v>26</v>
      </c>
      <c r="AB716" s="6" t="str">
        <f>VLOOKUP(Tabela1[[#This Row],[SKU]],SKU!A:B,2,0)</f>
        <v>COXA SBCX LQ FG LP</v>
      </c>
      <c r="AC716" s="6" t="str">
        <f>VLOOKUP(Tabela1[[#This Row],[SKU]],SKU!A:C,3,0)</f>
        <v>PERNA</v>
      </c>
    </row>
    <row r="717" spans="1:29" x14ac:dyDescent="0.3">
      <c r="A717" s="2">
        <f>INT(Tabela1[[#This Row],[Data e Hora2]])</f>
        <v>46279</v>
      </c>
      <c r="B717" s="6" t="str">
        <f>UPPER(TEXT(Tabela1[[#This Row],[Data Corrigida]],"MMM"))</f>
        <v>SET</v>
      </c>
      <c r="C717" t="s">
        <v>1844</v>
      </c>
      <c r="D717" s="2" t="s">
        <v>1845</v>
      </c>
      <c r="E717" s="1" t="s">
        <v>1841</v>
      </c>
      <c r="F717" t="s">
        <v>24</v>
      </c>
      <c r="G717" s="2" t="s">
        <v>1782</v>
      </c>
      <c r="H717" t="s">
        <v>26</v>
      </c>
      <c r="I717" t="s">
        <v>57</v>
      </c>
      <c r="J717" s="6">
        <v>209069</v>
      </c>
      <c r="K717" s="16">
        <v>1007</v>
      </c>
      <c r="L717" s="16">
        <v>1006</v>
      </c>
      <c r="M717" s="16">
        <v>997</v>
      </c>
      <c r="N717" s="16">
        <v>993</v>
      </c>
      <c r="O717" s="16">
        <v>1073</v>
      </c>
      <c r="P717" s="16">
        <v>1062</v>
      </c>
      <c r="Q717" s="16">
        <v>1047</v>
      </c>
      <c r="R717" s="16">
        <v>1006</v>
      </c>
      <c r="S717" s="16">
        <v>1000</v>
      </c>
      <c r="T717" s="16">
        <v>1043</v>
      </c>
      <c r="U717" s="15">
        <v>1023.4</v>
      </c>
      <c r="V717" t="s">
        <v>19</v>
      </c>
      <c r="W717" t="s">
        <v>28</v>
      </c>
      <c r="X717">
        <v>2405</v>
      </c>
      <c r="Y717" s="16">
        <f>VLOOKUP(Tabela1[[#This Row],[SKU]],SKU!A:D,4,0)</f>
        <v>1000</v>
      </c>
      <c r="Z717" s="18">
        <f>IFERROR((Tabela1[[#This Row],[Média]]-Tabela1[[#This Row],[Meta]])/Tabela1[[#This Row],[Meta]],"")</f>
        <v>2.3399999999999976E-2</v>
      </c>
      <c r="AA717" s="27">
        <f>Tabela1[[#This Row],[Média]]-Tabela1[[#This Row],[Meta]]</f>
        <v>23.399999999999977</v>
      </c>
      <c r="AB717" s="6" t="str">
        <f>VLOOKUP(Tabela1[[#This Row],[SKU]],SKU!A:B,2,0)</f>
        <v>FILE PEITO CG IQF1KG</v>
      </c>
      <c r="AC717" s="6" t="str">
        <f>VLOOKUP(Tabela1[[#This Row],[SKU]],SKU!A:C,3,0)</f>
        <v>PEITO</v>
      </c>
    </row>
    <row r="718" spans="1:29" x14ac:dyDescent="0.3">
      <c r="A718" s="2">
        <f>INT(Tabela1[[#This Row],[Data e Hora2]])</f>
        <v>46279</v>
      </c>
      <c r="B718" s="6" t="str">
        <f>UPPER(TEXT(Tabela1[[#This Row],[Data Corrigida]],"MMM"))</f>
        <v>SET</v>
      </c>
      <c r="C718" t="s">
        <v>1846</v>
      </c>
      <c r="D718" s="2" t="s">
        <v>1847</v>
      </c>
      <c r="E718" s="1" t="s">
        <v>1848</v>
      </c>
      <c r="F718" t="s">
        <v>24</v>
      </c>
      <c r="G718" s="2" t="s">
        <v>1782</v>
      </c>
      <c r="H718" t="s">
        <v>26</v>
      </c>
      <c r="I718" t="s">
        <v>57</v>
      </c>
      <c r="J718" s="6">
        <v>15229</v>
      </c>
      <c r="K718" s="16">
        <v>1014</v>
      </c>
      <c r="L718" s="16">
        <v>1000</v>
      </c>
      <c r="M718" s="16">
        <v>1003</v>
      </c>
      <c r="N718" s="16">
        <v>998</v>
      </c>
      <c r="O718" s="16">
        <v>1008</v>
      </c>
      <c r="P718" s="16">
        <v>995</v>
      </c>
      <c r="Q718" s="16">
        <v>1015</v>
      </c>
      <c r="R718" s="16">
        <v>1004</v>
      </c>
      <c r="S718" s="16">
        <v>1006</v>
      </c>
      <c r="T718" s="16">
        <v>1001</v>
      </c>
      <c r="U718" s="15">
        <v>1004.4</v>
      </c>
      <c r="V718" t="s">
        <v>19</v>
      </c>
      <c r="W718" t="s">
        <v>28</v>
      </c>
      <c r="X718">
        <v>556</v>
      </c>
      <c r="Y718" s="16">
        <f>VLOOKUP(Tabela1[[#This Row],[SKU]],SKU!A:D,4,0)</f>
        <v>1000</v>
      </c>
      <c r="Z718" s="18">
        <f>IFERROR((Tabela1[[#This Row],[Média]]-Tabela1[[#This Row],[Meta]])/Tabela1[[#This Row],[Meta]],"")</f>
        <v>4.3999999999999768E-3</v>
      </c>
      <c r="AA718" s="27">
        <f>Tabela1[[#This Row],[Média]]-Tabela1[[#This Row],[Meta]]</f>
        <v>4.3999999999999773</v>
      </c>
      <c r="AB718" s="6" t="str">
        <f>VLOOKUP(Tabela1[[#This Row],[SKU]],SKU!A:B,2,0)</f>
        <v>COXA CG BDJ SE</v>
      </c>
      <c r="AC718" s="6" t="str">
        <f>VLOOKUP(Tabela1[[#This Row],[SKU]],SKU!A:C,3,0)</f>
        <v>PERNA</v>
      </c>
    </row>
    <row r="719" spans="1:29" x14ac:dyDescent="0.3">
      <c r="A719" s="2">
        <f>INT(Tabela1[[#This Row],[Data e Hora2]])</f>
        <v>46279</v>
      </c>
      <c r="B719" s="6" t="str">
        <f>UPPER(TEXT(Tabela1[[#This Row],[Data Corrigida]],"MMM"))</f>
        <v>SET</v>
      </c>
      <c r="C719" t="s">
        <v>1849</v>
      </c>
      <c r="D719" s="2" t="s">
        <v>1850</v>
      </c>
      <c r="E719" s="1" t="s">
        <v>1848</v>
      </c>
      <c r="F719" t="s">
        <v>24</v>
      </c>
      <c r="G719" s="2" t="s">
        <v>1782</v>
      </c>
      <c r="H719" t="s">
        <v>26</v>
      </c>
      <c r="I719" t="s">
        <v>57</v>
      </c>
      <c r="J719" s="6">
        <v>15105</v>
      </c>
      <c r="K719" s="16">
        <v>1018</v>
      </c>
      <c r="L719" s="16">
        <v>1042</v>
      </c>
      <c r="M719" s="16">
        <v>1026</v>
      </c>
      <c r="N719" s="16">
        <v>1070</v>
      </c>
      <c r="O719" s="16">
        <v>1042</v>
      </c>
      <c r="P719" s="16">
        <v>1010</v>
      </c>
      <c r="Q719" s="16">
        <v>1017</v>
      </c>
      <c r="R719" s="16">
        <v>985</v>
      </c>
      <c r="S719" s="16">
        <v>1156</v>
      </c>
      <c r="T719" s="16">
        <v>1038</v>
      </c>
      <c r="U719" s="15">
        <v>1040.4000000000001</v>
      </c>
      <c r="V719" t="s">
        <v>19</v>
      </c>
      <c r="W719" t="s">
        <v>28</v>
      </c>
      <c r="X719">
        <v>254</v>
      </c>
      <c r="Y719" s="16">
        <f>VLOOKUP(Tabela1[[#This Row],[SKU]],SKU!A:D,4,0)</f>
        <v>1000</v>
      </c>
      <c r="Z719" s="18">
        <f>IFERROR((Tabela1[[#This Row],[Média]]-Tabela1[[#This Row],[Meta]])/Tabela1[[#This Row],[Meta]],"")</f>
        <v>4.0400000000000089E-2</v>
      </c>
      <c r="AA719" s="27">
        <f>Tabela1[[#This Row],[Média]]-Tabela1[[#This Row],[Meta]]</f>
        <v>40.400000000000091</v>
      </c>
      <c r="AB719" s="6" t="str">
        <f>VLOOKUP(Tabela1[[#This Row],[SKU]],SKU!A:B,2,0)</f>
        <v>FILE PEITO MET CG BDJ SE</v>
      </c>
      <c r="AC719" s="6" t="str">
        <f>VLOOKUP(Tabela1[[#This Row],[SKU]],SKU!A:C,3,0)</f>
        <v>PEITO</v>
      </c>
    </row>
    <row r="720" spans="1:29" x14ac:dyDescent="0.3">
      <c r="A720" s="2">
        <f>INT(Tabela1[[#This Row],[Data e Hora2]])</f>
        <v>46279</v>
      </c>
      <c r="B720" s="6" t="str">
        <f>UPPER(TEXT(Tabela1[[#This Row],[Data Corrigida]],"MMM"))</f>
        <v>SET</v>
      </c>
      <c r="C720" t="s">
        <v>1851</v>
      </c>
      <c r="D720" s="2" t="s">
        <v>1852</v>
      </c>
      <c r="E720" s="1" t="s">
        <v>1853</v>
      </c>
      <c r="F720" t="s">
        <v>24</v>
      </c>
      <c r="G720" s="2" t="s">
        <v>1782</v>
      </c>
      <c r="H720" t="s">
        <v>26</v>
      </c>
      <c r="I720" t="s">
        <v>57</v>
      </c>
      <c r="J720" s="6">
        <v>13188</v>
      </c>
      <c r="K720" s="16">
        <v>1008</v>
      </c>
      <c r="L720" s="16">
        <v>998</v>
      </c>
      <c r="M720" s="16">
        <v>1001</v>
      </c>
      <c r="N720" s="16">
        <v>1009</v>
      </c>
      <c r="O720" s="16">
        <v>1004</v>
      </c>
      <c r="P720" s="16">
        <v>999</v>
      </c>
      <c r="Q720" s="16">
        <v>1008</v>
      </c>
      <c r="R720" s="16">
        <v>1007</v>
      </c>
      <c r="S720" s="16">
        <v>996</v>
      </c>
      <c r="T720" s="16">
        <v>1011</v>
      </c>
      <c r="U720" s="15">
        <v>1004.1</v>
      </c>
      <c r="V720" t="s">
        <v>19</v>
      </c>
      <c r="W720" t="s">
        <v>28</v>
      </c>
      <c r="X720">
        <v>758</v>
      </c>
      <c r="Y720" s="16">
        <f>VLOOKUP(Tabela1[[#This Row],[SKU]],SKU!A:D,4,0)</f>
        <v>1000</v>
      </c>
      <c r="Z720" s="18">
        <f>IFERROR((Tabela1[[#This Row],[Média]]-Tabela1[[#This Row],[Meta]])/Tabela1[[#This Row],[Meta]],"")</f>
        <v>4.1000000000000229E-3</v>
      </c>
      <c r="AA720" s="27">
        <f>Tabela1[[#This Row],[Média]]-Tabela1[[#This Row],[Meta]]</f>
        <v>4.1000000000000227</v>
      </c>
      <c r="AB720" s="6" t="str">
        <f>VLOOKUP(Tabela1[[#This Row],[SKU]],SKU!A:B,2,0)</f>
        <v>SOBRECOXA CG BDJ SE</v>
      </c>
      <c r="AC720" s="6" t="str">
        <f>VLOOKUP(Tabela1[[#This Row],[SKU]],SKU!A:C,3,0)</f>
        <v>PERNA</v>
      </c>
    </row>
    <row r="721" spans="1:29" x14ac:dyDescent="0.3">
      <c r="A721" s="2">
        <f>INT(Tabela1[[#This Row],[Data e Hora2]])</f>
        <v>46279</v>
      </c>
      <c r="B721" s="6" t="str">
        <f>UPPER(TEXT(Tabela1[[#This Row],[Data Corrigida]],"MMM"))</f>
        <v>SET</v>
      </c>
      <c r="C721" t="s">
        <v>1854</v>
      </c>
      <c r="D721" s="2" t="s">
        <v>1855</v>
      </c>
      <c r="E721" s="1" t="s">
        <v>1856</v>
      </c>
      <c r="F721" t="s">
        <v>24</v>
      </c>
      <c r="G721" s="2" t="s">
        <v>1782</v>
      </c>
      <c r="H721" t="s">
        <v>26</v>
      </c>
      <c r="I721" t="s">
        <v>57</v>
      </c>
      <c r="J721" s="6">
        <v>15849</v>
      </c>
      <c r="K721" s="16">
        <v>1003</v>
      </c>
      <c r="L721" s="16">
        <v>1017</v>
      </c>
      <c r="M721" s="16">
        <v>1005</v>
      </c>
      <c r="N721" s="16">
        <v>1013</v>
      </c>
      <c r="O721" s="16">
        <v>996</v>
      </c>
      <c r="P721" s="16">
        <v>997</v>
      </c>
      <c r="Q721" s="16">
        <v>1016</v>
      </c>
      <c r="R721" s="16">
        <v>1018</v>
      </c>
      <c r="S721" s="16">
        <v>1003</v>
      </c>
      <c r="T721" s="16">
        <v>1013</v>
      </c>
      <c r="U721" s="15">
        <v>1008.1</v>
      </c>
      <c r="V721" t="s">
        <v>19</v>
      </c>
      <c r="W721" t="s">
        <v>28</v>
      </c>
      <c r="X721">
        <v>1159</v>
      </c>
      <c r="Y721" s="16">
        <f>VLOOKUP(Tabela1[[#This Row],[SKU]],SKU!A:D,4,0)</f>
        <v>1000</v>
      </c>
      <c r="Z721" s="18">
        <f>IFERROR((Tabela1[[#This Row],[Média]]-Tabela1[[#This Row],[Meta]])/Tabela1[[#This Row],[Meta]],"")</f>
        <v>8.1000000000000221E-3</v>
      </c>
      <c r="AA721" s="27">
        <f>Tabela1[[#This Row],[Média]]-Tabela1[[#This Row],[Meta]]</f>
        <v>8.1000000000000227</v>
      </c>
      <c r="AB721" s="6" t="str">
        <f>VLOOKUP(Tabela1[[#This Row],[SKU]],SKU!A:B,2,0)</f>
        <v>FILEZINHO PEITO CG BDJ SE</v>
      </c>
      <c r="AC721" s="6" t="str">
        <f>VLOOKUP(Tabela1[[#This Row],[SKU]],SKU!A:C,3,0)</f>
        <v>SASSAMI</v>
      </c>
    </row>
    <row r="722" spans="1:29" x14ac:dyDescent="0.3">
      <c r="A722" s="2">
        <f>INT(Tabela1[[#This Row],[Data e Hora2]])</f>
        <v>46279</v>
      </c>
      <c r="B722" s="6" t="str">
        <f>UPPER(TEXT(Tabela1[[#This Row],[Data Corrigida]],"MMM"))</f>
        <v>SET</v>
      </c>
      <c r="C722" t="s">
        <v>1857</v>
      </c>
      <c r="D722" s="2" t="s">
        <v>1858</v>
      </c>
      <c r="E722" s="1" t="s">
        <v>1859</v>
      </c>
      <c r="F722" t="s">
        <v>24</v>
      </c>
      <c r="G722" s="2" t="s">
        <v>1782</v>
      </c>
      <c r="H722" t="s">
        <v>26</v>
      </c>
      <c r="I722" t="s">
        <v>57</v>
      </c>
      <c r="J722" s="6">
        <v>15105</v>
      </c>
      <c r="K722" s="16">
        <v>986</v>
      </c>
      <c r="L722" s="16">
        <v>997</v>
      </c>
      <c r="M722" s="16">
        <v>996</v>
      </c>
      <c r="N722" s="16">
        <v>1022</v>
      </c>
      <c r="O722" s="16">
        <v>991</v>
      </c>
      <c r="P722" s="16">
        <v>1005</v>
      </c>
      <c r="Q722" s="16">
        <v>1036</v>
      </c>
      <c r="R722" s="16">
        <v>1004</v>
      </c>
      <c r="S722" s="16">
        <v>1042</v>
      </c>
      <c r="T722" s="16">
        <v>1019</v>
      </c>
      <c r="U722" s="15">
        <v>1010</v>
      </c>
      <c r="V722" t="s">
        <v>19</v>
      </c>
      <c r="W722" t="s">
        <v>28</v>
      </c>
      <c r="X722">
        <v>192</v>
      </c>
      <c r="Y722" s="16">
        <f>VLOOKUP(Tabela1[[#This Row],[SKU]],SKU!A:D,4,0)</f>
        <v>1000</v>
      </c>
      <c r="Z722" s="18">
        <f>IFERROR((Tabela1[[#This Row],[Média]]-Tabela1[[#This Row],[Meta]])/Tabela1[[#This Row],[Meta]],"")</f>
        <v>0.01</v>
      </c>
      <c r="AA722" s="27">
        <f>Tabela1[[#This Row],[Média]]-Tabela1[[#This Row],[Meta]]</f>
        <v>10</v>
      </c>
      <c r="AB722" s="6" t="str">
        <f>VLOOKUP(Tabela1[[#This Row],[SKU]],SKU!A:B,2,0)</f>
        <v>FILE PEITO MET CG BDJ SE</v>
      </c>
      <c r="AC722" s="6" t="str">
        <f>VLOOKUP(Tabela1[[#This Row],[SKU]],SKU!A:C,3,0)</f>
        <v>PEITO</v>
      </c>
    </row>
    <row r="723" spans="1:29" x14ac:dyDescent="0.3">
      <c r="A723" s="2">
        <f>INT(Tabela1[[#This Row],[Data e Hora2]])</f>
        <v>46279</v>
      </c>
      <c r="B723" s="6" t="str">
        <f>UPPER(TEXT(Tabela1[[#This Row],[Data Corrigida]],"MMM"))</f>
        <v>SET</v>
      </c>
      <c r="C723" t="s">
        <v>1860</v>
      </c>
      <c r="D723" s="2" t="s">
        <v>1861</v>
      </c>
      <c r="E723" s="1" t="s">
        <v>1862</v>
      </c>
      <c r="F723" t="s">
        <v>24</v>
      </c>
      <c r="G723" s="2" t="s">
        <v>1782</v>
      </c>
      <c r="H723" t="s">
        <v>26</v>
      </c>
      <c r="I723" t="s">
        <v>57</v>
      </c>
      <c r="J723" s="6">
        <v>40762</v>
      </c>
      <c r="K723" s="16">
        <v>10065</v>
      </c>
      <c r="L723" s="16">
        <v>10125</v>
      </c>
      <c r="M723" s="16">
        <v>10060</v>
      </c>
      <c r="N723" s="16">
        <v>10050</v>
      </c>
      <c r="O723" s="16">
        <v>10125</v>
      </c>
      <c r="P723" s="16">
        <v>10045</v>
      </c>
      <c r="Q723" s="16">
        <v>10045</v>
      </c>
      <c r="R723" s="16">
        <v>10025</v>
      </c>
      <c r="S723" s="16">
        <v>10005</v>
      </c>
      <c r="T723" s="16">
        <v>10020</v>
      </c>
      <c r="U723" s="15">
        <v>10056.5</v>
      </c>
      <c r="V723" t="s">
        <v>19</v>
      </c>
      <c r="W723" t="s">
        <v>28</v>
      </c>
      <c r="X723">
        <v>347</v>
      </c>
      <c r="Y723" s="16">
        <f>VLOOKUP(Tabela1[[#This Row],[SKU]],SKU!A:D,4,0)</f>
        <v>10000</v>
      </c>
      <c r="Z723" s="18">
        <f>IFERROR((Tabela1[[#This Row],[Média]]-Tabela1[[#This Row],[Meta]])/Tabela1[[#This Row],[Meta]],"")</f>
        <v>5.6499999999999996E-3</v>
      </c>
      <c r="AA723" s="27">
        <f>Tabela1[[#This Row],[Média]]-Tabela1[[#This Row],[Meta]]</f>
        <v>56.5</v>
      </c>
      <c r="AB723" s="6" t="str">
        <f>VLOOKUP(Tabela1[[#This Row],[SKU]],SKU!A:B,2,0)</f>
        <v>COXA SBCX LQ FG LP</v>
      </c>
      <c r="AC723" s="6" t="str">
        <f>VLOOKUP(Tabela1[[#This Row],[SKU]],SKU!A:C,3,0)</f>
        <v>PERNA</v>
      </c>
    </row>
    <row r="724" spans="1:29" x14ac:dyDescent="0.3">
      <c r="A724" s="2">
        <f>INT(Tabela1[[#This Row],[Data e Hora2]])</f>
        <v>46279</v>
      </c>
      <c r="B724" s="6" t="str">
        <f>UPPER(TEXT(Tabela1[[#This Row],[Data Corrigida]],"MMM"))</f>
        <v>SET</v>
      </c>
      <c r="C724" t="s">
        <v>1863</v>
      </c>
      <c r="D724" s="2" t="s">
        <v>1864</v>
      </c>
      <c r="E724" s="1" t="s">
        <v>1865</v>
      </c>
      <c r="F724" t="s">
        <v>24</v>
      </c>
      <c r="G724" s="2" t="s">
        <v>1782</v>
      </c>
      <c r="H724" t="s">
        <v>26</v>
      </c>
      <c r="I724" t="s">
        <v>57</v>
      </c>
      <c r="J724" s="6">
        <v>15229</v>
      </c>
      <c r="K724" s="16">
        <v>1006</v>
      </c>
      <c r="L724" s="16">
        <v>995</v>
      </c>
      <c r="M724" s="16">
        <v>1007</v>
      </c>
      <c r="N724" s="16">
        <v>1013</v>
      </c>
      <c r="O724" s="16">
        <v>1004</v>
      </c>
      <c r="P724" s="16">
        <v>1009</v>
      </c>
      <c r="Q724" s="16">
        <v>998</v>
      </c>
      <c r="R724" s="16">
        <v>1006</v>
      </c>
      <c r="S724" s="16">
        <v>1008</v>
      </c>
      <c r="T724" s="16">
        <v>1005</v>
      </c>
      <c r="U724" s="15">
        <v>1005.1</v>
      </c>
      <c r="V724" t="s">
        <v>19</v>
      </c>
      <c r="W724" t="s">
        <v>28</v>
      </c>
      <c r="X724">
        <v>108</v>
      </c>
      <c r="Y724" s="16">
        <f>VLOOKUP(Tabela1[[#This Row],[SKU]],SKU!A:D,4,0)</f>
        <v>1000</v>
      </c>
      <c r="Z724" s="18">
        <f>IFERROR((Tabela1[[#This Row],[Média]]-Tabela1[[#This Row],[Meta]])/Tabela1[[#This Row],[Meta]],"")</f>
        <v>5.1000000000000229E-3</v>
      </c>
      <c r="AA724" s="27">
        <f>Tabela1[[#This Row],[Média]]-Tabela1[[#This Row],[Meta]]</f>
        <v>5.1000000000000227</v>
      </c>
      <c r="AB724" s="6" t="str">
        <f>VLOOKUP(Tabela1[[#This Row],[SKU]],SKU!A:B,2,0)</f>
        <v>COXA CG BDJ SE</v>
      </c>
      <c r="AC724" s="6" t="str">
        <f>VLOOKUP(Tabela1[[#This Row],[SKU]],SKU!A:C,3,0)</f>
        <v>PERNA</v>
      </c>
    </row>
    <row r="725" spans="1:29" x14ac:dyDescent="0.3">
      <c r="A725" s="2">
        <f>INT(Tabela1[[#This Row],[Data e Hora2]])</f>
        <v>46279</v>
      </c>
      <c r="B725" s="6" t="str">
        <f>UPPER(TEXT(Tabela1[[#This Row],[Data Corrigida]],"MMM"))</f>
        <v>SET</v>
      </c>
      <c r="C725" t="s">
        <v>1866</v>
      </c>
      <c r="D725" s="2" t="s">
        <v>1867</v>
      </c>
      <c r="E725" s="1" t="s">
        <v>1868</v>
      </c>
      <c r="F725" t="s">
        <v>24</v>
      </c>
      <c r="G725" s="2" t="s">
        <v>1782</v>
      </c>
      <c r="H725" t="s">
        <v>26</v>
      </c>
      <c r="I725" t="s">
        <v>57</v>
      </c>
      <c r="J725" s="6">
        <v>13188</v>
      </c>
      <c r="K725" s="16">
        <v>1018</v>
      </c>
      <c r="L725" s="16">
        <v>996</v>
      </c>
      <c r="M725" s="16">
        <v>1015</v>
      </c>
      <c r="N725" s="16">
        <v>998</v>
      </c>
      <c r="O725" s="16">
        <v>997</v>
      </c>
      <c r="P725" s="16">
        <v>1011</v>
      </c>
      <c r="Q725" s="16">
        <v>1001</v>
      </c>
      <c r="R725" s="16">
        <v>1014</v>
      </c>
      <c r="S725" s="16">
        <v>1000</v>
      </c>
      <c r="T725" s="16">
        <v>1009</v>
      </c>
      <c r="U725" s="15">
        <v>1005.9</v>
      </c>
      <c r="V725" t="s">
        <v>19</v>
      </c>
      <c r="W725" t="s">
        <v>28</v>
      </c>
      <c r="X725">
        <v>195</v>
      </c>
      <c r="Y725" s="16">
        <f>VLOOKUP(Tabela1[[#This Row],[SKU]],SKU!A:D,4,0)</f>
        <v>1000</v>
      </c>
      <c r="Z725" s="18">
        <f>IFERROR((Tabela1[[#This Row],[Média]]-Tabela1[[#This Row],[Meta]])/Tabela1[[#This Row],[Meta]],"")</f>
        <v>5.8999999999999773E-3</v>
      </c>
      <c r="AA725" s="27">
        <f>Tabela1[[#This Row],[Média]]-Tabela1[[#This Row],[Meta]]</f>
        <v>5.8999999999999773</v>
      </c>
      <c r="AB725" s="6" t="str">
        <f>VLOOKUP(Tabela1[[#This Row],[SKU]],SKU!A:B,2,0)</f>
        <v>SOBRECOXA CG BDJ SE</v>
      </c>
      <c r="AC725" s="6" t="str">
        <f>VLOOKUP(Tabela1[[#This Row],[SKU]],SKU!A:C,3,0)</f>
        <v>PERNA</v>
      </c>
    </row>
    <row r="726" spans="1:29" x14ac:dyDescent="0.3">
      <c r="A726" s="2">
        <f>INT(Tabela1[[#This Row],[Data e Hora2]])</f>
        <v>46279</v>
      </c>
      <c r="B726" s="6" t="str">
        <f>UPPER(TEXT(Tabela1[[#This Row],[Data Corrigida]],"MMM"))</f>
        <v>SET</v>
      </c>
      <c r="C726" t="s">
        <v>1869</v>
      </c>
      <c r="D726" s="2" t="s">
        <v>1870</v>
      </c>
      <c r="E726" s="1" t="s">
        <v>1871</v>
      </c>
      <c r="F726" t="s">
        <v>24</v>
      </c>
      <c r="G726" s="2" t="s">
        <v>1782</v>
      </c>
      <c r="H726" t="s">
        <v>142</v>
      </c>
      <c r="I726" t="s">
        <v>143</v>
      </c>
      <c r="J726" s="6">
        <v>197734</v>
      </c>
      <c r="K726" s="16">
        <v>1021</v>
      </c>
      <c r="L726" s="16">
        <v>1015</v>
      </c>
      <c r="M726" s="16">
        <v>1031</v>
      </c>
      <c r="N726" s="16">
        <v>1020</v>
      </c>
      <c r="O726" s="16">
        <v>1007</v>
      </c>
      <c r="P726" s="16">
        <v>1005</v>
      </c>
      <c r="Q726" s="16">
        <v>984</v>
      </c>
      <c r="R726" s="16">
        <v>1001</v>
      </c>
      <c r="S726" s="16">
        <v>1006</v>
      </c>
      <c r="T726" s="16">
        <v>1008</v>
      </c>
      <c r="U726" s="15">
        <v>1009.8</v>
      </c>
      <c r="V726" t="s">
        <v>19</v>
      </c>
      <c r="W726" t="s">
        <v>28</v>
      </c>
      <c r="X726">
        <v>416</v>
      </c>
      <c r="Y726" s="16">
        <f>VLOOKUP(Tabela1[[#This Row],[SKU]],SKU!A:D,4,0)</f>
        <v>1000</v>
      </c>
      <c r="Z726" s="18">
        <f>IFERROR((Tabela1[[#This Row],[Média]]-Tabela1[[#This Row],[Meta]])/Tabela1[[#This Row],[Meta]],"")</f>
        <v>9.7999999999999546E-3</v>
      </c>
      <c r="AA726" s="27">
        <f>Tabela1[[#This Row],[Média]]-Tabela1[[#This Row],[Meta]]</f>
        <v>9.7999999999999545</v>
      </c>
      <c r="AB726" s="6" t="str">
        <f>VLOOKUP(Tabela1[[#This Row],[SKU]],SKU!A:B,2,0)</f>
        <v>FILEZINHO FRANGO IQF ALM SE</v>
      </c>
      <c r="AC726" s="6" t="str">
        <f>VLOOKUP(Tabela1[[#This Row],[SKU]],SKU!A:C,3,0)</f>
        <v>SASSAMI</v>
      </c>
    </row>
    <row r="727" spans="1:29" x14ac:dyDescent="0.3">
      <c r="A727" s="2">
        <f>INT(Tabela1[[#This Row],[Data e Hora2]])</f>
        <v>46279</v>
      </c>
      <c r="B727" s="6" t="str">
        <f>UPPER(TEXT(Tabela1[[#This Row],[Data Corrigida]],"MMM"))</f>
        <v>SET</v>
      </c>
      <c r="C727" t="s">
        <v>1872</v>
      </c>
      <c r="D727" s="2" t="s">
        <v>1873</v>
      </c>
      <c r="E727" s="1" t="s">
        <v>1871</v>
      </c>
      <c r="F727" t="s">
        <v>24</v>
      </c>
      <c r="G727" s="2" t="s">
        <v>1782</v>
      </c>
      <c r="H727" t="s">
        <v>142</v>
      </c>
      <c r="I727" t="s">
        <v>143</v>
      </c>
      <c r="J727" s="6">
        <v>15105</v>
      </c>
      <c r="K727" s="16">
        <v>997</v>
      </c>
      <c r="L727" s="16">
        <v>1021</v>
      </c>
      <c r="M727" s="16">
        <v>1048</v>
      </c>
      <c r="N727" s="16">
        <v>1020</v>
      </c>
      <c r="O727" s="16">
        <v>1137</v>
      </c>
      <c r="P727" s="16">
        <v>1001</v>
      </c>
      <c r="Q727" s="16">
        <v>1016</v>
      </c>
      <c r="R727" s="16">
        <v>998</v>
      </c>
      <c r="S727" s="16">
        <v>1001</v>
      </c>
      <c r="T727" s="16">
        <v>1217</v>
      </c>
      <c r="U727" s="15">
        <v>1045.5999999999999</v>
      </c>
      <c r="V727" t="s">
        <v>19</v>
      </c>
      <c r="W727" t="s">
        <v>28</v>
      </c>
      <c r="X727">
        <v>239</v>
      </c>
      <c r="Y727" s="16">
        <f>VLOOKUP(Tabela1[[#This Row],[SKU]],SKU!A:D,4,0)</f>
        <v>1000</v>
      </c>
      <c r="Z727" s="18">
        <f>IFERROR((Tabela1[[#This Row],[Média]]-Tabela1[[#This Row],[Meta]])/Tabela1[[#This Row],[Meta]],"")</f>
        <v>4.5599999999999911E-2</v>
      </c>
      <c r="AA727" s="27">
        <f>Tabela1[[#This Row],[Média]]-Tabela1[[#This Row],[Meta]]</f>
        <v>45.599999999999909</v>
      </c>
      <c r="AB727" s="6" t="str">
        <f>VLOOKUP(Tabela1[[#This Row],[SKU]],SKU!A:B,2,0)</f>
        <v>FILE PEITO MET CG BDJ SE</v>
      </c>
      <c r="AC727" s="6" t="str">
        <f>VLOOKUP(Tabela1[[#This Row],[SKU]],SKU!A:C,3,0)</f>
        <v>PEITO</v>
      </c>
    </row>
    <row r="728" spans="1:29" x14ac:dyDescent="0.3">
      <c r="A728" s="2">
        <f>INT(Tabela1[[#This Row],[Data e Hora2]])</f>
        <v>46279</v>
      </c>
      <c r="B728" s="6" t="str">
        <f>UPPER(TEXT(Tabela1[[#This Row],[Data Corrigida]],"MMM"))</f>
        <v>SET</v>
      </c>
      <c r="C728" t="s">
        <v>1874</v>
      </c>
      <c r="D728" s="2" t="s">
        <v>1875</v>
      </c>
      <c r="E728" s="1" t="s">
        <v>1871</v>
      </c>
      <c r="F728" t="s">
        <v>24</v>
      </c>
      <c r="G728" s="2" t="s">
        <v>1782</v>
      </c>
      <c r="H728" t="s">
        <v>142</v>
      </c>
      <c r="I728" t="s">
        <v>143</v>
      </c>
      <c r="J728" s="6">
        <v>864048</v>
      </c>
      <c r="K728" s="16">
        <v>2011</v>
      </c>
      <c r="L728" s="16">
        <v>2023</v>
      </c>
      <c r="M728" s="16">
        <v>2048</v>
      </c>
      <c r="N728" s="16">
        <v>2092</v>
      </c>
      <c r="O728" s="16">
        <v>2053</v>
      </c>
      <c r="P728" s="16">
        <v>2026</v>
      </c>
      <c r="Q728" s="16">
        <v>2064</v>
      </c>
      <c r="R728" s="16">
        <v>2058</v>
      </c>
      <c r="S728" s="16">
        <v>2018</v>
      </c>
      <c r="T728" s="16">
        <v>2032</v>
      </c>
      <c r="U728" s="15">
        <v>2042.5</v>
      </c>
      <c r="V728" t="s">
        <v>19</v>
      </c>
      <c r="W728" t="s">
        <v>28</v>
      </c>
      <c r="X728">
        <v>228</v>
      </c>
      <c r="Y728" s="16">
        <f>VLOOKUP(Tabela1[[#This Row],[SKU]],SKU!A:D,4,0)</f>
        <v>2000</v>
      </c>
      <c r="Z728" s="18">
        <f>IFERROR((Tabela1[[#This Row],[Média]]-Tabela1[[#This Row],[Meta]])/Tabela1[[#This Row],[Meta]],"")</f>
        <v>2.1250000000000002E-2</v>
      </c>
      <c r="AA728" s="27">
        <f>Tabela1[[#This Row],[Média]]-Tabela1[[#This Row],[Meta]]</f>
        <v>42.5</v>
      </c>
      <c r="AB728" s="6" t="str">
        <f>VLOOKUP(Tabela1[[#This Row],[SKU]],SKU!A:B,2,0)</f>
        <v>COXA SBCX S/O 200g FG UP PB</v>
      </c>
      <c r="AC728" s="6" t="str">
        <f>VLOOKUP(Tabela1[[#This Row],[SKU]],SKU!A:C,3,0)</f>
        <v>PERNA</v>
      </c>
    </row>
    <row r="729" spans="1:29" x14ac:dyDescent="0.3">
      <c r="A729" s="2">
        <f>INT(Tabela1[[#This Row],[Data e Hora2]])</f>
        <v>46279</v>
      </c>
      <c r="B729" s="6" t="str">
        <f>UPPER(TEXT(Tabela1[[#This Row],[Data Corrigida]],"MMM"))</f>
        <v>SET</v>
      </c>
      <c r="C729" t="s">
        <v>1876</v>
      </c>
      <c r="D729" s="2" t="s">
        <v>1877</v>
      </c>
      <c r="E729" s="1" t="s">
        <v>1878</v>
      </c>
      <c r="F729" t="s">
        <v>24</v>
      </c>
      <c r="G729" s="2" t="s">
        <v>1782</v>
      </c>
      <c r="H729" t="s">
        <v>142</v>
      </c>
      <c r="I729" t="s">
        <v>143</v>
      </c>
      <c r="J729" s="6">
        <v>42846</v>
      </c>
      <c r="K729" s="16">
        <v>2048</v>
      </c>
      <c r="L729" s="16">
        <v>2010</v>
      </c>
      <c r="M729" s="16">
        <v>2036</v>
      </c>
      <c r="N729" s="16">
        <v>2046</v>
      </c>
      <c r="O729" s="16">
        <v>2002</v>
      </c>
      <c r="P729" s="16">
        <v>2033</v>
      </c>
      <c r="Q729" s="16">
        <v>2019</v>
      </c>
      <c r="R729" s="16">
        <v>2073</v>
      </c>
      <c r="S729" s="16">
        <v>2012</v>
      </c>
      <c r="T729" s="16">
        <v>2057</v>
      </c>
      <c r="U729" s="15">
        <v>2033.6</v>
      </c>
      <c r="V729" t="s">
        <v>19</v>
      </c>
      <c r="W729" t="s">
        <v>28</v>
      </c>
      <c r="X729">
        <v>192</v>
      </c>
      <c r="Y729" s="16">
        <f>VLOOKUP(Tabela1[[#This Row],[SKU]],SKU!A:D,4,0)</f>
        <v>2000</v>
      </c>
      <c r="Z729" s="18">
        <f>IFERROR((Tabela1[[#This Row],[Média]]-Tabela1[[#This Row],[Meta]])/Tabela1[[#This Row],[Meta]],"")</f>
        <v>1.6799999999999954E-2</v>
      </c>
      <c r="AA729" s="27">
        <f>Tabela1[[#This Row],[Média]]-Tabela1[[#This Row],[Meta]]</f>
        <v>33.599999999999909</v>
      </c>
      <c r="AB729" s="6" t="str">
        <f>VLOOKUP(Tabela1[[#This Row],[SKU]],SKU!A:B,2,0)</f>
        <v>COXA SBCX S/O FG 240-260g PB</v>
      </c>
      <c r="AC729" s="6" t="str">
        <f>VLOOKUP(Tabela1[[#This Row],[SKU]],SKU!A:C,3,0)</f>
        <v>PERNA</v>
      </c>
    </row>
    <row r="730" spans="1:29" x14ac:dyDescent="0.3">
      <c r="A730" s="2">
        <f>INT(Tabela1[[#This Row],[Data e Hora2]])</f>
        <v>46279</v>
      </c>
      <c r="B730" s="6" t="str">
        <f>UPPER(TEXT(Tabela1[[#This Row],[Data Corrigida]],"MMM"))</f>
        <v>SET</v>
      </c>
      <c r="C730" t="s">
        <v>1879</v>
      </c>
      <c r="D730" s="2" t="s">
        <v>1880</v>
      </c>
      <c r="E730" s="1" t="s">
        <v>1881</v>
      </c>
      <c r="F730" t="s">
        <v>24</v>
      </c>
      <c r="G730" s="2" t="s">
        <v>1782</v>
      </c>
      <c r="H730" t="s">
        <v>142</v>
      </c>
      <c r="I730" t="s">
        <v>462</v>
      </c>
      <c r="J730" s="6">
        <v>42862</v>
      </c>
      <c r="K730" s="16">
        <v>2022</v>
      </c>
      <c r="L730" s="16">
        <v>2040</v>
      </c>
      <c r="M730" s="16">
        <v>2032</v>
      </c>
      <c r="N730" s="16">
        <v>2035</v>
      </c>
      <c r="O730" s="16">
        <v>2021</v>
      </c>
      <c r="P730" s="16">
        <v>2024</v>
      </c>
      <c r="Q730" s="16">
        <v>2026</v>
      </c>
      <c r="R730" s="16">
        <v>2026</v>
      </c>
      <c r="S730" s="16">
        <v>2020</v>
      </c>
      <c r="T730" s="16">
        <v>2059</v>
      </c>
      <c r="U730" s="15">
        <v>2030.5</v>
      </c>
      <c r="V730" t="s">
        <v>19</v>
      </c>
      <c r="W730" t="s">
        <v>28</v>
      </c>
      <c r="X730">
        <v>290</v>
      </c>
      <c r="Y730" s="16">
        <f>VLOOKUP(Tabela1[[#This Row],[SKU]],SKU!A:D,4,0)</f>
        <v>2000</v>
      </c>
      <c r="Z730" s="18">
        <f>IFERROR((Tabela1[[#This Row],[Média]]-Tabela1[[#This Row],[Meta]])/Tabela1[[#This Row],[Meta]],"")</f>
        <v>1.525E-2</v>
      </c>
      <c r="AA730" s="27">
        <f>Tabela1[[#This Row],[Média]]-Tabela1[[#This Row],[Meta]]</f>
        <v>30.5</v>
      </c>
      <c r="AB730" s="6" t="str">
        <f>VLOOKUP(Tabela1[[#This Row],[SKU]],SKU!A:B,2,0)</f>
        <v>COXA SBCX S/O FG 280-300g PB</v>
      </c>
      <c r="AC730" s="6" t="str">
        <f>VLOOKUP(Tabela1[[#This Row],[SKU]],SKU!A:C,3,0)</f>
        <v>PERNA</v>
      </c>
    </row>
    <row r="731" spans="1:29" x14ac:dyDescent="0.3">
      <c r="A731" s="2">
        <f>INT(Tabela1[[#This Row],[Data e Hora2]])</f>
        <v>46279</v>
      </c>
      <c r="B731" s="6" t="str">
        <f>UPPER(TEXT(Tabela1[[#This Row],[Data Corrigida]],"MMM"))</f>
        <v>SET</v>
      </c>
      <c r="C731" t="s">
        <v>1882</v>
      </c>
      <c r="D731" s="2" t="s">
        <v>1883</v>
      </c>
      <c r="E731" s="1" t="s">
        <v>1881</v>
      </c>
      <c r="F731" t="s">
        <v>24</v>
      </c>
      <c r="G731" s="2" t="s">
        <v>1782</v>
      </c>
      <c r="H731" t="s">
        <v>142</v>
      </c>
      <c r="I731" t="s">
        <v>462</v>
      </c>
      <c r="J731" s="6">
        <v>54632</v>
      </c>
      <c r="K731" s="16">
        <v>1002</v>
      </c>
      <c r="L731" s="16">
        <v>1002</v>
      </c>
      <c r="M731" s="16">
        <v>1008</v>
      </c>
      <c r="N731" s="16">
        <v>1003</v>
      </c>
      <c r="O731" s="16">
        <v>1011</v>
      </c>
      <c r="P731" s="16">
        <v>1005</v>
      </c>
      <c r="Q731" s="16">
        <v>1007</v>
      </c>
      <c r="R731" s="16">
        <v>1019</v>
      </c>
      <c r="S731" s="16">
        <v>1015</v>
      </c>
      <c r="T731" s="16">
        <v>1014</v>
      </c>
      <c r="U731" s="15">
        <v>1008.6</v>
      </c>
      <c r="V731" t="s">
        <v>19</v>
      </c>
      <c r="W731" t="s">
        <v>28</v>
      </c>
      <c r="X731">
        <v>218</v>
      </c>
      <c r="Y731" s="16">
        <f>VLOOKUP(Tabela1[[#This Row],[SKU]],SKU!A:D,4,0)</f>
        <v>1000</v>
      </c>
      <c r="Z731" s="18">
        <f>IFERROR((Tabela1[[#This Row],[Média]]-Tabela1[[#This Row],[Meta]])/Tabela1[[#This Row],[Meta]],"")</f>
        <v>8.6000000000000226E-3</v>
      </c>
      <c r="AA731" s="27">
        <f>Tabela1[[#This Row],[Média]]-Tabela1[[#This Row],[Meta]]</f>
        <v>8.6000000000000227</v>
      </c>
      <c r="AB731" s="6" t="str">
        <f>VLOOKUP(Tabela1[[#This Row],[SKU]],SKU!A:B,2,0)</f>
        <v>COXA SBCX S/O BDJ CG</v>
      </c>
      <c r="AC731" s="6" t="str">
        <f>VLOOKUP(Tabela1[[#This Row],[SKU]],SKU!A:C,3,0)</f>
        <v>PERNA</v>
      </c>
    </row>
    <row r="732" spans="1:29" x14ac:dyDescent="0.3">
      <c r="A732" s="2">
        <f>INT(Tabela1[[#This Row],[Data e Hora2]])</f>
        <v>46279</v>
      </c>
      <c r="B732" s="6" t="str">
        <f>UPPER(TEXT(Tabela1[[#This Row],[Data Corrigida]],"MMM"))</f>
        <v>SET</v>
      </c>
      <c r="C732" t="s">
        <v>1884</v>
      </c>
      <c r="D732" s="2" t="s">
        <v>1885</v>
      </c>
      <c r="E732" s="1" t="s">
        <v>1881</v>
      </c>
      <c r="F732" t="s">
        <v>24</v>
      </c>
      <c r="G732" s="2" t="s">
        <v>1782</v>
      </c>
      <c r="H732" t="s">
        <v>142</v>
      </c>
      <c r="I732" t="s">
        <v>462</v>
      </c>
      <c r="J732" s="6">
        <v>18163</v>
      </c>
      <c r="K732" s="16">
        <v>1019</v>
      </c>
      <c r="L732" s="16">
        <v>1015</v>
      </c>
      <c r="M732" s="16">
        <v>1016</v>
      </c>
      <c r="N732" s="16">
        <v>1017</v>
      </c>
      <c r="O732" s="16">
        <v>1013</v>
      </c>
      <c r="P732" s="16">
        <v>1013</v>
      </c>
      <c r="Q732" s="16">
        <v>1018</v>
      </c>
      <c r="R732" s="16">
        <v>1027</v>
      </c>
      <c r="S732" s="16">
        <v>977</v>
      </c>
      <c r="T732" s="16">
        <v>948</v>
      </c>
      <c r="U732" s="15">
        <v>1006.3</v>
      </c>
      <c r="V732" t="s">
        <v>19</v>
      </c>
      <c r="W732" t="s">
        <v>28</v>
      </c>
      <c r="X732">
        <v>655</v>
      </c>
      <c r="Y732" s="16">
        <f>VLOOKUP(Tabela1[[#This Row],[SKU]],SKU!A:D,4,0)</f>
        <v>1000</v>
      </c>
      <c r="Z732" s="18">
        <f>IFERROR((Tabela1[[#This Row],[Média]]-Tabela1[[#This Row],[Meta]])/Tabela1[[#This Row],[Meta]],"")</f>
        <v>6.2999999999999549E-3</v>
      </c>
      <c r="AA732" s="27">
        <f>Tabela1[[#This Row],[Média]]-Tabela1[[#This Row],[Meta]]</f>
        <v>6.2999999999999545</v>
      </c>
      <c r="AB732" s="6" t="str">
        <f>VLOOKUP(Tabela1[[#This Row],[SKU]],SKU!A:B,2,0)</f>
        <v>CORACAO FGO CG ALM SE</v>
      </c>
      <c r="AC732" s="6" t="str">
        <f>VLOOKUP(Tabela1[[#This Row],[SKU]],SKU!A:C,3,0)</f>
        <v>CORAÇÃO</v>
      </c>
    </row>
    <row r="733" spans="1:29" x14ac:dyDescent="0.3">
      <c r="A733" s="2">
        <f>INT(Tabela1[[#This Row],[Data e Hora2]])</f>
        <v>46277</v>
      </c>
      <c r="B733" s="6" t="str">
        <f>UPPER(TEXT(Tabela1[[#This Row],[Data Corrigida]],"MMM"))</f>
        <v>SET</v>
      </c>
      <c r="C733" t="s">
        <v>1886</v>
      </c>
      <c r="D733" s="2" t="s">
        <v>1887</v>
      </c>
      <c r="E733" s="1" t="s">
        <v>1881</v>
      </c>
      <c r="F733" t="s">
        <v>24</v>
      </c>
      <c r="G733" s="2" t="s">
        <v>1631</v>
      </c>
      <c r="H733" t="s">
        <v>142</v>
      </c>
      <c r="I733" t="s">
        <v>462</v>
      </c>
      <c r="J733" s="6">
        <v>15105</v>
      </c>
      <c r="K733" s="16">
        <v>1065</v>
      </c>
      <c r="L733" s="16">
        <v>1014</v>
      </c>
      <c r="M733" s="16">
        <v>1002</v>
      </c>
      <c r="N733" s="16">
        <v>1050</v>
      </c>
      <c r="O733" s="16">
        <v>1021</v>
      </c>
      <c r="P733" s="16">
        <v>993</v>
      </c>
      <c r="Q733" s="16">
        <v>1014</v>
      </c>
      <c r="R733" s="16">
        <v>1032</v>
      </c>
      <c r="S733" s="16">
        <v>986</v>
      </c>
      <c r="T733" s="16">
        <v>1022</v>
      </c>
      <c r="U733" s="15">
        <v>1019.9</v>
      </c>
      <c r="V733" t="s">
        <v>19</v>
      </c>
      <c r="W733" t="s">
        <v>28</v>
      </c>
      <c r="X733">
        <v>207</v>
      </c>
      <c r="Y733" s="16">
        <f>VLOOKUP(Tabela1[[#This Row],[SKU]],SKU!A:D,4,0)</f>
        <v>1000</v>
      </c>
      <c r="Z733" s="18">
        <f>IFERROR((Tabela1[[#This Row],[Média]]-Tabela1[[#This Row],[Meta]])/Tabela1[[#This Row],[Meta]],"")</f>
        <v>1.9899999999999977E-2</v>
      </c>
      <c r="AA733" s="27">
        <f>Tabela1[[#This Row],[Média]]-Tabela1[[#This Row],[Meta]]</f>
        <v>19.899999999999977</v>
      </c>
      <c r="AB733" s="6" t="str">
        <f>VLOOKUP(Tabela1[[#This Row],[SKU]],SKU!A:B,2,0)</f>
        <v>FILE PEITO MET CG BDJ SE</v>
      </c>
      <c r="AC733" s="6" t="str">
        <f>VLOOKUP(Tabela1[[#This Row],[SKU]],SKU!A:C,3,0)</f>
        <v>PEITO</v>
      </c>
    </row>
    <row r="734" spans="1:29" x14ac:dyDescent="0.3">
      <c r="A734" s="2">
        <f>INT(Tabela1[[#This Row],[Data e Hora2]])</f>
        <v>46276</v>
      </c>
      <c r="B734" s="6" t="str">
        <f>UPPER(TEXT(Tabela1[[#This Row],[Data Corrigida]],"MMM"))</f>
        <v>SET</v>
      </c>
      <c r="C734" t="s">
        <v>1888</v>
      </c>
      <c r="D734" s="2" t="s">
        <v>1889</v>
      </c>
      <c r="E734" s="1" t="s">
        <v>1881</v>
      </c>
      <c r="F734" t="s">
        <v>24</v>
      </c>
      <c r="G734" s="2" t="s">
        <v>1674</v>
      </c>
      <c r="H734" t="s">
        <v>142</v>
      </c>
      <c r="I734" t="s">
        <v>462</v>
      </c>
      <c r="J734" s="6">
        <v>42838</v>
      </c>
      <c r="K734" s="16">
        <v>2089</v>
      </c>
      <c r="L734" s="16">
        <v>2066</v>
      </c>
      <c r="M734" s="16">
        <v>2111</v>
      </c>
      <c r="N734" s="16">
        <v>2065</v>
      </c>
      <c r="O734" s="16">
        <v>2075</v>
      </c>
      <c r="P734" s="16">
        <v>2041</v>
      </c>
      <c r="Q734" s="16">
        <v>2087</v>
      </c>
      <c r="R734" s="16">
        <v>2104</v>
      </c>
      <c r="S734" s="16">
        <v>2022</v>
      </c>
      <c r="T734" s="16">
        <v>2091</v>
      </c>
      <c r="U734" s="15">
        <v>2075.1</v>
      </c>
      <c r="V734" t="s">
        <v>19</v>
      </c>
      <c r="W734" t="s">
        <v>28</v>
      </c>
      <c r="X734">
        <v>230</v>
      </c>
      <c r="Y734" s="16">
        <f>VLOOKUP(Tabela1[[#This Row],[SKU]],SKU!A:D,4,0)</f>
        <v>2000</v>
      </c>
      <c r="Z734" s="18">
        <f>IFERROR((Tabela1[[#This Row],[Média]]-Tabela1[[#This Row],[Meta]])/Tabela1[[#This Row],[Meta]],"")</f>
        <v>3.7549999999999951E-2</v>
      </c>
      <c r="AA734" s="27">
        <f>Tabela1[[#This Row],[Média]]-Tabela1[[#This Row],[Meta]]</f>
        <v>75.099999999999909</v>
      </c>
      <c r="AB734" s="6" t="str">
        <f>VLOOKUP(Tabela1[[#This Row],[SKU]],SKU!A:B,2,0)</f>
        <v>COXA SBCX S/O FG 220-240g PB</v>
      </c>
      <c r="AC734" s="6" t="str">
        <f>VLOOKUP(Tabela1[[#This Row],[SKU]],SKU!A:C,3,0)</f>
        <v>PERNA</v>
      </c>
    </row>
    <row r="735" spans="1:29" x14ac:dyDescent="0.3">
      <c r="A735" s="2">
        <f>INT(Tabela1[[#This Row],[Data e Hora2]])</f>
        <v>46276</v>
      </c>
      <c r="B735" s="6" t="str">
        <f>UPPER(TEXT(Tabela1[[#This Row],[Data Corrigida]],"MMM"))</f>
        <v>SET</v>
      </c>
      <c r="C735" t="s">
        <v>1890</v>
      </c>
      <c r="D735" s="2" t="s">
        <v>1891</v>
      </c>
      <c r="E735" s="1" t="s">
        <v>1881</v>
      </c>
      <c r="F735" t="s">
        <v>24</v>
      </c>
      <c r="G735" s="2" t="s">
        <v>1674</v>
      </c>
      <c r="H735" t="s">
        <v>142</v>
      </c>
      <c r="I735" t="s">
        <v>462</v>
      </c>
      <c r="J735" s="6">
        <v>42846</v>
      </c>
      <c r="K735" s="16">
        <v>2011</v>
      </c>
      <c r="L735" s="16">
        <v>2006</v>
      </c>
      <c r="M735" s="16">
        <v>1998</v>
      </c>
      <c r="N735" s="16">
        <v>2008</v>
      </c>
      <c r="O735" s="16">
        <v>2011</v>
      </c>
      <c r="P735" s="16">
        <v>2022</v>
      </c>
      <c r="Q735" s="16">
        <v>2044</v>
      </c>
      <c r="R735" s="16">
        <v>2015</v>
      </c>
      <c r="S735" s="16">
        <v>2007</v>
      </c>
      <c r="T735" s="16">
        <v>2234</v>
      </c>
      <c r="U735" s="15">
        <v>2035.6</v>
      </c>
      <c r="V735" t="s">
        <v>19</v>
      </c>
      <c r="W735" t="s">
        <v>28</v>
      </c>
      <c r="X735">
        <v>329</v>
      </c>
      <c r="Y735" s="16">
        <f>VLOOKUP(Tabela1[[#This Row],[SKU]],SKU!A:D,4,0)</f>
        <v>2000</v>
      </c>
      <c r="Z735" s="18">
        <f>IFERROR((Tabela1[[#This Row],[Média]]-Tabela1[[#This Row],[Meta]])/Tabela1[[#This Row],[Meta]],"")</f>
        <v>1.7799999999999955E-2</v>
      </c>
      <c r="AA735" s="27">
        <f>Tabela1[[#This Row],[Média]]-Tabela1[[#This Row],[Meta]]</f>
        <v>35.599999999999909</v>
      </c>
      <c r="AB735" s="6" t="str">
        <f>VLOOKUP(Tabela1[[#This Row],[SKU]],SKU!A:B,2,0)</f>
        <v>COXA SBCX S/O FG 240-260g PB</v>
      </c>
      <c r="AC735" s="6" t="str">
        <f>VLOOKUP(Tabela1[[#This Row],[SKU]],SKU!A:C,3,0)</f>
        <v>PERNA</v>
      </c>
    </row>
    <row r="736" spans="1:29" x14ac:dyDescent="0.3">
      <c r="A736" s="2">
        <f>INT(Tabela1[[#This Row],[Data e Hora2]])</f>
        <v>46276</v>
      </c>
      <c r="B736" s="6" t="str">
        <f>UPPER(TEXT(Tabela1[[#This Row],[Data Corrigida]],"MMM"))</f>
        <v>SET</v>
      </c>
      <c r="C736" t="s">
        <v>1892</v>
      </c>
      <c r="D736" s="2" t="s">
        <v>1893</v>
      </c>
      <c r="E736" s="1" t="s">
        <v>1881</v>
      </c>
      <c r="F736" t="s">
        <v>24</v>
      </c>
      <c r="G736" s="2" t="s">
        <v>1674</v>
      </c>
      <c r="H736" t="s">
        <v>142</v>
      </c>
      <c r="I736" t="s">
        <v>462</v>
      </c>
      <c r="J736" s="6">
        <v>54632</v>
      </c>
      <c r="K736" s="16">
        <v>1012</v>
      </c>
      <c r="L736" s="16">
        <v>1018</v>
      </c>
      <c r="M736" s="16">
        <v>1004</v>
      </c>
      <c r="N736" s="16">
        <v>1017</v>
      </c>
      <c r="O736" s="16">
        <v>1021</v>
      </c>
      <c r="P736" s="16">
        <v>1005</v>
      </c>
      <c r="Q736" s="16">
        <v>1017</v>
      </c>
      <c r="R736" s="16">
        <v>1012</v>
      </c>
      <c r="S736" s="16">
        <v>1010</v>
      </c>
      <c r="T736" s="16">
        <v>1020</v>
      </c>
      <c r="U736" s="15">
        <v>1013.6</v>
      </c>
      <c r="V736" t="s">
        <v>19</v>
      </c>
      <c r="W736" t="s">
        <v>28</v>
      </c>
      <c r="X736">
        <v>166</v>
      </c>
      <c r="Y736" s="16">
        <f>VLOOKUP(Tabela1[[#This Row],[SKU]],SKU!A:D,4,0)</f>
        <v>1000</v>
      </c>
      <c r="Z736" s="18">
        <f>IFERROR((Tabela1[[#This Row],[Média]]-Tabela1[[#This Row],[Meta]])/Tabela1[[#This Row],[Meta]],"")</f>
        <v>1.3600000000000024E-2</v>
      </c>
      <c r="AA736" s="27">
        <f>Tabela1[[#This Row],[Média]]-Tabela1[[#This Row],[Meta]]</f>
        <v>13.600000000000023</v>
      </c>
      <c r="AB736" s="6" t="str">
        <f>VLOOKUP(Tabela1[[#This Row],[SKU]],SKU!A:B,2,0)</f>
        <v>COXA SBCX S/O BDJ CG</v>
      </c>
      <c r="AC736" s="6" t="str">
        <f>VLOOKUP(Tabela1[[#This Row],[SKU]],SKU!A:C,3,0)</f>
        <v>PERNA</v>
      </c>
    </row>
    <row r="737" spans="1:29" x14ac:dyDescent="0.3">
      <c r="A737" s="2">
        <f>INT(Tabela1[[#This Row],[Data e Hora2]])</f>
        <v>46276</v>
      </c>
      <c r="B737" s="6" t="str">
        <f>UPPER(TEXT(Tabela1[[#This Row],[Data Corrigida]],"MMM"))</f>
        <v>SET</v>
      </c>
      <c r="C737" t="s">
        <v>1894</v>
      </c>
      <c r="D737" s="2" t="s">
        <v>1895</v>
      </c>
      <c r="E737" s="1" t="s">
        <v>1881</v>
      </c>
      <c r="F737" t="s">
        <v>24</v>
      </c>
      <c r="G737" s="2" t="s">
        <v>1674</v>
      </c>
      <c r="H737" t="s">
        <v>142</v>
      </c>
      <c r="I737" t="s">
        <v>462</v>
      </c>
      <c r="J737" s="6">
        <v>15105</v>
      </c>
      <c r="K737" s="16">
        <v>1001</v>
      </c>
      <c r="L737" s="16">
        <v>980</v>
      </c>
      <c r="M737" s="16">
        <v>999</v>
      </c>
      <c r="N737" s="16">
        <v>989</v>
      </c>
      <c r="O737" s="16">
        <v>994</v>
      </c>
      <c r="P737" s="16">
        <v>1014</v>
      </c>
      <c r="Q737" s="16">
        <v>999</v>
      </c>
      <c r="R737" s="16">
        <v>1004</v>
      </c>
      <c r="S737" s="16">
        <v>998</v>
      </c>
      <c r="T737" s="16">
        <v>1015</v>
      </c>
      <c r="U737" s="15">
        <v>999.3</v>
      </c>
      <c r="V737" t="s">
        <v>19</v>
      </c>
      <c r="W737" t="s">
        <v>28</v>
      </c>
      <c r="X737">
        <v>166</v>
      </c>
      <c r="Y737" s="16">
        <f>VLOOKUP(Tabela1[[#This Row],[SKU]],SKU!A:D,4,0)</f>
        <v>1000</v>
      </c>
      <c r="Z737" s="18">
        <f>IFERROR((Tabela1[[#This Row],[Média]]-Tabela1[[#This Row],[Meta]])/Tabela1[[#This Row],[Meta]],"")</f>
        <v>-7.0000000000004542E-4</v>
      </c>
      <c r="AA737" s="27">
        <f>Tabela1[[#This Row],[Média]]-Tabela1[[#This Row],[Meta]]</f>
        <v>-0.70000000000004547</v>
      </c>
      <c r="AB737" s="6" t="str">
        <f>VLOOKUP(Tabela1[[#This Row],[SKU]],SKU!A:B,2,0)</f>
        <v>FILE PEITO MET CG BDJ SE</v>
      </c>
      <c r="AC737" s="6" t="str">
        <f>VLOOKUP(Tabela1[[#This Row],[SKU]],SKU!A:C,3,0)</f>
        <v>PEITO</v>
      </c>
    </row>
    <row r="738" spans="1:29" x14ac:dyDescent="0.3">
      <c r="A738" s="2">
        <f>INT(Tabela1[[#This Row],[Data e Hora2]])</f>
        <v>46276</v>
      </c>
      <c r="B738" s="6" t="str">
        <f>UPPER(TEXT(Tabela1[[#This Row],[Data Corrigida]],"MMM"))</f>
        <v>SET</v>
      </c>
      <c r="C738" t="s">
        <v>1896</v>
      </c>
      <c r="D738" s="2" t="s">
        <v>1897</v>
      </c>
      <c r="E738" s="1" t="s">
        <v>1898</v>
      </c>
      <c r="F738" t="s">
        <v>24</v>
      </c>
      <c r="G738" s="2" t="s">
        <v>1674</v>
      </c>
      <c r="H738" t="s">
        <v>142</v>
      </c>
      <c r="I738" t="s">
        <v>462</v>
      </c>
      <c r="J738" s="6">
        <v>15105</v>
      </c>
      <c r="K738" s="16">
        <v>1000</v>
      </c>
      <c r="L738" s="16">
        <v>992</v>
      </c>
      <c r="M738" s="16">
        <v>1096</v>
      </c>
      <c r="N738" s="16">
        <v>1019</v>
      </c>
      <c r="O738" s="16">
        <v>969</v>
      </c>
      <c r="P738" s="16">
        <v>1017</v>
      </c>
      <c r="Q738" s="16">
        <v>992</v>
      </c>
      <c r="R738" s="16">
        <v>1022</v>
      </c>
      <c r="S738" s="16">
        <v>1025</v>
      </c>
      <c r="T738" s="16">
        <v>1009</v>
      </c>
      <c r="U738" s="15">
        <v>1014.1</v>
      </c>
      <c r="V738" t="s">
        <v>19</v>
      </c>
      <c r="W738" t="s">
        <v>28</v>
      </c>
      <c r="X738">
        <v>371</v>
      </c>
      <c r="Y738" s="16">
        <f>VLOOKUP(Tabela1[[#This Row],[SKU]],SKU!A:D,4,0)</f>
        <v>1000</v>
      </c>
      <c r="Z738" s="18">
        <f>IFERROR((Tabela1[[#This Row],[Média]]-Tabela1[[#This Row],[Meta]])/Tabela1[[#This Row],[Meta]],"")</f>
        <v>1.4100000000000022E-2</v>
      </c>
      <c r="AA738" s="27">
        <f>Tabela1[[#This Row],[Média]]-Tabela1[[#This Row],[Meta]]</f>
        <v>14.100000000000023</v>
      </c>
      <c r="AB738" s="6" t="str">
        <f>VLOOKUP(Tabela1[[#This Row],[SKU]],SKU!A:B,2,0)</f>
        <v>FILE PEITO MET CG BDJ SE</v>
      </c>
      <c r="AC738" s="6" t="str">
        <f>VLOOKUP(Tabela1[[#This Row],[SKU]],SKU!A:C,3,0)</f>
        <v>PEITO</v>
      </c>
    </row>
    <row r="739" spans="1:29" x14ac:dyDescent="0.3">
      <c r="A739" s="2">
        <f>INT(Tabela1[[#This Row],[Data e Hora2]])</f>
        <v>46276</v>
      </c>
      <c r="B739" s="6" t="str">
        <f>UPPER(TEXT(Tabela1[[#This Row],[Data Corrigida]],"MMM"))</f>
        <v>SET</v>
      </c>
      <c r="C739" t="s">
        <v>1899</v>
      </c>
      <c r="D739" s="2" t="s">
        <v>1900</v>
      </c>
      <c r="E739" s="1" t="s">
        <v>1898</v>
      </c>
      <c r="F739" t="s">
        <v>24</v>
      </c>
      <c r="G739" s="2" t="s">
        <v>1674</v>
      </c>
      <c r="H739" t="s">
        <v>142</v>
      </c>
      <c r="I739" t="s">
        <v>462</v>
      </c>
      <c r="J739" s="6">
        <v>42854</v>
      </c>
      <c r="K739" s="16">
        <v>2172</v>
      </c>
      <c r="L739" s="16">
        <v>2163</v>
      </c>
      <c r="M739" s="16">
        <v>2157</v>
      </c>
      <c r="N739" s="16">
        <v>2158</v>
      </c>
      <c r="O739" s="16">
        <v>2165</v>
      </c>
      <c r="P739" s="16">
        <v>2161</v>
      </c>
      <c r="Q739" s="16">
        <v>2151</v>
      </c>
      <c r="R739" s="16">
        <v>2090</v>
      </c>
      <c r="S739" s="16">
        <v>2169</v>
      </c>
      <c r="T739" s="16">
        <v>2152</v>
      </c>
      <c r="U739" s="15">
        <v>2153.8000000000002</v>
      </c>
      <c r="V739" t="s">
        <v>19</v>
      </c>
      <c r="W739" t="s">
        <v>28</v>
      </c>
      <c r="X739">
        <v>252</v>
      </c>
      <c r="Y739" s="16">
        <f>VLOOKUP(Tabela1[[#This Row],[SKU]],SKU!A:D,4,0)</f>
        <v>2080</v>
      </c>
      <c r="Z739" s="18">
        <f>IFERROR((Tabela1[[#This Row],[Média]]-Tabela1[[#This Row],[Meta]])/Tabela1[[#This Row],[Meta]],"")</f>
        <v>3.5480769230769316E-2</v>
      </c>
      <c r="AA739" s="27">
        <f>Tabela1[[#This Row],[Média]]-Tabela1[[#This Row],[Meta]]</f>
        <v>73.800000000000182</v>
      </c>
      <c r="AB739" s="6" t="str">
        <f>VLOOKUP(Tabela1[[#This Row],[SKU]],SKU!A:B,2,0)</f>
        <v>COXA SBCX S/O FG 260-280g PB</v>
      </c>
      <c r="AC739" s="6" t="str">
        <f>VLOOKUP(Tabela1[[#This Row],[SKU]],SKU!A:C,3,0)</f>
        <v>PERNA</v>
      </c>
    </row>
    <row r="740" spans="1:29" x14ac:dyDescent="0.3">
      <c r="A740" s="2">
        <f>INT(Tabela1[[#This Row],[Data e Hora2]])</f>
        <v>46280</v>
      </c>
      <c r="B740" s="6" t="str">
        <f>UPPER(TEXT(Tabela1[[#This Row],[Data Corrigida]],"MMM"))</f>
        <v>SET</v>
      </c>
      <c r="C740" s="26" t="s">
        <v>1901</v>
      </c>
      <c r="D740" s="2" t="s">
        <v>1902</v>
      </c>
      <c r="E740" s="1" t="s">
        <v>1903</v>
      </c>
      <c r="F740" t="s">
        <v>24</v>
      </c>
      <c r="G740" s="2" t="s">
        <v>1904</v>
      </c>
      <c r="H740" t="s">
        <v>142</v>
      </c>
      <c r="I740" t="s">
        <v>462</v>
      </c>
      <c r="J740" s="6">
        <v>42862</v>
      </c>
      <c r="K740" s="16">
        <v>2069</v>
      </c>
      <c r="L740" s="16">
        <v>2135</v>
      </c>
      <c r="M740" s="16">
        <v>2102</v>
      </c>
      <c r="N740" s="16">
        <v>2101</v>
      </c>
      <c r="O740" s="16">
        <v>2115</v>
      </c>
      <c r="P740" s="16">
        <v>2015</v>
      </c>
      <c r="Q740" s="16">
        <v>2078</v>
      </c>
      <c r="R740" s="16">
        <v>2138</v>
      </c>
      <c r="S740" s="16">
        <v>2082</v>
      </c>
      <c r="T740" s="16">
        <v>2073</v>
      </c>
      <c r="U740" s="15">
        <v>2090.8000000000002</v>
      </c>
      <c r="V740" t="s">
        <v>19</v>
      </c>
      <c r="W740" t="s">
        <v>28</v>
      </c>
      <c r="X740">
        <v>2250</v>
      </c>
      <c r="Y740" s="16">
        <f>VLOOKUP(Tabela1[[#This Row],[SKU]],SKU!A:D,4,0)</f>
        <v>2000</v>
      </c>
      <c r="Z740" s="18">
        <f>IFERROR((Tabela1[[#This Row],[Média]]-Tabela1[[#This Row],[Meta]])/Tabela1[[#This Row],[Meta]],"")</f>
        <v>4.5400000000000093E-2</v>
      </c>
      <c r="AA740" s="27">
        <f>Tabela1[[#This Row],[Média]]-Tabela1[[#This Row],[Meta]]</f>
        <v>90.800000000000182</v>
      </c>
      <c r="AB740" s="6" t="str">
        <f>VLOOKUP(Tabela1[[#This Row],[SKU]],SKU!A:B,2,0)</f>
        <v>COXA SBCX S/O FG 280-300g PB</v>
      </c>
      <c r="AC740" s="6" t="str">
        <f>VLOOKUP(Tabela1[[#This Row],[SKU]],SKU!A:C,3,0)</f>
        <v>PERNA</v>
      </c>
    </row>
    <row r="741" spans="1:29" x14ac:dyDescent="0.3">
      <c r="A741" s="2">
        <f>INT(Tabela1[[#This Row],[Data e Hora2]])</f>
        <v>46280</v>
      </c>
      <c r="B741" s="6" t="str">
        <f>UPPER(TEXT(Tabela1[[#This Row],[Data Corrigida]],"MMM"))</f>
        <v>SET</v>
      </c>
      <c r="C741" t="s">
        <v>1854</v>
      </c>
      <c r="D741" s="2" t="s">
        <v>1855</v>
      </c>
      <c r="E741" s="1" t="s">
        <v>1856</v>
      </c>
      <c r="F741" t="s">
        <v>24</v>
      </c>
      <c r="G741" s="2" t="s">
        <v>1904</v>
      </c>
      <c r="H741" t="s">
        <v>26</v>
      </c>
      <c r="I741" t="s">
        <v>57</v>
      </c>
      <c r="J741" s="6">
        <v>15849</v>
      </c>
      <c r="K741" s="16">
        <v>1003</v>
      </c>
      <c r="L741" s="16">
        <v>1017</v>
      </c>
      <c r="M741" s="16">
        <v>1005</v>
      </c>
      <c r="N741" s="16">
        <v>1013</v>
      </c>
      <c r="O741" s="16">
        <v>996</v>
      </c>
      <c r="P741" s="16">
        <v>997</v>
      </c>
      <c r="Q741" s="16">
        <v>1016</v>
      </c>
      <c r="R741" s="16">
        <v>1018</v>
      </c>
      <c r="S741" s="16">
        <v>1003</v>
      </c>
      <c r="T741" s="16">
        <v>1013</v>
      </c>
      <c r="U741" s="15">
        <v>1008.1</v>
      </c>
      <c r="V741" t="s">
        <v>19</v>
      </c>
      <c r="W741" t="s">
        <v>28</v>
      </c>
      <c r="X741">
        <v>1159</v>
      </c>
      <c r="Y741" s="16">
        <f>VLOOKUP(Tabela1[[#This Row],[SKU]],SKU!A:D,4,0)</f>
        <v>1000</v>
      </c>
      <c r="Z741" s="18">
        <f>IFERROR((Tabela1[[#This Row],[Média]]-Tabela1[[#This Row],[Meta]])/Tabela1[[#This Row],[Meta]],"")</f>
        <v>8.1000000000000221E-3</v>
      </c>
      <c r="AA741" s="27">
        <f>Tabela1[[#This Row],[Média]]-Tabela1[[#This Row],[Meta]]</f>
        <v>8.1000000000000227</v>
      </c>
      <c r="AB741" s="6" t="str">
        <f>VLOOKUP(Tabela1[[#This Row],[SKU]],SKU!A:B,2,0)</f>
        <v>FILEZINHO PEITO CG BDJ SE</v>
      </c>
      <c r="AC741" s="6" t="str">
        <f>VLOOKUP(Tabela1[[#This Row],[SKU]],SKU!A:C,3,0)</f>
        <v>SASSAMI</v>
      </c>
    </row>
    <row r="742" spans="1:29" x14ac:dyDescent="0.3">
      <c r="A742" s="2">
        <f>INT(Tabela1[[#This Row],[Data e Hora2]])</f>
        <v>46279</v>
      </c>
      <c r="B742" s="6" t="str">
        <f>UPPER(TEXT(Tabela1[[#This Row],[Data Corrigida]],"MMM"))</f>
        <v>SET</v>
      </c>
      <c r="C742" t="s">
        <v>1857</v>
      </c>
      <c r="D742" s="2" t="s">
        <v>1858</v>
      </c>
      <c r="E742" s="1" t="s">
        <v>1859</v>
      </c>
      <c r="F742" t="s">
        <v>24</v>
      </c>
      <c r="G742" s="2" t="s">
        <v>1782</v>
      </c>
      <c r="H742" t="s">
        <v>26</v>
      </c>
      <c r="I742" t="s">
        <v>57</v>
      </c>
      <c r="J742" s="6">
        <v>15105</v>
      </c>
      <c r="K742" s="16">
        <v>986</v>
      </c>
      <c r="L742" s="16">
        <v>997</v>
      </c>
      <c r="M742" s="16">
        <v>996</v>
      </c>
      <c r="N742" s="16">
        <v>1022</v>
      </c>
      <c r="O742" s="16">
        <v>991</v>
      </c>
      <c r="P742" s="16">
        <v>1005</v>
      </c>
      <c r="Q742" s="16">
        <v>1036</v>
      </c>
      <c r="R742" s="16">
        <v>1004</v>
      </c>
      <c r="S742" s="16">
        <v>1042</v>
      </c>
      <c r="T742" s="16">
        <v>1191</v>
      </c>
      <c r="U742" s="15">
        <v>1027</v>
      </c>
      <c r="V742" t="s">
        <v>19</v>
      </c>
      <c r="W742" t="s">
        <v>28</v>
      </c>
      <c r="X742">
        <v>192</v>
      </c>
      <c r="Y742" s="16">
        <f>VLOOKUP(Tabela1[[#This Row],[SKU]],SKU!A:D,4,0)</f>
        <v>1000</v>
      </c>
      <c r="Z742" s="18">
        <f>IFERROR((Tabela1[[#This Row],[Média]]-Tabela1[[#This Row],[Meta]])/Tabela1[[#This Row],[Meta]],"")</f>
        <v>2.7E-2</v>
      </c>
      <c r="AA742" s="27">
        <f>Tabela1[[#This Row],[Média]]-Tabela1[[#This Row],[Meta]]</f>
        <v>27</v>
      </c>
      <c r="AB742" s="6" t="str">
        <f>VLOOKUP(Tabela1[[#This Row],[SKU]],SKU!A:B,2,0)</f>
        <v>FILE PEITO MET CG BDJ SE</v>
      </c>
      <c r="AC742" s="6" t="str">
        <f>VLOOKUP(Tabela1[[#This Row],[SKU]],SKU!A:C,3,0)</f>
        <v>PEITO</v>
      </c>
    </row>
    <row r="743" spans="1:29" x14ac:dyDescent="0.3">
      <c r="A743" s="2">
        <f>INT(Tabela1[[#This Row],[Data e Hora2]])</f>
        <v>46277</v>
      </c>
      <c r="B743" s="6" t="str">
        <f>UPPER(TEXT(Tabela1[[#This Row],[Data Corrigida]],"MMM"))</f>
        <v>SET</v>
      </c>
      <c r="C743" t="s">
        <v>1642</v>
      </c>
      <c r="D743" s="2" t="s">
        <v>1643</v>
      </c>
      <c r="E743" s="1" t="s">
        <v>1641</v>
      </c>
      <c r="F743" t="s">
        <v>24</v>
      </c>
      <c r="G743" s="2" t="s">
        <v>1631</v>
      </c>
      <c r="H743" t="s">
        <v>26</v>
      </c>
      <c r="I743" t="s">
        <v>57</v>
      </c>
      <c r="J743" s="6">
        <v>42846</v>
      </c>
      <c r="K743" s="16">
        <v>2037</v>
      </c>
      <c r="L743" s="16">
        <v>2000</v>
      </c>
      <c r="M743" s="16">
        <v>1999</v>
      </c>
      <c r="N743" s="16">
        <v>2020</v>
      </c>
      <c r="O743" s="16">
        <v>2058</v>
      </c>
      <c r="P743" s="16">
        <v>1997</v>
      </c>
      <c r="Q743" s="16">
        <v>2016</v>
      </c>
      <c r="R743" s="16">
        <v>1995</v>
      </c>
      <c r="S743" s="16">
        <v>1999</v>
      </c>
      <c r="T743" s="16">
        <v>2012</v>
      </c>
      <c r="U743" s="15">
        <v>2013</v>
      </c>
      <c r="V743" t="s">
        <v>19</v>
      </c>
      <c r="W743" t="s">
        <v>28</v>
      </c>
      <c r="X743">
        <v>243</v>
      </c>
      <c r="Y743" s="16">
        <f>VLOOKUP(Tabela1[[#This Row],[SKU]],SKU!A:D,4,0)</f>
        <v>2000</v>
      </c>
      <c r="Z743" s="18">
        <f>IFERROR((Tabela1[[#This Row],[Média]]-Tabela1[[#This Row],[Meta]])/Tabela1[[#This Row],[Meta]],"")</f>
        <v>6.4999999999999997E-3</v>
      </c>
      <c r="AA743" s="27">
        <f>Tabela1[[#This Row],[Média]]-Tabela1[[#This Row],[Meta]]</f>
        <v>13</v>
      </c>
      <c r="AB743" s="6" t="str">
        <f>VLOOKUP(Tabela1[[#This Row],[SKU]],SKU!A:B,2,0)</f>
        <v>COXA SBCX S/O FG 240-260g PB</v>
      </c>
      <c r="AC743" s="6" t="str">
        <f>VLOOKUP(Tabela1[[#This Row],[SKU]],SKU!A:C,3,0)</f>
        <v>PERNA</v>
      </c>
    </row>
    <row r="744" spans="1:29" x14ac:dyDescent="0.3">
      <c r="A744" s="2">
        <f>INT(Tabela1[[#This Row],[Data e Hora2]])</f>
        <v>46277</v>
      </c>
      <c r="B744" s="6" t="str">
        <f>UPPER(TEXT(Tabela1[[#This Row],[Data Corrigida]],"MMM"))</f>
        <v>SET</v>
      </c>
      <c r="C744" t="s">
        <v>1654</v>
      </c>
      <c r="D744" s="2" t="s">
        <v>1655</v>
      </c>
      <c r="E744" s="1" t="s">
        <v>1656</v>
      </c>
      <c r="F744" t="s">
        <v>24</v>
      </c>
      <c r="G744" s="2" t="s">
        <v>1631</v>
      </c>
      <c r="H744" t="s">
        <v>26</v>
      </c>
      <c r="I744" t="s">
        <v>57</v>
      </c>
      <c r="J744" s="6">
        <v>40762</v>
      </c>
      <c r="K744" s="16">
        <v>10040</v>
      </c>
      <c r="L744" s="16">
        <v>9980</v>
      </c>
      <c r="M744" s="16">
        <v>10120</v>
      </c>
      <c r="N744" s="16">
        <v>10040</v>
      </c>
      <c r="O744" s="16">
        <v>9965</v>
      </c>
      <c r="P744" s="16">
        <v>10095</v>
      </c>
      <c r="Q744" s="16">
        <v>9980</v>
      </c>
      <c r="R744" s="16">
        <v>9945</v>
      </c>
      <c r="S744" s="16">
        <v>10140</v>
      </c>
      <c r="T744" s="16">
        <v>10080</v>
      </c>
      <c r="U744" s="15">
        <v>10039</v>
      </c>
      <c r="V744" t="s">
        <v>19</v>
      </c>
      <c r="W744" t="s">
        <v>28</v>
      </c>
      <c r="X744">
        <v>825</v>
      </c>
      <c r="Y744" s="16">
        <f>VLOOKUP(Tabela1[[#This Row],[SKU]],SKU!A:D,4,0)</f>
        <v>10000</v>
      </c>
      <c r="Z744" s="18">
        <f>IFERROR((Tabela1[[#This Row],[Média]]-Tabela1[[#This Row],[Meta]])/Tabela1[[#This Row],[Meta]],"")</f>
        <v>3.8999999999999998E-3</v>
      </c>
      <c r="AA744" s="27">
        <f>Tabela1[[#This Row],[Média]]-Tabela1[[#This Row],[Meta]]</f>
        <v>39</v>
      </c>
      <c r="AB744" s="6" t="str">
        <f>VLOOKUP(Tabela1[[#This Row],[SKU]],SKU!A:B,2,0)</f>
        <v>COXA SBCX LQ FG LP</v>
      </c>
      <c r="AC744" s="6" t="str">
        <f>VLOOKUP(Tabela1[[#This Row],[SKU]],SKU!A:C,3,0)</f>
        <v>PERNA</v>
      </c>
    </row>
    <row r="745" spans="1:29" x14ac:dyDescent="0.3">
      <c r="A745" s="2">
        <f>INT(Tabela1[[#This Row],[Data e Hora2]])</f>
        <v>46273</v>
      </c>
      <c r="B745" s="6" t="str">
        <f>UPPER(TEXT(Tabela1[[#This Row],[Data Corrigida]],"MMM"))</f>
        <v>SET</v>
      </c>
      <c r="C745" t="s">
        <v>1372</v>
      </c>
      <c r="D745" s="2" t="s">
        <v>1373</v>
      </c>
      <c r="E745" s="1" t="s">
        <v>1367</v>
      </c>
      <c r="F745" t="s">
        <v>24</v>
      </c>
      <c r="G745" s="2" t="s">
        <v>1351</v>
      </c>
      <c r="H745" t="s">
        <v>26</v>
      </c>
      <c r="I745" t="s">
        <v>27</v>
      </c>
      <c r="J745" s="6">
        <v>792799</v>
      </c>
      <c r="K745" s="16">
        <v>15060</v>
      </c>
      <c r="L745" s="16">
        <v>15095</v>
      </c>
      <c r="M745" s="16">
        <v>15070</v>
      </c>
      <c r="N745" s="16">
        <v>10100</v>
      </c>
      <c r="O745" s="16">
        <v>15045</v>
      </c>
      <c r="P745" s="16">
        <v>15100</v>
      </c>
      <c r="Q745" s="16">
        <v>15075</v>
      </c>
      <c r="R745" s="16">
        <v>15100</v>
      </c>
      <c r="S745" s="16">
        <v>15060</v>
      </c>
      <c r="T745" s="16">
        <v>15100</v>
      </c>
      <c r="U745" s="15">
        <v>14580.5</v>
      </c>
      <c r="V745" t="s">
        <v>19</v>
      </c>
      <c r="W745" t="s">
        <v>19</v>
      </c>
      <c r="X745">
        <v>364</v>
      </c>
      <c r="Y745" s="16">
        <f>VLOOKUP(Tabela1[[#This Row],[SKU]],SKU!A:D,4,0)</f>
        <v>15000</v>
      </c>
      <c r="Z745" s="18">
        <f>IFERROR((Tabela1[[#This Row],[Média]]-Tabela1[[#This Row],[Meta]])/Tabela1[[#This Row],[Meta]],"")</f>
        <v>-2.7966666666666667E-2</v>
      </c>
      <c r="AA745" s="27">
        <f>Tabela1[[#This Row],[Média]]-Tabela1[[#This Row],[Meta]]</f>
        <v>-419.5</v>
      </c>
      <c r="AB745" s="6" t="str">
        <f>VLOOKUP(Tabela1[[#This Row],[SKU]],SKU!A:B,2,0)</f>
        <v>ASAS FG 100g UP LP</v>
      </c>
      <c r="AC745" s="6" t="str">
        <f>VLOOKUP(Tabela1[[#This Row],[SKU]],SKU!A:C,3,0)</f>
        <v>ASA</v>
      </c>
    </row>
    <row r="746" spans="1:29" x14ac:dyDescent="0.3">
      <c r="A746" s="2">
        <f>INT(Tabela1[[#This Row],[Data e Hora2]])</f>
        <v>46268</v>
      </c>
      <c r="B746" s="6" t="str">
        <f>UPPER(TEXT(Tabela1[[#This Row],[Data Corrigida]],"MMM"))</f>
        <v>SET</v>
      </c>
      <c r="C746" t="s">
        <v>1295</v>
      </c>
      <c r="D746" s="2" t="s">
        <v>1296</v>
      </c>
      <c r="E746" s="1" t="s">
        <v>1297</v>
      </c>
      <c r="F746" t="s">
        <v>24</v>
      </c>
      <c r="G746" s="2" t="s">
        <v>1130</v>
      </c>
      <c r="H746" t="s">
        <v>26</v>
      </c>
      <c r="I746" t="s">
        <v>57</v>
      </c>
      <c r="J746" s="6">
        <v>15229</v>
      </c>
      <c r="K746" s="16">
        <v>992</v>
      </c>
      <c r="L746" s="16">
        <v>1010</v>
      </c>
      <c r="M746" s="16">
        <v>995</v>
      </c>
      <c r="N746" s="16">
        <v>1010</v>
      </c>
      <c r="O746" s="16">
        <v>994</v>
      </c>
      <c r="P746" s="16">
        <v>997</v>
      </c>
      <c r="Q746" s="16" t="s">
        <v>19</v>
      </c>
      <c r="R746" s="16">
        <v>1007</v>
      </c>
      <c r="S746" s="16">
        <v>996</v>
      </c>
      <c r="T746" s="16">
        <v>1011</v>
      </c>
      <c r="U746" s="15">
        <v>1001</v>
      </c>
      <c r="V746" t="s">
        <v>19</v>
      </c>
      <c r="W746" t="s">
        <v>28</v>
      </c>
      <c r="X746">
        <v>152</v>
      </c>
      <c r="Y746" s="16">
        <f>VLOOKUP(Tabela1[[#This Row],[SKU]],SKU!A:D,4,0)</f>
        <v>1000</v>
      </c>
      <c r="Z746" s="18">
        <f>IFERROR((Tabela1[[#This Row],[Média]]-Tabela1[[#This Row],[Meta]])/Tabela1[[#This Row],[Meta]],"")</f>
        <v>1E-3</v>
      </c>
      <c r="AA746" s="27">
        <f>Tabela1[[#This Row],[Média]]-Tabela1[[#This Row],[Meta]]</f>
        <v>1</v>
      </c>
      <c r="AB746" s="6" t="str">
        <f>VLOOKUP(Tabela1[[#This Row],[SKU]],SKU!A:B,2,0)</f>
        <v>COXA CG BDJ SE</v>
      </c>
      <c r="AC746" s="6" t="str">
        <f>VLOOKUP(Tabela1[[#This Row],[SKU]],SKU!A:C,3,0)</f>
        <v>PERNA</v>
      </c>
    </row>
    <row r="747" spans="1:29" x14ac:dyDescent="0.3">
      <c r="A747" s="2">
        <f>INT(Tabela1[[#This Row],[Data e Hora2]])</f>
        <v>46267</v>
      </c>
      <c r="B747" s="6" t="str">
        <f>UPPER(TEXT(Tabela1[[#This Row],[Data Corrigida]],"MMM"))</f>
        <v>SET</v>
      </c>
      <c r="C747" t="s">
        <v>1163</v>
      </c>
      <c r="D747" s="2" t="s">
        <v>1164</v>
      </c>
      <c r="E747" s="1" t="s">
        <v>1151</v>
      </c>
      <c r="F747" t="s">
        <v>24</v>
      </c>
      <c r="G747" s="2" t="s">
        <v>1152</v>
      </c>
      <c r="H747" t="s">
        <v>26</v>
      </c>
      <c r="I747" t="s">
        <v>27</v>
      </c>
      <c r="J747" s="6">
        <v>992093</v>
      </c>
      <c r="K747" s="16">
        <v>5008</v>
      </c>
      <c r="L747" s="16">
        <v>5004</v>
      </c>
      <c r="M747" s="16">
        <v>5008</v>
      </c>
      <c r="N747" s="16">
        <v>5001</v>
      </c>
      <c r="O747" s="16">
        <v>5002</v>
      </c>
      <c r="P747" s="16">
        <v>5008</v>
      </c>
      <c r="Q747" s="16">
        <v>5007</v>
      </c>
      <c r="R747" s="16">
        <v>5005</v>
      </c>
      <c r="S747" s="16">
        <v>5009</v>
      </c>
      <c r="T747" s="16"/>
      <c r="U747" s="15">
        <v>5006</v>
      </c>
      <c r="V747" t="s">
        <v>19</v>
      </c>
      <c r="W747" t="s">
        <v>19</v>
      </c>
      <c r="X747">
        <v>152</v>
      </c>
      <c r="Y747" s="16">
        <f>VLOOKUP(Tabela1[[#This Row],[SKU]],SKU!A:D,4,0)</f>
        <v>5000</v>
      </c>
      <c r="Z747" s="18">
        <f>IFERROR((Tabela1[[#This Row],[Média]]-Tabela1[[#This Row],[Meta]])/Tabela1[[#This Row],[Meta]],"")</f>
        <v>1.1999999999999999E-3</v>
      </c>
      <c r="AA747" s="27">
        <f>Tabela1[[#This Row],[Média]]-Tabela1[[#This Row],[Meta]]</f>
        <v>6</v>
      </c>
      <c r="AB747" s="6" t="str">
        <f>VLOOKUP(Tabela1[[#This Row],[SKU]],SKU!A:B,2,0)</f>
        <v>PONTA ASA FG PB CG</v>
      </c>
      <c r="AC747" s="6" t="str">
        <f>VLOOKUP(Tabela1[[#This Row],[SKU]],SKU!A:C,3,0)</f>
        <v>ASA</v>
      </c>
    </row>
    <row r="748" spans="1:29" x14ac:dyDescent="0.3">
      <c r="A748" s="2">
        <f>INT(Tabela1[[#This Row],[Data e Hora2]])</f>
        <v>46266</v>
      </c>
      <c r="B748" s="6" t="str">
        <f>UPPER(TEXT(Tabela1[[#This Row],[Data Corrigida]],"MMM"))</f>
        <v>SET</v>
      </c>
      <c r="C748" t="s">
        <v>1905</v>
      </c>
      <c r="D748" s="2" t="s">
        <v>1906</v>
      </c>
      <c r="E748" s="1" t="s">
        <v>1079</v>
      </c>
      <c r="F748" t="s">
        <v>24</v>
      </c>
      <c r="G748" s="2" t="s">
        <v>960</v>
      </c>
      <c r="H748" t="s">
        <v>26</v>
      </c>
      <c r="I748" t="s">
        <v>27</v>
      </c>
      <c r="J748" s="6">
        <v>40762</v>
      </c>
      <c r="K748" s="16">
        <v>10065</v>
      </c>
      <c r="L748" s="16">
        <v>10055</v>
      </c>
      <c r="M748" s="16">
        <v>10040</v>
      </c>
      <c r="N748" s="16">
        <v>10060</v>
      </c>
      <c r="O748" s="16">
        <v>10030</v>
      </c>
      <c r="P748" s="16">
        <v>9970</v>
      </c>
      <c r="Q748" s="16">
        <v>10055</v>
      </c>
      <c r="R748" s="16">
        <v>10010</v>
      </c>
      <c r="S748" s="16">
        <v>10025</v>
      </c>
      <c r="T748" s="16">
        <v>10025</v>
      </c>
      <c r="U748" s="15">
        <v>10033.5</v>
      </c>
      <c r="V748" t="s">
        <v>19</v>
      </c>
      <c r="W748" t="s">
        <v>28</v>
      </c>
      <c r="X748">
        <v>180</v>
      </c>
      <c r="Y748" s="16">
        <f>VLOOKUP(Tabela1[[#This Row],[SKU]],SKU!A:D,4,0)</f>
        <v>10000</v>
      </c>
      <c r="Z748" s="18">
        <f>IFERROR((Tabela1[[#This Row],[Média]]-Tabela1[[#This Row],[Meta]])/Tabela1[[#This Row],[Meta]],"")</f>
        <v>3.3500000000000001E-3</v>
      </c>
      <c r="AA748" s="27">
        <f>Tabela1[[#This Row],[Média]]-Tabela1[[#This Row],[Meta]]</f>
        <v>33.5</v>
      </c>
      <c r="AB748" s="6" t="str">
        <f>VLOOKUP(Tabela1[[#This Row],[SKU]],SKU!A:B,2,0)</f>
        <v>COXA SBCX LQ FG LP</v>
      </c>
      <c r="AC748" s="6" t="str">
        <f>VLOOKUP(Tabela1[[#This Row],[SKU]],SKU!A:C,3,0)</f>
        <v>PERNA</v>
      </c>
    </row>
    <row r="749" spans="1:29" x14ac:dyDescent="0.3">
      <c r="A749" s="2">
        <f>INT(Tabela1[[#This Row],[Data e Hora2]])</f>
        <v>46280</v>
      </c>
      <c r="B749" s="6" t="str">
        <f>UPPER(TEXT(Tabela1[[#This Row],[Data Corrigida]],"MMM"))</f>
        <v>SET</v>
      </c>
      <c r="C749" s="26" t="s">
        <v>1907</v>
      </c>
      <c r="D749" s="2" t="s">
        <v>1908</v>
      </c>
      <c r="E749" s="1" t="s">
        <v>1909</v>
      </c>
      <c r="F749" t="s">
        <v>24</v>
      </c>
      <c r="G749" s="2" t="s">
        <v>1904</v>
      </c>
      <c r="H749" t="s">
        <v>26</v>
      </c>
      <c r="I749" t="s">
        <v>27</v>
      </c>
      <c r="J749" s="6">
        <v>864048</v>
      </c>
      <c r="K749" s="16">
        <v>1996</v>
      </c>
      <c r="L749" s="16">
        <v>1998</v>
      </c>
      <c r="M749" s="16">
        <v>2032</v>
      </c>
      <c r="N749" s="16">
        <v>2044</v>
      </c>
      <c r="O749" s="16">
        <v>2084</v>
      </c>
      <c r="P749" s="16">
        <v>2021</v>
      </c>
      <c r="Q749" s="16">
        <v>2000</v>
      </c>
      <c r="R749" s="16">
        <v>2014</v>
      </c>
      <c r="S749" s="16">
        <v>2004</v>
      </c>
      <c r="T749" s="16">
        <v>2011</v>
      </c>
      <c r="U749" s="15">
        <v>2020.4</v>
      </c>
      <c r="V749" t="s">
        <v>19</v>
      </c>
      <c r="W749" t="s">
        <v>19</v>
      </c>
      <c r="X749">
        <v>3288</v>
      </c>
      <c r="Y749" s="16">
        <f>VLOOKUP(Tabela1[[#This Row],[SKU]],SKU!A:D,4,0)</f>
        <v>2000</v>
      </c>
      <c r="Z749" s="18">
        <f>IFERROR((Tabela1[[#This Row],[Média]]-Tabela1[[#This Row],[Meta]])/Tabela1[[#This Row],[Meta]],"")</f>
        <v>1.0200000000000046E-2</v>
      </c>
      <c r="AA749" s="27">
        <f>Tabela1[[#This Row],[Média]]-Tabela1[[#This Row],[Meta]]</f>
        <v>20.400000000000091</v>
      </c>
      <c r="AB749" s="6" t="str">
        <f>VLOOKUP(Tabela1[[#This Row],[SKU]],SKU!A:B,2,0)</f>
        <v>COXA SBCX S/O 200g FG UP PB</v>
      </c>
      <c r="AC749" s="6" t="str">
        <f>VLOOKUP(Tabela1[[#This Row],[SKU]],SKU!A:C,3,0)</f>
        <v>PERNA</v>
      </c>
    </row>
    <row r="750" spans="1:29" x14ac:dyDescent="0.3">
      <c r="A750" s="2">
        <f>INT(Tabela1[[#This Row],[Data e Hora2]])</f>
        <v>46280</v>
      </c>
      <c r="B750" s="6" t="str">
        <f>UPPER(TEXT(Tabela1[[#This Row],[Data Corrigida]],"MMM"))</f>
        <v>SET</v>
      </c>
      <c r="C750" t="s">
        <v>1910</v>
      </c>
      <c r="D750" s="2" t="s">
        <v>1911</v>
      </c>
      <c r="E750" s="1" t="s">
        <v>1909</v>
      </c>
      <c r="F750" t="s">
        <v>24</v>
      </c>
      <c r="G750" s="2" t="s">
        <v>1904</v>
      </c>
      <c r="H750" t="s">
        <v>26</v>
      </c>
      <c r="I750" t="s">
        <v>27</v>
      </c>
      <c r="J750" s="6">
        <v>15229</v>
      </c>
      <c r="K750" s="16">
        <v>1001</v>
      </c>
      <c r="L750" s="16">
        <v>1005</v>
      </c>
      <c r="M750" s="16">
        <v>993</v>
      </c>
      <c r="N750" s="16">
        <v>1000</v>
      </c>
      <c r="O750" s="16">
        <v>993</v>
      </c>
      <c r="P750" s="16">
        <v>996</v>
      </c>
      <c r="Q750" s="16">
        <v>1015</v>
      </c>
      <c r="R750" s="16">
        <v>1015</v>
      </c>
      <c r="S750" s="16">
        <v>993</v>
      </c>
      <c r="T750" s="16">
        <v>1011</v>
      </c>
      <c r="U750" s="15">
        <v>1002.2</v>
      </c>
      <c r="V750" t="s">
        <v>19</v>
      </c>
      <c r="W750" t="s">
        <v>28</v>
      </c>
      <c r="X750">
        <v>308</v>
      </c>
      <c r="Y750" s="16">
        <f>VLOOKUP(Tabela1[[#This Row],[SKU]],SKU!A:D,4,0)</f>
        <v>1000</v>
      </c>
      <c r="Z750" s="18">
        <f>IFERROR((Tabela1[[#This Row],[Média]]-Tabela1[[#This Row],[Meta]])/Tabela1[[#This Row],[Meta]],"")</f>
        <v>2.2000000000000457E-3</v>
      </c>
      <c r="AA750" s="27">
        <f>Tabela1[[#This Row],[Média]]-Tabela1[[#This Row],[Meta]]</f>
        <v>2.2000000000000455</v>
      </c>
      <c r="AB750" s="6" t="str">
        <f>VLOOKUP(Tabela1[[#This Row],[SKU]],SKU!A:B,2,0)</f>
        <v>COXA CG BDJ SE</v>
      </c>
      <c r="AC750" s="6" t="str">
        <f>VLOOKUP(Tabela1[[#This Row],[SKU]],SKU!A:C,3,0)</f>
        <v>PERNA</v>
      </c>
    </row>
    <row r="751" spans="1:29" x14ac:dyDescent="0.3">
      <c r="A751" s="2">
        <f>INT(Tabela1[[#This Row],[Data e Hora2]])</f>
        <v>46280</v>
      </c>
      <c r="B751" s="6" t="str">
        <f>UPPER(TEXT(Tabela1[[#This Row],[Data Corrigida]],"MMM"))</f>
        <v>SET</v>
      </c>
      <c r="C751" t="s">
        <v>1912</v>
      </c>
      <c r="D751" s="2" t="s">
        <v>1913</v>
      </c>
      <c r="E751" s="1" t="s">
        <v>1909</v>
      </c>
      <c r="F751" t="s">
        <v>24</v>
      </c>
      <c r="G751" s="2" t="s">
        <v>1904</v>
      </c>
      <c r="H751" t="s">
        <v>26</v>
      </c>
      <c r="I751" t="s">
        <v>27</v>
      </c>
      <c r="J751" s="6">
        <v>15849</v>
      </c>
      <c r="K751" s="16">
        <v>1006</v>
      </c>
      <c r="L751" s="16">
        <v>1004</v>
      </c>
      <c r="M751" s="16">
        <v>1004</v>
      </c>
      <c r="N751" s="16">
        <v>1007</v>
      </c>
      <c r="O751" s="16">
        <v>1001</v>
      </c>
      <c r="P751" s="16">
        <v>1000</v>
      </c>
      <c r="Q751" s="16">
        <v>1010</v>
      </c>
      <c r="R751" s="16">
        <v>996</v>
      </c>
      <c r="S751" s="16">
        <v>1005</v>
      </c>
      <c r="T751" s="16">
        <v>1003</v>
      </c>
      <c r="U751" s="15">
        <v>1003.6</v>
      </c>
      <c r="V751" t="s">
        <v>19</v>
      </c>
      <c r="W751" t="s">
        <v>28</v>
      </c>
      <c r="X751">
        <v>1067</v>
      </c>
      <c r="Y751" s="16">
        <f>VLOOKUP(Tabela1[[#This Row],[SKU]],SKU!A:D,4,0)</f>
        <v>1000</v>
      </c>
      <c r="Z751" s="18">
        <f>IFERROR((Tabela1[[#This Row],[Média]]-Tabela1[[#This Row],[Meta]])/Tabela1[[#This Row],[Meta]],"")</f>
        <v>3.6000000000000229E-3</v>
      </c>
      <c r="AA751" s="27">
        <f>Tabela1[[#This Row],[Média]]-Tabela1[[#This Row],[Meta]]</f>
        <v>3.6000000000000227</v>
      </c>
      <c r="AB751" s="6" t="str">
        <f>VLOOKUP(Tabela1[[#This Row],[SKU]],SKU!A:B,2,0)</f>
        <v>FILEZINHO PEITO CG BDJ SE</v>
      </c>
      <c r="AC751" s="6" t="str">
        <f>VLOOKUP(Tabela1[[#This Row],[SKU]],SKU!A:C,3,0)</f>
        <v>SASSAMI</v>
      </c>
    </row>
    <row r="752" spans="1:29" x14ac:dyDescent="0.3">
      <c r="A752" s="2">
        <f>INT(Tabela1[[#This Row],[Data e Hora2]])</f>
        <v>46280</v>
      </c>
      <c r="B752" s="6" t="str">
        <f>UPPER(TEXT(Tabela1[[#This Row],[Data Corrigida]],"MMM"))</f>
        <v>SET</v>
      </c>
      <c r="C752" t="s">
        <v>1914</v>
      </c>
      <c r="D752" s="2" t="s">
        <v>1915</v>
      </c>
      <c r="E752" s="1" t="s">
        <v>1909</v>
      </c>
      <c r="F752" t="s">
        <v>24</v>
      </c>
      <c r="G752" s="2" t="s">
        <v>1904</v>
      </c>
      <c r="H752" t="s">
        <v>26</v>
      </c>
      <c r="I752" t="s">
        <v>27</v>
      </c>
      <c r="J752" s="6">
        <v>15105</v>
      </c>
      <c r="K752" s="16">
        <v>991</v>
      </c>
      <c r="L752" s="16">
        <v>1012</v>
      </c>
      <c r="M752" s="16">
        <v>1010</v>
      </c>
      <c r="N752" s="16">
        <v>1031</v>
      </c>
      <c r="O752" s="16">
        <v>1018</v>
      </c>
      <c r="P752" s="16">
        <v>1032</v>
      </c>
      <c r="Q752" s="16">
        <v>993</v>
      </c>
      <c r="R752" s="16">
        <v>1004</v>
      </c>
      <c r="S752" s="16">
        <v>1019</v>
      </c>
      <c r="T752" s="16">
        <v>1016</v>
      </c>
      <c r="U752" s="15">
        <v>1012.6</v>
      </c>
      <c r="V752" t="s">
        <v>19</v>
      </c>
      <c r="W752" t="s">
        <v>28</v>
      </c>
      <c r="X752">
        <v>2137</v>
      </c>
      <c r="Y752" s="16">
        <f>VLOOKUP(Tabela1[[#This Row],[SKU]],SKU!A:D,4,0)</f>
        <v>1000</v>
      </c>
      <c r="Z752" s="18">
        <f>IFERROR((Tabela1[[#This Row],[Média]]-Tabela1[[#This Row],[Meta]])/Tabela1[[#This Row],[Meta]],"")</f>
        <v>1.2600000000000023E-2</v>
      </c>
      <c r="AA752" s="27">
        <f>Tabela1[[#This Row],[Média]]-Tabela1[[#This Row],[Meta]]</f>
        <v>12.600000000000023</v>
      </c>
      <c r="AB752" s="6" t="str">
        <f>VLOOKUP(Tabela1[[#This Row],[SKU]],SKU!A:B,2,0)</f>
        <v>FILE PEITO MET CG BDJ SE</v>
      </c>
      <c r="AC752" s="6" t="str">
        <f>VLOOKUP(Tabela1[[#This Row],[SKU]],SKU!A:C,3,0)</f>
        <v>PEITO</v>
      </c>
    </row>
    <row r="753" spans="1:29" x14ac:dyDescent="0.3">
      <c r="A753" s="2">
        <f>INT(Tabela1[[#This Row],[Data e Hora2]])</f>
        <v>46280</v>
      </c>
      <c r="B753" s="6" t="str">
        <f>UPPER(TEXT(Tabela1[[#This Row],[Data Corrigida]],"MMM"))</f>
        <v>SET</v>
      </c>
      <c r="C753" t="s">
        <v>1916</v>
      </c>
      <c r="D753" s="2" t="s">
        <v>1917</v>
      </c>
      <c r="E753" s="1" t="s">
        <v>1909</v>
      </c>
      <c r="F753" t="s">
        <v>24</v>
      </c>
      <c r="G753" s="2" t="s">
        <v>1904</v>
      </c>
      <c r="H753" t="s">
        <v>26</v>
      </c>
      <c r="I753" t="s">
        <v>27</v>
      </c>
      <c r="J753" s="6">
        <v>42820</v>
      </c>
      <c r="K753" s="16">
        <v>1993</v>
      </c>
      <c r="L753" s="16">
        <v>2012</v>
      </c>
      <c r="M753" s="16">
        <v>2006</v>
      </c>
      <c r="N753" s="16">
        <v>2027</v>
      </c>
      <c r="O753" s="16">
        <v>2011</v>
      </c>
      <c r="P753" s="16">
        <v>2009</v>
      </c>
      <c r="Q753" s="16">
        <v>2012</v>
      </c>
      <c r="R753" s="16">
        <v>2007</v>
      </c>
      <c r="S753" s="16">
        <v>2006</v>
      </c>
      <c r="T753" s="16">
        <v>2045</v>
      </c>
      <c r="U753" s="15">
        <v>2012.8</v>
      </c>
      <c r="V753" t="s">
        <v>19</v>
      </c>
      <c r="W753" t="s">
        <v>28</v>
      </c>
      <c r="X753">
        <v>415</v>
      </c>
      <c r="Y753" s="16">
        <f>VLOOKUP(Tabela1[[#This Row],[SKU]],SKU!A:D,4,0)</f>
        <v>2000</v>
      </c>
      <c r="Z753" s="18">
        <f>IFERROR((Tabela1[[#This Row],[Média]]-Tabela1[[#This Row],[Meta]])/Tabela1[[#This Row],[Meta]],"")</f>
        <v>6.3999999999999769E-3</v>
      </c>
      <c r="AA753" s="27">
        <f>Tabela1[[#This Row],[Média]]-Tabela1[[#This Row],[Meta]]</f>
        <v>12.799999999999955</v>
      </c>
      <c r="AB753" s="6" t="str">
        <f>VLOOKUP(Tabela1[[#This Row],[SKU]],SKU!A:B,2,0)</f>
        <v>COXA SBCX S/O FG 200-220g PB</v>
      </c>
      <c r="AC753" s="6" t="str">
        <f>VLOOKUP(Tabela1[[#This Row],[SKU]],SKU!A:C,3,0)</f>
        <v>PERNA</v>
      </c>
    </row>
    <row r="754" spans="1:29" x14ac:dyDescent="0.3">
      <c r="A754" s="2">
        <f>INT(Tabela1[[#This Row],[Data e Hora2]])</f>
        <v>46280</v>
      </c>
      <c r="B754" s="6" t="str">
        <f>UPPER(TEXT(Tabela1[[#This Row],[Data Corrigida]],"MMM"))</f>
        <v>SET</v>
      </c>
      <c r="C754" t="s">
        <v>1918</v>
      </c>
      <c r="D754" s="2" t="s">
        <v>1919</v>
      </c>
      <c r="E754" s="1" t="s">
        <v>1909</v>
      </c>
      <c r="F754" t="s">
        <v>24</v>
      </c>
      <c r="G754" s="2" t="s">
        <v>1904</v>
      </c>
      <c r="H754" t="s">
        <v>26</v>
      </c>
      <c r="I754" t="s">
        <v>27</v>
      </c>
      <c r="J754" s="6">
        <v>42846</v>
      </c>
      <c r="K754" s="16">
        <v>2003</v>
      </c>
      <c r="L754" s="16">
        <v>2022</v>
      </c>
      <c r="M754" s="16">
        <v>2031</v>
      </c>
      <c r="N754" s="16">
        <v>2018</v>
      </c>
      <c r="O754" s="16">
        <v>2020</v>
      </c>
      <c r="P754" s="16">
        <v>2005</v>
      </c>
      <c r="Q754" s="16">
        <v>2043</v>
      </c>
      <c r="R754" s="16">
        <v>2058</v>
      </c>
      <c r="S754" s="16">
        <v>2037</v>
      </c>
      <c r="T754" s="16">
        <v>2043</v>
      </c>
      <c r="U754" s="15">
        <v>2028</v>
      </c>
      <c r="V754" t="s">
        <v>19</v>
      </c>
      <c r="W754" t="s">
        <v>19</v>
      </c>
      <c r="X754">
        <v>125</v>
      </c>
      <c r="Y754" s="16">
        <f>VLOOKUP(Tabela1[[#This Row],[SKU]],SKU!A:D,4,0)</f>
        <v>2000</v>
      </c>
      <c r="Z754" s="18">
        <f>IFERROR((Tabela1[[#This Row],[Média]]-Tabela1[[#This Row],[Meta]])/Tabela1[[#This Row],[Meta]],"")</f>
        <v>1.4E-2</v>
      </c>
      <c r="AA754" s="27">
        <f>Tabela1[[#This Row],[Média]]-Tabela1[[#This Row],[Meta]]</f>
        <v>28</v>
      </c>
      <c r="AB754" s="6" t="str">
        <f>VLOOKUP(Tabela1[[#This Row],[SKU]],SKU!A:B,2,0)</f>
        <v>COXA SBCX S/O FG 240-260g PB</v>
      </c>
      <c r="AC754" s="6" t="str">
        <f>VLOOKUP(Tabela1[[#This Row],[SKU]],SKU!A:C,3,0)</f>
        <v>PERNA</v>
      </c>
    </row>
    <row r="755" spans="1:29" x14ac:dyDescent="0.3">
      <c r="A755" s="2">
        <f>INT(Tabela1[[#This Row],[Data e Hora2]])</f>
        <v>46280</v>
      </c>
      <c r="B755" s="6" t="str">
        <f>UPPER(TEXT(Tabela1[[#This Row],[Data Corrigida]],"MMM"))</f>
        <v>SET</v>
      </c>
      <c r="C755" t="s">
        <v>1920</v>
      </c>
      <c r="D755" s="2" t="s">
        <v>1921</v>
      </c>
      <c r="E755" s="1" t="s">
        <v>1922</v>
      </c>
      <c r="F755" t="s">
        <v>24</v>
      </c>
      <c r="G755" s="2" t="s">
        <v>1904</v>
      </c>
      <c r="H755" t="s">
        <v>26</v>
      </c>
      <c r="I755" t="s">
        <v>27</v>
      </c>
      <c r="J755" s="6">
        <v>42838</v>
      </c>
      <c r="K755" s="16">
        <v>2006</v>
      </c>
      <c r="L755" s="16">
        <v>2013</v>
      </c>
      <c r="M755" s="16">
        <v>2015</v>
      </c>
      <c r="N755" s="16">
        <v>2020</v>
      </c>
      <c r="O755" s="16">
        <v>2026</v>
      </c>
      <c r="P755" s="16">
        <v>2039</v>
      </c>
      <c r="Q755" s="16">
        <v>2026</v>
      </c>
      <c r="R755" s="16">
        <v>2015</v>
      </c>
      <c r="S755" s="16">
        <v>2003</v>
      </c>
      <c r="T755" s="16">
        <v>2000</v>
      </c>
      <c r="U755" s="15">
        <v>2016.3</v>
      </c>
      <c r="V755" t="s">
        <v>19</v>
      </c>
      <c r="W755" t="s">
        <v>28</v>
      </c>
      <c r="X755">
        <v>236</v>
      </c>
      <c r="Y755" s="16">
        <f>VLOOKUP(Tabela1[[#This Row],[SKU]],SKU!A:D,4,0)</f>
        <v>2000</v>
      </c>
      <c r="Z755" s="18">
        <f>IFERROR((Tabela1[[#This Row],[Média]]-Tabela1[[#This Row],[Meta]])/Tabela1[[#This Row],[Meta]],"")</f>
        <v>8.1499999999999767E-3</v>
      </c>
      <c r="AA755" s="27">
        <f>Tabela1[[#This Row],[Média]]-Tabela1[[#This Row],[Meta]]</f>
        <v>16.299999999999955</v>
      </c>
      <c r="AB755" s="6" t="str">
        <f>VLOOKUP(Tabela1[[#This Row],[SKU]],SKU!A:B,2,0)</f>
        <v>COXA SBCX S/O FG 220-240g PB</v>
      </c>
      <c r="AC755" s="6" t="str">
        <f>VLOOKUP(Tabela1[[#This Row],[SKU]],SKU!A:C,3,0)</f>
        <v>PERNA</v>
      </c>
    </row>
    <row r="756" spans="1:29" x14ac:dyDescent="0.3">
      <c r="A756" s="2">
        <f>INT(Tabela1[[#This Row],[Data e Hora2]])</f>
        <v>46280</v>
      </c>
      <c r="B756" s="6" t="str">
        <f>UPPER(TEXT(Tabela1[[#This Row],[Data Corrigida]],"MMM"))</f>
        <v>SET</v>
      </c>
      <c r="C756" t="s">
        <v>1923</v>
      </c>
      <c r="D756" s="2" t="s">
        <v>1924</v>
      </c>
      <c r="E756" s="1" t="s">
        <v>1922</v>
      </c>
      <c r="F756" t="s">
        <v>24</v>
      </c>
      <c r="G756" s="2" t="s">
        <v>1904</v>
      </c>
      <c r="H756" t="s">
        <v>26</v>
      </c>
      <c r="I756" t="s">
        <v>27</v>
      </c>
      <c r="J756" s="6">
        <v>197742</v>
      </c>
      <c r="K756" s="16">
        <v>1012</v>
      </c>
      <c r="L756" s="16">
        <v>1017</v>
      </c>
      <c r="M756" s="16">
        <v>1006</v>
      </c>
      <c r="N756" s="16">
        <v>1015</v>
      </c>
      <c r="O756" s="16">
        <v>999</v>
      </c>
      <c r="P756" s="16">
        <v>1007</v>
      </c>
      <c r="Q756" s="16">
        <v>1012</v>
      </c>
      <c r="R756" s="16">
        <v>1007</v>
      </c>
      <c r="S756" s="16">
        <v>1006</v>
      </c>
      <c r="T756" s="16">
        <v>1006</v>
      </c>
      <c r="U756" s="15">
        <v>1008.7</v>
      </c>
      <c r="V756" t="s">
        <v>19</v>
      </c>
      <c r="W756" t="s">
        <v>19</v>
      </c>
      <c r="X756">
        <v>283</v>
      </c>
      <c r="Y756" s="16">
        <f>VLOOKUP(Tabela1[[#This Row],[SKU]],SKU!A:D,4,0)</f>
        <v>1000</v>
      </c>
      <c r="Z756" s="18">
        <f>IFERROR((Tabela1[[#This Row],[Média]]-Tabela1[[#This Row],[Meta]])/Tabela1[[#This Row],[Meta]],"")</f>
        <v>8.7000000000000462E-3</v>
      </c>
      <c r="AA756" s="27">
        <f>Tabela1[[#This Row],[Média]]-Tabela1[[#This Row],[Meta]]</f>
        <v>8.7000000000000455</v>
      </c>
      <c r="AB756" s="6" t="str">
        <f>VLOOKUP(Tabela1[[#This Row],[SKU]],SKU!A:B,2,0)</f>
        <v>COXINHA ASA IQF ALM SE</v>
      </c>
      <c r="AC756" s="6" t="str">
        <f>VLOOKUP(Tabela1[[#This Row],[SKU]],SKU!A:C,3,0)</f>
        <v>ASA</v>
      </c>
    </row>
    <row r="757" spans="1:29" x14ac:dyDescent="0.3">
      <c r="A757" s="2">
        <f>INT(Tabela1[[#This Row],[Data e Hora2]])</f>
        <v>46280</v>
      </c>
      <c r="B757" s="6" t="str">
        <f>UPPER(TEXT(Tabela1[[#This Row],[Data Corrigida]],"MMM"))</f>
        <v>SET</v>
      </c>
      <c r="C757" t="s">
        <v>1925</v>
      </c>
      <c r="D757" s="2" t="s">
        <v>1926</v>
      </c>
      <c r="E757" s="1" t="s">
        <v>1922</v>
      </c>
      <c r="F757" t="s">
        <v>24</v>
      </c>
      <c r="G757" s="2" t="s">
        <v>1904</v>
      </c>
      <c r="H757" t="s">
        <v>26</v>
      </c>
      <c r="I757" t="s">
        <v>27</v>
      </c>
      <c r="J757" s="6">
        <v>995638</v>
      </c>
      <c r="K757" s="16">
        <v>15015</v>
      </c>
      <c r="L757" s="16">
        <v>15025</v>
      </c>
      <c r="M757" s="16">
        <v>15025</v>
      </c>
      <c r="N757" s="16">
        <v>15060</v>
      </c>
      <c r="O757" s="16">
        <v>15060</v>
      </c>
      <c r="P757" s="16">
        <v>15085</v>
      </c>
      <c r="Q757" s="16">
        <v>15040</v>
      </c>
      <c r="R757" s="16">
        <v>15030</v>
      </c>
      <c r="S757" s="16">
        <v>15020</v>
      </c>
      <c r="T757" s="16">
        <v>15045</v>
      </c>
      <c r="U757" s="15">
        <v>15040.5</v>
      </c>
      <c r="V757" t="s">
        <v>19</v>
      </c>
      <c r="W757" t="s">
        <v>28</v>
      </c>
      <c r="X757">
        <v>359</v>
      </c>
      <c r="Y757" s="16">
        <f>VLOOKUP(Tabela1[[#This Row],[SKU]],SKU!A:D,4,0)</f>
        <v>15000</v>
      </c>
      <c r="Z757" s="18">
        <f>IFERROR((Tabela1[[#This Row],[Média]]-Tabela1[[#This Row],[Meta]])/Tabela1[[#This Row],[Meta]],"")</f>
        <v>2.7000000000000001E-3</v>
      </c>
      <c r="AA757" s="27">
        <f>Tabela1[[#This Row],[Média]]-Tabela1[[#This Row],[Meta]]</f>
        <v>40.5</v>
      </c>
      <c r="AB757" s="6" t="str">
        <f>VLOOKUP(Tabela1[[#This Row],[SKU]],SKU!A:B,2,0)</f>
        <v>MEIO DA ASA 40-50G LP</v>
      </c>
      <c r="AC757" s="6" t="str">
        <f>VLOOKUP(Tabela1[[#This Row],[SKU]],SKU!A:C,3,0)</f>
        <v>ASA</v>
      </c>
    </row>
    <row r="758" spans="1:29" x14ac:dyDescent="0.3">
      <c r="A758" s="2">
        <f>INT(Tabela1[[#This Row],[Data e Hora2]])</f>
        <v>46280</v>
      </c>
      <c r="B758" s="6" t="str">
        <f>UPPER(TEXT(Tabela1[[#This Row],[Data Corrigida]],"MMM"))</f>
        <v>SET</v>
      </c>
      <c r="C758" t="s">
        <v>1927</v>
      </c>
      <c r="D758" s="2" t="s">
        <v>1928</v>
      </c>
      <c r="E758" s="1" t="s">
        <v>1922</v>
      </c>
      <c r="F758" t="s">
        <v>24</v>
      </c>
      <c r="G758" s="2" t="s">
        <v>1904</v>
      </c>
      <c r="H758" t="s">
        <v>26</v>
      </c>
      <c r="I758" t="s">
        <v>27</v>
      </c>
      <c r="J758" s="6">
        <v>40762</v>
      </c>
      <c r="K758" s="16">
        <v>10010</v>
      </c>
      <c r="L758" s="16">
        <v>9990</v>
      </c>
      <c r="M758" s="16">
        <v>9995</v>
      </c>
      <c r="N758" s="16">
        <v>10035</v>
      </c>
      <c r="O758" s="16">
        <v>10025</v>
      </c>
      <c r="P758" s="16">
        <v>9995</v>
      </c>
      <c r="Q758" s="16">
        <v>10015</v>
      </c>
      <c r="R758" s="16">
        <v>9980</v>
      </c>
      <c r="S758" s="16">
        <v>9995</v>
      </c>
      <c r="T758" s="16">
        <v>10025</v>
      </c>
      <c r="U758" s="15">
        <v>10006.5</v>
      </c>
      <c r="V758" t="s">
        <v>19</v>
      </c>
      <c r="W758" t="s">
        <v>19</v>
      </c>
      <c r="X758">
        <v>296</v>
      </c>
      <c r="Y758" s="16">
        <f>VLOOKUP(Tabela1[[#This Row],[SKU]],SKU!A:D,4,0)</f>
        <v>10000</v>
      </c>
      <c r="Z758" s="18">
        <f>IFERROR((Tabela1[[#This Row],[Média]]-Tabela1[[#This Row],[Meta]])/Tabela1[[#This Row],[Meta]],"")</f>
        <v>6.4999999999999997E-4</v>
      </c>
      <c r="AA758" s="27">
        <f>Tabela1[[#This Row],[Média]]-Tabela1[[#This Row],[Meta]]</f>
        <v>6.5</v>
      </c>
      <c r="AB758" s="6" t="str">
        <f>VLOOKUP(Tabela1[[#This Row],[SKU]],SKU!A:B,2,0)</f>
        <v>COXA SBCX LQ FG LP</v>
      </c>
      <c r="AC758" s="6" t="str">
        <f>VLOOKUP(Tabela1[[#This Row],[SKU]],SKU!A:C,3,0)</f>
        <v>PERNA</v>
      </c>
    </row>
    <row r="759" spans="1:29" x14ac:dyDescent="0.3">
      <c r="A759" s="2">
        <f>INT(Tabela1[[#This Row],[Data e Hora2]])</f>
        <v>46280</v>
      </c>
      <c r="B759" s="6" t="str">
        <f>UPPER(TEXT(Tabela1[[#This Row],[Data Corrigida]],"MMM"))</f>
        <v>SET</v>
      </c>
      <c r="C759" t="s">
        <v>1929</v>
      </c>
      <c r="D759" s="2" t="s">
        <v>1930</v>
      </c>
      <c r="E759" s="1" t="s">
        <v>1922</v>
      </c>
      <c r="F759" t="s">
        <v>24</v>
      </c>
      <c r="G759" s="2" t="s">
        <v>1904</v>
      </c>
      <c r="H759" t="s">
        <v>26</v>
      </c>
      <c r="I759" t="s">
        <v>27</v>
      </c>
      <c r="J759" s="6">
        <v>15229</v>
      </c>
      <c r="K759" s="16">
        <v>1012</v>
      </c>
      <c r="L759" s="16">
        <v>1003</v>
      </c>
      <c r="M759" s="16">
        <v>991</v>
      </c>
      <c r="N759" s="16">
        <v>1007</v>
      </c>
      <c r="O759" s="16">
        <v>1012</v>
      </c>
      <c r="P759" s="16">
        <v>1006</v>
      </c>
      <c r="Q759" s="16">
        <v>1008</v>
      </c>
      <c r="R759" s="16">
        <v>1010</v>
      </c>
      <c r="S759" s="16">
        <v>1007</v>
      </c>
      <c r="T759" s="16">
        <v>1011</v>
      </c>
      <c r="U759" s="15">
        <v>1006.7</v>
      </c>
      <c r="V759" t="s">
        <v>19</v>
      </c>
      <c r="W759" t="s">
        <v>28</v>
      </c>
      <c r="X759">
        <v>172</v>
      </c>
      <c r="Y759" s="16">
        <f>VLOOKUP(Tabela1[[#This Row],[SKU]],SKU!A:D,4,0)</f>
        <v>1000</v>
      </c>
      <c r="Z759" s="18">
        <f>IFERROR((Tabela1[[#This Row],[Média]]-Tabela1[[#This Row],[Meta]])/Tabela1[[#This Row],[Meta]],"")</f>
        <v>6.7000000000000453E-3</v>
      </c>
      <c r="AA759" s="27">
        <f>Tabela1[[#This Row],[Média]]-Tabela1[[#This Row],[Meta]]</f>
        <v>6.7000000000000455</v>
      </c>
      <c r="AB759" s="6" t="str">
        <f>VLOOKUP(Tabela1[[#This Row],[SKU]],SKU!A:B,2,0)</f>
        <v>COXA CG BDJ SE</v>
      </c>
      <c r="AC759" s="6" t="str">
        <f>VLOOKUP(Tabela1[[#This Row],[SKU]],SKU!A:C,3,0)</f>
        <v>PERNA</v>
      </c>
    </row>
    <row r="760" spans="1:29" x14ac:dyDescent="0.3">
      <c r="A760" s="2">
        <f>INT(Tabela1[[#This Row],[Data e Hora2]])</f>
        <v>46280</v>
      </c>
      <c r="B760" s="6" t="str">
        <f>UPPER(TEXT(Tabela1[[#This Row],[Data Corrigida]],"MMM"))</f>
        <v>SET</v>
      </c>
      <c r="C760" t="s">
        <v>1931</v>
      </c>
      <c r="D760" s="2" t="s">
        <v>1932</v>
      </c>
      <c r="E760" s="1" t="s">
        <v>1922</v>
      </c>
      <c r="F760" t="s">
        <v>24</v>
      </c>
      <c r="G760" s="2" t="s">
        <v>1904</v>
      </c>
      <c r="H760" t="s">
        <v>26</v>
      </c>
      <c r="I760" t="s">
        <v>27</v>
      </c>
      <c r="J760" s="6">
        <v>42854</v>
      </c>
      <c r="K760" s="16">
        <v>2098</v>
      </c>
      <c r="L760" s="16">
        <v>2113</v>
      </c>
      <c r="M760" s="16">
        <v>2103</v>
      </c>
      <c r="N760" s="16">
        <v>2015</v>
      </c>
      <c r="O760" s="16">
        <v>2074</v>
      </c>
      <c r="P760" s="16">
        <v>1991</v>
      </c>
      <c r="Q760" s="16">
        <v>2099</v>
      </c>
      <c r="R760" s="16">
        <v>2080</v>
      </c>
      <c r="S760" s="16">
        <v>2096</v>
      </c>
      <c r="T760" s="16">
        <v>2092</v>
      </c>
      <c r="U760" s="15">
        <v>2076.1</v>
      </c>
      <c r="V760" t="s">
        <v>19</v>
      </c>
      <c r="W760" t="s">
        <v>28</v>
      </c>
      <c r="X760">
        <v>14526</v>
      </c>
      <c r="Y760" s="16">
        <f>VLOOKUP(Tabela1[[#This Row],[SKU]],SKU!A:D,4,0)</f>
        <v>2080</v>
      </c>
      <c r="Z760" s="18">
        <f>IFERROR((Tabela1[[#This Row],[Média]]-Tabela1[[#This Row],[Meta]])/Tabela1[[#This Row],[Meta]],"")</f>
        <v>-1.8750000000000437E-3</v>
      </c>
      <c r="AA760" s="27">
        <f>Tabela1[[#This Row],[Média]]-Tabela1[[#This Row],[Meta]]</f>
        <v>-3.9000000000000909</v>
      </c>
      <c r="AB760" s="6" t="str">
        <f>VLOOKUP(Tabela1[[#This Row],[SKU]],SKU!A:B,2,0)</f>
        <v>COXA SBCX S/O FG 260-280g PB</v>
      </c>
      <c r="AC760" s="6" t="str">
        <f>VLOOKUP(Tabela1[[#This Row],[SKU]],SKU!A:C,3,0)</f>
        <v>PERNA</v>
      </c>
    </row>
    <row r="761" spans="1:29" x14ac:dyDescent="0.3">
      <c r="A761" s="2">
        <f>INT(Tabela1[[#This Row],[Data e Hora2]])</f>
        <v>46280</v>
      </c>
      <c r="B761" s="6" t="str">
        <f>UPPER(TEXT(Tabela1[[#This Row],[Data Corrigida]],"MMM"))</f>
        <v>SET</v>
      </c>
      <c r="C761" t="s">
        <v>1933</v>
      </c>
      <c r="D761" s="2" t="s">
        <v>1934</v>
      </c>
      <c r="E761" s="1" t="s">
        <v>1922</v>
      </c>
      <c r="F761" t="s">
        <v>24</v>
      </c>
      <c r="G761" s="2" t="s">
        <v>1904</v>
      </c>
      <c r="H761" t="s">
        <v>26</v>
      </c>
      <c r="I761" t="s">
        <v>27</v>
      </c>
      <c r="J761" s="6">
        <v>13188</v>
      </c>
      <c r="K761" s="16">
        <v>1019</v>
      </c>
      <c r="L761" s="16">
        <v>1014</v>
      </c>
      <c r="M761" s="16">
        <v>1012</v>
      </c>
      <c r="N761" s="16">
        <v>1015</v>
      </c>
      <c r="O761" s="16">
        <v>1006</v>
      </c>
      <c r="P761" s="16">
        <v>988</v>
      </c>
      <c r="Q761" s="16">
        <v>981</v>
      </c>
      <c r="R761" s="16">
        <v>1011</v>
      </c>
      <c r="S761" s="16">
        <v>1020</v>
      </c>
      <c r="T761" s="16">
        <v>975</v>
      </c>
      <c r="U761" s="15">
        <v>1004.1</v>
      </c>
      <c r="V761" t="s">
        <v>19</v>
      </c>
      <c r="W761" t="s">
        <v>28</v>
      </c>
      <c r="X761">
        <v>501</v>
      </c>
      <c r="Y761" s="16">
        <f>VLOOKUP(Tabela1[[#This Row],[SKU]],SKU!A:D,4,0)</f>
        <v>1000</v>
      </c>
      <c r="Z761" s="18">
        <f>IFERROR((Tabela1[[#This Row],[Média]]-Tabela1[[#This Row],[Meta]])/Tabela1[[#This Row],[Meta]],"")</f>
        <v>4.1000000000000229E-3</v>
      </c>
      <c r="AA761" s="27">
        <f>Tabela1[[#This Row],[Média]]-Tabela1[[#This Row],[Meta]]</f>
        <v>4.1000000000000227</v>
      </c>
      <c r="AB761" s="6" t="str">
        <f>VLOOKUP(Tabela1[[#This Row],[SKU]],SKU!A:B,2,0)</f>
        <v>SOBRECOXA CG BDJ SE</v>
      </c>
      <c r="AC761" s="6" t="str">
        <f>VLOOKUP(Tabela1[[#This Row],[SKU]],SKU!A:C,3,0)</f>
        <v>PERNA</v>
      </c>
    </row>
    <row r="762" spans="1:29" x14ac:dyDescent="0.3">
      <c r="A762" s="2">
        <f>INT(Tabela1[[#This Row],[Data e Hora2]])</f>
        <v>46280</v>
      </c>
      <c r="B762" s="6" t="str">
        <f>UPPER(TEXT(Tabela1[[#This Row],[Data Corrigida]],"MMM"))</f>
        <v>SET</v>
      </c>
      <c r="C762" t="s">
        <v>1935</v>
      </c>
      <c r="D762" s="2" t="s">
        <v>1936</v>
      </c>
      <c r="E762" s="1" t="s">
        <v>1922</v>
      </c>
      <c r="F762" t="s">
        <v>24</v>
      </c>
      <c r="G762" s="2" t="s">
        <v>1904</v>
      </c>
      <c r="H762" t="s">
        <v>26</v>
      </c>
      <c r="I762" t="s">
        <v>27</v>
      </c>
      <c r="J762" s="6">
        <v>992093</v>
      </c>
      <c r="K762" s="16">
        <v>5014</v>
      </c>
      <c r="L762" s="16">
        <v>5005</v>
      </c>
      <c r="M762" s="16">
        <v>5012</v>
      </c>
      <c r="N762" s="16">
        <v>5007</v>
      </c>
      <c r="O762" s="16">
        <v>5015</v>
      </c>
      <c r="P762" s="16">
        <v>5012</v>
      </c>
      <c r="Q762" s="16">
        <v>5006</v>
      </c>
      <c r="R762" s="16">
        <v>5012</v>
      </c>
      <c r="S762" s="16">
        <v>5005</v>
      </c>
      <c r="T762" s="16">
        <v>5003</v>
      </c>
      <c r="U762" s="15">
        <v>5009.1000000000004</v>
      </c>
      <c r="V762" t="s">
        <v>19</v>
      </c>
      <c r="W762" t="s">
        <v>28</v>
      </c>
      <c r="X762">
        <v>200</v>
      </c>
      <c r="Y762" s="16">
        <f>VLOOKUP(Tabela1[[#This Row],[SKU]],SKU!A:D,4,0)</f>
        <v>5000</v>
      </c>
      <c r="Z762" s="18">
        <f>IFERROR((Tabela1[[#This Row],[Média]]-Tabela1[[#This Row],[Meta]])/Tabela1[[#This Row],[Meta]],"")</f>
        <v>1.8200000000000729E-3</v>
      </c>
      <c r="AA762" s="27">
        <f>Tabela1[[#This Row],[Média]]-Tabela1[[#This Row],[Meta]]</f>
        <v>9.1000000000003638</v>
      </c>
      <c r="AB762" s="6" t="str">
        <f>VLOOKUP(Tabela1[[#This Row],[SKU]],SKU!A:B,2,0)</f>
        <v>PONTA ASA FG PB CG</v>
      </c>
      <c r="AC762" s="6" t="str">
        <f>VLOOKUP(Tabela1[[#This Row],[SKU]],SKU!A:C,3,0)</f>
        <v>ASA</v>
      </c>
    </row>
    <row r="763" spans="1:29" x14ac:dyDescent="0.3">
      <c r="A763" s="2">
        <f>INT(Tabela1[[#This Row],[Data e Hora2]])</f>
        <v>46280</v>
      </c>
      <c r="B763" s="6" t="str">
        <f>UPPER(TEXT(Tabela1[[#This Row],[Data Corrigida]],"MMM"))</f>
        <v>SET</v>
      </c>
      <c r="C763" t="s">
        <v>1937</v>
      </c>
      <c r="D763" s="2" t="s">
        <v>1938</v>
      </c>
      <c r="E763" s="1" t="s">
        <v>1922</v>
      </c>
      <c r="F763" t="s">
        <v>24</v>
      </c>
      <c r="G763" s="2" t="s">
        <v>1904</v>
      </c>
      <c r="H763" t="s">
        <v>26</v>
      </c>
      <c r="I763" t="s">
        <v>27</v>
      </c>
      <c r="J763" s="6">
        <v>15849</v>
      </c>
      <c r="K763" s="16">
        <v>1011</v>
      </c>
      <c r="L763" s="16">
        <v>1010</v>
      </c>
      <c r="M763" s="16">
        <v>1008</v>
      </c>
      <c r="N763" s="16">
        <v>1006</v>
      </c>
      <c r="O763" s="16">
        <v>1005</v>
      </c>
      <c r="P763" s="16">
        <v>998</v>
      </c>
      <c r="Q763" s="16">
        <v>1023</v>
      </c>
      <c r="R763" s="16">
        <v>1005</v>
      </c>
      <c r="S763" s="16">
        <v>998</v>
      </c>
      <c r="T763" s="16">
        <v>995</v>
      </c>
      <c r="U763" s="15">
        <v>1005.9</v>
      </c>
      <c r="V763" t="s">
        <v>19</v>
      </c>
      <c r="W763" t="s">
        <v>19</v>
      </c>
      <c r="X763">
        <v>106</v>
      </c>
      <c r="Y763" s="16">
        <f>VLOOKUP(Tabela1[[#This Row],[SKU]],SKU!A:D,4,0)</f>
        <v>1000</v>
      </c>
      <c r="Z763" s="18">
        <f>IFERROR((Tabela1[[#This Row],[Média]]-Tabela1[[#This Row],[Meta]])/Tabela1[[#This Row],[Meta]],"")</f>
        <v>5.8999999999999773E-3</v>
      </c>
      <c r="AA763" s="27">
        <f>Tabela1[[#This Row],[Média]]-Tabela1[[#This Row],[Meta]]</f>
        <v>5.8999999999999773</v>
      </c>
      <c r="AB763" s="6" t="str">
        <f>VLOOKUP(Tabela1[[#This Row],[SKU]],SKU!A:B,2,0)</f>
        <v>FILEZINHO PEITO CG BDJ SE</v>
      </c>
      <c r="AC763" s="6" t="str">
        <f>VLOOKUP(Tabela1[[#This Row],[SKU]],SKU!A:C,3,0)</f>
        <v>SASSAMI</v>
      </c>
    </row>
    <row r="764" spans="1:29" x14ac:dyDescent="0.3">
      <c r="A764" s="2">
        <f>INT(Tabela1[[#This Row],[Data e Hora2]])</f>
        <v>46280</v>
      </c>
      <c r="B764" s="6" t="str">
        <f>UPPER(TEXT(Tabela1[[#This Row],[Data Corrigida]],"MMM"))</f>
        <v>SET</v>
      </c>
      <c r="C764" t="s">
        <v>1939</v>
      </c>
      <c r="D764" s="2" t="s">
        <v>1940</v>
      </c>
      <c r="E764" s="1" t="s">
        <v>1922</v>
      </c>
      <c r="F764" t="s">
        <v>24</v>
      </c>
      <c r="G764" s="2" t="s">
        <v>1904</v>
      </c>
      <c r="H764" t="s">
        <v>26</v>
      </c>
      <c r="I764" t="s">
        <v>27</v>
      </c>
      <c r="J764" s="6">
        <v>15105</v>
      </c>
      <c r="K764" s="16">
        <v>916</v>
      </c>
      <c r="L764" s="16">
        <v>1096</v>
      </c>
      <c r="M764" s="16">
        <v>1000</v>
      </c>
      <c r="N764" s="16">
        <v>1062</v>
      </c>
      <c r="O764" s="16">
        <v>1001</v>
      </c>
      <c r="P764" s="16">
        <v>997</v>
      </c>
      <c r="Q764" s="16">
        <v>999</v>
      </c>
      <c r="R764" s="16">
        <v>1001</v>
      </c>
      <c r="S764" s="16">
        <v>1006</v>
      </c>
      <c r="T764" s="16">
        <v>1033</v>
      </c>
      <c r="U764" s="15">
        <v>1011.1</v>
      </c>
      <c r="V764" t="s">
        <v>19</v>
      </c>
      <c r="W764" t="s">
        <v>28</v>
      </c>
      <c r="X764">
        <v>425</v>
      </c>
      <c r="Y764" s="16">
        <f>VLOOKUP(Tabela1[[#This Row],[SKU]],SKU!A:D,4,0)</f>
        <v>1000</v>
      </c>
      <c r="Z764" s="18">
        <f>IFERROR((Tabela1[[#This Row],[Média]]-Tabela1[[#This Row],[Meta]])/Tabela1[[#This Row],[Meta]],"")</f>
        <v>1.1100000000000023E-2</v>
      </c>
      <c r="AA764" s="27">
        <f>Tabela1[[#This Row],[Média]]-Tabela1[[#This Row],[Meta]]</f>
        <v>11.100000000000023</v>
      </c>
      <c r="AB764" s="6" t="str">
        <f>VLOOKUP(Tabela1[[#This Row],[SKU]],SKU!A:B,2,0)</f>
        <v>FILE PEITO MET CG BDJ SE</v>
      </c>
      <c r="AC764" s="6" t="str">
        <f>VLOOKUP(Tabela1[[#This Row],[SKU]],SKU!A:C,3,0)</f>
        <v>PEITO</v>
      </c>
    </row>
    <row r="765" spans="1:29" x14ac:dyDescent="0.3">
      <c r="A765" s="2">
        <f>INT(Tabela1[[#This Row],[Data e Hora2]])</f>
        <v>46275</v>
      </c>
      <c r="B765" s="6" t="str">
        <f>UPPER(TEXT(Tabela1[[#This Row],[Data Corrigida]],"MMM"))</f>
        <v>SET</v>
      </c>
      <c r="C765" t="s">
        <v>1941</v>
      </c>
      <c r="D765" s="2" t="s">
        <v>1942</v>
      </c>
      <c r="E765" s="1" t="s">
        <v>1922</v>
      </c>
      <c r="F765" t="s">
        <v>24</v>
      </c>
      <c r="G765" s="2" t="s">
        <v>1436</v>
      </c>
      <c r="H765" t="s">
        <v>26</v>
      </c>
      <c r="I765" t="s">
        <v>27</v>
      </c>
      <c r="J765" s="6">
        <v>40762</v>
      </c>
      <c r="K765" s="16">
        <v>9995</v>
      </c>
      <c r="L765" s="16">
        <v>9970</v>
      </c>
      <c r="M765" s="16">
        <v>10040</v>
      </c>
      <c r="N765" s="16">
        <v>9990</v>
      </c>
      <c r="O765" s="16">
        <v>9975</v>
      </c>
      <c r="P765" s="16">
        <v>9995</v>
      </c>
      <c r="Q765" s="16">
        <v>10015</v>
      </c>
      <c r="R765" s="16">
        <v>9950</v>
      </c>
      <c r="S765" s="16">
        <v>9955</v>
      </c>
      <c r="T765" s="16">
        <v>10075</v>
      </c>
      <c r="U765" s="15">
        <v>9996</v>
      </c>
      <c r="V765" t="s">
        <v>19</v>
      </c>
      <c r="W765" t="s">
        <v>28</v>
      </c>
      <c r="X765">
        <v>454650</v>
      </c>
      <c r="Y765" s="16">
        <f>VLOOKUP(Tabela1[[#This Row],[SKU]],SKU!A:D,4,0)</f>
        <v>10000</v>
      </c>
      <c r="Z765" s="18">
        <f>IFERROR((Tabela1[[#This Row],[Média]]-Tabela1[[#This Row],[Meta]])/Tabela1[[#This Row],[Meta]],"")</f>
        <v>-4.0000000000000002E-4</v>
      </c>
      <c r="AA765" s="27">
        <f>Tabela1[[#This Row],[Média]]-Tabela1[[#This Row],[Meta]]</f>
        <v>-4</v>
      </c>
      <c r="AB765" s="6" t="str">
        <f>VLOOKUP(Tabela1[[#This Row],[SKU]],SKU!A:B,2,0)</f>
        <v>COXA SBCX LQ FG LP</v>
      </c>
      <c r="AC765" s="6" t="str">
        <f>VLOOKUP(Tabela1[[#This Row],[SKU]],SKU!A:C,3,0)</f>
        <v>PERNA</v>
      </c>
    </row>
    <row r="766" spans="1:29" x14ac:dyDescent="0.3">
      <c r="A766" s="2">
        <f>INT(Tabela1[[#This Row],[Data e Hora2]])</f>
        <v>46268</v>
      </c>
      <c r="B766" s="6" t="str">
        <f>UPPER(TEXT(Tabela1[[#This Row],[Data Corrigida]],"MMM"))</f>
        <v>SET</v>
      </c>
      <c r="C766" t="s">
        <v>1943</v>
      </c>
      <c r="D766" s="2" t="s">
        <v>1944</v>
      </c>
      <c r="E766" s="1" t="s">
        <v>1922</v>
      </c>
      <c r="F766" t="s">
        <v>24</v>
      </c>
      <c r="G766" s="2" t="s">
        <v>1130</v>
      </c>
      <c r="H766" t="s">
        <v>26</v>
      </c>
      <c r="I766" t="s">
        <v>27</v>
      </c>
      <c r="J766" s="6">
        <v>42862</v>
      </c>
      <c r="K766" s="16">
        <v>2030</v>
      </c>
      <c r="L766" s="16">
        <v>2056</v>
      </c>
      <c r="M766" s="16">
        <v>2015</v>
      </c>
      <c r="N766" s="16">
        <v>2061</v>
      </c>
      <c r="O766" s="16">
        <v>2002</v>
      </c>
      <c r="P766" s="16">
        <v>2023</v>
      </c>
      <c r="Q766" s="16">
        <v>2007</v>
      </c>
      <c r="R766" s="16">
        <v>2006</v>
      </c>
      <c r="S766" s="16">
        <v>2015</v>
      </c>
      <c r="T766" s="16">
        <v>2048</v>
      </c>
      <c r="U766" s="15">
        <v>2026.3</v>
      </c>
      <c r="V766" t="s">
        <v>19</v>
      </c>
      <c r="W766" t="s">
        <v>28</v>
      </c>
      <c r="X766">
        <v>1047580</v>
      </c>
      <c r="Y766" s="16">
        <f>VLOOKUP(Tabela1[[#This Row],[SKU]],SKU!A:D,4,0)</f>
        <v>2000</v>
      </c>
      <c r="Z766" s="18">
        <f>IFERROR((Tabela1[[#This Row],[Média]]-Tabela1[[#This Row],[Meta]])/Tabela1[[#This Row],[Meta]],"")</f>
        <v>1.3149999999999978E-2</v>
      </c>
      <c r="AA766" s="27">
        <f>Tabela1[[#This Row],[Média]]-Tabela1[[#This Row],[Meta]]</f>
        <v>26.299999999999955</v>
      </c>
      <c r="AB766" s="6" t="str">
        <f>VLOOKUP(Tabela1[[#This Row],[SKU]],SKU!A:B,2,0)</f>
        <v>COXA SBCX S/O FG 280-300g PB</v>
      </c>
      <c r="AC766" s="6" t="str">
        <f>VLOOKUP(Tabela1[[#This Row],[SKU]],SKU!A:C,3,0)</f>
        <v>PERNA</v>
      </c>
    </row>
    <row r="767" spans="1:29" x14ac:dyDescent="0.3">
      <c r="A767" s="2">
        <f>INT(Tabela1[[#This Row],[Data e Hora2]])</f>
        <v>46280</v>
      </c>
      <c r="B767" s="6" t="str">
        <f>UPPER(TEXT(Tabela1[[#This Row],[Data Corrigida]],"MMM"))</f>
        <v>SET</v>
      </c>
      <c r="C767" t="s">
        <v>1945</v>
      </c>
      <c r="D767" s="2" t="s">
        <v>1946</v>
      </c>
      <c r="E767" s="1" t="s">
        <v>1947</v>
      </c>
      <c r="F767" t="s">
        <v>24</v>
      </c>
      <c r="G767" s="2" t="s">
        <v>1904</v>
      </c>
      <c r="H767" t="s">
        <v>26</v>
      </c>
      <c r="I767" t="s">
        <v>57</v>
      </c>
      <c r="J767" s="6">
        <v>15229</v>
      </c>
      <c r="K767" s="16">
        <v>1015</v>
      </c>
      <c r="L767" s="16">
        <v>1006</v>
      </c>
      <c r="M767" s="16">
        <v>1000</v>
      </c>
      <c r="N767" s="16">
        <v>1003</v>
      </c>
      <c r="O767" s="16">
        <v>1016</v>
      </c>
      <c r="P767" s="16">
        <v>995</v>
      </c>
      <c r="Q767" s="16">
        <v>1009</v>
      </c>
      <c r="R767" s="16">
        <v>1007</v>
      </c>
      <c r="S767" s="16">
        <v>1007</v>
      </c>
      <c r="T767" s="16">
        <v>1004</v>
      </c>
      <c r="U767" s="15">
        <v>1006.2</v>
      </c>
      <c r="V767" t="s">
        <v>19</v>
      </c>
      <c r="W767" t="s">
        <v>28</v>
      </c>
      <c r="X767">
        <v>84</v>
      </c>
      <c r="Y767" s="16">
        <f>VLOOKUP(Tabela1[[#This Row],[SKU]],SKU!A:D,4,0)</f>
        <v>1000</v>
      </c>
      <c r="Z767" s="18">
        <f>IFERROR((Tabela1[[#This Row],[Média]]-Tabela1[[#This Row],[Meta]])/Tabela1[[#This Row],[Meta]],"")</f>
        <v>6.2000000000000458E-3</v>
      </c>
      <c r="AA767" s="27">
        <f>Tabela1[[#This Row],[Média]]-Tabela1[[#This Row],[Meta]]</f>
        <v>6.2000000000000455</v>
      </c>
      <c r="AB767" s="6" t="str">
        <f>VLOOKUP(Tabela1[[#This Row],[SKU]],SKU!A:B,2,0)</f>
        <v>COXA CG BDJ SE</v>
      </c>
      <c r="AC767" s="6" t="str">
        <f>VLOOKUP(Tabela1[[#This Row],[SKU]],SKU!A:C,3,0)</f>
        <v>PERNA</v>
      </c>
    </row>
    <row r="768" spans="1:29" x14ac:dyDescent="0.3">
      <c r="A768" s="2">
        <f>INT(Tabela1[[#This Row],[Data e Hora2]])</f>
        <v>46280</v>
      </c>
      <c r="B768" s="6" t="str">
        <f>UPPER(TEXT(Tabela1[[#This Row],[Data Corrigida]],"MMM"))</f>
        <v>SET</v>
      </c>
      <c r="C768" t="s">
        <v>1948</v>
      </c>
      <c r="D768" s="2" t="s">
        <v>1949</v>
      </c>
      <c r="E768" s="1" t="s">
        <v>1950</v>
      </c>
      <c r="F768" t="s">
        <v>24</v>
      </c>
      <c r="G768" s="2" t="s">
        <v>1904</v>
      </c>
      <c r="H768" t="s">
        <v>26</v>
      </c>
      <c r="I768" t="s">
        <v>57</v>
      </c>
      <c r="J768" s="6">
        <v>55552</v>
      </c>
      <c r="K768" s="16">
        <v>15025</v>
      </c>
      <c r="L768" s="16">
        <v>15020</v>
      </c>
      <c r="M768" s="16">
        <v>15020</v>
      </c>
      <c r="N768" s="16">
        <v>15030</v>
      </c>
      <c r="O768" s="16">
        <v>15025</v>
      </c>
      <c r="P768" s="16">
        <v>15025</v>
      </c>
      <c r="Q768" s="16">
        <v>15010</v>
      </c>
      <c r="R768" s="16">
        <v>15015</v>
      </c>
      <c r="S768" s="16">
        <v>15025</v>
      </c>
      <c r="T768" s="16">
        <v>15025</v>
      </c>
      <c r="U768" s="15">
        <v>15022</v>
      </c>
      <c r="V768" t="s">
        <v>19</v>
      </c>
      <c r="W768" t="s">
        <v>28</v>
      </c>
      <c r="X768">
        <v>1225</v>
      </c>
      <c r="Y768" s="16">
        <f>VLOOKUP(Tabela1[[#This Row],[SKU]],SKU!A:D,4,0)</f>
        <v>15000</v>
      </c>
      <c r="Z768" s="18">
        <f>IFERROR((Tabela1[[#This Row],[Média]]-Tabela1[[#This Row],[Meta]])/Tabela1[[#This Row],[Meta]],"")</f>
        <v>1.4666666666666667E-3</v>
      </c>
      <c r="AA768" s="27">
        <f>Tabela1[[#This Row],[Média]]-Tabela1[[#This Row],[Meta]]</f>
        <v>22</v>
      </c>
      <c r="AB768" s="6" t="str">
        <f>VLOOKUP(Tabela1[[#This Row],[SKU]],SKU!A:B,2,0)</f>
        <v>COXA SBCX  S/O CG MP</v>
      </c>
      <c r="AC768" s="6" t="str">
        <f>VLOOKUP(Tabela1[[#This Row],[SKU]],SKU!A:C,3,0)</f>
        <v>PERNA</v>
      </c>
    </row>
    <row r="769" spans="1:29" x14ac:dyDescent="0.3">
      <c r="A769" s="2">
        <f>INT(Tabela1[[#This Row],[Data e Hora2]])</f>
        <v>46280</v>
      </c>
      <c r="B769" s="6" t="str">
        <f>UPPER(TEXT(Tabela1[[#This Row],[Data Corrigida]],"MMM"))</f>
        <v>SET</v>
      </c>
      <c r="C769" t="s">
        <v>1951</v>
      </c>
      <c r="D769" s="2" t="s">
        <v>1952</v>
      </c>
      <c r="E769" s="1" t="s">
        <v>1950</v>
      </c>
      <c r="F769" t="s">
        <v>24</v>
      </c>
      <c r="G769" s="2" t="s">
        <v>1904</v>
      </c>
      <c r="H769" t="s">
        <v>26</v>
      </c>
      <c r="I769" t="s">
        <v>57</v>
      </c>
      <c r="J769" s="6">
        <v>40762</v>
      </c>
      <c r="K769" s="16">
        <v>10020</v>
      </c>
      <c r="L769" s="16">
        <v>9985</v>
      </c>
      <c r="M769" s="16">
        <v>10075</v>
      </c>
      <c r="N769" s="16">
        <v>10040</v>
      </c>
      <c r="O769" s="16">
        <v>10030</v>
      </c>
      <c r="P769" s="16">
        <v>10060</v>
      </c>
      <c r="Q769" s="16">
        <v>9980</v>
      </c>
      <c r="R769" s="16">
        <v>10035</v>
      </c>
      <c r="S769" s="16">
        <v>9980</v>
      </c>
      <c r="T769" s="16">
        <v>9995</v>
      </c>
      <c r="U769" s="15">
        <v>10020</v>
      </c>
      <c r="V769" t="s">
        <v>19</v>
      </c>
      <c r="W769" t="s">
        <v>28</v>
      </c>
      <c r="X769">
        <v>1482</v>
      </c>
      <c r="Y769" s="16">
        <f>VLOOKUP(Tabela1[[#This Row],[SKU]],SKU!A:D,4,0)</f>
        <v>10000</v>
      </c>
      <c r="Z769" s="18">
        <f>IFERROR((Tabela1[[#This Row],[Média]]-Tabela1[[#This Row],[Meta]])/Tabela1[[#This Row],[Meta]],"")</f>
        <v>2E-3</v>
      </c>
      <c r="AA769" s="27">
        <f>Tabela1[[#This Row],[Média]]-Tabela1[[#This Row],[Meta]]</f>
        <v>20</v>
      </c>
      <c r="AB769" s="6" t="str">
        <f>VLOOKUP(Tabela1[[#This Row],[SKU]],SKU!A:B,2,0)</f>
        <v>COXA SBCX LQ FG LP</v>
      </c>
      <c r="AC769" s="6" t="str">
        <f>VLOOKUP(Tabela1[[#This Row],[SKU]],SKU!A:C,3,0)</f>
        <v>PERNA</v>
      </c>
    </row>
    <row r="770" spans="1:29" x14ac:dyDescent="0.3">
      <c r="A770" s="2">
        <f>INT(Tabela1[[#This Row],[Data e Hora2]])</f>
        <v>46280</v>
      </c>
      <c r="B770" s="6" t="str">
        <f>UPPER(TEXT(Tabela1[[#This Row],[Data Corrigida]],"MMM"))</f>
        <v>SET</v>
      </c>
      <c r="C770" t="s">
        <v>1953</v>
      </c>
      <c r="D770" s="2" t="s">
        <v>1954</v>
      </c>
      <c r="E770" s="1" t="s">
        <v>1950</v>
      </c>
      <c r="F770" t="s">
        <v>24</v>
      </c>
      <c r="G770" s="2" t="s">
        <v>1904</v>
      </c>
      <c r="H770" t="s">
        <v>26</v>
      </c>
      <c r="I770" t="s">
        <v>57</v>
      </c>
      <c r="J770" s="6">
        <v>15105</v>
      </c>
      <c r="K770" s="16">
        <v>989</v>
      </c>
      <c r="L770" s="16">
        <v>1013</v>
      </c>
      <c r="M770" s="16">
        <v>1041</v>
      </c>
      <c r="N770" s="16">
        <v>999</v>
      </c>
      <c r="O770" s="16">
        <v>992</v>
      </c>
      <c r="P770" s="16">
        <v>1038</v>
      </c>
      <c r="Q770" s="16">
        <v>1010</v>
      </c>
      <c r="R770" s="16">
        <v>1003</v>
      </c>
      <c r="S770" s="16">
        <v>999</v>
      </c>
      <c r="T770" s="16">
        <v>999</v>
      </c>
      <c r="U770" s="15">
        <v>1008.3</v>
      </c>
      <c r="V770" t="s">
        <v>19</v>
      </c>
      <c r="W770" t="s">
        <v>28</v>
      </c>
      <c r="X770">
        <v>168</v>
      </c>
      <c r="Y770" s="16">
        <f>VLOOKUP(Tabela1[[#This Row],[SKU]],SKU!A:D,4,0)</f>
        <v>1000</v>
      </c>
      <c r="Z770" s="18">
        <f>IFERROR((Tabela1[[#This Row],[Média]]-Tabela1[[#This Row],[Meta]])/Tabela1[[#This Row],[Meta]],"")</f>
        <v>8.299999999999955E-3</v>
      </c>
      <c r="AA770" s="27">
        <f>Tabela1[[#This Row],[Média]]-Tabela1[[#This Row],[Meta]]</f>
        <v>8.2999999999999545</v>
      </c>
      <c r="AB770" s="6" t="str">
        <f>VLOOKUP(Tabela1[[#This Row],[SKU]],SKU!A:B,2,0)</f>
        <v>FILE PEITO MET CG BDJ SE</v>
      </c>
      <c r="AC770" s="6" t="str">
        <f>VLOOKUP(Tabela1[[#This Row],[SKU]],SKU!A:C,3,0)</f>
        <v>PEITO</v>
      </c>
    </row>
    <row r="771" spans="1:29" x14ac:dyDescent="0.3">
      <c r="A771" s="2">
        <f>INT(Tabela1[[#This Row],[Data e Hora2]])</f>
        <v>46280</v>
      </c>
      <c r="B771" s="6" t="str">
        <f>UPPER(TEXT(Tabela1[[#This Row],[Data Corrigida]],"MMM"))</f>
        <v>SET</v>
      </c>
      <c r="C771" t="s">
        <v>1955</v>
      </c>
      <c r="D771" s="2" t="s">
        <v>1956</v>
      </c>
      <c r="E771" s="1" t="s">
        <v>1957</v>
      </c>
      <c r="F771" t="s">
        <v>24</v>
      </c>
      <c r="G771" s="2" t="s">
        <v>1904</v>
      </c>
      <c r="H771" t="s">
        <v>26</v>
      </c>
      <c r="I771" t="s">
        <v>57</v>
      </c>
      <c r="J771" s="6">
        <v>197742</v>
      </c>
      <c r="K771" s="16">
        <v>1002</v>
      </c>
      <c r="L771" s="16">
        <v>1003</v>
      </c>
      <c r="M771" s="16">
        <v>1012</v>
      </c>
      <c r="N771" s="16">
        <v>1011</v>
      </c>
      <c r="O771" s="16">
        <v>1032</v>
      </c>
      <c r="P771" s="16">
        <v>1009</v>
      </c>
      <c r="Q771" s="16">
        <v>985</v>
      </c>
      <c r="R771" s="16">
        <v>1001</v>
      </c>
      <c r="S771" s="16">
        <v>1004</v>
      </c>
      <c r="T771" s="16">
        <v>1008</v>
      </c>
      <c r="U771" s="15">
        <v>1006.7</v>
      </c>
      <c r="V771" t="s">
        <v>19</v>
      </c>
      <c r="W771" t="s">
        <v>28</v>
      </c>
      <c r="X771">
        <v>355</v>
      </c>
      <c r="Y771" s="16">
        <f>VLOOKUP(Tabela1[[#This Row],[SKU]],SKU!A:D,4,0)</f>
        <v>1000</v>
      </c>
      <c r="Z771" s="18">
        <f>IFERROR((Tabela1[[#This Row],[Média]]-Tabela1[[#This Row],[Meta]])/Tabela1[[#This Row],[Meta]],"")</f>
        <v>6.7000000000000453E-3</v>
      </c>
      <c r="AA771" s="27">
        <f>Tabela1[[#This Row],[Média]]-Tabela1[[#This Row],[Meta]]</f>
        <v>6.7000000000000455</v>
      </c>
      <c r="AB771" s="6" t="str">
        <f>VLOOKUP(Tabela1[[#This Row],[SKU]],SKU!A:B,2,0)</f>
        <v>COXINHA ASA IQF ALM SE</v>
      </c>
      <c r="AC771" s="6" t="str">
        <f>VLOOKUP(Tabela1[[#This Row],[SKU]],SKU!A:C,3,0)</f>
        <v>ASA</v>
      </c>
    </row>
    <row r="772" spans="1:29" x14ac:dyDescent="0.3">
      <c r="A772" s="2">
        <f>INT(Tabela1[[#This Row],[Data e Hora2]])</f>
        <v>46280</v>
      </c>
      <c r="B772" s="6" t="str">
        <f>UPPER(TEXT(Tabela1[[#This Row],[Data Corrigida]],"MMM"))</f>
        <v>SET</v>
      </c>
      <c r="C772" t="s">
        <v>1958</v>
      </c>
      <c r="D772" s="2" t="s">
        <v>1959</v>
      </c>
      <c r="E772" s="1" t="s">
        <v>1960</v>
      </c>
      <c r="F772" t="s">
        <v>24</v>
      </c>
      <c r="G772" s="2" t="s">
        <v>1904</v>
      </c>
      <c r="H772" t="s">
        <v>26</v>
      </c>
      <c r="I772" t="s">
        <v>57</v>
      </c>
      <c r="J772" s="6">
        <v>197742</v>
      </c>
      <c r="K772" s="16">
        <v>1020</v>
      </c>
      <c r="L772" s="16">
        <v>1006</v>
      </c>
      <c r="M772" s="16">
        <v>972</v>
      </c>
      <c r="N772" s="16">
        <v>999</v>
      </c>
      <c r="O772" s="16">
        <v>1011</v>
      </c>
      <c r="P772" s="16">
        <v>1007</v>
      </c>
      <c r="Q772" s="16">
        <v>1008</v>
      </c>
      <c r="R772" s="16">
        <v>1018</v>
      </c>
      <c r="S772" s="16">
        <v>1000</v>
      </c>
      <c r="T772" s="16">
        <v>998</v>
      </c>
      <c r="U772" s="15">
        <v>1003.9</v>
      </c>
      <c r="V772" t="s">
        <v>19</v>
      </c>
      <c r="W772" t="s">
        <v>28</v>
      </c>
      <c r="X772">
        <v>283</v>
      </c>
      <c r="Y772" s="16">
        <f>VLOOKUP(Tabela1[[#This Row],[SKU]],SKU!A:D,4,0)</f>
        <v>1000</v>
      </c>
      <c r="Z772" s="18">
        <f>IFERROR((Tabela1[[#This Row],[Média]]-Tabela1[[#This Row],[Meta]])/Tabela1[[#This Row],[Meta]],"")</f>
        <v>3.8999999999999773E-3</v>
      </c>
      <c r="AA772" s="27">
        <f>Tabela1[[#This Row],[Média]]-Tabela1[[#This Row],[Meta]]</f>
        <v>3.8999999999999773</v>
      </c>
      <c r="AB772" s="6" t="str">
        <f>VLOOKUP(Tabela1[[#This Row],[SKU]],SKU!A:B,2,0)</f>
        <v>COXINHA ASA IQF ALM SE</v>
      </c>
      <c r="AC772" s="6" t="str">
        <f>VLOOKUP(Tabela1[[#This Row],[SKU]],SKU!A:C,3,0)</f>
        <v>ASA</v>
      </c>
    </row>
    <row r="773" spans="1:29" x14ac:dyDescent="0.3">
      <c r="A773" s="2">
        <f>INT(Tabela1[[#This Row],[Data e Hora2]])</f>
        <v>46280</v>
      </c>
      <c r="B773" s="6" t="str">
        <f>UPPER(TEXT(Tabela1[[#This Row],[Data Corrigida]],"MMM"))</f>
        <v>SET</v>
      </c>
      <c r="C773" t="s">
        <v>1961</v>
      </c>
      <c r="D773" s="2" t="s">
        <v>1962</v>
      </c>
      <c r="E773" s="1" t="s">
        <v>1963</v>
      </c>
      <c r="F773" t="s">
        <v>24</v>
      </c>
      <c r="G773" s="2" t="s">
        <v>1904</v>
      </c>
      <c r="H773" t="s">
        <v>26</v>
      </c>
      <c r="I773" t="s">
        <v>57</v>
      </c>
      <c r="J773" s="6">
        <v>15229</v>
      </c>
      <c r="K773" s="16">
        <v>1000</v>
      </c>
      <c r="L773" s="16">
        <v>999</v>
      </c>
      <c r="M773" s="16">
        <v>1010</v>
      </c>
      <c r="N773" s="16">
        <v>995</v>
      </c>
      <c r="O773" s="16">
        <v>1011</v>
      </c>
      <c r="P773" s="16">
        <v>1009</v>
      </c>
      <c r="Q773" s="16">
        <v>998</v>
      </c>
      <c r="R773" s="16">
        <v>1018</v>
      </c>
      <c r="S773" s="16">
        <v>1010</v>
      </c>
      <c r="T773" s="16">
        <v>1008</v>
      </c>
      <c r="U773" s="15">
        <v>1005.8</v>
      </c>
      <c r="V773" t="s">
        <v>19</v>
      </c>
      <c r="W773" t="s">
        <v>28</v>
      </c>
      <c r="X773">
        <v>122</v>
      </c>
      <c r="Y773" s="16">
        <f>VLOOKUP(Tabela1[[#This Row],[SKU]],SKU!A:D,4,0)</f>
        <v>1000</v>
      </c>
      <c r="Z773" s="18">
        <f>IFERROR((Tabela1[[#This Row],[Média]]-Tabela1[[#This Row],[Meta]])/Tabela1[[#This Row],[Meta]],"")</f>
        <v>5.7999999999999545E-3</v>
      </c>
      <c r="AA773" s="27">
        <f>Tabela1[[#This Row],[Média]]-Tabela1[[#This Row],[Meta]]</f>
        <v>5.7999999999999545</v>
      </c>
      <c r="AB773" s="6" t="str">
        <f>VLOOKUP(Tabela1[[#This Row],[SKU]],SKU!A:B,2,0)</f>
        <v>COXA CG BDJ SE</v>
      </c>
      <c r="AC773" s="6" t="str">
        <f>VLOOKUP(Tabela1[[#This Row],[SKU]],SKU!A:C,3,0)</f>
        <v>PERNA</v>
      </c>
    </row>
    <row r="774" spans="1:29" x14ac:dyDescent="0.3">
      <c r="A774" s="2">
        <f>INT(Tabela1[[#This Row],[Data e Hora2]])</f>
        <v>46280</v>
      </c>
      <c r="B774" s="6" t="str">
        <f>UPPER(TEXT(Tabela1[[#This Row],[Data Corrigida]],"MMM"))</f>
        <v>SET</v>
      </c>
      <c r="C774" t="s">
        <v>1964</v>
      </c>
      <c r="D774" s="2" t="s">
        <v>1965</v>
      </c>
      <c r="E774" s="1" t="s">
        <v>1963</v>
      </c>
      <c r="F774" t="s">
        <v>24</v>
      </c>
      <c r="G774" s="2" t="s">
        <v>1904</v>
      </c>
      <c r="H774" t="s">
        <v>26</v>
      </c>
      <c r="I774" t="s">
        <v>57</v>
      </c>
      <c r="J774" s="6">
        <v>13188</v>
      </c>
      <c r="K774" s="16">
        <v>997</v>
      </c>
      <c r="L774" s="16">
        <v>1011</v>
      </c>
      <c r="M774" s="16">
        <v>998</v>
      </c>
      <c r="N774" s="16">
        <v>997</v>
      </c>
      <c r="O774" s="16">
        <v>1008</v>
      </c>
      <c r="P774" s="16">
        <v>1008</v>
      </c>
      <c r="Q774" s="16">
        <v>1002</v>
      </c>
      <c r="R774" s="16">
        <v>1004</v>
      </c>
      <c r="S774" s="16">
        <v>1008</v>
      </c>
      <c r="T774" s="16">
        <v>1001</v>
      </c>
      <c r="U774" s="15">
        <v>1003.4</v>
      </c>
      <c r="V774" t="s">
        <v>19</v>
      </c>
      <c r="W774" t="s">
        <v>28</v>
      </c>
      <c r="X774">
        <v>158</v>
      </c>
      <c r="Y774" s="16">
        <f>VLOOKUP(Tabela1[[#This Row],[SKU]],SKU!A:D,4,0)</f>
        <v>1000</v>
      </c>
      <c r="Z774" s="18">
        <f>IFERROR((Tabela1[[#This Row],[Média]]-Tabela1[[#This Row],[Meta]])/Tabela1[[#This Row],[Meta]],"")</f>
        <v>3.3999999999999773E-3</v>
      </c>
      <c r="AA774" s="27">
        <f>Tabela1[[#This Row],[Média]]-Tabela1[[#This Row],[Meta]]</f>
        <v>3.3999999999999773</v>
      </c>
      <c r="AB774" s="6" t="str">
        <f>VLOOKUP(Tabela1[[#This Row],[SKU]],SKU!A:B,2,0)</f>
        <v>SOBRECOXA CG BDJ SE</v>
      </c>
      <c r="AC774" s="6" t="str">
        <f>VLOOKUP(Tabela1[[#This Row],[SKU]],SKU!A:C,3,0)</f>
        <v>PERNA</v>
      </c>
    </row>
    <row r="775" spans="1:29" x14ac:dyDescent="0.3">
      <c r="A775" s="2">
        <f>INT(Tabela1[[#This Row],[Data e Hora2]])</f>
        <v>46280</v>
      </c>
      <c r="B775" s="6" t="str">
        <f>UPPER(TEXT(Tabela1[[#This Row],[Data Corrigida]],"MMM"))</f>
        <v>SET</v>
      </c>
      <c r="C775" t="s">
        <v>1966</v>
      </c>
      <c r="D775" s="2" t="s">
        <v>1967</v>
      </c>
      <c r="E775" s="1" t="s">
        <v>1963</v>
      </c>
      <c r="F775" t="s">
        <v>24</v>
      </c>
      <c r="G775" s="2" t="s">
        <v>1904</v>
      </c>
      <c r="H775" t="s">
        <v>26</v>
      </c>
      <c r="I775" t="s">
        <v>57</v>
      </c>
      <c r="J775" s="6">
        <v>962198</v>
      </c>
      <c r="K775" s="16">
        <v>18100</v>
      </c>
      <c r="L775" s="16">
        <v>18235</v>
      </c>
      <c r="M775" s="16">
        <v>18070</v>
      </c>
      <c r="N775" s="16">
        <v>18345</v>
      </c>
      <c r="O775" s="16">
        <v>18275</v>
      </c>
      <c r="P775" s="16">
        <v>18315</v>
      </c>
      <c r="Q775" s="16">
        <v>18050</v>
      </c>
      <c r="R775" s="16">
        <v>18065</v>
      </c>
      <c r="S775" s="16">
        <v>18120</v>
      </c>
      <c r="T775" s="16">
        <v>18110</v>
      </c>
      <c r="U775" s="15">
        <v>18168.5</v>
      </c>
      <c r="V775" t="s">
        <v>19</v>
      </c>
      <c r="W775" t="s">
        <v>28</v>
      </c>
      <c r="X775">
        <v>888</v>
      </c>
      <c r="Y775" s="16">
        <f>VLOOKUP(Tabela1[[#This Row],[SKU]],SKU!A:D,4,0)</f>
        <v>18000</v>
      </c>
      <c r="Z775" s="18">
        <f>IFERROR((Tabela1[[#This Row],[Média]]-Tabela1[[#This Row],[Meta]])/Tabela1[[#This Row],[Meta]],"")</f>
        <v>9.3611111111111117E-3</v>
      </c>
      <c r="AA775" s="27">
        <f>Tabela1[[#This Row],[Média]]-Tabela1[[#This Row],[Meta]]</f>
        <v>168.5</v>
      </c>
      <c r="AB775" s="6" t="str">
        <f>VLOOKUP(Tabela1[[#This Row],[SKU]],SKU!A:B,2,0)</f>
        <v>SOBRECOXA FG RF PCT</v>
      </c>
      <c r="AC775" s="6" t="str">
        <f>VLOOKUP(Tabela1[[#This Row],[SKU]],SKU!A:C,3,0)</f>
        <v>PERNA</v>
      </c>
    </row>
    <row r="776" spans="1:29" x14ac:dyDescent="0.3">
      <c r="A776" s="2">
        <f>INT(Tabela1[[#This Row],[Data e Hora2]])</f>
        <v>46280</v>
      </c>
      <c r="B776" s="6" t="str">
        <f>UPPER(TEXT(Tabela1[[#This Row],[Data Corrigida]],"MMM"))</f>
        <v>SET</v>
      </c>
      <c r="C776" t="s">
        <v>1968</v>
      </c>
      <c r="D776" s="2" t="s">
        <v>1969</v>
      </c>
      <c r="E776" s="1" t="s">
        <v>1970</v>
      </c>
      <c r="F776" t="s">
        <v>24</v>
      </c>
      <c r="G776" s="2" t="s">
        <v>1904</v>
      </c>
      <c r="H776" t="s">
        <v>26</v>
      </c>
      <c r="I776" t="s">
        <v>57</v>
      </c>
      <c r="J776" s="6">
        <v>13188</v>
      </c>
      <c r="K776" s="16">
        <v>1018</v>
      </c>
      <c r="L776" s="16">
        <v>1011</v>
      </c>
      <c r="M776" s="16">
        <v>1003</v>
      </c>
      <c r="N776" s="16">
        <v>1009</v>
      </c>
      <c r="O776" s="16">
        <v>1011</v>
      </c>
      <c r="P776" s="16">
        <v>1019</v>
      </c>
      <c r="Q776" s="16">
        <v>1014</v>
      </c>
      <c r="R776" s="16">
        <v>1013</v>
      </c>
      <c r="S776" s="16">
        <v>1007</v>
      </c>
      <c r="T776" s="16">
        <v>1010</v>
      </c>
      <c r="U776" s="15">
        <v>1011.5</v>
      </c>
      <c r="V776" t="s">
        <v>19</v>
      </c>
      <c r="W776" t="s">
        <v>28</v>
      </c>
      <c r="X776">
        <v>275</v>
      </c>
      <c r="Y776" s="16">
        <f>VLOOKUP(Tabela1[[#This Row],[SKU]],SKU!A:D,4,0)</f>
        <v>1000</v>
      </c>
      <c r="Z776" s="18">
        <f>IFERROR((Tabela1[[#This Row],[Média]]-Tabela1[[#This Row],[Meta]])/Tabela1[[#This Row],[Meta]],"")</f>
        <v>1.15E-2</v>
      </c>
      <c r="AA776" s="27">
        <f>Tabela1[[#This Row],[Média]]-Tabela1[[#This Row],[Meta]]</f>
        <v>11.5</v>
      </c>
      <c r="AB776" s="6" t="str">
        <f>VLOOKUP(Tabela1[[#This Row],[SKU]],SKU!A:B,2,0)</f>
        <v>SOBRECOXA CG BDJ SE</v>
      </c>
      <c r="AC776" s="6" t="str">
        <f>VLOOKUP(Tabela1[[#This Row],[SKU]],SKU!A:C,3,0)</f>
        <v>PERNA</v>
      </c>
    </row>
    <row r="777" spans="1:29" x14ac:dyDescent="0.3">
      <c r="A777" s="2">
        <f>INT(Tabela1[[#This Row],[Data e Hora2]])</f>
        <v>46280</v>
      </c>
      <c r="B777" s="6" t="str">
        <f>UPPER(TEXT(Tabela1[[#This Row],[Data Corrigida]],"MMM"))</f>
        <v>SET</v>
      </c>
      <c r="C777" t="s">
        <v>1971</v>
      </c>
      <c r="D777" s="2" t="s">
        <v>1972</v>
      </c>
      <c r="E777" s="1" t="s">
        <v>1970</v>
      </c>
      <c r="F777" t="s">
        <v>24</v>
      </c>
      <c r="G777" s="2" t="s">
        <v>1904</v>
      </c>
      <c r="H777" t="s">
        <v>26</v>
      </c>
      <c r="I777" t="s">
        <v>57</v>
      </c>
      <c r="J777" s="6">
        <v>15229</v>
      </c>
      <c r="K777" s="16">
        <v>1008</v>
      </c>
      <c r="L777" s="16">
        <v>1007</v>
      </c>
      <c r="M777" s="16">
        <v>1003</v>
      </c>
      <c r="N777" s="16">
        <v>1012</v>
      </c>
      <c r="O777" s="16">
        <v>1007</v>
      </c>
      <c r="P777" s="16">
        <v>995</v>
      </c>
      <c r="Q777" s="16">
        <v>1013</v>
      </c>
      <c r="R777" s="16">
        <v>996</v>
      </c>
      <c r="S777" s="16">
        <v>999</v>
      </c>
      <c r="T777" s="16">
        <v>1010</v>
      </c>
      <c r="U777" s="15">
        <v>1005</v>
      </c>
      <c r="V777" t="s">
        <v>19</v>
      </c>
      <c r="W777" t="s">
        <v>28</v>
      </c>
      <c r="X777">
        <v>407</v>
      </c>
      <c r="Y777" s="16">
        <f>VLOOKUP(Tabela1[[#This Row],[SKU]],SKU!A:D,4,0)</f>
        <v>1000</v>
      </c>
      <c r="Z777" s="18">
        <f>IFERROR((Tabela1[[#This Row],[Média]]-Tabela1[[#This Row],[Meta]])/Tabela1[[#This Row],[Meta]],"")</f>
        <v>5.0000000000000001E-3</v>
      </c>
      <c r="AA777" s="27">
        <f>Tabela1[[#This Row],[Média]]-Tabela1[[#This Row],[Meta]]</f>
        <v>5</v>
      </c>
      <c r="AB777" s="6" t="str">
        <f>VLOOKUP(Tabela1[[#This Row],[SKU]],SKU!A:B,2,0)</f>
        <v>COXA CG BDJ SE</v>
      </c>
      <c r="AC777" s="6" t="str">
        <f>VLOOKUP(Tabela1[[#This Row],[SKU]],SKU!A:C,3,0)</f>
        <v>PERNA</v>
      </c>
    </row>
    <row r="778" spans="1:29" x14ac:dyDescent="0.3">
      <c r="A778" s="2">
        <f>INT(Tabela1[[#This Row],[Data e Hora2]])</f>
        <v>46280</v>
      </c>
      <c r="B778" s="6" t="str">
        <f>UPPER(TEXT(Tabela1[[#This Row],[Data Corrigida]],"MMM"))</f>
        <v>SET</v>
      </c>
      <c r="C778" t="s">
        <v>1973</v>
      </c>
      <c r="D778" s="2" t="s">
        <v>1974</v>
      </c>
      <c r="E778" s="1" t="s">
        <v>1970</v>
      </c>
      <c r="F778" t="s">
        <v>24</v>
      </c>
      <c r="G778" s="2" t="s">
        <v>1904</v>
      </c>
      <c r="H778" t="s">
        <v>26</v>
      </c>
      <c r="I778" t="s">
        <v>57</v>
      </c>
      <c r="J778" s="6">
        <v>40762</v>
      </c>
      <c r="K778" s="16">
        <v>10015</v>
      </c>
      <c r="L778" s="16">
        <v>10045</v>
      </c>
      <c r="M778" s="16">
        <v>9945</v>
      </c>
      <c r="N778" s="16">
        <v>10010</v>
      </c>
      <c r="O778" s="16">
        <v>10010</v>
      </c>
      <c r="P778" s="16">
        <v>10040</v>
      </c>
      <c r="Q778" s="16">
        <v>9995</v>
      </c>
      <c r="R778" s="16">
        <v>10040</v>
      </c>
      <c r="S778" s="16">
        <v>10015</v>
      </c>
      <c r="T778" s="16">
        <v>10035</v>
      </c>
      <c r="U778" s="15">
        <v>10015</v>
      </c>
      <c r="V778" t="s">
        <v>19</v>
      </c>
      <c r="W778" t="s">
        <v>28</v>
      </c>
      <c r="X778">
        <v>992</v>
      </c>
      <c r="Y778" s="16">
        <f>VLOOKUP(Tabela1[[#This Row],[SKU]],SKU!A:D,4,0)</f>
        <v>10000</v>
      </c>
      <c r="Z778" s="18">
        <f>IFERROR((Tabela1[[#This Row],[Média]]-Tabela1[[#This Row],[Meta]])/Tabela1[[#This Row],[Meta]],"")</f>
        <v>1.5E-3</v>
      </c>
      <c r="AA778" s="27">
        <f>Tabela1[[#This Row],[Média]]-Tabela1[[#This Row],[Meta]]</f>
        <v>15</v>
      </c>
      <c r="AB778" s="6" t="str">
        <f>VLOOKUP(Tabela1[[#This Row],[SKU]],SKU!A:B,2,0)</f>
        <v>COXA SBCX LQ FG LP</v>
      </c>
      <c r="AC778" s="6" t="str">
        <f>VLOOKUP(Tabela1[[#This Row],[SKU]],SKU!A:C,3,0)</f>
        <v>PERNA</v>
      </c>
    </row>
    <row r="779" spans="1:29" x14ac:dyDescent="0.3">
      <c r="A779" s="2">
        <f>INT(Tabela1[[#This Row],[Data e Hora2]])</f>
        <v>46280</v>
      </c>
      <c r="B779" s="6" t="str">
        <f>UPPER(TEXT(Tabela1[[#This Row],[Data Corrigida]],"MMM"))</f>
        <v>SET</v>
      </c>
      <c r="C779" t="s">
        <v>1975</v>
      </c>
      <c r="D779" s="2" t="s">
        <v>1976</v>
      </c>
      <c r="E779" s="1" t="s">
        <v>1977</v>
      </c>
      <c r="F779" t="s">
        <v>24</v>
      </c>
      <c r="G779" s="2" t="s">
        <v>1904</v>
      </c>
      <c r="H779" t="s">
        <v>26</v>
      </c>
      <c r="I779" t="s">
        <v>57</v>
      </c>
      <c r="J779" s="6">
        <v>15105</v>
      </c>
      <c r="K779" s="16">
        <v>1029</v>
      </c>
      <c r="L779" s="16">
        <v>1014</v>
      </c>
      <c r="M779" s="16">
        <v>1038</v>
      </c>
      <c r="N779" s="16">
        <v>1012</v>
      </c>
      <c r="O779" s="16">
        <v>1023</v>
      </c>
      <c r="P779" s="16">
        <v>1031</v>
      </c>
      <c r="Q779" s="16">
        <v>822</v>
      </c>
      <c r="R779" s="16">
        <v>1025</v>
      </c>
      <c r="S779" s="16">
        <v>1006</v>
      </c>
      <c r="T779" s="16">
        <v>1030</v>
      </c>
      <c r="U779" s="15">
        <v>1003</v>
      </c>
      <c r="V779" t="s">
        <v>19</v>
      </c>
      <c r="W779" t="s">
        <v>28</v>
      </c>
      <c r="X779">
        <v>442</v>
      </c>
      <c r="Y779" s="16">
        <f>VLOOKUP(Tabela1[[#This Row],[SKU]],SKU!A:D,4,0)</f>
        <v>1000</v>
      </c>
      <c r="Z779" s="18">
        <f>IFERROR((Tabela1[[#This Row],[Média]]-Tabela1[[#This Row],[Meta]])/Tabela1[[#This Row],[Meta]],"")</f>
        <v>3.0000000000000001E-3</v>
      </c>
      <c r="AA779" s="27">
        <f>Tabela1[[#This Row],[Média]]-Tabela1[[#This Row],[Meta]]</f>
        <v>3</v>
      </c>
      <c r="AB779" s="6" t="str">
        <f>VLOOKUP(Tabela1[[#This Row],[SKU]],SKU!A:B,2,0)</f>
        <v>FILE PEITO MET CG BDJ SE</v>
      </c>
      <c r="AC779" s="6" t="str">
        <f>VLOOKUP(Tabela1[[#This Row],[SKU]],SKU!A:C,3,0)</f>
        <v>PEITO</v>
      </c>
    </row>
    <row r="780" spans="1:29" x14ac:dyDescent="0.3">
      <c r="A780" s="2">
        <f>INT(Tabela1[[#This Row],[Data e Hora2]])</f>
        <v>46280</v>
      </c>
      <c r="B780" s="6" t="str">
        <f>UPPER(TEXT(Tabela1[[#This Row],[Data Corrigida]],"MMM"))</f>
        <v>SET</v>
      </c>
      <c r="C780" t="s">
        <v>1978</v>
      </c>
      <c r="D780" s="2" t="s">
        <v>1979</v>
      </c>
      <c r="E780" s="1" t="s">
        <v>1980</v>
      </c>
      <c r="F780" t="s">
        <v>24</v>
      </c>
      <c r="G780" s="2" t="s">
        <v>1904</v>
      </c>
      <c r="H780" t="s">
        <v>142</v>
      </c>
      <c r="I780" t="s">
        <v>462</v>
      </c>
      <c r="J780" s="6">
        <v>15105</v>
      </c>
      <c r="K780" s="16">
        <v>1003</v>
      </c>
      <c r="L780" s="16">
        <v>1024</v>
      </c>
      <c r="M780" s="16">
        <v>1016</v>
      </c>
      <c r="N780" s="16">
        <v>1022</v>
      </c>
      <c r="O780" s="16">
        <v>993</v>
      </c>
      <c r="P780" s="16">
        <v>1017</v>
      </c>
      <c r="Q780" s="16">
        <v>1000</v>
      </c>
      <c r="R780" s="16">
        <v>1023</v>
      </c>
      <c r="S780" s="16">
        <v>1019</v>
      </c>
      <c r="T780" s="16">
        <v>1018</v>
      </c>
      <c r="U780" s="15">
        <v>1013.5</v>
      </c>
      <c r="V780" t="s">
        <v>19</v>
      </c>
      <c r="W780" t="s">
        <v>28</v>
      </c>
      <c r="X780">
        <v>233</v>
      </c>
      <c r="Y780" s="16">
        <f>VLOOKUP(Tabela1[[#This Row],[SKU]],SKU!A:D,4,0)</f>
        <v>1000</v>
      </c>
      <c r="Z780" s="18">
        <f>IFERROR((Tabela1[[#This Row],[Média]]-Tabela1[[#This Row],[Meta]])/Tabela1[[#This Row],[Meta]],"")</f>
        <v>1.35E-2</v>
      </c>
      <c r="AA780" s="27">
        <f>Tabela1[[#This Row],[Média]]-Tabela1[[#This Row],[Meta]]</f>
        <v>13.5</v>
      </c>
      <c r="AB780" s="6" t="str">
        <f>VLOOKUP(Tabela1[[#This Row],[SKU]],SKU!A:B,2,0)</f>
        <v>FILE PEITO MET CG BDJ SE</v>
      </c>
      <c r="AC780" s="6" t="str">
        <f>VLOOKUP(Tabela1[[#This Row],[SKU]],SKU!A:C,3,0)</f>
        <v>PEITO</v>
      </c>
    </row>
    <row r="781" spans="1:29" x14ac:dyDescent="0.3">
      <c r="A781" s="2">
        <f>INT(Tabela1[[#This Row],[Data e Hora2]])</f>
        <v>46280</v>
      </c>
      <c r="B781" s="6" t="str">
        <f>UPPER(TEXT(Tabela1[[#This Row],[Data Corrigida]],"MMM"))</f>
        <v>SET</v>
      </c>
      <c r="C781" t="s">
        <v>1981</v>
      </c>
      <c r="D781" s="2" t="s">
        <v>1982</v>
      </c>
      <c r="E781" s="1" t="s">
        <v>1903</v>
      </c>
      <c r="F781" t="s">
        <v>24</v>
      </c>
      <c r="G781" s="2" t="s">
        <v>1904</v>
      </c>
      <c r="H781" t="s">
        <v>142</v>
      </c>
      <c r="I781" t="s">
        <v>462</v>
      </c>
      <c r="J781" s="6">
        <v>15105</v>
      </c>
      <c r="K781" s="16">
        <v>1017</v>
      </c>
      <c r="L781" s="16">
        <v>995</v>
      </c>
      <c r="M781" s="16">
        <v>1015</v>
      </c>
      <c r="N781" s="16">
        <v>991</v>
      </c>
      <c r="O781" s="16">
        <v>1027</v>
      </c>
      <c r="P781" s="16">
        <v>1050</v>
      </c>
      <c r="Q781" s="16">
        <v>1017</v>
      </c>
      <c r="R781" s="16">
        <v>1038</v>
      </c>
      <c r="S781" s="16">
        <v>1009</v>
      </c>
      <c r="T781" s="16">
        <v>1027</v>
      </c>
      <c r="U781" s="15">
        <v>1018.6</v>
      </c>
      <c r="V781" t="s">
        <v>19</v>
      </c>
      <c r="W781" t="s">
        <v>28</v>
      </c>
      <c r="X781">
        <v>278</v>
      </c>
      <c r="Y781" s="16">
        <f>VLOOKUP(Tabela1[[#This Row],[SKU]],SKU!A:D,4,0)</f>
        <v>1000</v>
      </c>
      <c r="Z781" s="18">
        <f>IFERROR((Tabela1[[#This Row],[Média]]-Tabela1[[#This Row],[Meta]])/Tabela1[[#This Row],[Meta]],"")</f>
        <v>1.8600000000000023E-2</v>
      </c>
      <c r="AA781" s="27">
        <f>Tabela1[[#This Row],[Média]]-Tabela1[[#This Row],[Meta]]</f>
        <v>18.600000000000023</v>
      </c>
      <c r="AB781" s="6" t="str">
        <f>VLOOKUP(Tabela1[[#This Row],[SKU]],SKU!A:B,2,0)</f>
        <v>FILE PEITO MET CG BDJ SE</v>
      </c>
      <c r="AC781" s="6" t="str">
        <f>VLOOKUP(Tabela1[[#This Row],[SKU]],SKU!A:C,3,0)</f>
        <v>PEITO</v>
      </c>
    </row>
    <row r="782" spans="1:29" x14ac:dyDescent="0.3">
      <c r="A782" s="2">
        <f>INT(Tabela1[[#This Row],[Data e Hora2]])</f>
        <v>46280</v>
      </c>
      <c r="B782" s="6" t="str">
        <f>UPPER(TEXT(Tabela1[[#This Row],[Data Corrigida]],"MMM"))</f>
        <v>SET</v>
      </c>
      <c r="C782" t="s">
        <v>1983</v>
      </c>
      <c r="D782" s="2" t="s">
        <v>1984</v>
      </c>
      <c r="E782" s="1" t="s">
        <v>1903</v>
      </c>
      <c r="F782" t="s">
        <v>24</v>
      </c>
      <c r="G782" s="2" t="s">
        <v>1904</v>
      </c>
      <c r="H782" t="s">
        <v>142</v>
      </c>
      <c r="I782" t="s">
        <v>462</v>
      </c>
      <c r="J782" s="6">
        <v>54632</v>
      </c>
      <c r="K782" s="16">
        <v>1006</v>
      </c>
      <c r="L782" s="16">
        <v>994</v>
      </c>
      <c r="M782" s="16">
        <v>1011</v>
      </c>
      <c r="N782" s="16">
        <v>1010</v>
      </c>
      <c r="O782" s="16">
        <v>1001</v>
      </c>
      <c r="P782" s="16">
        <v>1014</v>
      </c>
      <c r="Q782" s="16">
        <v>1000</v>
      </c>
      <c r="R782" s="16">
        <v>1021</v>
      </c>
      <c r="S782" s="16">
        <v>1009</v>
      </c>
      <c r="T782" s="16">
        <v>990</v>
      </c>
      <c r="U782" s="15">
        <v>1005.6</v>
      </c>
      <c r="V782" t="s">
        <v>19</v>
      </c>
      <c r="W782" t="s">
        <v>28</v>
      </c>
      <c r="X782">
        <v>648</v>
      </c>
      <c r="Y782" s="16">
        <f>VLOOKUP(Tabela1[[#This Row],[SKU]],SKU!A:D,4,0)</f>
        <v>1000</v>
      </c>
      <c r="Z782" s="18">
        <f>IFERROR((Tabela1[[#This Row],[Média]]-Tabela1[[#This Row],[Meta]])/Tabela1[[#This Row],[Meta]],"")</f>
        <v>5.6000000000000225E-3</v>
      </c>
      <c r="AA782" s="27">
        <f>Tabela1[[#This Row],[Média]]-Tabela1[[#This Row],[Meta]]</f>
        <v>5.6000000000000227</v>
      </c>
      <c r="AB782" s="6" t="str">
        <f>VLOOKUP(Tabela1[[#This Row],[SKU]],SKU!A:B,2,0)</f>
        <v>COXA SBCX S/O BDJ CG</v>
      </c>
      <c r="AC782" s="6" t="str">
        <f>VLOOKUP(Tabela1[[#This Row],[SKU]],SKU!A:C,3,0)</f>
        <v>PERNA</v>
      </c>
    </row>
    <row r="783" spans="1:29" x14ac:dyDescent="0.3">
      <c r="A783" s="2">
        <f>INT(Tabela1[[#This Row],[Data e Hora2]])</f>
        <v>46280</v>
      </c>
      <c r="B783" s="6" t="str">
        <f>UPPER(TEXT(Tabela1[[#This Row],[Data Corrigida]],"MMM"))</f>
        <v>SET</v>
      </c>
      <c r="C783" t="s">
        <v>1985</v>
      </c>
      <c r="D783" s="2" t="s">
        <v>1986</v>
      </c>
      <c r="E783" s="1" t="s">
        <v>1903</v>
      </c>
      <c r="F783" t="s">
        <v>24</v>
      </c>
      <c r="G783" s="2" t="s">
        <v>1904</v>
      </c>
      <c r="H783" t="s">
        <v>142</v>
      </c>
      <c r="I783" t="s">
        <v>462</v>
      </c>
      <c r="J783" s="6">
        <v>42854</v>
      </c>
      <c r="K783" s="16">
        <v>2164</v>
      </c>
      <c r="L783" s="16">
        <v>2055</v>
      </c>
      <c r="M783" s="16">
        <v>1960</v>
      </c>
      <c r="N783" s="16">
        <v>2152</v>
      </c>
      <c r="O783" s="16">
        <v>2026</v>
      </c>
      <c r="P783" s="16">
        <v>2187</v>
      </c>
      <c r="Q783" s="16">
        <v>2190</v>
      </c>
      <c r="R783" s="16">
        <v>2172</v>
      </c>
      <c r="S783" s="16">
        <v>2125</v>
      </c>
      <c r="T783" s="16">
        <v>2160</v>
      </c>
      <c r="U783" s="15">
        <v>2119.1</v>
      </c>
      <c r="V783" t="s">
        <v>19</v>
      </c>
      <c r="W783" t="s">
        <v>28</v>
      </c>
      <c r="X783">
        <v>1047</v>
      </c>
      <c r="Y783" s="16">
        <f>VLOOKUP(Tabela1[[#This Row],[SKU]],SKU!A:D,4,0)</f>
        <v>2080</v>
      </c>
      <c r="Z783" s="18">
        <f>IFERROR((Tabela1[[#This Row],[Média]]-Tabela1[[#This Row],[Meta]])/Tabela1[[#This Row],[Meta]],"")</f>
        <v>1.8798076923076879E-2</v>
      </c>
      <c r="AA783" s="27">
        <f>Tabela1[[#This Row],[Média]]-Tabela1[[#This Row],[Meta]]</f>
        <v>39.099999999999909</v>
      </c>
      <c r="AB783" s="6" t="str">
        <f>VLOOKUP(Tabela1[[#This Row],[SKU]],SKU!A:B,2,0)</f>
        <v>COXA SBCX S/O FG 260-280g PB</v>
      </c>
      <c r="AC783" s="6" t="str">
        <f>VLOOKUP(Tabela1[[#This Row],[SKU]],SKU!A:C,3,0)</f>
        <v>PERNA</v>
      </c>
    </row>
    <row r="784" spans="1:29" x14ac:dyDescent="0.3">
      <c r="A784" s="2">
        <f>INT(Tabela1[[#This Row],[Data e Hora2]])</f>
        <v>46280</v>
      </c>
      <c r="B784" s="6" t="str">
        <f>UPPER(TEXT(Tabela1[[#This Row],[Data Corrigida]],"MMM"))</f>
        <v>SET</v>
      </c>
      <c r="C784" t="s">
        <v>1987</v>
      </c>
      <c r="D784" s="2" t="s">
        <v>1988</v>
      </c>
      <c r="E784" s="1" t="s">
        <v>1903</v>
      </c>
      <c r="F784" t="s">
        <v>24</v>
      </c>
      <c r="G784" s="2" t="s">
        <v>1904</v>
      </c>
      <c r="H784" t="s">
        <v>142</v>
      </c>
      <c r="I784" t="s">
        <v>462</v>
      </c>
      <c r="J784" s="6">
        <v>42846</v>
      </c>
      <c r="K784" s="16">
        <v>2065</v>
      </c>
      <c r="L784" s="16">
        <v>2003</v>
      </c>
      <c r="M784" s="16">
        <v>2002</v>
      </c>
      <c r="N784" s="16">
        <v>2080</v>
      </c>
      <c r="O784" s="16">
        <v>1997</v>
      </c>
      <c r="P784" s="16">
        <v>2006</v>
      </c>
      <c r="Q784" s="16">
        <v>2009</v>
      </c>
      <c r="R784" s="16">
        <v>2041</v>
      </c>
      <c r="S784" s="16">
        <v>2078</v>
      </c>
      <c r="T784" s="16">
        <v>2001</v>
      </c>
      <c r="U784" s="15">
        <v>2028.2</v>
      </c>
      <c r="V784" t="s">
        <v>19</v>
      </c>
      <c r="W784" t="s">
        <v>28</v>
      </c>
      <c r="X784">
        <v>176</v>
      </c>
      <c r="Y784" s="16">
        <f>VLOOKUP(Tabela1[[#This Row],[SKU]],SKU!A:D,4,0)</f>
        <v>2000</v>
      </c>
      <c r="Z784" s="18">
        <f>IFERROR((Tabela1[[#This Row],[Média]]-Tabela1[[#This Row],[Meta]])/Tabela1[[#This Row],[Meta]],"")</f>
        <v>1.4100000000000022E-2</v>
      </c>
      <c r="AA784" s="27">
        <f>Tabela1[[#This Row],[Média]]-Tabela1[[#This Row],[Meta]]</f>
        <v>28.200000000000045</v>
      </c>
      <c r="AB784" s="6" t="str">
        <f>VLOOKUP(Tabela1[[#This Row],[SKU]],SKU!A:B,2,0)</f>
        <v>COXA SBCX S/O FG 240-260g PB</v>
      </c>
      <c r="AC784" s="6" t="str">
        <f>VLOOKUP(Tabela1[[#This Row],[SKU]],SKU!A:C,3,0)</f>
        <v>PERNA</v>
      </c>
    </row>
    <row r="785" spans="1:29" x14ac:dyDescent="0.3">
      <c r="A785" s="2">
        <f>INT(Tabela1[[#This Row],[Data e Hora2]])</f>
        <v>46280</v>
      </c>
      <c r="B785" s="6" t="str">
        <f>UPPER(TEXT(Tabela1[[#This Row],[Data Corrigida]],"MMM"))</f>
        <v>SET</v>
      </c>
      <c r="C785" t="s">
        <v>1989</v>
      </c>
      <c r="D785" s="2" t="s">
        <v>1990</v>
      </c>
      <c r="E785" s="1" t="s">
        <v>1903</v>
      </c>
      <c r="F785" t="s">
        <v>24</v>
      </c>
      <c r="G785" s="2" t="s">
        <v>1904</v>
      </c>
      <c r="H785" t="s">
        <v>142</v>
      </c>
      <c r="I785" t="s">
        <v>462</v>
      </c>
      <c r="J785" s="6">
        <v>18163</v>
      </c>
      <c r="K785" s="16">
        <v>1012</v>
      </c>
      <c r="L785" s="16">
        <v>1032</v>
      </c>
      <c r="M785" s="16">
        <v>1021</v>
      </c>
      <c r="N785" s="16">
        <v>1012</v>
      </c>
      <c r="O785" s="16">
        <v>1028</v>
      </c>
      <c r="P785" s="16">
        <v>1024</v>
      </c>
      <c r="Q785" s="16">
        <v>1006</v>
      </c>
      <c r="R785" s="16">
        <v>1000</v>
      </c>
      <c r="S785" s="16">
        <v>1018</v>
      </c>
      <c r="T785" s="16">
        <v>1025</v>
      </c>
      <c r="U785" s="15">
        <v>1017.8</v>
      </c>
      <c r="V785" t="s">
        <v>19</v>
      </c>
      <c r="W785" t="s">
        <v>28</v>
      </c>
      <c r="X785">
        <v>509</v>
      </c>
      <c r="Y785" s="16">
        <f>VLOOKUP(Tabela1[[#This Row],[SKU]],SKU!A:D,4,0)</f>
        <v>1000</v>
      </c>
      <c r="Z785" s="18">
        <f>IFERROR((Tabela1[[#This Row],[Média]]-Tabela1[[#This Row],[Meta]])/Tabela1[[#This Row],[Meta]],"")</f>
        <v>1.7799999999999955E-2</v>
      </c>
      <c r="AA785" s="27">
        <f>Tabela1[[#This Row],[Média]]-Tabela1[[#This Row],[Meta]]</f>
        <v>17.799999999999955</v>
      </c>
      <c r="AB785" s="6" t="str">
        <f>VLOOKUP(Tabela1[[#This Row],[SKU]],SKU!A:B,2,0)</f>
        <v>CORACAO FGO CG ALM SE</v>
      </c>
      <c r="AC785" s="6" t="str">
        <f>VLOOKUP(Tabela1[[#This Row],[SKU]],SKU!A:C,3,0)</f>
        <v>CORAÇÃO</v>
      </c>
    </row>
    <row r="786" spans="1:29" x14ac:dyDescent="0.3">
      <c r="A786" s="2">
        <f>INT(Tabela1[[#This Row],[Data e Hora2]])</f>
        <v>46280</v>
      </c>
      <c r="B786" s="6" t="str">
        <f>UPPER(TEXT(Tabela1[[#This Row],[Data Corrigida]],"MMM"))</f>
        <v>SET</v>
      </c>
      <c r="C786" t="s">
        <v>1991</v>
      </c>
      <c r="D786" s="2" t="s">
        <v>1992</v>
      </c>
      <c r="E786" s="1" t="s">
        <v>1903</v>
      </c>
      <c r="F786" t="s">
        <v>24</v>
      </c>
      <c r="G786" s="2" t="s">
        <v>1904</v>
      </c>
      <c r="H786" t="s">
        <v>142</v>
      </c>
      <c r="I786" t="s">
        <v>462</v>
      </c>
      <c r="J786" s="6">
        <v>18228</v>
      </c>
      <c r="K786" s="16">
        <v>994</v>
      </c>
      <c r="L786" s="16">
        <v>1018</v>
      </c>
      <c r="M786" s="16">
        <v>1000</v>
      </c>
      <c r="N786" s="16">
        <v>999</v>
      </c>
      <c r="O786" s="16">
        <v>1009</v>
      </c>
      <c r="P786" s="16">
        <v>999</v>
      </c>
      <c r="Q786" s="16">
        <v>1008</v>
      </c>
      <c r="R786" s="16">
        <v>1009</v>
      </c>
      <c r="S786" s="16">
        <v>1017</v>
      </c>
      <c r="T786" s="16">
        <v>1004</v>
      </c>
      <c r="U786" s="15">
        <v>1005.7</v>
      </c>
      <c r="V786" t="s">
        <v>19</v>
      </c>
      <c r="W786" t="s">
        <v>28</v>
      </c>
      <c r="X786">
        <v>651</v>
      </c>
      <c r="Y786" s="16">
        <f>VLOOKUP(Tabela1[[#This Row],[SKU]],SKU!A:D,4,0)</f>
        <v>1000</v>
      </c>
      <c r="Z786" s="18">
        <f>IFERROR((Tabela1[[#This Row],[Média]]-Tabela1[[#This Row],[Meta]])/Tabela1[[#This Row],[Meta]],"")</f>
        <v>5.7000000000000453E-3</v>
      </c>
      <c r="AA786" s="27">
        <f>Tabela1[[#This Row],[Média]]-Tabela1[[#This Row],[Meta]]</f>
        <v>5.7000000000000455</v>
      </c>
      <c r="AB786" s="6" t="str">
        <f>VLOOKUP(Tabela1[[#This Row],[SKU]],SKU!A:B,2,0)</f>
        <v>MOELA FRANGO CG ALM SE</v>
      </c>
      <c r="AC786" s="6" t="str">
        <f>VLOOKUP(Tabela1[[#This Row],[SKU]],SKU!A:C,3,0)</f>
        <v>MOELA</v>
      </c>
    </row>
    <row r="787" spans="1:29" x14ac:dyDescent="0.3">
      <c r="A787" s="2">
        <f>INT(Tabela1[[#This Row],[Data e Hora2]])</f>
        <v>46280</v>
      </c>
      <c r="B787" s="6" t="str">
        <f>UPPER(TEXT(Tabela1[[#This Row],[Data Corrigida]],"MMM"))</f>
        <v>SET</v>
      </c>
      <c r="C787" t="s">
        <v>1993</v>
      </c>
      <c r="D787" s="2" t="s">
        <v>1994</v>
      </c>
      <c r="E787" s="1" t="s">
        <v>1903</v>
      </c>
      <c r="F787" t="s">
        <v>24</v>
      </c>
      <c r="G787" s="2" t="s">
        <v>1904</v>
      </c>
      <c r="H787" t="s">
        <v>142</v>
      </c>
      <c r="I787" t="s">
        <v>462</v>
      </c>
      <c r="J787" s="6">
        <v>209319</v>
      </c>
      <c r="K787" s="16">
        <v>1019</v>
      </c>
      <c r="L787" s="16">
        <v>1006</v>
      </c>
      <c r="M787" s="16">
        <v>1061</v>
      </c>
      <c r="N787" s="16">
        <v>1074</v>
      </c>
      <c r="O787" s="16">
        <v>1003</v>
      </c>
      <c r="P787" s="16">
        <v>1017</v>
      </c>
      <c r="Q787" s="16">
        <v>995</v>
      </c>
      <c r="R787" s="16">
        <v>1023</v>
      </c>
      <c r="S787" s="16">
        <v>1005</v>
      </c>
      <c r="T787" s="16">
        <v>1012</v>
      </c>
      <c r="U787" s="15">
        <v>1021.5</v>
      </c>
      <c r="V787" t="s">
        <v>19</v>
      </c>
      <c r="W787" t="s">
        <v>28</v>
      </c>
      <c r="X787">
        <v>162</v>
      </c>
      <c r="Y787" s="16">
        <f>VLOOKUP(Tabela1[[#This Row],[SKU]],SKU!A:D,4,0)</f>
        <v>1000</v>
      </c>
      <c r="Z787" s="18">
        <f>IFERROR((Tabela1[[#This Row],[Média]]-Tabela1[[#This Row],[Meta]])/Tabela1[[#This Row],[Meta]],"")</f>
        <v>2.1499999999999998E-2</v>
      </c>
      <c r="AA787" s="27">
        <f>Tabela1[[#This Row],[Média]]-Tabela1[[#This Row],[Meta]]</f>
        <v>21.5</v>
      </c>
      <c r="AB787" s="6" t="str">
        <f>VLOOKUP(Tabela1[[#This Row],[SKU]],SKU!A:B,2,0)</f>
        <v>SOBRECOXA IQF ALM 1KG</v>
      </c>
      <c r="AC787" s="6" t="str">
        <f>VLOOKUP(Tabela1[[#This Row],[SKU]],SKU!A:C,3,0)</f>
        <v>PERNA</v>
      </c>
    </row>
    <row r="788" spans="1:29" x14ac:dyDescent="0.3">
      <c r="A788" s="2">
        <f>INT(Tabela1[[#This Row],[Data e Hora2]])</f>
        <v>46280</v>
      </c>
      <c r="B788" s="6" t="str">
        <f>UPPER(TEXT(Tabela1[[#This Row],[Data Corrigida]],"MMM"))</f>
        <v>SET</v>
      </c>
      <c r="C788" t="s">
        <v>1995</v>
      </c>
      <c r="D788" s="2" t="s">
        <v>1996</v>
      </c>
      <c r="E788" s="1" t="s">
        <v>1903</v>
      </c>
      <c r="F788" t="s">
        <v>24</v>
      </c>
      <c r="G788" s="2" t="s">
        <v>1904</v>
      </c>
      <c r="H788" t="s">
        <v>142</v>
      </c>
      <c r="I788" t="s">
        <v>462</v>
      </c>
      <c r="J788" s="6">
        <v>42838</v>
      </c>
      <c r="K788" s="16">
        <v>2005</v>
      </c>
      <c r="L788" s="16">
        <v>2050</v>
      </c>
      <c r="M788" s="16">
        <v>2105</v>
      </c>
      <c r="N788" s="16">
        <v>2071</v>
      </c>
      <c r="O788" s="16">
        <v>2074</v>
      </c>
      <c r="P788" s="16">
        <v>2036</v>
      </c>
      <c r="Q788" s="16">
        <v>2100</v>
      </c>
      <c r="R788" s="16">
        <v>2060</v>
      </c>
      <c r="S788" s="16">
        <v>2051</v>
      </c>
      <c r="T788" s="16">
        <v>2026</v>
      </c>
      <c r="U788" s="15">
        <v>2057.8000000000002</v>
      </c>
      <c r="V788" t="s">
        <v>19</v>
      </c>
      <c r="W788" t="s">
        <v>28</v>
      </c>
      <c r="X788">
        <v>487</v>
      </c>
      <c r="Y788" s="16">
        <f>VLOOKUP(Tabela1[[#This Row],[SKU]],SKU!A:D,4,0)</f>
        <v>2000</v>
      </c>
      <c r="Z788" s="18">
        <f>IFERROR((Tabela1[[#This Row],[Média]]-Tabela1[[#This Row],[Meta]])/Tabela1[[#This Row],[Meta]],"")</f>
        <v>2.8900000000000092E-2</v>
      </c>
      <c r="AA788" s="27">
        <f>Tabela1[[#This Row],[Média]]-Tabela1[[#This Row],[Meta]]</f>
        <v>57.800000000000182</v>
      </c>
      <c r="AB788" s="6" t="str">
        <f>VLOOKUP(Tabela1[[#This Row],[SKU]],SKU!A:B,2,0)</f>
        <v>COXA SBCX S/O FG 220-240g PB</v>
      </c>
      <c r="AC788" s="6" t="str">
        <f>VLOOKUP(Tabela1[[#This Row],[SKU]],SKU!A:C,3,0)</f>
        <v>PERNA</v>
      </c>
    </row>
    <row r="789" spans="1:29" x14ac:dyDescent="0.3">
      <c r="A789" s="2">
        <f>INT(Tabela1[[#This Row],[Data e Hora2]])</f>
        <v>46280</v>
      </c>
      <c r="B789" s="6" t="str">
        <f>UPPER(TEXT(Tabela1[[#This Row],[Data Corrigida]],"MMM"))</f>
        <v>SET</v>
      </c>
      <c r="C789" t="s">
        <v>1997</v>
      </c>
      <c r="D789" s="2" t="s">
        <v>1998</v>
      </c>
      <c r="E789" s="1" t="s">
        <v>1903</v>
      </c>
      <c r="F789" t="s">
        <v>24</v>
      </c>
      <c r="G789" s="2" t="s">
        <v>1904</v>
      </c>
      <c r="H789" t="s">
        <v>142</v>
      </c>
      <c r="I789" t="s">
        <v>462</v>
      </c>
      <c r="J789" s="6">
        <v>42854</v>
      </c>
      <c r="K789" s="16">
        <v>2190</v>
      </c>
      <c r="L789" s="16">
        <v>2207</v>
      </c>
      <c r="M789" s="16">
        <v>2239</v>
      </c>
      <c r="N789" s="16">
        <v>2175</v>
      </c>
      <c r="O789" s="16">
        <v>2192</v>
      </c>
      <c r="P789" s="16">
        <v>2111</v>
      </c>
      <c r="Q789" s="16">
        <v>2201</v>
      </c>
      <c r="R789" s="16">
        <v>2149</v>
      </c>
      <c r="S789" s="16">
        <v>2134</v>
      </c>
      <c r="T789" s="16">
        <v>2227</v>
      </c>
      <c r="U789" s="15">
        <v>2182.5</v>
      </c>
      <c r="V789" t="s">
        <v>19</v>
      </c>
      <c r="W789" t="s">
        <v>28</v>
      </c>
      <c r="X789">
        <v>1040</v>
      </c>
      <c r="Y789" s="16">
        <f>VLOOKUP(Tabela1[[#This Row],[SKU]],SKU!A:D,4,0)</f>
        <v>2080</v>
      </c>
      <c r="Z789" s="18">
        <f>IFERROR((Tabela1[[#This Row],[Média]]-Tabela1[[#This Row],[Meta]])/Tabela1[[#This Row],[Meta]],"")</f>
        <v>4.9278846153846152E-2</v>
      </c>
      <c r="AA789" s="27">
        <f>Tabela1[[#This Row],[Média]]-Tabela1[[#This Row],[Meta]]</f>
        <v>102.5</v>
      </c>
      <c r="AB789" s="6" t="str">
        <f>VLOOKUP(Tabela1[[#This Row],[SKU]],SKU!A:B,2,0)</f>
        <v>COXA SBCX S/O FG 260-280g PB</v>
      </c>
      <c r="AC789" s="6" t="str">
        <f>VLOOKUP(Tabela1[[#This Row],[SKU]],SKU!A:C,3,0)</f>
        <v>PERNA</v>
      </c>
    </row>
    <row r="790" spans="1:29" x14ac:dyDescent="0.3">
      <c r="A790" s="2">
        <f>INT(Tabela1[[#This Row],[Data e Hora2]])</f>
        <v>46280</v>
      </c>
      <c r="B790" s="6" t="str">
        <f>UPPER(TEXT(Tabela1[[#This Row],[Data Corrigida]],"MMM"))</f>
        <v>SET</v>
      </c>
      <c r="C790" t="s">
        <v>1999</v>
      </c>
      <c r="D790" s="2" t="s">
        <v>2000</v>
      </c>
      <c r="E790" s="1" t="s">
        <v>1903</v>
      </c>
      <c r="F790" t="s">
        <v>24</v>
      </c>
      <c r="G790" s="2" t="s">
        <v>1904</v>
      </c>
      <c r="H790" t="s">
        <v>142</v>
      </c>
      <c r="I790" t="s">
        <v>462</v>
      </c>
      <c r="J790" s="6">
        <v>42820</v>
      </c>
      <c r="K790" s="16">
        <v>1983</v>
      </c>
      <c r="L790" s="16">
        <v>2127</v>
      </c>
      <c r="M790" s="16">
        <v>2037</v>
      </c>
      <c r="N790" s="16">
        <v>2065</v>
      </c>
      <c r="O790" s="16">
        <v>2085</v>
      </c>
      <c r="P790" s="16">
        <v>2081</v>
      </c>
      <c r="Q790" s="16">
        <v>2136</v>
      </c>
      <c r="R790" s="16">
        <v>2157</v>
      </c>
      <c r="S790" s="16">
        <v>1951</v>
      </c>
      <c r="T790" s="16">
        <v>2052</v>
      </c>
      <c r="U790" s="15">
        <v>2067.4</v>
      </c>
      <c r="V790" t="s">
        <v>19</v>
      </c>
      <c r="W790" t="s">
        <v>28</v>
      </c>
      <c r="X790">
        <v>1355</v>
      </c>
      <c r="Y790" s="16">
        <f>VLOOKUP(Tabela1[[#This Row],[SKU]],SKU!A:D,4,0)</f>
        <v>2000</v>
      </c>
      <c r="Z790" s="18">
        <f>IFERROR((Tabela1[[#This Row],[Média]]-Tabela1[[#This Row],[Meta]])/Tabela1[[#This Row],[Meta]],"")</f>
        <v>3.3700000000000042E-2</v>
      </c>
      <c r="AA790" s="27">
        <f>Tabela1[[#This Row],[Média]]-Tabela1[[#This Row],[Meta]]</f>
        <v>67.400000000000091</v>
      </c>
      <c r="AB790" s="6" t="str">
        <f>VLOOKUP(Tabela1[[#This Row],[SKU]],SKU!A:B,2,0)</f>
        <v>COXA SBCX S/O FG 200-220g PB</v>
      </c>
      <c r="AC790" s="6" t="str">
        <f>VLOOKUP(Tabela1[[#This Row],[SKU]],SKU!A:C,3,0)</f>
        <v>PERNA</v>
      </c>
    </row>
    <row r="791" spans="1:29" x14ac:dyDescent="0.3">
      <c r="A791" s="2">
        <f>INT(Tabela1[[#This Row],[Data e Hora2]])</f>
        <v>46280</v>
      </c>
      <c r="B791" s="6" t="str">
        <f>UPPER(TEXT(Tabela1[[#This Row],[Data Corrigida]],"MMM"))</f>
        <v>SET</v>
      </c>
      <c r="C791" t="s">
        <v>2001</v>
      </c>
      <c r="D791" s="2" t="s">
        <v>2002</v>
      </c>
      <c r="E791" s="1" t="s">
        <v>1903</v>
      </c>
      <c r="F791" t="s">
        <v>24</v>
      </c>
      <c r="G791" s="2" t="s">
        <v>1904</v>
      </c>
      <c r="H791" t="s">
        <v>142</v>
      </c>
      <c r="I791" t="s">
        <v>462</v>
      </c>
      <c r="J791" s="6">
        <v>864048</v>
      </c>
      <c r="K791" s="16">
        <v>2029</v>
      </c>
      <c r="L791" s="16">
        <v>2166</v>
      </c>
      <c r="M791" s="16">
        <v>2180</v>
      </c>
      <c r="N791" s="16">
        <v>2030</v>
      </c>
      <c r="O791" s="16">
        <v>1989</v>
      </c>
      <c r="P791" s="16">
        <v>2078</v>
      </c>
      <c r="Q791" s="16">
        <v>2072</v>
      </c>
      <c r="R791" s="16">
        <v>2165</v>
      </c>
      <c r="S791" s="16">
        <v>2093</v>
      </c>
      <c r="T791" s="16">
        <v>2023</v>
      </c>
      <c r="U791" s="15">
        <v>2082.5</v>
      </c>
      <c r="V791" t="s">
        <v>19</v>
      </c>
      <c r="W791" t="s">
        <v>28</v>
      </c>
      <c r="X791">
        <v>1862</v>
      </c>
      <c r="Y791" s="16">
        <f>VLOOKUP(Tabela1[[#This Row],[SKU]],SKU!A:D,4,0)</f>
        <v>2000</v>
      </c>
      <c r="Z791" s="18">
        <f>IFERROR((Tabela1[[#This Row],[Média]]-Tabela1[[#This Row],[Meta]])/Tabela1[[#This Row],[Meta]],"")</f>
        <v>4.1250000000000002E-2</v>
      </c>
      <c r="AA791" s="27">
        <f>Tabela1[[#This Row],[Média]]-Tabela1[[#This Row],[Meta]]</f>
        <v>82.5</v>
      </c>
      <c r="AB791" s="6" t="str">
        <f>VLOOKUP(Tabela1[[#This Row],[SKU]],SKU!A:B,2,0)</f>
        <v>COXA SBCX S/O 200g FG UP PB</v>
      </c>
      <c r="AC791" s="6" t="str">
        <f>VLOOKUP(Tabela1[[#This Row],[SKU]],SKU!A:C,3,0)</f>
        <v>PERNA</v>
      </c>
    </row>
    <row r="792" spans="1:29" x14ac:dyDescent="0.3">
      <c r="A792" s="2">
        <f>INT(Tabela1[[#This Row],[Data e Hora2]])</f>
        <v>46281</v>
      </c>
      <c r="B792" s="6" t="str">
        <f>UPPER(TEXT(Tabela1[[#This Row],[Data Corrigida]],"MMM"))</f>
        <v>SET</v>
      </c>
      <c r="C792" t="s">
        <v>2003</v>
      </c>
      <c r="D792" s="2" t="s">
        <v>2004</v>
      </c>
      <c r="E792" s="1" t="s">
        <v>2005</v>
      </c>
      <c r="F792" t="s">
        <v>24</v>
      </c>
      <c r="G792" s="2" t="s">
        <v>2006</v>
      </c>
      <c r="H792" t="s">
        <v>26</v>
      </c>
      <c r="I792" t="s">
        <v>27</v>
      </c>
      <c r="J792" s="6">
        <v>42820</v>
      </c>
      <c r="K792" s="16">
        <v>2013</v>
      </c>
      <c r="L792" s="16">
        <v>2041</v>
      </c>
      <c r="M792" s="16">
        <v>2023</v>
      </c>
      <c r="N792" s="16">
        <v>2062</v>
      </c>
      <c r="O792" s="16">
        <v>2020</v>
      </c>
      <c r="P792" s="16">
        <v>2038</v>
      </c>
      <c r="Q792" s="16">
        <v>2038</v>
      </c>
      <c r="R792" s="16">
        <v>2042</v>
      </c>
      <c r="S792" s="16">
        <v>2051</v>
      </c>
      <c r="T792" s="16">
        <v>2041</v>
      </c>
      <c r="U792" s="15">
        <v>2036.9</v>
      </c>
      <c r="V792" t="s">
        <v>19</v>
      </c>
      <c r="W792" t="s">
        <v>28</v>
      </c>
      <c r="X792">
        <v>1312</v>
      </c>
      <c r="Y792" s="16">
        <f>VLOOKUP(Tabela1[[#This Row],[SKU]],SKU!A:D,4,0)</f>
        <v>2000</v>
      </c>
      <c r="Z792" s="18">
        <f>IFERROR((Tabela1[[#This Row],[Média]]-Tabela1[[#This Row],[Meta]])/Tabela1[[#This Row],[Meta]],"")</f>
        <v>1.8450000000000046E-2</v>
      </c>
      <c r="AA792" s="19">
        <f>Tabela1[[#This Row],[Média]]-Tabela1[[#This Row],[Meta]]</f>
        <v>36.900000000000091</v>
      </c>
      <c r="AB792" s="6" t="str">
        <f>VLOOKUP(Tabela1[[#This Row],[SKU]],SKU!A:B,2,0)</f>
        <v>COXA SBCX S/O FG 200-220g PB</v>
      </c>
      <c r="AC792" s="6" t="str">
        <f>VLOOKUP(Tabela1[[#This Row],[SKU]],SKU!A:C,3,0)</f>
        <v>PERNA</v>
      </c>
    </row>
    <row r="793" spans="1:29" x14ac:dyDescent="0.3">
      <c r="A793" s="2">
        <f>INT(Tabela1[[#This Row],[Data e Hora2]])</f>
        <v>46281</v>
      </c>
      <c r="B793" s="6" t="str">
        <f>UPPER(TEXT(Tabela1[[#This Row],[Data Corrigida]],"MMM"))</f>
        <v>SET</v>
      </c>
      <c r="C793" t="s">
        <v>2007</v>
      </c>
      <c r="D793" s="2" t="s">
        <v>2008</v>
      </c>
      <c r="E793" s="1" t="s">
        <v>2005</v>
      </c>
      <c r="F793" t="s">
        <v>24</v>
      </c>
      <c r="G793" s="2" t="s">
        <v>2006</v>
      </c>
      <c r="H793" t="s">
        <v>26</v>
      </c>
      <c r="I793" t="s">
        <v>27</v>
      </c>
      <c r="J793" s="6">
        <v>42838</v>
      </c>
      <c r="K793" s="16">
        <v>2020</v>
      </c>
      <c r="L793" s="16">
        <v>2020</v>
      </c>
      <c r="M793" s="16">
        <v>2051</v>
      </c>
      <c r="N793" s="16">
        <v>2030</v>
      </c>
      <c r="O793" s="16">
        <v>2025</v>
      </c>
      <c r="P793" s="16">
        <v>2025</v>
      </c>
      <c r="Q793" s="16">
        <v>2022</v>
      </c>
      <c r="R793" s="16">
        <v>2030</v>
      </c>
      <c r="S793" s="16">
        <v>2028</v>
      </c>
      <c r="T793" s="16">
        <v>2039</v>
      </c>
      <c r="U793" s="15">
        <v>2029</v>
      </c>
      <c r="V793" t="s">
        <v>19</v>
      </c>
      <c r="W793" t="s">
        <v>28</v>
      </c>
      <c r="X793">
        <v>8499</v>
      </c>
      <c r="Y793" s="16">
        <f>VLOOKUP(Tabela1[[#This Row],[SKU]],SKU!A:D,4,0)</f>
        <v>2000</v>
      </c>
      <c r="Z793" s="18">
        <f>IFERROR((Tabela1[[#This Row],[Média]]-Tabela1[[#This Row],[Meta]])/Tabela1[[#This Row],[Meta]],"")</f>
        <v>1.4500000000000001E-2</v>
      </c>
      <c r="AA793" s="19">
        <f>Tabela1[[#This Row],[Média]]-Tabela1[[#This Row],[Meta]]</f>
        <v>29</v>
      </c>
      <c r="AB793" s="6" t="str">
        <f>VLOOKUP(Tabela1[[#This Row],[SKU]],SKU!A:B,2,0)</f>
        <v>COXA SBCX S/O FG 220-240g PB</v>
      </c>
      <c r="AC793" s="6" t="str">
        <f>VLOOKUP(Tabela1[[#This Row],[SKU]],SKU!A:C,3,0)</f>
        <v>PERNA</v>
      </c>
    </row>
    <row r="794" spans="1:29" x14ac:dyDescent="0.3">
      <c r="A794" s="2">
        <f>INT(Tabela1[[#This Row],[Data e Hora2]])</f>
        <v>46281</v>
      </c>
      <c r="B794" s="6" t="str">
        <f>UPPER(TEXT(Tabela1[[#This Row],[Data Corrigida]],"MMM"))</f>
        <v>SET</v>
      </c>
      <c r="C794" t="s">
        <v>2009</v>
      </c>
      <c r="D794" s="2" t="s">
        <v>2010</v>
      </c>
      <c r="E794" s="1" t="s">
        <v>2005</v>
      </c>
      <c r="F794" t="s">
        <v>24</v>
      </c>
      <c r="G794" s="2" t="s">
        <v>2006</v>
      </c>
      <c r="H794" t="s">
        <v>26</v>
      </c>
      <c r="I794" t="s">
        <v>27</v>
      </c>
      <c r="J794" s="6">
        <v>864048</v>
      </c>
      <c r="K794" s="16">
        <v>2017</v>
      </c>
      <c r="L794" s="16">
        <v>2025</v>
      </c>
      <c r="M794" s="16">
        <v>2072</v>
      </c>
      <c r="N794" s="16">
        <v>2015</v>
      </c>
      <c r="O794" s="16">
        <v>2020</v>
      </c>
      <c r="P794" s="16">
        <v>2017</v>
      </c>
      <c r="Q794" s="16">
        <v>2003</v>
      </c>
      <c r="R794" s="16">
        <v>2007</v>
      </c>
      <c r="S794" s="16">
        <v>2015</v>
      </c>
      <c r="T794" s="16">
        <v>2000</v>
      </c>
      <c r="U794" s="15">
        <v>2019.1</v>
      </c>
      <c r="V794" t="s">
        <v>19</v>
      </c>
      <c r="W794" t="s">
        <v>28</v>
      </c>
      <c r="X794">
        <v>496</v>
      </c>
      <c r="Y794" s="16">
        <f>VLOOKUP(Tabela1[[#This Row],[SKU]],SKU!A:D,4,0)</f>
        <v>2000</v>
      </c>
      <c r="Z794" s="18">
        <f>IFERROR((Tabela1[[#This Row],[Média]]-Tabela1[[#This Row],[Meta]])/Tabela1[[#This Row],[Meta]],"")</f>
        <v>9.5499999999999544E-3</v>
      </c>
      <c r="AA794" s="19">
        <f>Tabela1[[#This Row],[Média]]-Tabela1[[#This Row],[Meta]]</f>
        <v>19.099999999999909</v>
      </c>
      <c r="AB794" s="6" t="str">
        <f>VLOOKUP(Tabela1[[#This Row],[SKU]],SKU!A:B,2,0)</f>
        <v>COXA SBCX S/O 200g FG UP PB</v>
      </c>
      <c r="AC794" s="6" t="str">
        <f>VLOOKUP(Tabela1[[#This Row],[SKU]],SKU!A:C,3,0)</f>
        <v>PERNA</v>
      </c>
    </row>
    <row r="795" spans="1:29" x14ac:dyDescent="0.3">
      <c r="A795" s="2">
        <f>INT(Tabela1[[#This Row],[Data e Hora2]])</f>
        <v>46281</v>
      </c>
      <c r="B795" s="6" t="str">
        <f>UPPER(TEXT(Tabela1[[#This Row],[Data Corrigida]],"MMM"))</f>
        <v>SET</v>
      </c>
      <c r="C795" t="s">
        <v>2011</v>
      </c>
      <c r="D795" s="2" t="s">
        <v>2012</v>
      </c>
      <c r="E795" s="1" t="s">
        <v>2005</v>
      </c>
      <c r="F795" t="s">
        <v>24</v>
      </c>
      <c r="G795" s="2" t="s">
        <v>2006</v>
      </c>
      <c r="H795" t="s">
        <v>26</v>
      </c>
      <c r="I795" t="s">
        <v>27</v>
      </c>
      <c r="J795" s="6">
        <v>992014</v>
      </c>
      <c r="K795" s="16">
        <v>702</v>
      </c>
      <c r="L795" s="16">
        <v>704</v>
      </c>
      <c r="M795" s="16">
        <v>703</v>
      </c>
      <c r="N795" s="16">
        <v>709</v>
      </c>
      <c r="O795" s="16">
        <v>703</v>
      </c>
      <c r="P795" s="16">
        <v>702</v>
      </c>
      <c r="Q795" s="16">
        <v>702</v>
      </c>
      <c r="R795" s="16">
        <v>700</v>
      </c>
      <c r="S795" s="16">
        <v>712</v>
      </c>
      <c r="T795" s="16">
        <v>701</v>
      </c>
      <c r="U795" s="15">
        <v>703.8</v>
      </c>
      <c r="V795" t="s">
        <v>19</v>
      </c>
      <c r="W795" t="s">
        <v>28</v>
      </c>
      <c r="X795">
        <v>8025</v>
      </c>
      <c r="Y795" s="16">
        <f>VLOOKUP(Tabela1[[#This Row],[SKU]],SKU!A:D,4,0)</f>
        <v>700</v>
      </c>
      <c r="Z795" s="18">
        <f>IFERROR((Tabela1[[#This Row],[Média]]-Tabela1[[#This Row],[Meta]])/Tabela1[[#This Row],[Meta]],"")</f>
        <v>5.4285714285713634E-3</v>
      </c>
      <c r="AA795" s="19">
        <f>Tabela1[[#This Row],[Média]]-Tabela1[[#This Row],[Meta]]</f>
        <v>3.7999999999999545</v>
      </c>
      <c r="AB795" s="6" t="str">
        <f>VLOOKUP(Tabela1[[#This Row],[SKU]],SKU!A:B,2,0)</f>
        <v>OSTRINHA CG PCT 700G SWIFT</v>
      </c>
      <c r="AC795" s="6" t="str">
        <f>VLOOKUP(Tabela1[[#This Row],[SKU]],SKU!A:C,3,0)</f>
        <v>PERNA</v>
      </c>
    </row>
    <row r="796" spans="1:29" x14ac:dyDescent="0.3">
      <c r="A796" s="2">
        <f>INT(Tabela1[[#This Row],[Data e Hora2]])</f>
        <v>46281</v>
      </c>
      <c r="B796" s="6" t="str">
        <f>UPPER(TEXT(Tabela1[[#This Row],[Data Corrigida]],"MMM"))</f>
        <v>SET</v>
      </c>
      <c r="C796" t="s">
        <v>2013</v>
      </c>
      <c r="D796" s="2" t="s">
        <v>2014</v>
      </c>
      <c r="E796" s="1" t="s">
        <v>2015</v>
      </c>
      <c r="F796" t="s">
        <v>24</v>
      </c>
      <c r="G796" s="2" t="s">
        <v>2006</v>
      </c>
      <c r="H796" t="s">
        <v>26</v>
      </c>
      <c r="I796" t="s">
        <v>27</v>
      </c>
      <c r="J796" s="6">
        <v>995638</v>
      </c>
      <c r="K796" s="16">
        <v>15065</v>
      </c>
      <c r="L796" s="16">
        <v>15055</v>
      </c>
      <c r="M796" s="16">
        <v>15050</v>
      </c>
      <c r="N796" s="16">
        <v>15075</v>
      </c>
      <c r="O796" s="16">
        <v>15090</v>
      </c>
      <c r="P796" s="16">
        <v>15040</v>
      </c>
      <c r="Q796" s="16">
        <v>15020</v>
      </c>
      <c r="R796" s="16">
        <v>15020</v>
      </c>
      <c r="S796" s="16">
        <v>15035</v>
      </c>
      <c r="T796" s="16">
        <v>15015</v>
      </c>
      <c r="U796" s="15">
        <v>15046.5</v>
      </c>
      <c r="V796" t="s">
        <v>19</v>
      </c>
      <c r="W796" t="s">
        <v>28</v>
      </c>
      <c r="X796">
        <v>918</v>
      </c>
      <c r="Y796" s="16">
        <f>VLOOKUP(Tabela1[[#This Row],[SKU]],SKU!A:D,4,0)</f>
        <v>15000</v>
      </c>
      <c r="Z796" s="18">
        <f>IFERROR((Tabela1[[#This Row],[Média]]-Tabela1[[#This Row],[Meta]])/Tabela1[[#This Row],[Meta]],"")</f>
        <v>3.0999999999999999E-3</v>
      </c>
      <c r="AA796" s="19">
        <f>Tabela1[[#This Row],[Média]]-Tabela1[[#This Row],[Meta]]</f>
        <v>46.5</v>
      </c>
      <c r="AB796" s="6" t="str">
        <f>VLOOKUP(Tabela1[[#This Row],[SKU]],SKU!A:B,2,0)</f>
        <v>MEIO DA ASA 40-50G LP</v>
      </c>
      <c r="AC796" s="6" t="str">
        <f>VLOOKUP(Tabela1[[#This Row],[SKU]],SKU!A:C,3,0)</f>
        <v>ASA</v>
      </c>
    </row>
    <row r="797" spans="1:29" x14ac:dyDescent="0.3">
      <c r="A797" s="2">
        <f>INT(Tabela1[[#This Row],[Data e Hora2]])</f>
        <v>46281</v>
      </c>
      <c r="B797" s="6" t="str">
        <f>UPPER(TEXT(Tabela1[[#This Row],[Data Corrigida]],"MMM"))</f>
        <v>SET</v>
      </c>
      <c r="C797" t="s">
        <v>2016</v>
      </c>
      <c r="D797" s="2" t="s">
        <v>2017</v>
      </c>
      <c r="E797" s="1" t="s">
        <v>2015</v>
      </c>
      <c r="F797" t="s">
        <v>24</v>
      </c>
      <c r="G797" s="2" t="s">
        <v>2006</v>
      </c>
      <c r="H797" t="s">
        <v>26</v>
      </c>
      <c r="I797" t="s">
        <v>27</v>
      </c>
      <c r="J797" s="6">
        <v>40762</v>
      </c>
      <c r="K797" s="16">
        <v>9980</v>
      </c>
      <c r="L797" s="16">
        <v>10060</v>
      </c>
      <c r="M797" s="16">
        <v>9920</v>
      </c>
      <c r="N797" s="16">
        <v>10075</v>
      </c>
      <c r="O797" s="16">
        <v>10230</v>
      </c>
      <c r="P797" s="16">
        <v>9960</v>
      </c>
      <c r="Q797" s="16">
        <v>10190</v>
      </c>
      <c r="R797" s="16">
        <v>9970</v>
      </c>
      <c r="S797" s="16">
        <v>10155</v>
      </c>
      <c r="T797" s="16">
        <v>10120</v>
      </c>
      <c r="U797" s="15">
        <v>10066</v>
      </c>
      <c r="V797" t="s">
        <v>19</v>
      </c>
      <c r="W797" t="s">
        <v>28</v>
      </c>
      <c r="X797">
        <v>749</v>
      </c>
      <c r="Y797" s="16">
        <f>VLOOKUP(Tabela1[[#This Row],[SKU]],SKU!A:D,4,0)</f>
        <v>10000</v>
      </c>
      <c r="Z797" s="18">
        <f>IFERROR((Tabela1[[#This Row],[Média]]-Tabela1[[#This Row],[Meta]])/Tabela1[[#This Row],[Meta]],"")</f>
        <v>6.6E-3</v>
      </c>
      <c r="AA797" s="19">
        <f>Tabela1[[#This Row],[Média]]-Tabela1[[#This Row],[Meta]]</f>
        <v>66</v>
      </c>
      <c r="AB797" s="6" t="str">
        <f>VLOOKUP(Tabela1[[#This Row],[SKU]],SKU!A:B,2,0)</f>
        <v>COXA SBCX LQ FG LP</v>
      </c>
      <c r="AC797" s="6" t="str">
        <f>VLOOKUP(Tabela1[[#This Row],[SKU]],SKU!A:C,3,0)</f>
        <v>PERNA</v>
      </c>
    </row>
    <row r="798" spans="1:29" x14ac:dyDescent="0.3">
      <c r="A798" s="2">
        <f>INT(Tabela1[[#This Row],[Data e Hora2]])</f>
        <v>46281</v>
      </c>
      <c r="B798" s="6" t="str">
        <f>UPPER(TEXT(Tabela1[[#This Row],[Data Corrigida]],"MMM"))</f>
        <v>SET</v>
      </c>
      <c r="C798" t="s">
        <v>2018</v>
      </c>
      <c r="D798" s="2" t="s">
        <v>2019</v>
      </c>
      <c r="E798" s="1" t="s">
        <v>2015</v>
      </c>
      <c r="F798" t="s">
        <v>24</v>
      </c>
      <c r="G798" s="2" t="s">
        <v>2006</v>
      </c>
      <c r="H798" t="s">
        <v>26</v>
      </c>
      <c r="I798" t="s">
        <v>27</v>
      </c>
      <c r="J798" s="6">
        <v>15105</v>
      </c>
      <c r="K798" s="16">
        <v>1028</v>
      </c>
      <c r="L798" s="16">
        <v>1039</v>
      </c>
      <c r="M798" s="16">
        <v>1005</v>
      </c>
      <c r="N798" s="16">
        <v>1027</v>
      </c>
      <c r="O798" s="16">
        <v>1042</v>
      </c>
      <c r="P798" s="16">
        <v>1010</v>
      </c>
      <c r="Q798" s="16">
        <v>1006</v>
      </c>
      <c r="R798" s="16">
        <v>996</v>
      </c>
      <c r="S798" s="16">
        <v>1019</v>
      </c>
      <c r="T798" s="16">
        <v>1056</v>
      </c>
      <c r="U798" s="15">
        <v>1022.8</v>
      </c>
      <c r="V798" t="s">
        <v>19</v>
      </c>
      <c r="W798" t="s">
        <v>28</v>
      </c>
      <c r="X798">
        <v>253</v>
      </c>
      <c r="Y798" s="16">
        <f>VLOOKUP(Tabela1[[#This Row],[SKU]],SKU!A:D,4,0)</f>
        <v>1000</v>
      </c>
      <c r="Z798" s="18">
        <f>IFERROR((Tabela1[[#This Row],[Média]]-Tabela1[[#This Row],[Meta]])/Tabela1[[#This Row],[Meta]],"")</f>
        <v>2.2799999999999956E-2</v>
      </c>
      <c r="AA798" s="19">
        <f>Tabela1[[#This Row],[Média]]-Tabela1[[#This Row],[Meta]]</f>
        <v>22.799999999999955</v>
      </c>
      <c r="AB798" s="6" t="str">
        <f>VLOOKUP(Tabela1[[#This Row],[SKU]],SKU!A:B,2,0)</f>
        <v>FILE PEITO MET CG BDJ SE</v>
      </c>
      <c r="AC798" s="6" t="str">
        <f>VLOOKUP(Tabela1[[#This Row],[SKU]],SKU!A:C,3,0)</f>
        <v>PEITO</v>
      </c>
    </row>
    <row r="799" spans="1:29" x14ac:dyDescent="0.3">
      <c r="A799" s="2">
        <f>INT(Tabela1[[#This Row],[Data e Hora2]])</f>
        <v>46281</v>
      </c>
      <c r="B799" s="6" t="str">
        <f>UPPER(TEXT(Tabela1[[#This Row],[Data Corrigida]],"MMM"))</f>
        <v>SET</v>
      </c>
      <c r="C799" t="s">
        <v>2020</v>
      </c>
      <c r="D799" s="2" t="s">
        <v>2021</v>
      </c>
      <c r="E799" s="1" t="s">
        <v>2015</v>
      </c>
      <c r="F799" t="s">
        <v>24</v>
      </c>
      <c r="G799" s="2" t="s">
        <v>2006</v>
      </c>
      <c r="H799" t="s">
        <v>26</v>
      </c>
      <c r="I799" t="s">
        <v>27</v>
      </c>
      <c r="J799" s="6">
        <v>209099</v>
      </c>
      <c r="K799" s="16">
        <v>1035</v>
      </c>
      <c r="L799" s="16">
        <v>1022</v>
      </c>
      <c r="M799" s="16">
        <v>999</v>
      </c>
      <c r="N799" s="16">
        <v>994</v>
      </c>
      <c r="O799" s="16">
        <v>1006</v>
      </c>
      <c r="P799" s="16">
        <v>995</v>
      </c>
      <c r="Q799" s="16">
        <v>990</v>
      </c>
      <c r="R799" s="16">
        <v>1049</v>
      </c>
      <c r="S799" s="16">
        <v>1000</v>
      </c>
      <c r="T799" s="16">
        <v>1027</v>
      </c>
      <c r="U799" s="15">
        <v>1011.7</v>
      </c>
      <c r="V799" t="s">
        <v>19</v>
      </c>
      <c r="W799" t="s">
        <v>28</v>
      </c>
      <c r="X799">
        <v>167</v>
      </c>
      <c r="Y799" s="16">
        <f>VLOOKUP(Tabela1[[#This Row],[SKU]],SKU!A:D,4,0)</f>
        <v>1000</v>
      </c>
      <c r="Z799" s="18">
        <f>IFERROR((Tabela1[[#This Row],[Média]]-Tabela1[[#This Row],[Meta]])/Tabela1[[#This Row],[Meta]],"")</f>
        <v>1.1700000000000045E-2</v>
      </c>
      <c r="AA799" s="19">
        <f>Tabela1[[#This Row],[Média]]-Tabela1[[#This Row],[Meta]]</f>
        <v>11.700000000000045</v>
      </c>
      <c r="AB799" s="6" t="str">
        <f>VLOOKUP(Tabela1[[#This Row],[SKU]],SKU!A:B,2,0)</f>
        <v>FILE DE SOBRECOXA IQF</v>
      </c>
      <c r="AC799" s="6" t="str">
        <f>VLOOKUP(Tabela1[[#This Row],[SKU]],SKU!A:C,3,0)</f>
        <v>PERNA</v>
      </c>
    </row>
    <row r="800" spans="1:29" x14ac:dyDescent="0.3">
      <c r="A800" s="2">
        <f>INT(Tabela1[[#This Row],[Data e Hora2]])</f>
        <v>46281</v>
      </c>
      <c r="B800" s="6" t="str">
        <f>UPPER(TEXT(Tabela1[[#This Row],[Data Corrigida]],"MMM"))</f>
        <v>SET</v>
      </c>
      <c r="C800" t="s">
        <v>2022</v>
      </c>
      <c r="D800" s="2" t="s">
        <v>2023</v>
      </c>
      <c r="E800" s="1" t="s">
        <v>2015</v>
      </c>
      <c r="F800" t="s">
        <v>24</v>
      </c>
      <c r="G800" s="2" t="s">
        <v>2006</v>
      </c>
      <c r="H800" t="s">
        <v>26</v>
      </c>
      <c r="I800" t="s">
        <v>27</v>
      </c>
      <c r="J800" s="6">
        <v>40762</v>
      </c>
      <c r="K800" s="16">
        <v>9980</v>
      </c>
      <c r="L800" s="16">
        <v>10040</v>
      </c>
      <c r="M800" s="16">
        <v>10200</v>
      </c>
      <c r="N800" s="16">
        <v>10030</v>
      </c>
      <c r="O800" s="16">
        <v>10000</v>
      </c>
      <c r="P800" s="16">
        <v>9995</v>
      </c>
      <c r="Q800" s="16">
        <v>10040</v>
      </c>
      <c r="R800" s="16">
        <v>10225</v>
      </c>
      <c r="S800" s="16">
        <v>10025</v>
      </c>
      <c r="T800" s="16">
        <v>10000</v>
      </c>
      <c r="U800" s="15">
        <v>10053.5</v>
      </c>
      <c r="V800" t="s">
        <v>19</v>
      </c>
      <c r="W800" t="s">
        <v>28</v>
      </c>
      <c r="X800">
        <v>2449</v>
      </c>
      <c r="Y800" s="16">
        <f>VLOOKUP(Tabela1[[#This Row],[SKU]],SKU!A:D,4,0)</f>
        <v>10000</v>
      </c>
      <c r="Z800" s="18">
        <f>IFERROR((Tabela1[[#This Row],[Média]]-Tabela1[[#This Row],[Meta]])/Tabela1[[#This Row],[Meta]],"")</f>
        <v>5.3499999999999997E-3</v>
      </c>
      <c r="AA800" s="19">
        <f>Tabela1[[#This Row],[Média]]-Tabela1[[#This Row],[Meta]]</f>
        <v>53.5</v>
      </c>
      <c r="AB800" s="6" t="str">
        <f>VLOOKUP(Tabela1[[#This Row],[SKU]],SKU!A:B,2,0)</f>
        <v>COXA SBCX LQ FG LP</v>
      </c>
      <c r="AC800" s="6" t="str">
        <f>VLOOKUP(Tabela1[[#This Row],[SKU]],SKU!A:C,3,0)</f>
        <v>PERNA</v>
      </c>
    </row>
    <row r="801" spans="1:29" x14ac:dyDescent="0.3">
      <c r="A801" s="2">
        <f>INT(Tabela1[[#This Row],[Data e Hora2]])</f>
        <v>46281</v>
      </c>
      <c r="B801" s="6" t="str">
        <f>UPPER(TEXT(Tabela1[[#This Row],[Data Corrigida]],"MMM"))</f>
        <v>SET</v>
      </c>
      <c r="C801" t="s">
        <v>2024</v>
      </c>
      <c r="D801" s="2" t="s">
        <v>2025</v>
      </c>
      <c r="E801" s="1" t="s">
        <v>2015</v>
      </c>
      <c r="F801" t="s">
        <v>24</v>
      </c>
      <c r="G801" s="2" t="s">
        <v>2006</v>
      </c>
      <c r="H801" t="s">
        <v>26</v>
      </c>
      <c r="I801" t="s">
        <v>27</v>
      </c>
      <c r="J801" s="6">
        <v>42854</v>
      </c>
      <c r="K801" s="16">
        <v>2180</v>
      </c>
      <c r="L801" s="16">
        <v>2111</v>
      </c>
      <c r="M801" s="16">
        <v>2097</v>
      </c>
      <c r="N801" s="16">
        <v>2177</v>
      </c>
      <c r="O801" s="16">
        <v>2105</v>
      </c>
      <c r="P801" s="16">
        <v>2103</v>
      </c>
      <c r="Q801" s="16">
        <v>2117</v>
      </c>
      <c r="R801" s="16">
        <v>2107</v>
      </c>
      <c r="S801" s="16">
        <v>2105</v>
      </c>
      <c r="T801" s="16">
        <v>2088</v>
      </c>
      <c r="U801" s="15">
        <v>2119</v>
      </c>
      <c r="V801" t="s">
        <v>19</v>
      </c>
      <c r="W801" t="s">
        <v>19</v>
      </c>
      <c r="X801">
        <v>307</v>
      </c>
      <c r="Y801" s="16">
        <f>VLOOKUP(Tabela1[[#This Row],[SKU]],SKU!A:D,4,0)</f>
        <v>2080</v>
      </c>
      <c r="Z801" s="18">
        <f>IFERROR((Tabela1[[#This Row],[Média]]-Tabela1[[#This Row],[Meta]])/Tabela1[[#This Row],[Meta]],"")</f>
        <v>1.8749999999999999E-2</v>
      </c>
      <c r="AA801" s="19">
        <f>Tabela1[[#This Row],[Média]]-Tabela1[[#This Row],[Meta]]</f>
        <v>39</v>
      </c>
      <c r="AB801" s="6" t="str">
        <f>VLOOKUP(Tabela1[[#This Row],[SKU]],SKU!A:B,2,0)</f>
        <v>COXA SBCX S/O FG 260-280g PB</v>
      </c>
      <c r="AC801" s="6" t="str">
        <f>VLOOKUP(Tabela1[[#This Row],[SKU]],SKU!A:C,3,0)</f>
        <v>PERNA</v>
      </c>
    </row>
    <row r="802" spans="1:29" x14ac:dyDescent="0.3">
      <c r="A802" s="2">
        <f>INT(Tabela1[[#This Row],[Data e Hora2]])</f>
        <v>46281</v>
      </c>
      <c r="B802" s="6" t="str">
        <f>UPPER(TEXT(Tabela1[[#This Row],[Data Corrigida]],"MMM"))</f>
        <v>SET</v>
      </c>
      <c r="C802" t="s">
        <v>2026</v>
      </c>
      <c r="D802" s="2" t="s">
        <v>2027</v>
      </c>
      <c r="E802" s="1" t="s">
        <v>2015</v>
      </c>
      <c r="F802" t="s">
        <v>24</v>
      </c>
      <c r="G802" s="2" t="s">
        <v>2006</v>
      </c>
      <c r="H802" t="s">
        <v>26</v>
      </c>
      <c r="I802" t="s">
        <v>27</v>
      </c>
      <c r="J802" s="6">
        <v>42846</v>
      </c>
      <c r="K802" s="16">
        <v>2015</v>
      </c>
      <c r="L802" s="16">
        <v>2028</v>
      </c>
      <c r="M802" s="16">
        <v>2021</v>
      </c>
      <c r="N802" s="16">
        <v>2014</v>
      </c>
      <c r="O802" s="16">
        <v>2013</v>
      </c>
      <c r="P802" s="16">
        <v>2008</v>
      </c>
      <c r="Q802" s="16">
        <v>2013</v>
      </c>
      <c r="R802" s="16">
        <v>2011</v>
      </c>
      <c r="S802" s="16">
        <v>2021</v>
      </c>
      <c r="T802" s="16">
        <v>2019</v>
      </c>
      <c r="U802" s="15">
        <v>2016.3</v>
      </c>
      <c r="V802" t="s">
        <v>19</v>
      </c>
      <c r="W802" t="s">
        <v>28</v>
      </c>
      <c r="X802">
        <v>258</v>
      </c>
      <c r="Y802" s="16">
        <f>VLOOKUP(Tabela1[[#This Row],[SKU]],SKU!A:D,4,0)</f>
        <v>2000</v>
      </c>
      <c r="Z802" s="18">
        <f>IFERROR((Tabela1[[#This Row],[Média]]-Tabela1[[#This Row],[Meta]])/Tabela1[[#This Row],[Meta]],"")</f>
        <v>8.1499999999999767E-3</v>
      </c>
      <c r="AA802" s="19">
        <f>Tabela1[[#This Row],[Média]]-Tabela1[[#This Row],[Meta]]</f>
        <v>16.299999999999955</v>
      </c>
      <c r="AB802" s="6" t="str">
        <f>VLOOKUP(Tabela1[[#This Row],[SKU]],SKU!A:B,2,0)</f>
        <v>COXA SBCX S/O FG 240-260g PB</v>
      </c>
      <c r="AC802" s="6" t="str">
        <f>VLOOKUP(Tabela1[[#This Row],[SKU]],SKU!A:C,3,0)</f>
        <v>PERNA</v>
      </c>
    </row>
    <row r="803" spans="1:29" x14ac:dyDescent="0.3">
      <c r="A803" s="2">
        <f>INT(Tabela1[[#This Row],[Data e Hora2]])</f>
        <v>46281</v>
      </c>
      <c r="B803" s="6" t="str">
        <f>UPPER(TEXT(Tabela1[[#This Row],[Data Corrigida]],"MMM"))</f>
        <v>SET</v>
      </c>
      <c r="C803" t="s">
        <v>2028</v>
      </c>
      <c r="D803" s="2" t="s">
        <v>2029</v>
      </c>
      <c r="E803" s="1" t="s">
        <v>2015</v>
      </c>
      <c r="F803" t="s">
        <v>24</v>
      </c>
      <c r="G803" s="2" t="s">
        <v>2006</v>
      </c>
      <c r="H803" t="s">
        <v>26</v>
      </c>
      <c r="I803" t="s">
        <v>27</v>
      </c>
      <c r="J803" s="6">
        <v>42838</v>
      </c>
      <c r="K803" s="16">
        <v>2028</v>
      </c>
      <c r="L803" s="16">
        <v>2057</v>
      </c>
      <c r="M803" s="16">
        <v>2053</v>
      </c>
      <c r="N803" s="16">
        <v>2052</v>
      </c>
      <c r="O803" s="16">
        <v>2002</v>
      </c>
      <c r="P803" s="16">
        <v>1991</v>
      </c>
      <c r="Q803" s="16">
        <v>2009</v>
      </c>
      <c r="R803" s="16">
        <v>2007</v>
      </c>
      <c r="S803" s="16">
        <v>2016</v>
      </c>
      <c r="T803" s="16">
        <v>2046</v>
      </c>
      <c r="U803" s="15">
        <v>2026.1</v>
      </c>
      <c r="V803" t="s">
        <v>19</v>
      </c>
      <c r="W803" t="s">
        <v>19</v>
      </c>
      <c r="X803">
        <v>91</v>
      </c>
      <c r="Y803" s="16">
        <f>VLOOKUP(Tabela1[[#This Row],[SKU]],SKU!A:D,4,0)</f>
        <v>2000</v>
      </c>
      <c r="Z803" s="18">
        <f>IFERROR((Tabela1[[#This Row],[Média]]-Tabela1[[#This Row],[Meta]])/Tabela1[[#This Row],[Meta]],"")</f>
        <v>1.3049999999999954E-2</v>
      </c>
      <c r="AA803" s="19">
        <f>Tabela1[[#This Row],[Média]]-Tabela1[[#This Row],[Meta]]</f>
        <v>26.099999999999909</v>
      </c>
      <c r="AB803" s="6" t="str">
        <f>VLOOKUP(Tabela1[[#This Row],[SKU]],SKU!A:B,2,0)</f>
        <v>COXA SBCX S/O FG 220-240g PB</v>
      </c>
      <c r="AC803" s="6" t="str">
        <f>VLOOKUP(Tabela1[[#This Row],[SKU]],SKU!A:C,3,0)</f>
        <v>PERNA</v>
      </c>
    </row>
    <row r="804" spans="1:29" x14ac:dyDescent="0.3">
      <c r="A804" s="2">
        <f>INT(Tabela1[[#This Row],[Data e Hora2]])</f>
        <v>46281</v>
      </c>
      <c r="B804" s="6" t="str">
        <f>UPPER(TEXT(Tabela1[[#This Row],[Data Corrigida]],"MMM"))</f>
        <v>SET</v>
      </c>
      <c r="C804" t="s">
        <v>2030</v>
      </c>
      <c r="D804" s="2" t="s">
        <v>2031</v>
      </c>
      <c r="E804" s="1" t="s">
        <v>2015</v>
      </c>
      <c r="F804" t="s">
        <v>24</v>
      </c>
      <c r="G804" s="2" t="s">
        <v>2006</v>
      </c>
      <c r="H804" t="s">
        <v>26</v>
      </c>
      <c r="I804" t="s">
        <v>27</v>
      </c>
      <c r="J804" s="6">
        <v>42862</v>
      </c>
      <c r="K804" s="16">
        <v>2024</v>
      </c>
      <c r="L804" s="16">
        <v>2029</v>
      </c>
      <c r="M804" s="16">
        <v>2002</v>
      </c>
      <c r="N804" s="16">
        <v>2022</v>
      </c>
      <c r="O804" s="16">
        <v>2027</v>
      </c>
      <c r="P804" s="16">
        <v>2034</v>
      </c>
      <c r="Q804" s="16">
        <v>2006</v>
      </c>
      <c r="R804" s="16">
        <v>2019</v>
      </c>
      <c r="S804" s="16">
        <v>2036</v>
      </c>
      <c r="T804" s="16">
        <v>2028</v>
      </c>
      <c r="U804" s="15">
        <v>2022.7</v>
      </c>
      <c r="V804" t="s">
        <v>19</v>
      </c>
      <c r="W804" t="s">
        <v>28</v>
      </c>
      <c r="X804">
        <v>244</v>
      </c>
      <c r="Y804" s="16">
        <f>VLOOKUP(Tabela1[[#This Row],[SKU]],SKU!A:D,4,0)</f>
        <v>2000</v>
      </c>
      <c r="Z804" s="18">
        <f>IFERROR((Tabela1[[#This Row],[Média]]-Tabela1[[#This Row],[Meta]])/Tabela1[[#This Row],[Meta]],"")</f>
        <v>1.1350000000000023E-2</v>
      </c>
      <c r="AA804" s="19">
        <f>Tabela1[[#This Row],[Média]]-Tabela1[[#This Row],[Meta]]</f>
        <v>22.700000000000045</v>
      </c>
      <c r="AB804" s="6" t="str">
        <f>VLOOKUP(Tabela1[[#This Row],[SKU]],SKU!A:B,2,0)</f>
        <v>COXA SBCX S/O FG 280-300g PB</v>
      </c>
      <c r="AC804" s="6" t="str">
        <f>VLOOKUP(Tabela1[[#This Row],[SKU]],SKU!A:C,3,0)</f>
        <v>PERNA</v>
      </c>
    </row>
    <row r="805" spans="1:29" x14ac:dyDescent="0.3">
      <c r="A805" s="2">
        <f>INT(Tabela1[[#This Row],[Data e Hora2]])</f>
        <v>46281</v>
      </c>
      <c r="B805" s="6" t="str">
        <f>UPPER(TEXT(Tabela1[[#This Row],[Data Corrigida]],"MMM"))</f>
        <v>SET</v>
      </c>
      <c r="C805" t="s">
        <v>2032</v>
      </c>
      <c r="D805" s="2" t="s">
        <v>2033</v>
      </c>
      <c r="E805" s="1" t="s">
        <v>2015</v>
      </c>
      <c r="F805" t="s">
        <v>24</v>
      </c>
      <c r="G805" s="2" t="s">
        <v>2006</v>
      </c>
      <c r="H805" t="s">
        <v>26</v>
      </c>
      <c r="I805" t="s">
        <v>27</v>
      </c>
      <c r="J805" s="6">
        <v>792799</v>
      </c>
      <c r="K805" s="16">
        <v>15025</v>
      </c>
      <c r="L805" s="16">
        <v>15040</v>
      </c>
      <c r="M805" s="16">
        <v>15055</v>
      </c>
      <c r="N805" s="16">
        <v>15025</v>
      </c>
      <c r="O805" s="16">
        <v>15000</v>
      </c>
      <c r="P805" s="16">
        <v>14990</v>
      </c>
      <c r="Q805" s="16">
        <v>15025</v>
      </c>
      <c r="R805" s="16">
        <v>15045</v>
      </c>
      <c r="S805" s="16">
        <v>15035</v>
      </c>
      <c r="T805" s="16">
        <v>15050</v>
      </c>
      <c r="U805" s="15">
        <v>15029</v>
      </c>
      <c r="V805" t="s">
        <v>19</v>
      </c>
      <c r="W805" t="s">
        <v>28</v>
      </c>
      <c r="X805">
        <v>300</v>
      </c>
      <c r="Y805" s="16">
        <f>VLOOKUP(Tabela1[[#This Row],[SKU]],SKU!A:D,4,0)</f>
        <v>15000</v>
      </c>
      <c r="Z805" s="18">
        <f>IFERROR((Tabela1[[#This Row],[Média]]-Tabela1[[#This Row],[Meta]])/Tabela1[[#This Row],[Meta]],"")</f>
        <v>1.9333333333333333E-3</v>
      </c>
      <c r="AA805" s="19">
        <f>Tabela1[[#This Row],[Média]]-Tabela1[[#This Row],[Meta]]</f>
        <v>29</v>
      </c>
      <c r="AB805" s="6" t="str">
        <f>VLOOKUP(Tabela1[[#This Row],[SKU]],SKU!A:B,2,0)</f>
        <v>ASAS FG 100g UP LP</v>
      </c>
      <c r="AC805" s="6" t="str">
        <f>VLOOKUP(Tabela1[[#This Row],[SKU]],SKU!A:C,3,0)</f>
        <v>ASA</v>
      </c>
    </row>
    <row r="806" spans="1:29" x14ac:dyDescent="0.3">
      <c r="A806" s="2">
        <f>INT(Tabela1[[#This Row],[Data e Hora2]])</f>
        <v>46281</v>
      </c>
      <c r="B806" s="6" t="str">
        <f>UPPER(TEXT(Tabela1[[#This Row],[Data Corrigida]],"MMM"))</f>
        <v>SET</v>
      </c>
      <c r="C806" t="s">
        <v>2034</v>
      </c>
      <c r="D806" s="2" t="s">
        <v>2035</v>
      </c>
      <c r="E806" s="1" t="s">
        <v>2015</v>
      </c>
      <c r="F806" t="s">
        <v>24</v>
      </c>
      <c r="G806" s="2" t="s">
        <v>2006</v>
      </c>
      <c r="H806" t="s">
        <v>26</v>
      </c>
      <c r="I806" t="s">
        <v>27</v>
      </c>
      <c r="J806" s="6">
        <v>15105</v>
      </c>
      <c r="K806" s="16">
        <v>1052</v>
      </c>
      <c r="L806" s="16">
        <v>1008</v>
      </c>
      <c r="M806" s="16">
        <v>1042</v>
      </c>
      <c r="N806" s="16">
        <v>1017</v>
      </c>
      <c r="O806" s="16">
        <v>1003</v>
      </c>
      <c r="P806" s="16">
        <v>1053</v>
      </c>
      <c r="Q806" s="16">
        <v>1013</v>
      </c>
      <c r="R806" s="16">
        <v>1035</v>
      </c>
      <c r="S806" s="16">
        <v>1013</v>
      </c>
      <c r="T806" s="16">
        <v>988</v>
      </c>
      <c r="U806" s="15">
        <v>1022.4</v>
      </c>
      <c r="V806" t="s">
        <v>19</v>
      </c>
      <c r="W806" t="s">
        <v>28</v>
      </c>
      <c r="X806">
        <v>161</v>
      </c>
      <c r="Y806" s="16">
        <f>VLOOKUP(Tabela1[[#This Row],[SKU]],SKU!A:D,4,0)</f>
        <v>1000</v>
      </c>
      <c r="Z806" s="18">
        <f>IFERROR((Tabela1[[#This Row],[Média]]-Tabela1[[#This Row],[Meta]])/Tabela1[[#This Row],[Meta]],"")</f>
        <v>2.2399999999999979E-2</v>
      </c>
      <c r="AA806" s="19">
        <f>Tabela1[[#This Row],[Média]]-Tabela1[[#This Row],[Meta]]</f>
        <v>22.399999999999977</v>
      </c>
      <c r="AB806" s="6" t="str">
        <f>VLOOKUP(Tabela1[[#This Row],[SKU]],SKU!A:B,2,0)</f>
        <v>FILE PEITO MET CG BDJ SE</v>
      </c>
      <c r="AC806" s="6" t="str">
        <f>VLOOKUP(Tabela1[[#This Row],[SKU]],SKU!A:C,3,0)</f>
        <v>PEITO</v>
      </c>
    </row>
    <row r="807" spans="1:29" x14ac:dyDescent="0.3">
      <c r="A807" s="2">
        <f>INT(Tabela1[[#This Row],[Data e Hora2]])</f>
        <v>46281</v>
      </c>
      <c r="B807" s="6" t="str">
        <f>UPPER(TEXT(Tabela1[[#This Row],[Data Corrigida]],"MMM"))</f>
        <v>SET</v>
      </c>
      <c r="C807" t="s">
        <v>2036</v>
      </c>
      <c r="D807" s="2" t="s">
        <v>2037</v>
      </c>
      <c r="E807" s="1" t="s">
        <v>2015</v>
      </c>
      <c r="F807" t="s">
        <v>24</v>
      </c>
      <c r="G807" s="2" t="s">
        <v>2006</v>
      </c>
      <c r="H807" t="s">
        <v>26</v>
      </c>
      <c r="I807" t="s">
        <v>27</v>
      </c>
      <c r="J807" s="6">
        <v>992093</v>
      </c>
      <c r="K807" s="16">
        <v>5007</v>
      </c>
      <c r="L807" s="16">
        <v>5003</v>
      </c>
      <c r="M807" s="16">
        <v>5015</v>
      </c>
      <c r="N807" s="16">
        <v>5012</v>
      </c>
      <c r="O807" s="16">
        <v>5009</v>
      </c>
      <c r="P807" s="16">
        <v>5016</v>
      </c>
      <c r="Q807" s="16">
        <v>5008</v>
      </c>
      <c r="R807" s="16">
        <v>5016</v>
      </c>
      <c r="S807" s="16">
        <v>5003</v>
      </c>
      <c r="T807" s="16">
        <v>5015</v>
      </c>
      <c r="U807" s="15">
        <v>5010.3999999999996</v>
      </c>
      <c r="V807" t="s">
        <v>19</v>
      </c>
      <c r="W807" t="s">
        <v>28</v>
      </c>
      <c r="X807">
        <v>211</v>
      </c>
      <c r="Y807" s="16">
        <f>VLOOKUP(Tabela1[[#This Row],[SKU]],SKU!A:D,4,0)</f>
        <v>5000</v>
      </c>
      <c r="Z807" s="18">
        <f>IFERROR((Tabela1[[#This Row],[Média]]-Tabela1[[#This Row],[Meta]])/Tabela1[[#This Row],[Meta]],"")</f>
        <v>2.0799999999999274E-3</v>
      </c>
      <c r="AA807" s="19">
        <f>Tabela1[[#This Row],[Média]]-Tabela1[[#This Row],[Meta]]</f>
        <v>10.399999999999636</v>
      </c>
      <c r="AB807" s="6" t="str">
        <f>VLOOKUP(Tabela1[[#This Row],[SKU]],SKU!A:B,2,0)</f>
        <v>PONTA ASA FG PB CG</v>
      </c>
      <c r="AC807" s="6" t="str">
        <f>VLOOKUP(Tabela1[[#This Row],[SKU]],SKU!A:C,3,0)</f>
        <v>ASA</v>
      </c>
    </row>
    <row r="808" spans="1:29" x14ac:dyDescent="0.3">
      <c r="A808" s="2">
        <f>INT(Tabela1[[#This Row],[Data e Hora2]])</f>
        <v>46281</v>
      </c>
      <c r="B808" s="6" t="str">
        <f>UPPER(TEXT(Tabela1[[#This Row],[Data Corrigida]],"MMM"))</f>
        <v>SET</v>
      </c>
      <c r="C808" t="s">
        <v>2038</v>
      </c>
      <c r="D808" s="2" t="s">
        <v>2039</v>
      </c>
      <c r="E808" s="1" t="s">
        <v>2040</v>
      </c>
      <c r="F808" t="s">
        <v>24</v>
      </c>
      <c r="G808" s="2" t="s">
        <v>2006</v>
      </c>
      <c r="H808" t="s">
        <v>26</v>
      </c>
      <c r="I808" t="s">
        <v>57</v>
      </c>
      <c r="J808" s="6">
        <v>42846</v>
      </c>
      <c r="K808" s="16">
        <v>1997</v>
      </c>
      <c r="L808" s="16">
        <v>2002</v>
      </c>
      <c r="M808" s="16">
        <v>2007</v>
      </c>
      <c r="N808" s="16">
        <v>2024</v>
      </c>
      <c r="O808" s="16">
        <v>2017</v>
      </c>
      <c r="P808" s="16">
        <v>2008</v>
      </c>
      <c r="Q808" s="16">
        <v>2024</v>
      </c>
      <c r="R808" s="16">
        <v>1739</v>
      </c>
      <c r="S808" s="16">
        <v>2002</v>
      </c>
      <c r="T808" s="16">
        <v>2018</v>
      </c>
      <c r="U808" s="15">
        <v>1983.8</v>
      </c>
      <c r="V808" t="s">
        <v>19</v>
      </c>
      <c r="W808" t="s">
        <v>28</v>
      </c>
      <c r="X808">
        <v>311</v>
      </c>
      <c r="Y808" s="16">
        <f>VLOOKUP(Tabela1[[#This Row],[SKU]],SKU!A:D,4,0)</f>
        <v>2000</v>
      </c>
      <c r="Z808" s="18">
        <f>IFERROR((Tabela1[[#This Row],[Média]]-Tabela1[[#This Row],[Meta]])/Tabela1[[#This Row],[Meta]],"")</f>
        <v>-8.1000000000000221E-3</v>
      </c>
      <c r="AA808" s="19">
        <f>Tabela1[[#This Row],[Média]]-Tabela1[[#This Row],[Meta]]</f>
        <v>-16.200000000000045</v>
      </c>
      <c r="AB808" s="6" t="str">
        <f>VLOOKUP(Tabela1[[#This Row],[SKU]],SKU!A:B,2,0)</f>
        <v>COXA SBCX S/O FG 240-260g PB</v>
      </c>
      <c r="AC808" s="6" t="str">
        <f>VLOOKUP(Tabela1[[#This Row],[SKU]],SKU!A:C,3,0)</f>
        <v>PERNA</v>
      </c>
    </row>
    <row r="809" spans="1:29" x14ac:dyDescent="0.3">
      <c r="A809" s="2">
        <f>INT(Tabela1[[#This Row],[Data e Hora2]])</f>
        <v>46281</v>
      </c>
      <c r="B809" s="6" t="str">
        <f>UPPER(TEXT(Tabela1[[#This Row],[Data Corrigida]],"MMM"))</f>
        <v>SET</v>
      </c>
      <c r="C809" t="s">
        <v>2041</v>
      </c>
      <c r="D809" s="2" t="s">
        <v>2042</v>
      </c>
      <c r="E809" s="1" t="s">
        <v>2043</v>
      </c>
      <c r="F809" t="s">
        <v>24</v>
      </c>
      <c r="G809" s="2" t="s">
        <v>2006</v>
      </c>
      <c r="H809" t="s">
        <v>26</v>
      </c>
      <c r="I809" t="s">
        <v>57</v>
      </c>
      <c r="J809" s="6">
        <v>42854</v>
      </c>
      <c r="K809" s="16">
        <v>2099</v>
      </c>
      <c r="L809" s="16">
        <v>2050</v>
      </c>
      <c r="M809" s="16">
        <v>2093</v>
      </c>
      <c r="N809" s="16">
        <v>2106</v>
      </c>
      <c r="O809" s="16">
        <v>2031</v>
      </c>
      <c r="P809" s="16">
        <v>2088</v>
      </c>
      <c r="Q809" s="16">
        <v>2060</v>
      </c>
      <c r="R809" s="16">
        <v>2078</v>
      </c>
      <c r="S809" s="16">
        <v>2092</v>
      </c>
      <c r="T809" s="16">
        <v>2085</v>
      </c>
      <c r="U809" s="15">
        <v>2078.1999999999998</v>
      </c>
      <c r="V809" t="s">
        <v>19</v>
      </c>
      <c r="W809" t="s">
        <v>28</v>
      </c>
      <c r="X809">
        <v>337</v>
      </c>
      <c r="Y809" s="16">
        <f>VLOOKUP(Tabela1[[#This Row],[SKU]],SKU!A:D,4,0)</f>
        <v>2080</v>
      </c>
      <c r="Z809" s="18">
        <f>IFERROR((Tabela1[[#This Row],[Média]]-Tabela1[[#This Row],[Meta]])/Tabela1[[#This Row],[Meta]],"")</f>
        <v>-8.653846153847028E-4</v>
      </c>
      <c r="AA809" s="19">
        <f>Tabela1[[#This Row],[Média]]-Tabela1[[#This Row],[Meta]]</f>
        <v>-1.8000000000001819</v>
      </c>
      <c r="AB809" s="6" t="str">
        <f>VLOOKUP(Tabela1[[#This Row],[SKU]],SKU!A:B,2,0)</f>
        <v>COXA SBCX S/O FG 260-280g PB</v>
      </c>
      <c r="AC809" s="6" t="str">
        <f>VLOOKUP(Tabela1[[#This Row],[SKU]],SKU!A:C,3,0)</f>
        <v>PERNA</v>
      </c>
    </row>
    <row r="810" spans="1:29" x14ac:dyDescent="0.3">
      <c r="A810" s="2">
        <f>INT(Tabela1[[#This Row],[Data e Hora2]])</f>
        <v>46281</v>
      </c>
      <c r="B810" s="6" t="str">
        <f>UPPER(TEXT(Tabela1[[#This Row],[Data Corrigida]],"MMM"))</f>
        <v>SET</v>
      </c>
      <c r="C810" t="s">
        <v>2044</v>
      </c>
      <c r="D810" s="2" t="s">
        <v>2045</v>
      </c>
      <c r="E810" s="1" t="s">
        <v>2043</v>
      </c>
      <c r="F810" t="s">
        <v>24</v>
      </c>
      <c r="G810" s="2" t="s">
        <v>2006</v>
      </c>
      <c r="H810" t="s">
        <v>26</v>
      </c>
      <c r="I810" t="s">
        <v>57</v>
      </c>
      <c r="J810" s="6">
        <v>42811</v>
      </c>
      <c r="K810" s="16">
        <v>2019</v>
      </c>
      <c r="L810" s="16">
        <v>2000</v>
      </c>
      <c r="M810" s="16">
        <v>2018</v>
      </c>
      <c r="N810" s="16">
        <v>1807</v>
      </c>
      <c r="O810" s="16">
        <v>2002</v>
      </c>
      <c r="P810" s="16">
        <v>2068</v>
      </c>
      <c r="Q810" s="16">
        <v>2072</v>
      </c>
      <c r="R810" s="16">
        <v>2079</v>
      </c>
      <c r="S810" s="16">
        <v>2084</v>
      </c>
      <c r="T810" s="16">
        <v>2099</v>
      </c>
      <c r="U810" s="15">
        <v>2024.8</v>
      </c>
      <c r="V810" t="s">
        <v>19</v>
      </c>
      <c r="W810" t="s">
        <v>28</v>
      </c>
      <c r="X810">
        <v>385</v>
      </c>
      <c r="Y810" s="16">
        <f>VLOOKUP(Tabela1[[#This Row],[SKU]],SKU!A:D,4,0)</f>
        <v>2000</v>
      </c>
      <c r="Z810" s="18">
        <f>IFERROR((Tabela1[[#This Row],[Média]]-Tabela1[[#This Row],[Meta]])/Tabela1[[#This Row],[Meta]],"")</f>
        <v>1.2399999999999977E-2</v>
      </c>
      <c r="AA810" s="19">
        <f>Tabela1[[#This Row],[Média]]-Tabela1[[#This Row],[Meta]]</f>
        <v>24.799999999999955</v>
      </c>
      <c r="AB810" s="6" t="str">
        <f>VLOOKUP(Tabela1[[#This Row],[SKU]],SKU!A:B,2,0)</f>
        <v>COXA SBCX S/O FG 180-200g PB</v>
      </c>
      <c r="AC810" s="6" t="str">
        <f>VLOOKUP(Tabela1[[#This Row],[SKU]],SKU!A:C,3,0)</f>
        <v>PERNA</v>
      </c>
    </row>
    <row r="811" spans="1:29" x14ac:dyDescent="0.3">
      <c r="A811" s="2">
        <f>INT(Tabela1[[#This Row],[Data e Hora2]])</f>
        <v>46281</v>
      </c>
      <c r="B811" s="6" t="str">
        <f>UPPER(TEXT(Tabela1[[#This Row],[Data Corrigida]],"MMM"))</f>
        <v>SET</v>
      </c>
      <c r="C811" t="s">
        <v>2046</v>
      </c>
      <c r="D811" s="2" t="s">
        <v>2047</v>
      </c>
      <c r="E811" s="1" t="s">
        <v>2043</v>
      </c>
      <c r="F811" t="s">
        <v>24</v>
      </c>
      <c r="G811" s="2" t="s">
        <v>2006</v>
      </c>
      <c r="H811" t="s">
        <v>26</v>
      </c>
      <c r="I811" t="s">
        <v>57</v>
      </c>
      <c r="J811" s="6">
        <v>864048</v>
      </c>
      <c r="K811" s="16">
        <v>2002</v>
      </c>
      <c r="L811" s="16">
        <v>2020</v>
      </c>
      <c r="M811" s="16">
        <v>1998</v>
      </c>
      <c r="N811" s="16">
        <v>2019</v>
      </c>
      <c r="O811" s="16">
        <v>2103</v>
      </c>
      <c r="P811" s="16">
        <v>1983</v>
      </c>
      <c r="Q811" s="16">
        <v>1998</v>
      </c>
      <c r="R811" s="16">
        <v>2091</v>
      </c>
      <c r="S811" s="16">
        <v>1969</v>
      </c>
      <c r="T811" s="16">
        <v>2112</v>
      </c>
      <c r="U811" s="15">
        <v>2029.5</v>
      </c>
      <c r="V811" t="s">
        <v>19</v>
      </c>
      <c r="W811" t="s">
        <v>28</v>
      </c>
      <c r="X811">
        <v>724</v>
      </c>
      <c r="Y811" s="16">
        <f>VLOOKUP(Tabela1[[#This Row],[SKU]],SKU!A:D,4,0)</f>
        <v>2000</v>
      </c>
      <c r="Z811" s="18">
        <f>IFERROR((Tabela1[[#This Row],[Média]]-Tabela1[[#This Row],[Meta]])/Tabela1[[#This Row],[Meta]],"")</f>
        <v>1.4749999999999999E-2</v>
      </c>
      <c r="AA811" s="19">
        <f>Tabela1[[#This Row],[Média]]-Tabela1[[#This Row],[Meta]]</f>
        <v>29.5</v>
      </c>
      <c r="AB811" s="6" t="str">
        <f>VLOOKUP(Tabela1[[#This Row],[SKU]],SKU!A:B,2,0)</f>
        <v>COXA SBCX S/O 200g FG UP PB</v>
      </c>
      <c r="AC811" s="6" t="str">
        <f>VLOOKUP(Tabela1[[#This Row],[SKU]],SKU!A:C,3,0)</f>
        <v>PERNA</v>
      </c>
    </row>
    <row r="812" spans="1:29" x14ac:dyDescent="0.3">
      <c r="A812" s="2">
        <f>INT(Tabela1[[#This Row],[Data e Hora2]])</f>
        <v>46281</v>
      </c>
      <c r="B812" s="6" t="str">
        <f>UPPER(TEXT(Tabela1[[#This Row],[Data Corrigida]],"MMM"))</f>
        <v>SET</v>
      </c>
      <c r="C812" t="s">
        <v>2048</v>
      </c>
      <c r="D812" s="2" t="s">
        <v>2049</v>
      </c>
      <c r="E812" s="1" t="s">
        <v>2050</v>
      </c>
      <c r="F812" t="s">
        <v>24</v>
      </c>
      <c r="G812" s="2" t="s">
        <v>2006</v>
      </c>
      <c r="H812" t="s">
        <v>26</v>
      </c>
      <c r="I812" t="s">
        <v>57</v>
      </c>
      <c r="J812" s="6">
        <v>15105</v>
      </c>
      <c r="K812" s="16">
        <v>1011</v>
      </c>
      <c r="L812" s="16">
        <v>1020</v>
      </c>
      <c r="M812" s="16">
        <v>1012</v>
      </c>
      <c r="N812" s="16">
        <v>872</v>
      </c>
      <c r="O812" s="16">
        <v>1000</v>
      </c>
      <c r="P812" s="16">
        <v>1009</v>
      </c>
      <c r="Q812" s="16">
        <v>1019</v>
      </c>
      <c r="R812" s="16">
        <v>1030</v>
      </c>
      <c r="S812" s="16">
        <v>996</v>
      </c>
      <c r="T812" s="16">
        <v>970</v>
      </c>
      <c r="U812" s="15">
        <v>993.9</v>
      </c>
      <c r="V812" t="s">
        <v>19</v>
      </c>
      <c r="W812" t="s">
        <v>28</v>
      </c>
      <c r="X812">
        <v>235</v>
      </c>
      <c r="Y812" s="16">
        <f>VLOOKUP(Tabela1[[#This Row],[SKU]],SKU!A:D,4,0)</f>
        <v>1000</v>
      </c>
      <c r="Z812" s="18">
        <f>IFERROR((Tabela1[[#This Row],[Média]]-Tabela1[[#This Row],[Meta]])/Tabela1[[#This Row],[Meta]],"")</f>
        <v>-6.1000000000000229E-3</v>
      </c>
      <c r="AA812" s="19">
        <f>Tabela1[[#This Row],[Média]]-Tabela1[[#This Row],[Meta]]</f>
        <v>-6.1000000000000227</v>
      </c>
      <c r="AB812" s="6" t="str">
        <f>VLOOKUP(Tabela1[[#This Row],[SKU]],SKU!A:B,2,0)</f>
        <v>FILE PEITO MET CG BDJ SE</v>
      </c>
      <c r="AC812" s="6" t="str">
        <f>VLOOKUP(Tabela1[[#This Row],[SKU]],SKU!A:C,3,0)</f>
        <v>PEITO</v>
      </c>
    </row>
    <row r="813" spans="1:29" x14ac:dyDescent="0.3">
      <c r="A813" s="2">
        <f>INT(Tabela1[[#This Row],[Data e Hora2]])</f>
        <v>46281</v>
      </c>
      <c r="B813" s="6" t="str">
        <f>UPPER(TEXT(Tabela1[[#This Row],[Data Corrigida]],"MMM"))</f>
        <v>SET</v>
      </c>
      <c r="C813" t="s">
        <v>2051</v>
      </c>
      <c r="D813" s="2" t="s">
        <v>2052</v>
      </c>
      <c r="E813" s="1" t="s">
        <v>2050</v>
      </c>
      <c r="F813" t="s">
        <v>24</v>
      </c>
      <c r="G813" s="2" t="s">
        <v>2006</v>
      </c>
      <c r="H813" t="s">
        <v>26</v>
      </c>
      <c r="I813" t="s">
        <v>57</v>
      </c>
      <c r="J813" s="6">
        <v>40762</v>
      </c>
      <c r="K813" s="16">
        <v>10025</v>
      </c>
      <c r="L813" s="16">
        <v>10130</v>
      </c>
      <c r="M813" s="16">
        <v>10085</v>
      </c>
      <c r="N813" s="16">
        <v>10050</v>
      </c>
      <c r="O813" s="16">
        <v>10035</v>
      </c>
      <c r="P813" s="16">
        <v>10010</v>
      </c>
      <c r="Q813" s="16">
        <v>10000</v>
      </c>
      <c r="R813" s="16">
        <v>10035</v>
      </c>
      <c r="S813" s="16">
        <v>9995</v>
      </c>
      <c r="T813" s="16">
        <v>10040</v>
      </c>
      <c r="U813" s="15">
        <v>10040.5</v>
      </c>
      <c r="V813" t="s">
        <v>19</v>
      </c>
      <c r="W813" t="s">
        <v>28</v>
      </c>
      <c r="X813">
        <v>4071</v>
      </c>
      <c r="Y813" s="16">
        <f>VLOOKUP(Tabela1[[#This Row],[SKU]],SKU!A:D,4,0)</f>
        <v>10000</v>
      </c>
      <c r="Z813" s="18">
        <f>IFERROR((Tabela1[[#This Row],[Média]]-Tabela1[[#This Row],[Meta]])/Tabela1[[#This Row],[Meta]],"")</f>
        <v>4.0499999999999998E-3</v>
      </c>
      <c r="AA813" s="19">
        <f>Tabela1[[#This Row],[Média]]-Tabela1[[#This Row],[Meta]]</f>
        <v>40.5</v>
      </c>
      <c r="AB813" s="6" t="str">
        <f>VLOOKUP(Tabela1[[#This Row],[SKU]],SKU!A:B,2,0)</f>
        <v>COXA SBCX LQ FG LP</v>
      </c>
      <c r="AC813" s="6" t="str">
        <f>VLOOKUP(Tabela1[[#This Row],[SKU]],SKU!A:C,3,0)</f>
        <v>PERNA</v>
      </c>
    </row>
    <row r="814" spans="1:29" x14ac:dyDescent="0.3">
      <c r="A814" s="2">
        <f>INT(Tabela1[[#This Row],[Data e Hora2]])</f>
        <v>46280</v>
      </c>
      <c r="B814" s="6" t="str">
        <f>UPPER(TEXT(Tabela1[[#This Row],[Data Corrigida]],"MMM"))</f>
        <v>SET</v>
      </c>
      <c r="C814" t="s">
        <v>2053</v>
      </c>
      <c r="D814" s="2" t="s">
        <v>2054</v>
      </c>
      <c r="E814" s="1" t="s">
        <v>2050</v>
      </c>
      <c r="F814" t="s">
        <v>24</v>
      </c>
      <c r="G814" s="2" t="s">
        <v>1904</v>
      </c>
      <c r="H814" t="s">
        <v>26</v>
      </c>
      <c r="I814" t="s">
        <v>57</v>
      </c>
      <c r="J814" s="6">
        <v>15105</v>
      </c>
      <c r="K814" s="16">
        <v>1009</v>
      </c>
      <c r="L814" s="16">
        <v>998</v>
      </c>
      <c r="M814" s="16">
        <v>1009</v>
      </c>
      <c r="N814" s="16">
        <v>1005</v>
      </c>
      <c r="O814" s="16">
        <v>1000</v>
      </c>
      <c r="P814" s="16">
        <v>1012</v>
      </c>
      <c r="Q814" s="16">
        <v>1039</v>
      </c>
      <c r="R814" s="16">
        <v>990</v>
      </c>
      <c r="S814" s="16">
        <v>995</v>
      </c>
      <c r="T814" s="16">
        <v>1005</v>
      </c>
      <c r="U814" s="15">
        <v>1006.2</v>
      </c>
      <c r="V814" t="s">
        <v>19</v>
      </c>
      <c r="W814" t="s">
        <v>28</v>
      </c>
      <c r="X814">
        <v>145</v>
      </c>
      <c r="Y814" s="16">
        <f>VLOOKUP(Tabela1[[#This Row],[SKU]],SKU!A:D,4,0)</f>
        <v>1000</v>
      </c>
      <c r="Z814" s="18">
        <f>IFERROR((Tabela1[[#This Row],[Média]]-Tabela1[[#This Row],[Meta]])/Tabela1[[#This Row],[Meta]],"")</f>
        <v>6.2000000000000458E-3</v>
      </c>
      <c r="AA814" s="19">
        <f>Tabela1[[#This Row],[Média]]-Tabela1[[#This Row],[Meta]]</f>
        <v>6.2000000000000455</v>
      </c>
      <c r="AB814" s="6" t="str">
        <f>VLOOKUP(Tabela1[[#This Row],[SKU]],SKU!A:B,2,0)</f>
        <v>FILE PEITO MET CG BDJ SE</v>
      </c>
      <c r="AC814" s="6" t="str">
        <f>VLOOKUP(Tabela1[[#This Row],[SKU]],SKU!A:C,3,0)</f>
        <v>PEITO</v>
      </c>
    </row>
    <row r="815" spans="1:29" x14ac:dyDescent="0.3">
      <c r="A815" s="2">
        <f>INT(Tabela1[[#This Row],[Data e Hora2]])</f>
        <v>46281</v>
      </c>
      <c r="B815" s="6" t="str">
        <f>UPPER(TEXT(Tabela1[[#This Row],[Data Corrigida]],"MMM"))</f>
        <v>SET</v>
      </c>
      <c r="C815" t="s">
        <v>2055</v>
      </c>
      <c r="D815" s="2" t="s">
        <v>2056</v>
      </c>
      <c r="E815" s="1" t="s">
        <v>2057</v>
      </c>
      <c r="F815" t="s">
        <v>24</v>
      </c>
      <c r="G815" s="2" t="s">
        <v>2006</v>
      </c>
      <c r="H815" t="s">
        <v>142</v>
      </c>
      <c r="I815" t="s">
        <v>143</v>
      </c>
      <c r="J815" s="6">
        <v>197734</v>
      </c>
      <c r="K815" s="16">
        <v>1022</v>
      </c>
      <c r="L815" s="16">
        <v>1003</v>
      </c>
      <c r="M815" s="16">
        <v>1039</v>
      </c>
      <c r="N815" s="16">
        <v>1006</v>
      </c>
      <c r="O815" s="16">
        <v>1015</v>
      </c>
      <c r="P815" s="16">
        <v>1006</v>
      </c>
      <c r="Q815" s="16">
        <v>1011</v>
      </c>
      <c r="R815" s="16">
        <v>1007</v>
      </c>
      <c r="S815" s="16">
        <v>1009</v>
      </c>
      <c r="T815" s="16">
        <v>1011</v>
      </c>
      <c r="U815" s="15">
        <v>1012.9</v>
      </c>
      <c r="V815" t="s">
        <v>19</v>
      </c>
      <c r="W815" t="s">
        <v>28</v>
      </c>
      <c r="X815">
        <v>127</v>
      </c>
      <c r="Y815" s="16">
        <f>VLOOKUP(Tabela1[[#This Row],[SKU]],SKU!A:D,4,0)</f>
        <v>1000</v>
      </c>
      <c r="Z815" s="18">
        <f>IFERROR((Tabela1[[#This Row],[Média]]-Tabela1[[#This Row],[Meta]])/Tabela1[[#This Row],[Meta]],"")</f>
        <v>1.2899999999999977E-2</v>
      </c>
      <c r="AA815" s="19">
        <f>Tabela1[[#This Row],[Média]]-Tabela1[[#This Row],[Meta]]</f>
        <v>12.899999999999977</v>
      </c>
      <c r="AB815" s="6" t="str">
        <f>VLOOKUP(Tabela1[[#This Row],[SKU]],SKU!A:B,2,0)</f>
        <v>FILEZINHO FRANGO IQF ALM SE</v>
      </c>
      <c r="AC815" s="6" t="str">
        <f>VLOOKUP(Tabela1[[#This Row],[SKU]],SKU!A:C,3,0)</f>
        <v>SASSAMI</v>
      </c>
    </row>
    <row r="816" spans="1:29" x14ac:dyDescent="0.3">
      <c r="A816" s="2">
        <f>INT(Tabela1[[#This Row],[Data e Hora2]])</f>
        <v>46281</v>
      </c>
      <c r="B816" s="6" t="str">
        <f>UPPER(TEXT(Tabela1[[#This Row],[Data Corrigida]],"MMM"))</f>
        <v>SET</v>
      </c>
      <c r="C816" t="s">
        <v>2058</v>
      </c>
      <c r="D816" s="2" t="s">
        <v>2059</v>
      </c>
      <c r="E816" s="1" t="s">
        <v>2057</v>
      </c>
      <c r="F816" t="s">
        <v>24</v>
      </c>
      <c r="G816" s="2" t="s">
        <v>2006</v>
      </c>
      <c r="H816" t="s">
        <v>142</v>
      </c>
      <c r="I816" t="s">
        <v>143</v>
      </c>
      <c r="J816" s="6">
        <v>15105</v>
      </c>
      <c r="K816" s="16">
        <v>996</v>
      </c>
      <c r="L816" s="16">
        <v>1017</v>
      </c>
      <c r="M816" s="16">
        <v>1021</v>
      </c>
      <c r="N816" s="16">
        <v>1025</v>
      </c>
      <c r="O816" s="16">
        <v>1018</v>
      </c>
      <c r="P816" s="16">
        <v>1023</v>
      </c>
      <c r="Q816" s="16">
        <v>1023</v>
      </c>
      <c r="R816" s="16">
        <v>982</v>
      </c>
      <c r="S816" s="16">
        <v>1018</v>
      </c>
      <c r="T816" s="16">
        <v>1023</v>
      </c>
      <c r="U816" s="15">
        <v>1014.6</v>
      </c>
      <c r="V816" t="s">
        <v>19</v>
      </c>
      <c r="W816" t="s">
        <v>28</v>
      </c>
      <c r="X816">
        <v>194</v>
      </c>
      <c r="Y816" s="16">
        <f>VLOOKUP(Tabela1[[#This Row],[SKU]],SKU!A:D,4,0)</f>
        <v>1000</v>
      </c>
      <c r="Z816" s="18">
        <f>IFERROR((Tabela1[[#This Row],[Média]]-Tabela1[[#This Row],[Meta]])/Tabela1[[#This Row],[Meta]],"")</f>
        <v>1.4600000000000023E-2</v>
      </c>
      <c r="AA816" s="19">
        <f>Tabela1[[#This Row],[Média]]-Tabela1[[#This Row],[Meta]]</f>
        <v>14.600000000000023</v>
      </c>
      <c r="AB816" s="6" t="str">
        <f>VLOOKUP(Tabela1[[#This Row],[SKU]],SKU!A:B,2,0)</f>
        <v>FILE PEITO MET CG BDJ SE</v>
      </c>
      <c r="AC816" s="6" t="str">
        <f>VLOOKUP(Tabela1[[#This Row],[SKU]],SKU!A:C,3,0)</f>
        <v>PEITO</v>
      </c>
    </row>
    <row r="817" spans="1:29" x14ac:dyDescent="0.3">
      <c r="A817" s="2">
        <f>INT(Tabela1[[#This Row],[Data e Hora2]])</f>
        <v>46281</v>
      </c>
      <c r="B817" s="6" t="str">
        <f>UPPER(TEXT(Tabela1[[#This Row],[Data Corrigida]],"MMM"))</f>
        <v>SET</v>
      </c>
      <c r="C817" t="s">
        <v>2060</v>
      </c>
      <c r="D817" s="2" t="s">
        <v>2061</v>
      </c>
      <c r="E817" s="1" t="s">
        <v>2057</v>
      </c>
      <c r="F817" t="s">
        <v>24</v>
      </c>
      <c r="G817" s="2" t="s">
        <v>2006</v>
      </c>
      <c r="H817" t="s">
        <v>142</v>
      </c>
      <c r="I817" t="s">
        <v>143</v>
      </c>
      <c r="J817" s="6">
        <v>864048</v>
      </c>
      <c r="K817" s="16">
        <v>2045</v>
      </c>
      <c r="L817" s="16">
        <v>2040</v>
      </c>
      <c r="M817" s="16">
        <v>1990</v>
      </c>
      <c r="N817" s="16">
        <v>2041</v>
      </c>
      <c r="O817" s="16">
        <v>1991</v>
      </c>
      <c r="P817" s="16">
        <v>2029</v>
      </c>
      <c r="Q817" s="16">
        <v>2049</v>
      </c>
      <c r="R817" s="16">
        <v>1981</v>
      </c>
      <c r="S817" s="16">
        <v>1979</v>
      </c>
      <c r="T817" s="16">
        <v>2018</v>
      </c>
      <c r="U817" s="15">
        <v>2016.3</v>
      </c>
      <c r="V817" t="s">
        <v>19</v>
      </c>
      <c r="W817" t="s">
        <v>28</v>
      </c>
      <c r="X817">
        <v>370</v>
      </c>
      <c r="Y817" s="16">
        <f>VLOOKUP(Tabela1[[#This Row],[SKU]],SKU!A:D,4,0)</f>
        <v>2000</v>
      </c>
      <c r="Z817" s="18">
        <f>IFERROR((Tabela1[[#This Row],[Média]]-Tabela1[[#This Row],[Meta]])/Tabela1[[#This Row],[Meta]],"")</f>
        <v>8.1499999999999767E-3</v>
      </c>
      <c r="AA817" s="19">
        <f>Tabela1[[#This Row],[Média]]-Tabela1[[#This Row],[Meta]]</f>
        <v>16.299999999999955</v>
      </c>
      <c r="AB817" s="6" t="str">
        <f>VLOOKUP(Tabela1[[#This Row],[SKU]],SKU!A:B,2,0)</f>
        <v>COXA SBCX S/O 200g FG UP PB</v>
      </c>
      <c r="AC817" s="6" t="str">
        <f>VLOOKUP(Tabela1[[#This Row],[SKU]],SKU!A:C,3,0)</f>
        <v>PERNA</v>
      </c>
    </row>
    <row r="818" spans="1:29" x14ac:dyDescent="0.3">
      <c r="A818" s="2">
        <f>INT(Tabela1[[#This Row],[Data e Hora2]])</f>
        <v>46283</v>
      </c>
      <c r="B818" s="6" t="str">
        <f>UPPER(TEXT(Tabela1[[#This Row],[Data Corrigida]],"MMM"))</f>
        <v>SET</v>
      </c>
      <c r="C818" t="s">
        <v>2062</v>
      </c>
      <c r="D818" s="2" t="s">
        <v>2063</v>
      </c>
      <c r="E818" s="1" t="s">
        <v>2064</v>
      </c>
      <c r="F818" t="s">
        <v>24</v>
      </c>
      <c r="G818" s="2" t="s">
        <v>2065</v>
      </c>
      <c r="H818" t="s">
        <v>26</v>
      </c>
      <c r="I818" t="s">
        <v>27</v>
      </c>
      <c r="J818" s="6">
        <v>13188</v>
      </c>
      <c r="K818" s="16">
        <v>1012</v>
      </c>
      <c r="L818" s="16">
        <v>1024</v>
      </c>
      <c r="M818" s="16">
        <v>1018</v>
      </c>
      <c r="N818" s="16">
        <v>1002</v>
      </c>
      <c r="O818" s="16">
        <v>1016</v>
      </c>
      <c r="P818" s="16">
        <v>998</v>
      </c>
      <c r="Q818" s="16">
        <v>1005</v>
      </c>
      <c r="R818" s="16">
        <v>996</v>
      </c>
      <c r="S818" s="16">
        <v>1007</v>
      </c>
      <c r="T818" s="16">
        <v>1008</v>
      </c>
      <c r="U818" s="15">
        <v>1008.6</v>
      </c>
      <c r="V818" t="s">
        <v>19</v>
      </c>
      <c r="W818" t="s">
        <v>28</v>
      </c>
      <c r="X818">
        <v>107</v>
      </c>
      <c r="Y818" s="16">
        <f>VLOOKUP(Tabela1[[#This Row],[SKU]],SKU!A:D,4,0)</f>
        <v>1000</v>
      </c>
      <c r="Z818" s="18">
        <f>IFERROR((Tabela1[[#This Row],[Média]]-Tabela1[[#This Row],[Meta]])/Tabela1[[#This Row],[Meta]],"")</f>
        <v>8.6000000000000226E-3</v>
      </c>
      <c r="AA818" s="29">
        <f>Tabela1[[#This Row],[Média]]-Tabela1[[#This Row],[Meta]]</f>
        <v>8.6000000000000227</v>
      </c>
      <c r="AB818" s="6" t="str">
        <f>VLOOKUP(Tabela1[[#This Row],[SKU]],SKU!A:B,2,0)</f>
        <v>SOBRECOXA CG BDJ SE</v>
      </c>
      <c r="AC818" s="6" t="str">
        <f>VLOOKUP(Tabela1[[#This Row],[SKU]],SKU!A:C,3,0)</f>
        <v>PERNA</v>
      </c>
    </row>
    <row r="819" spans="1:29" x14ac:dyDescent="0.3">
      <c r="A819" s="2">
        <f>INT(Tabela1[[#This Row],[Data e Hora2]])</f>
        <v>46283</v>
      </c>
      <c r="B819" s="6" t="str">
        <f>UPPER(TEXT(Tabela1[[#This Row],[Data Corrigida]],"MMM"))</f>
        <v>SET</v>
      </c>
      <c r="C819" t="s">
        <v>2066</v>
      </c>
      <c r="D819" s="2" t="s">
        <v>2067</v>
      </c>
      <c r="E819" s="1" t="s">
        <v>2064</v>
      </c>
      <c r="F819" t="s">
        <v>24</v>
      </c>
      <c r="G819" s="2" t="s">
        <v>2065</v>
      </c>
      <c r="H819" t="s">
        <v>26</v>
      </c>
      <c r="I819" t="s">
        <v>27</v>
      </c>
      <c r="J819" s="6">
        <v>209319</v>
      </c>
      <c r="K819" s="16">
        <v>1027</v>
      </c>
      <c r="L819" s="16">
        <v>1009</v>
      </c>
      <c r="M819" s="16">
        <v>1052</v>
      </c>
      <c r="N819" s="16">
        <v>1004</v>
      </c>
      <c r="O819" s="16">
        <v>999</v>
      </c>
      <c r="P819" s="16">
        <v>1046</v>
      </c>
      <c r="Q819" s="16">
        <v>996</v>
      </c>
      <c r="R819" s="16">
        <v>1011</v>
      </c>
      <c r="S819" s="16">
        <v>1022</v>
      </c>
      <c r="T819" s="16">
        <v>1025</v>
      </c>
      <c r="U819" s="15">
        <v>1019.1</v>
      </c>
      <c r="V819" t="s">
        <v>19</v>
      </c>
      <c r="W819" t="s">
        <v>28</v>
      </c>
      <c r="X819">
        <v>2719</v>
      </c>
      <c r="Y819" s="16">
        <f>VLOOKUP(Tabela1[[#This Row],[SKU]],SKU!A:D,4,0)</f>
        <v>1000</v>
      </c>
      <c r="Z819" s="18">
        <f>IFERROR((Tabela1[[#This Row],[Média]]-Tabela1[[#This Row],[Meta]])/Tabela1[[#This Row],[Meta]],"")</f>
        <v>1.9100000000000023E-2</v>
      </c>
      <c r="AA819" s="29">
        <f>Tabela1[[#This Row],[Média]]-Tabela1[[#This Row],[Meta]]</f>
        <v>19.100000000000023</v>
      </c>
      <c r="AB819" s="6" t="str">
        <f>VLOOKUP(Tabela1[[#This Row],[SKU]],SKU!A:B,2,0)</f>
        <v>SOBRECOXA IQF ALM 1KG</v>
      </c>
      <c r="AC819" s="6" t="str">
        <f>VLOOKUP(Tabela1[[#This Row],[SKU]],SKU!A:C,3,0)</f>
        <v>PERNA</v>
      </c>
    </row>
    <row r="820" spans="1:29" x14ac:dyDescent="0.3">
      <c r="A820" s="2">
        <f>INT(Tabela1[[#This Row],[Data e Hora2]])</f>
        <v>46283</v>
      </c>
      <c r="B820" s="6" t="str">
        <f>UPPER(TEXT(Tabela1[[#This Row],[Data Corrigida]],"MMM"))</f>
        <v>SET</v>
      </c>
      <c r="C820" t="s">
        <v>2068</v>
      </c>
      <c r="D820" s="2" t="s">
        <v>2069</v>
      </c>
      <c r="E820" s="1" t="s">
        <v>2064</v>
      </c>
      <c r="F820" t="s">
        <v>24</v>
      </c>
      <c r="G820" s="2" t="s">
        <v>2065</v>
      </c>
      <c r="H820" t="s">
        <v>26</v>
      </c>
      <c r="I820" t="s">
        <v>27</v>
      </c>
      <c r="J820" s="6">
        <v>40762</v>
      </c>
      <c r="K820" s="16">
        <v>10025</v>
      </c>
      <c r="L820" s="16">
        <v>9975</v>
      </c>
      <c r="M820" s="16">
        <v>9945</v>
      </c>
      <c r="N820" s="16">
        <v>10050</v>
      </c>
      <c r="O820" s="16">
        <v>9975</v>
      </c>
      <c r="P820" s="16">
        <v>10040</v>
      </c>
      <c r="Q820" s="16">
        <v>9980</v>
      </c>
      <c r="R820" s="16">
        <v>9990</v>
      </c>
      <c r="S820" s="16">
        <v>10018</v>
      </c>
      <c r="T820" s="16">
        <v>9985</v>
      </c>
      <c r="U820" s="15">
        <v>9998.2999999999993</v>
      </c>
      <c r="V820" t="s">
        <v>19</v>
      </c>
      <c r="W820" t="s">
        <v>28</v>
      </c>
      <c r="X820">
        <v>2402</v>
      </c>
      <c r="Y820" s="16">
        <f>VLOOKUP(Tabela1[[#This Row],[SKU]],SKU!A:D,4,0)</f>
        <v>10000</v>
      </c>
      <c r="Z820" s="18">
        <f>IFERROR((Tabela1[[#This Row],[Média]]-Tabela1[[#This Row],[Meta]])/Tabela1[[#This Row],[Meta]],"")</f>
        <v>-1.7000000000007276E-4</v>
      </c>
      <c r="AA820" s="29">
        <f>Tabela1[[#This Row],[Média]]-Tabela1[[#This Row],[Meta]]</f>
        <v>-1.7000000000007276</v>
      </c>
      <c r="AB820" s="6" t="str">
        <f>VLOOKUP(Tabela1[[#This Row],[SKU]],SKU!A:B,2,0)</f>
        <v>COXA SBCX LQ FG LP</v>
      </c>
      <c r="AC820" s="6" t="str">
        <f>VLOOKUP(Tabela1[[#This Row],[SKU]],SKU!A:C,3,0)</f>
        <v>PERNA</v>
      </c>
    </row>
    <row r="821" spans="1:29" x14ac:dyDescent="0.3">
      <c r="A821" s="2">
        <f>INT(Tabela1[[#This Row],[Data e Hora2]])</f>
        <v>46283</v>
      </c>
      <c r="B821" s="6" t="str">
        <f>UPPER(TEXT(Tabela1[[#This Row],[Data Corrigida]],"MMM"))</f>
        <v>SET</v>
      </c>
      <c r="C821" t="s">
        <v>2070</v>
      </c>
      <c r="D821" s="2" t="s">
        <v>2071</v>
      </c>
      <c r="E821" s="1" t="s">
        <v>2064</v>
      </c>
      <c r="F821" t="s">
        <v>24</v>
      </c>
      <c r="G821" s="2" t="s">
        <v>2065</v>
      </c>
      <c r="H821" t="s">
        <v>26</v>
      </c>
      <c r="I821" t="s">
        <v>27</v>
      </c>
      <c r="J821" s="6">
        <v>13188</v>
      </c>
      <c r="K821" s="16">
        <v>1003</v>
      </c>
      <c r="L821" s="16">
        <v>1005</v>
      </c>
      <c r="M821" s="16">
        <v>997</v>
      </c>
      <c r="N821" s="16">
        <v>1009</v>
      </c>
      <c r="O821" s="16">
        <v>1003</v>
      </c>
      <c r="P821" s="16">
        <v>1006</v>
      </c>
      <c r="Q821" s="16">
        <v>1003</v>
      </c>
      <c r="R821" s="16">
        <v>1003</v>
      </c>
      <c r="S821" s="16">
        <v>1022</v>
      </c>
      <c r="T821" s="16">
        <v>1005</v>
      </c>
      <c r="U821" s="15">
        <v>1005.6</v>
      </c>
      <c r="V821" t="s">
        <v>19</v>
      </c>
      <c r="W821" t="s">
        <v>19</v>
      </c>
      <c r="X821">
        <v>107</v>
      </c>
      <c r="Y821" s="16">
        <f>VLOOKUP(Tabela1[[#This Row],[SKU]],SKU!A:D,4,0)</f>
        <v>1000</v>
      </c>
      <c r="Z821" s="18">
        <f>IFERROR((Tabela1[[#This Row],[Média]]-Tabela1[[#This Row],[Meta]])/Tabela1[[#This Row],[Meta]],"")</f>
        <v>5.6000000000000225E-3</v>
      </c>
      <c r="AA821" s="29">
        <f>Tabela1[[#This Row],[Média]]-Tabela1[[#This Row],[Meta]]</f>
        <v>5.6000000000000227</v>
      </c>
      <c r="AB821" s="6" t="str">
        <f>VLOOKUP(Tabela1[[#This Row],[SKU]],SKU!A:B,2,0)</f>
        <v>SOBRECOXA CG BDJ SE</v>
      </c>
      <c r="AC821" s="6" t="str">
        <f>VLOOKUP(Tabela1[[#This Row],[SKU]],SKU!A:C,3,0)</f>
        <v>PERNA</v>
      </c>
    </row>
    <row r="822" spans="1:29" x14ac:dyDescent="0.3">
      <c r="A822" s="2">
        <f>INT(Tabela1[[#This Row],[Data e Hora2]])</f>
        <v>46283</v>
      </c>
      <c r="B822" s="6" t="str">
        <f>UPPER(TEXT(Tabela1[[#This Row],[Data Corrigida]],"MMM"))</f>
        <v>SET</v>
      </c>
      <c r="C822" t="s">
        <v>2072</v>
      </c>
      <c r="D822" s="2" t="s">
        <v>2073</v>
      </c>
      <c r="E822" s="1" t="s">
        <v>2064</v>
      </c>
      <c r="F822" t="s">
        <v>24</v>
      </c>
      <c r="G822" s="2" t="s">
        <v>2065</v>
      </c>
      <c r="H822" t="s">
        <v>26</v>
      </c>
      <c r="I822" t="s">
        <v>27</v>
      </c>
      <c r="J822" s="6">
        <v>15229</v>
      </c>
      <c r="K822" s="16">
        <v>998</v>
      </c>
      <c r="L822" s="16">
        <v>1005</v>
      </c>
      <c r="M822" s="16">
        <v>1001</v>
      </c>
      <c r="N822" s="16">
        <v>1005</v>
      </c>
      <c r="O822" s="16">
        <v>1009</v>
      </c>
      <c r="P822" s="16">
        <v>1007</v>
      </c>
      <c r="Q822" s="16">
        <v>1018</v>
      </c>
      <c r="R822" s="16">
        <v>1018</v>
      </c>
      <c r="S822" s="16">
        <v>1001</v>
      </c>
      <c r="T822" s="16">
        <v>1011</v>
      </c>
      <c r="U822" s="15">
        <v>1007.3</v>
      </c>
      <c r="V822" t="s">
        <v>19</v>
      </c>
      <c r="W822" t="s">
        <v>28</v>
      </c>
      <c r="X822">
        <v>146</v>
      </c>
      <c r="Y822" s="16">
        <f>VLOOKUP(Tabela1[[#This Row],[SKU]],SKU!A:D,4,0)</f>
        <v>1000</v>
      </c>
      <c r="Z822" s="18">
        <f>IFERROR((Tabela1[[#This Row],[Média]]-Tabela1[[#This Row],[Meta]])/Tabela1[[#This Row],[Meta]],"")</f>
        <v>7.2999999999999541E-3</v>
      </c>
      <c r="AA822" s="29">
        <f>Tabela1[[#This Row],[Média]]-Tabela1[[#This Row],[Meta]]</f>
        <v>7.2999999999999545</v>
      </c>
      <c r="AB822" s="6" t="str">
        <f>VLOOKUP(Tabela1[[#This Row],[SKU]],SKU!A:B,2,0)</f>
        <v>COXA CG BDJ SE</v>
      </c>
      <c r="AC822" s="6" t="str">
        <f>VLOOKUP(Tabela1[[#This Row],[SKU]],SKU!A:C,3,0)</f>
        <v>PERNA</v>
      </c>
    </row>
    <row r="823" spans="1:29" x14ac:dyDescent="0.3">
      <c r="A823" s="2">
        <f>INT(Tabela1[[#This Row],[Data e Hora2]])</f>
        <v>46283</v>
      </c>
      <c r="B823" s="6" t="str">
        <f>UPPER(TEXT(Tabela1[[#This Row],[Data Corrigida]],"MMM"))</f>
        <v>SET</v>
      </c>
      <c r="C823" t="s">
        <v>2074</v>
      </c>
      <c r="D823" s="2" t="s">
        <v>2075</v>
      </c>
      <c r="E823" s="1" t="s">
        <v>2064</v>
      </c>
      <c r="F823" t="s">
        <v>24</v>
      </c>
      <c r="G823" s="2" t="s">
        <v>2065</v>
      </c>
      <c r="H823" t="s">
        <v>26</v>
      </c>
      <c r="I823" t="s">
        <v>27</v>
      </c>
      <c r="J823" s="6">
        <v>15849</v>
      </c>
      <c r="K823" s="16">
        <v>1007</v>
      </c>
      <c r="L823" s="16">
        <v>1004</v>
      </c>
      <c r="M823" s="16">
        <v>1000</v>
      </c>
      <c r="N823" s="16">
        <v>1000</v>
      </c>
      <c r="O823" s="16">
        <v>998</v>
      </c>
      <c r="P823" s="16">
        <v>996</v>
      </c>
      <c r="Q823" s="16">
        <v>1014</v>
      </c>
      <c r="R823" s="16">
        <v>994</v>
      </c>
      <c r="S823" s="16">
        <v>1006</v>
      </c>
      <c r="T823" s="16">
        <v>1008</v>
      </c>
      <c r="U823" s="15">
        <v>1002.7</v>
      </c>
      <c r="V823" t="s">
        <v>19</v>
      </c>
      <c r="W823" t="s">
        <v>28</v>
      </c>
      <c r="X823">
        <v>170</v>
      </c>
      <c r="Y823" s="16">
        <f>VLOOKUP(Tabela1[[#This Row],[SKU]],SKU!A:D,4,0)</f>
        <v>1000</v>
      </c>
      <c r="Z823" s="18">
        <f>IFERROR((Tabela1[[#This Row],[Média]]-Tabela1[[#This Row],[Meta]])/Tabela1[[#This Row],[Meta]],"")</f>
        <v>2.7000000000000457E-3</v>
      </c>
      <c r="AA823" s="29">
        <f>Tabela1[[#This Row],[Média]]-Tabela1[[#This Row],[Meta]]</f>
        <v>2.7000000000000455</v>
      </c>
      <c r="AB823" s="6" t="str">
        <f>VLOOKUP(Tabela1[[#This Row],[SKU]],SKU!A:B,2,0)</f>
        <v>FILEZINHO PEITO CG BDJ SE</v>
      </c>
      <c r="AC823" s="6" t="str">
        <f>VLOOKUP(Tabela1[[#This Row],[SKU]],SKU!A:C,3,0)</f>
        <v>SASSAMI</v>
      </c>
    </row>
    <row r="824" spans="1:29" x14ac:dyDescent="0.3">
      <c r="A824" s="2">
        <f>INT(Tabela1[[#This Row],[Data e Hora2]])</f>
        <v>46283</v>
      </c>
      <c r="B824" s="6" t="str">
        <f>UPPER(TEXT(Tabela1[[#This Row],[Data Corrigida]],"MMM"))</f>
        <v>SET</v>
      </c>
      <c r="C824" t="s">
        <v>2076</v>
      </c>
      <c r="D824" s="2" t="s">
        <v>2077</v>
      </c>
      <c r="E824" s="1" t="s">
        <v>2064</v>
      </c>
      <c r="F824" t="s">
        <v>24</v>
      </c>
      <c r="G824" s="2" t="s">
        <v>2065</v>
      </c>
      <c r="H824" t="s">
        <v>26</v>
      </c>
      <c r="I824" t="s">
        <v>27</v>
      </c>
      <c r="J824" s="6">
        <v>15105</v>
      </c>
      <c r="K824" s="16">
        <v>1018</v>
      </c>
      <c r="L824" s="16">
        <v>1006</v>
      </c>
      <c r="M824" s="16">
        <v>1037</v>
      </c>
      <c r="N824" s="16">
        <v>987</v>
      </c>
      <c r="O824" s="16">
        <v>1047</v>
      </c>
      <c r="P824" s="16">
        <v>1024</v>
      </c>
      <c r="Q824" s="16">
        <v>1038</v>
      </c>
      <c r="R824" s="16">
        <v>986</v>
      </c>
      <c r="S824" s="16">
        <v>1006</v>
      </c>
      <c r="T824" s="16">
        <v>975</v>
      </c>
      <c r="U824" s="15">
        <v>1012.4</v>
      </c>
      <c r="V824" t="s">
        <v>19</v>
      </c>
      <c r="W824" t="s">
        <v>28</v>
      </c>
      <c r="X824">
        <v>2638</v>
      </c>
      <c r="Y824" s="16">
        <f>VLOOKUP(Tabela1[[#This Row],[SKU]],SKU!A:D,4,0)</f>
        <v>1000</v>
      </c>
      <c r="Z824" s="18">
        <f>IFERROR((Tabela1[[#This Row],[Média]]-Tabela1[[#This Row],[Meta]])/Tabela1[[#This Row],[Meta]],"")</f>
        <v>1.2399999999999977E-2</v>
      </c>
      <c r="AA824" s="29">
        <f>Tabela1[[#This Row],[Média]]-Tabela1[[#This Row],[Meta]]</f>
        <v>12.399999999999977</v>
      </c>
      <c r="AB824" s="6" t="str">
        <f>VLOOKUP(Tabela1[[#This Row],[SKU]],SKU!A:B,2,0)</f>
        <v>FILE PEITO MET CG BDJ SE</v>
      </c>
      <c r="AC824" s="6" t="str">
        <f>VLOOKUP(Tabela1[[#This Row],[SKU]],SKU!A:C,3,0)</f>
        <v>PEITO</v>
      </c>
    </row>
    <row r="825" spans="1:29" x14ac:dyDescent="0.3">
      <c r="A825" s="2">
        <f>INT(Tabela1[[#This Row],[Data e Hora2]])</f>
        <v>46283</v>
      </c>
      <c r="B825" s="6" t="str">
        <f>UPPER(TEXT(Tabela1[[#This Row],[Data Corrigida]],"MMM"))</f>
        <v>SET</v>
      </c>
      <c r="C825" t="s">
        <v>2078</v>
      </c>
      <c r="D825" s="2" t="s">
        <v>2079</v>
      </c>
      <c r="E825" s="1" t="s">
        <v>2064</v>
      </c>
      <c r="F825" t="s">
        <v>24</v>
      </c>
      <c r="G825" s="2" t="s">
        <v>2065</v>
      </c>
      <c r="H825" t="s">
        <v>26</v>
      </c>
      <c r="I825" t="s">
        <v>27</v>
      </c>
      <c r="J825" s="6">
        <v>209069</v>
      </c>
      <c r="K825" s="16">
        <v>1021</v>
      </c>
      <c r="L825" s="16">
        <v>1011</v>
      </c>
      <c r="M825" s="16">
        <v>1042</v>
      </c>
      <c r="N825" s="16">
        <v>1092</v>
      </c>
      <c r="O825" s="16">
        <v>1070</v>
      </c>
      <c r="P825" s="16">
        <v>1023</v>
      </c>
      <c r="Q825" s="16">
        <v>1029</v>
      </c>
      <c r="R825" s="16">
        <v>1019</v>
      </c>
      <c r="S825" s="16">
        <v>1059</v>
      </c>
      <c r="T825" s="16">
        <v>1017</v>
      </c>
      <c r="U825" s="15">
        <v>1038.3</v>
      </c>
      <c r="V825" t="s">
        <v>19</v>
      </c>
      <c r="W825" t="s">
        <v>28</v>
      </c>
      <c r="X825">
        <v>178</v>
      </c>
      <c r="Y825" s="16">
        <f>VLOOKUP(Tabela1[[#This Row],[SKU]],SKU!A:D,4,0)</f>
        <v>1000</v>
      </c>
      <c r="Z825" s="18">
        <f>IFERROR((Tabela1[[#This Row],[Média]]-Tabela1[[#This Row],[Meta]])/Tabela1[[#This Row],[Meta]],"")</f>
        <v>3.8299999999999952E-2</v>
      </c>
      <c r="AA825" s="29">
        <f>Tabela1[[#This Row],[Média]]-Tabela1[[#This Row],[Meta]]</f>
        <v>38.299999999999955</v>
      </c>
      <c r="AB825" s="6" t="str">
        <f>VLOOKUP(Tabela1[[#This Row],[SKU]],SKU!A:B,2,0)</f>
        <v>FILE PEITO CG IQF1KG</v>
      </c>
      <c r="AC825" s="6" t="str">
        <f>VLOOKUP(Tabela1[[#This Row],[SKU]],SKU!A:C,3,0)</f>
        <v>PEITO</v>
      </c>
    </row>
    <row r="826" spans="1:29" x14ac:dyDescent="0.3">
      <c r="A826" s="2">
        <f>INT(Tabela1[[#This Row],[Data e Hora2]])</f>
        <v>46283</v>
      </c>
      <c r="B826" s="6" t="str">
        <f>UPPER(TEXT(Tabela1[[#This Row],[Data Corrigida]],"MMM"))</f>
        <v>SET</v>
      </c>
      <c r="C826" t="s">
        <v>2080</v>
      </c>
      <c r="D826" s="2" t="s">
        <v>2081</v>
      </c>
      <c r="E826" s="1" t="s">
        <v>2064</v>
      </c>
      <c r="F826" t="s">
        <v>24</v>
      </c>
      <c r="G826" s="2" t="s">
        <v>2065</v>
      </c>
      <c r="H826" t="s">
        <v>26</v>
      </c>
      <c r="I826" t="s">
        <v>27</v>
      </c>
      <c r="J826" s="6">
        <v>42854</v>
      </c>
      <c r="K826" s="16">
        <v>2020</v>
      </c>
      <c r="L826" s="16">
        <v>2027</v>
      </c>
      <c r="M826" s="16">
        <v>2018</v>
      </c>
      <c r="N826" s="16">
        <v>2002</v>
      </c>
      <c r="O826" s="16">
        <v>2005</v>
      </c>
      <c r="P826" s="16">
        <v>2017</v>
      </c>
      <c r="Q826" s="16">
        <v>2024</v>
      </c>
      <c r="R826" s="16">
        <v>2026</v>
      </c>
      <c r="S826" s="16">
        <v>2034</v>
      </c>
      <c r="T826" s="16">
        <v>2005</v>
      </c>
      <c r="U826" s="15">
        <v>2017.8</v>
      </c>
      <c r="V826" t="s">
        <v>19</v>
      </c>
      <c r="W826" t="s">
        <v>28</v>
      </c>
      <c r="X826">
        <v>261</v>
      </c>
      <c r="Y826" s="16">
        <f>VLOOKUP(Tabela1[[#This Row],[SKU]],SKU!A:D,4,0)</f>
        <v>2080</v>
      </c>
      <c r="Z826" s="18">
        <f>IFERROR((Tabela1[[#This Row],[Média]]-Tabela1[[#This Row],[Meta]])/Tabela1[[#This Row],[Meta]],"")</f>
        <v>-2.9903846153846177E-2</v>
      </c>
      <c r="AA826" s="29">
        <f>Tabela1[[#This Row],[Média]]-Tabela1[[#This Row],[Meta]]</f>
        <v>-62.200000000000045</v>
      </c>
      <c r="AB826" s="6" t="str">
        <f>VLOOKUP(Tabela1[[#This Row],[SKU]],SKU!A:B,2,0)</f>
        <v>COXA SBCX S/O FG 260-280g PB</v>
      </c>
      <c r="AC826" s="6" t="str">
        <f>VLOOKUP(Tabela1[[#This Row],[SKU]],SKU!A:C,3,0)</f>
        <v>PERNA</v>
      </c>
    </row>
    <row r="827" spans="1:29" x14ac:dyDescent="0.3">
      <c r="A827" s="2">
        <f>INT(Tabela1[[#This Row],[Data e Hora2]])</f>
        <v>46283</v>
      </c>
      <c r="B827" s="6" t="str">
        <f>UPPER(TEXT(Tabela1[[#This Row],[Data Corrigida]],"MMM"))</f>
        <v>SET</v>
      </c>
      <c r="C827" t="s">
        <v>2082</v>
      </c>
      <c r="D827" s="2" t="s">
        <v>2083</v>
      </c>
      <c r="E827" s="1" t="s">
        <v>2064</v>
      </c>
      <c r="F827" t="s">
        <v>24</v>
      </c>
      <c r="G827" s="2" t="s">
        <v>2065</v>
      </c>
      <c r="H827" t="s">
        <v>26</v>
      </c>
      <c r="I827" t="s">
        <v>27</v>
      </c>
      <c r="J827" s="6">
        <v>42846</v>
      </c>
      <c r="K827" s="16">
        <v>2001</v>
      </c>
      <c r="L827" s="16">
        <v>1991</v>
      </c>
      <c r="M827" s="16">
        <v>2002</v>
      </c>
      <c r="N827" s="16">
        <v>2005</v>
      </c>
      <c r="O827" s="16">
        <v>2014</v>
      </c>
      <c r="P827" s="16">
        <v>2008</v>
      </c>
      <c r="Q827" s="16">
        <v>2004</v>
      </c>
      <c r="R827" s="16">
        <v>2008</v>
      </c>
      <c r="S827" s="16">
        <v>2017</v>
      </c>
      <c r="T827" s="16">
        <v>1992</v>
      </c>
      <c r="U827" s="15">
        <v>2004.2</v>
      </c>
      <c r="V827" t="s">
        <v>19</v>
      </c>
      <c r="W827" t="s">
        <v>19</v>
      </c>
      <c r="X827">
        <v>116</v>
      </c>
      <c r="Y827" s="16">
        <f>VLOOKUP(Tabela1[[#This Row],[SKU]],SKU!A:D,4,0)</f>
        <v>2000</v>
      </c>
      <c r="Z827" s="18">
        <f>IFERROR((Tabela1[[#This Row],[Média]]-Tabela1[[#This Row],[Meta]])/Tabela1[[#This Row],[Meta]],"")</f>
        <v>2.1000000000000229E-3</v>
      </c>
      <c r="AA827" s="29">
        <f>Tabela1[[#This Row],[Média]]-Tabela1[[#This Row],[Meta]]</f>
        <v>4.2000000000000455</v>
      </c>
      <c r="AB827" s="6" t="str">
        <f>VLOOKUP(Tabela1[[#This Row],[SKU]],SKU!A:B,2,0)</f>
        <v>COXA SBCX S/O FG 240-260g PB</v>
      </c>
      <c r="AC827" s="6" t="str">
        <f>VLOOKUP(Tabela1[[#This Row],[SKU]],SKU!A:C,3,0)</f>
        <v>PERNA</v>
      </c>
    </row>
    <row r="828" spans="1:29" x14ac:dyDescent="0.3">
      <c r="A828" s="2">
        <f>INT(Tabela1[[#This Row],[Data e Hora2]])</f>
        <v>46283</v>
      </c>
      <c r="B828" s="6" t="str">
        <f>UPPER(TEXT(Tabela1[[#This Row],[Data Corrigida]],"MMM"))</f>
        <v>SET</v>
      </c>
      <c r="C828" t="s">
        <v>2084</v>
      </c>
      <c r="D828" s="2" t="s">
        <v>2085</v>
      </c>
      <c r="E828" s="1" t="s">
        <v>2064</v>
      </c>
      <c r="F828" t="s">
        <v>24</v>
      </c>
      <c r="G828" s="2" t="s">
        <v>2065</v>
      </c>
      <c r="H828" t="s">
        <v>26</v>
      </c>
      <c r="I828" t="s">
        <v>27</v>
      </c>
      <c r="J828" s="6">
        <v>42820</v>
      </c>
      <c r="K828" s="16">
        <v>2080</v>
      </c>
      <c r="L828" s="16">
        <v>2093</v>
      </c>
      <c r="M828" s="16">
        <v>2046</v>
      </c>
      <c r="N828" s="16">
        <v>2064</v>
      </c>
      <c r="O828" s="16">
        <v>2011</v>
      </c>
      <c r="P828" s="16">
        <v>2045</v>
      </c>
      <c r="Q828" s="16">
        <v>2027</v>
      </c>
      <c r="R828" s="16">
        <v>2050</v>
      </c>
      <c r="S828" s="16">
        <v>2084</v>
      </c>
      <c r="T828" s="16">
        <v>2003</v>
      </c>
      <c r="U828" s="15">
        <v>2050.3000000000002</v>
      </c>
      <c r="V828" t="s">
        <v>19</v>
      </c>
      <c r="W828" t="s">
        <v>28</v>
      </c>
      <c r="X828">
        <v>115</v>
      </c>
      <c r="Y828" s="16">
        <f>VLOOKUP(Tabela1[[#This Row],[SKU]],SKU!A:D,4,0)</f>
        <v>2000</v>
      </c>
      <c r="Z828" s="18">
        <f>IFERROR((Tabela1[[#This Row],[Média]]-Tabela1[[#This Row],[Meta]])/Tabela1[[#This Row],[Meta]],"")</f>
        <v>2.5150000000000092E-2</v>
      </c>
      <c r="AA828" s="29">
        <f>Tabela1[[#This Row],[Média]]-Tabela1[[#This Row],[Meta]]</f>
        <v>50.300000000000182</v>
      </c>
      <c r="AB828" s="6" t="str">
        <f>VLOOKUP(Tabela1[[#This Row],[SKU]],SKU!A:B,2,0)</f>
        <v>COXA SBCX S/O FG 200-220g PB</v>
      </c>
      <c r="AC828" s="6" t="str">
        <f>VLOOKUP(Tabela1[[#This Row],[SKU]],SKU!A:C,3,0)</f>
        <v>PERNA</v>
      </c>
    </row>
    <row r="829" spans="1:29" x14ac:dyDescent="0.3">
      <c r="A829" s="2">
        <f>INT(Tabela1[[#This Row],[Data e Hora2]])</f>
        <v>46283</v>
      </c>
      <c r="B829" s="6" t="str">
        <f>UPPER(TEXT(Tabela1[[#This Row],[Data Corrigida]],"MMM"))</f>
        <v>SET</v>
      </c>
      <c r="C829" t="s">
        <v>2086</v>
      </c>
      <c r="D829" s="2" t="s">
        <v>2087</v>
      </c>
      <c r="E829" s="1" t="s">
        <v>2088</v>
      </c>
      <c r="F829" t="s">
        <v>24</v>
      </c>
      <c r="G829" s="2" t="s">
        <v>2065</v>
      </c>
      <c r="H829" t="s">
        <v>26</v>
      </c>
      <c r="I829" t="s">
        <v>27</v>
      </c>
      <c r="J829" s="6">
        <v>42854</v>
      </c>
      <c r="K829" s="16">
        <v>2104</v>
      </c>
      <c r="L829" s="16">
        <v>2095</v>
      </c>
      <c r="M829" s="16">
        <v>2093</v>
      </c>
      <c r="N829" s="16">
        <v>2085</v>
      </c>
      <c r="O829" s="16">
        <v>2095</v>
      </c>
      <c r="P829" s="16">
        <v>2108</v>
      </c>
      <c r="Q829" s="16">
        <v>2012</v>
      </c>
      <c r="R829" s="16">
        <v>2093</v>
      </c>
      <c r="S829" s="16">
        <v>2037</v>
      </c>
      <c r="T829" s="16">
        <v>2007</v>
      </c>
      <c r="U829" s="15">
        <v>2072.9</v>
      </c>
      <c r="V829" t="s">
        <v>19</v>
      </c>
      <c r="W829" t="s">
        <v>19</v>
      </c>
      <c r="X829">
        <v>131</v>
      </c>
      <c r="Y829" s="16">
        <f>VLOOKUP(Tabela1[[#This Row],[SKU]],SKU!A:D,4,0)</f>
        <v>2080</v>
      </c>
      <c r="Z829" s="18">
        <f>IFERROR((Tabela1[[#This Row],[Média]]-Tabela1[[#This Row],[Meta]])/Tabela1[[#This Row],[Meta]],"")</f>
        <v>-3.4134615384614946E-3</v>
      </c>
      <c r="AA829" s="29">
        <f>Tabela1[[#This Row],[Média]]-Tabela1[[#This Row],[Meta]]</f>
        <v>-7.0999999999999091</v>
      </c>
      <c r="AB829" s="6" t="str">
        <f>VLOOKUP(Tabela1[[#This Row],[SKU]],SKU!A:B,2,0)</f>
        <v>COXA SBCX S/O FG 260-280g PB</v>
      </c>
      <c r="AC829" s="6" t="str">
        <f>VLOOKUP(Tabela1[[#This Row],[SKU]],SKU!A:C,3,0)</f>
        <v>PERNA</v>
      </c>
    </row>
    <row r="830" spans="1:29" x14ac:dyDescent="0.3">
      <c r="A830" s="2">
        <f>INT(Tabela1[[#This Row],[Data e Hora2]])</f>
        <v>46283</v>
      </c>
      <c r="B830" s="6" t="str">
        <f>UPPER(TEXT(Tabela1[[#This Row],[Data Corrigida]],"MMM"))</f>
        <v>SET</v>
      </c>
      <c r="C830" t="s">
        <v>2089</v>
      </c>
      <c r="D830" s="2" t="s">
        <v>2090</v>
      </c>
      <c r="E830" s="1" t="s">
        <v>2088</v>
      </c>
      <c r="F830" t="s">
        <v>24</v>
      </c>
      <c r="G830" s="2" t="s">
        <v>2065</v>
      </c>
      <c r="H830" t="s">
        <v>26</v>
      </c>
      <c r="I830" t="s">
        <v>27</v>
      </c>
      <c r="J830" s="6">
        <v>42838</v>
      </c>
      <c r="K830" s="16">
        <v>2069</v>
      </c>
      <c r="L830" s="16">
        <v>2024</v>
      </c>
      <c r="M830" s="16">
        <v>2039</v>
      </c>
      <c r="N830" s="16">
        <v>2023</v>
      </c>
      <c r="O830" s="16">
        <v>2008</v>
      </c>
      <c r="P830" s="16">
        <v>2049</v>
      </c>
      <c r="Q830" s="16">
        <v>2045</v>
      </c>
      <c r="R830" s="16">
        <v>2045</v>
      </c>
      <c r="S830" s="16">
        <v>2036</v>
      </c>
      <c r="T830" s="16">
        <v>2061</v>
      </c>
      <c r="U830" s="15">
        <v>2039.9</v>
      </c>
      <c r="V830" t="s">
        <v>19</v>
      </c>
      <c r="W830" t="s">
        <v>28</v>
      </c>
      <c r="X830">
        <v>105</v>
      </c>
      <c r="Y830" s="16">
        <f>VLOOKUP(Tabela1[[#This Row],[SKU]],SKU!A:D,4,0)</f>
        <v>2000</v>
      </c>
      <c r="Z830" s="18">
        <f>IFERROR((Tabela1[[#This Row],[Média]]-Tabela1[[#This Row],[Meta]])/Tabela1[[#This Row],[Meta]],"")</f>
        <v>1.9950000000000044E-2</v>
      </c>
      <c r="AA830" s="29">
        <f>Tabela1[[#This Row],[Média]]-Tabela1[[#This Row],[Meta]]</f>
        <v>39.900000000000091</v>
      </c>
      <c r="AB830" s="6" t="str">
        <f>VLOOKUP(Tabela1[[#This Row],[SKU]],SKU!A:B,2,0)</f>
        <v>COXA SBCX S/O FG 220-240g PB</v>
      </c>
      <c r="AC830" s="6" t="str">
        <f>VLOOKUP(Tabela1[[#This Row],[SKU]],SKU!A:C,3,0)</f>
        <v>PERNA</v>
      </c>
    </row>
    <row r="831" spans="1:29" x14ac:dyDescent="0.3">
      <c r="A831" s="2">
        <f>INT(Tabela1[[#This Row],[Data e Hora2]])</f>
        <v>46283</v>
      </c>
      <c r="B831" s="6" t="str">
        <f>UPPER(TEXT(Tabela1[[#This Row],[Data Corrigida]],"MMM"))</f>
        <v>SET</v>
      </c>
      <c r="C831" t="s">
        <v>2091</v>
      </c>
      <c r="D831" s="2" t="s">
        <v>2092</v>
      </c>
      <c r="E831" s="1" t="s">
        <v>2088</v>
      </c>
      <c r="F831" t="s">
        <v>24</v>
      </c>
      <c r="G831" s="2" t="s">
        <v>2065</v>
      </c>
      <c r="H831" t="s">
        <v>26</v>
      </c>
      <c r="I831" t="s">
        <v>27</v>
      </c>
      <c r="J831" s="6">
        <v>40762</v>
      </c>
      <c r="K831" s="16">
        <v>10060</v>
      </c>
      <c r="L831" s="16">
        <v>10080</v>
      </c>
      <c r="M831" s="16">
        <v>10065</v>
      </c>
      <c r="N831" s="16">
        <v>10010</v>
      </c>
      <c r="O831" s="16">
        <v>10020</v>
      </c>
      <c r="P831" s="16">
        <v>10080</v>
      </c>
      <c r="Q831" s="16">
        <v>10065</v>
      </c>
      <c r="R831" s="16">
        <v>10050</v>
      </c>
      <c r="S831" s="16">
        <v>10040</v>
      </c>
      <c r="T831" s="16">
        <v>9985</v>
      </c>
      <c r="U831" s="15">
        <v>10045.5</v>
      </c>
      <c r="V831" t="s">
        <v>19</v>
      </c>
      <c r="W831" t="s">
        <v>19</v>
      </c>
      <c r="X831">
        <v>418</v>
      </c>
      <c r="Y831" s="16">
        <f>VLOOKUP(Tabela1[[#This Row],[SKU]],SKU!A:D,4,0)</f>
        <v>10000</v>
      </c>
      <c r="Z831" s="18">
        <f>IFERROR((Tabela1[[#This Row],[Média]]-Tabela1[[#This Row],[Meta]])/Tabela1[[#This Row],[Meta]],"")</f>
        <v>4.5500000000000002E-3</v>
      </c>
      <c r="AA831" s="29">
        <f>Tabela1[[#This Row],[Média]]-Tabela1[[#This Row],[Meta]]</f>
        <v>45.5</v>
      </c>
      <c r="AB831" s="6" t="str">
        <f>VLOOKUP(Tabela1[[#This Row],[SKU]],SKU!A:B,2,0)</f>
        <v>COXA SBCX LQ FG LP</v>
      </c>
      <c r="AC831" s="6" t="str">
        <f>VLOOKUP(Tabela1[[#This Row],[SKU]],SKU!A:C,3,0)</f>
        <v>PERNA</v>
      </c>
    </row>
    <row r="832" spans="1:29" x14ac:dyDescent="0.3">
      <c r="A832" s="2">
        <f>INT(Tabela1[[#This Row],[Data e Hora2]])</f>
        <v>46283</v>
      </c>
      <c r="B832" s="6" t="str">
        <f>UPPER(TEXT(Tabela1[[#This Row],[Data Corrigida]],"MMM"))</f>
        <v>SET</v>
      </c>
      <c r="C832" t="s">
        <v>2093</v>
      </c>
      <c r="D832" s="2" t="s">
        <v>2094</v>
      </c>
      <c r="E832" s="1" t="s">
        <v>2088</v>
      </c>
      <c r="F832" t="s">
        <v>24</v>
      </c>
      <c r="G832" s="2" t="s">
        <v>2065</v>
      </c>
      <c r="H832" t="s">
        <v>26</v>
      </c>
      <c r="I832" t="s">
        <v>27</v>
      </c>
      <c r="J832" s="6">
        <v>13188</v>
      </c>
      <c r="K832" s="16">
        <v>1012</v>
      </c>
      <c r="L832" s="16">
        <v>1010</v>
      </c>
      <c r="M832" s="16">
        <v>1010</v>
      </c>
      <c r="N832" s="16">
        <v>1008</v>
      </c>
      <c r="O832" s="16">
        <v>1007</v>
      </c>
      <c r="P832" s="16">
        <v>1015</v>
      </c>
      <c r="Q832" s="16">
        <v>1016</v>
      </c>
      <c r="R832" s="16">
        <v>1006</v>
      </c>
      <c r="S832" s="16">
        <v>1008</v>
      </c>
      <c r="T832" s="16">
        <v>1003</v>
      </c>
      <c r="U832" s="15">
        <v>1009.5</v>
      </c>
      <c r="V832" t="s">
        <v>19</v>
      </c>
      <c r="W832" t="s">
        <v>28</v>
      </c>
      <c r="X832">
        <v>154</v>
      </c>
      <c r="Y832" s="16">
        <f>VLOOKUP(Tabela1[[#This Row],[SKU]],SKU!A:D,4,0)</f>
        <v>1000</v>
      </c>
      <c r="Z832" s="18">
        <f>IFERROR((Tabela1[[#This Row],[Média]]-Tabela1[[#This Row],[Meta]])/Tabela1[[#This Row],[Meta]],"")</f>
        <v>9.4999999999999998E-3</v>
      </c>
      <c r="AA832" s="29">
        <f>Tabela1[[#This Row],[Média]]-Tabela1[[#This Row],[Meta]]</f>
        <v>9.5</v>
      </c>
      <c r="AB832" s="6" t="str">
        <f>VLOOKUP(Tabela1[[#This Row],[SKU]],SKU!A:B,2,0)</f>
        <v>SOBRECOXA CG BDJ SE</v>
      </c>
      <c r="AC832" s="6" t="str">
        <f>VLOOKUP(Tabela1[[#This Row],[SKU]],SKU!A:C,3,0)</f>
        <v>PERNA</v>
      </c>
    </row>
    <row r="833" spans="1:29" x14ac:dyDescent="0.3">
      <c r="A833" s="2">
        <f>INT(Tabela1[[#This Row],[Data e Hora2]])</f>
        <v>46283</v>
      </c>
      <c r="B833" s="6" t="str">
        <f>UPPER(TEXT(Tabela1[[#This Row],[Data Corrigida]],"MMM"))</f>
        <v>SET</v>
      </c>
      <c r="C833" t="s">
        <v>2095</v>
      </c>
      <c r="D833" s="2" t="s">
        <v>2096</v>
      </c>
      <c r="E833" s="1" t="s">
        <v>2088</v>
      </c>
      <c r="F833" t="s">
        <v>24</v>
      </c>
      <c r="G833" s="2" t="s">
        <v>2065</v>
      </c>
      <c r="H833" t="s">
        <v>26</v>
      </c>
      <c r="I833" t="s">
        <v>27</v>
      </c>
      <c r="J833" s="6">
        <v>15849</v>
      </c>
      <c r="K833" s="16">
        <v>1004</v>
      </c>
      <c r="L833" s="16">
        <v>1010</v>
      </c>
      <c r="M833" s="16">
        <v>1004</v>
      </c>
      <c r="N833" s="16">
        <v>1003</v>
      </c>
      <c r="O833" s="16">
        <v>1001</v>
      </c>
      <c r="P833" s="16">
        <v>997</v>
      </c>
      <c r="Q833" s="16">
        <v>999</v>
      </c>
      <c r="R833" s="16">
        <v>1013</v>
      </c>
      <c r="S833" s="16">
        <v>999</v>
      </c>
      <c r="T833" s="16">
        <v>1013</v>
      </c>
      <c r="U833" s="15">
        <v>1004.3</v>
      </c>
      <c r="V833" t="s">
        <v>19</v>
      </c>
      <c r="W833" t="s">
        <v>28</v>
      </c>
      <c r="X833">
        <v>3375</v>
      </c>
      <c r="Y833" s="16">
        <f>VLOOKUP(Tabela1[[#This Row],[SKU]],SKU!A:D,4,0)</f>
        <v>1000</v>
      </c>
      <c r="Z833" s="18">
        <f>IFERROR((Tabela1[[#This Row],[Média]]-Tabela1[[#This Row],[Meta]])/Tabela1[[#This Row],[Meta]],"")</f>
        <v>4.2999999999999549E-3</v>
      </c>
      <c r="AA833" s="29">
        <f>Tabela1[[#This Row],[Média]]-Tabela1[[#This Row],[Meta]]</f>
        <v>4.2999999999999545</v>
      </c>
      <c r="AB833" s="6" t="str">
        <f>VLOOKUP(Tabela1[[#This Row],[SKU]],SKU!A:B,2,0)</f>
        <v>FILEZINHO PEITO CG BDJ SE</v>
      </c>
      <c r="AC833" s="6" t="str">
        <f>VLOOKUP(Tabela1[[#This Row],[SKU]],SKU!A:C,3,0)</f>
        <v>SASSAMI</v>
      </c>
    </row>
    <row r="834" spans="1:29" x14ac:dyDescent="0.3">
      <c r="A834" s="2">
        <f>INT(Tabela1[[#This Row],[Data e Hora2]])</f>
        <v>46283</v>
      </c>
      <c r="B834" s="6" t="str">
        <f>UPPER(TEXT(Tabela1[[#This Row],[Data Corrigida]],"MMM"))</f>
        <v>SET</v>
      </c>
      <c r="C834" t="s">
        <v>2097</v>
      </c>
      <c r="D834" s="2" t="s">
        <v>2098</v>
      </c>
      <c r="E834" s="1" t="s">
        <v>2088</v>
      </c>
      <c r="F834" t="s">
        <v>24</v>
      </c>
      <c r="G834" s="2" t="s">
        <v>2065</v>
      </c>
      <c r="H834" t="s">
        <v>26</v>
      </c>
      <c r="I834" t="s">
        <v>27</v>
      </c>
      <c r="J834" s="6">
        <v>15105</v>
      </c>
      <c r="K834" s="16">
        <v>995</v>
      </c>
      <c r="L834" s="16">
        <v>1031</v>
      </c>
      <c r="M834" s="16">
        <v>1028</v>
      </c>
      <c r="N834" s="16">
        <v>1010</v>
      </c>
      <c r="O834" s="16">
        <v>1015</v>
      </c>
      <c r="P834" s="16">
        <v>1007</v>
      </c>
      <c r="Q834" s="16">
        <v>999</v>
      </c>
      <c r="R834" s="16">
        <v>1049</v>
      </c>
      <c r="S834" s="16">
        <v>1007</v>
      </c>
      <c r="T834" s="16">
        <v>966</v>
      </c>
      <c r="U834" s="15">
        <v>1010.7</v>
      </c>
      <c r="V834" t="s">
        <v>19</v>
      </c>
      <c r="W834" t="s">
        <v>28</v>
      </c>
      <c r="X834">
        <v>3553</v>
      </c>
      <c r="Y834" s="16">
        <f>VLOOKUP(Tabela1[[#This Row],[SKU]],SKU!A:D,4,0)</f>
        <v>1000</v>
      </c>
      <c r="Z834" s="18">
        <f>IFERROR((Tabela1[[#This Row],[Média]]-Tabela1[[#This Row],[Meta]])/Tabela1[[#This Row],[Meta]],"")</f>
        <v>1.0700000000000046E-2</v>
      </c>
      <c r="AA834" s="29">
        <f>Tabela1[[#This Row],[Média]]-Tabela1[[#This Row],[Meta]]</f>
        <v>10.700000000000045</v>
      </c>
      <c r="AB834" s="6" t="str">
        <f>VLOOKUP(Tabela1[[#This Row],[SKU]],SKU!A:B,2,0)</f>
        <v>FILE PEITO MET CG BDJ SE</v>
      </c>
      <c r="AC834" s="6" t="str">
        <f>VLOOKUP(Tabela1[[#This Row],[SKU]],SKU!A:C,3,0)</f>
        <v>PEITO</v>
      </c>
    </row>
    <row r="835" spans="1:29" x14ac:dyDescent="0.3">
      <c r="A835" s="2">
        <f>INT(Tabela1[[#This Row],[Data e Hora2]])</f>
        <v>46283</v>
      </c>
      <c r="B835" s="6" t="str">
        <f>UPPER(TEXT(Tabela1[[#This Row],[Data Corrigida]],"MMM"))</f>
        <v>SET</v>
      </c>
      <c r="C835" t="s">
        <v>2099</v>
      </c>
      <c r="D835" s="2" t="s">
        <v>2100</v>
      </c>
      <c r="E835" s="1" t="s">
        <v>2088</v>
      </c>
      <c r="F835" t="s">
        <v>24</v>
      </c>
      <c r="G835" s="2" t="s">
        <v>2065</v>
      </c>
      <c r="H835" t="s">
        <v>26</v>
      </c>
      <c r="I835" t="s">
        <v>27</v>
      </c>
      <c r="J835" s="6">
        <v>992093</v>
      </c>
      <c r="K835" s="16">
        <v>5011</v>
      </c>
      <c r="L835" s="16">
        <v>5009</v>
      </c>
      <c r="M835" s="16">
        <v>5008</v>
      </c>
      <c r="N835" s="16">
        <v>5006</v>
      </c>
      <c r="O835" s="16">
        <v>5011</v>
      </c>
      <c r="P835" s="16">
        <v>5010</v>
      </c>
      <c r="Q835" s="16">
        <v>5012</v>
      </c>
      <c r="R835" s="16">
        <v>5015</v>
      </c>
      <c r="S835" s="16">
        <v>5014</v>
      </c>
      <c r="T835" s="16">
        <v>5021</v>
      </c>
      <c r="U835" s="15">
        <v>5011.7</v>
      </c>
      <c r="V835" t="s">
        <v>19</v>
      </c>
      <c r="W835" t="s">
        <v>28</v>
      </c>
      <c r="X835">
        <v>189</v>
      </c>
      <c r="Y835" s="16">
        <f>VLOOKUP(Tabela1[[#This Row],[SKU]],SKU!A:D,4,0)</f>
        <v>5000</v>
      </c>
      <c r="Z835" s="18">
        <f>IFERROR((Tabela1[[#This Row],[Média]]-Tabela1[[#This Row],[Meta]])/Tabela1[[#This Row],[Meta]],"")</f>
        <v>2.3399999999999636E-3</v>
      </c>
      <c r="AA835" s="29">
        <f>Tabela1[[#This Row],[Média]]-Tabela1[[#This Row],[Meta]]</f>
        <v>11.699999999999818</v>
      </c>
      <c r="AB835" s="6" t="str">
        <f>VLOOKUP(Tabela1[[#This Row],[SKU]],SKU!A:B,2,0)</f>
        <v>PONTA ASA FG PB CG</v>
      </c>
      <c r="AC835" s="6" t="str">
        <f>VLOOKUP(Tabela1[[#This Row],[SKU]],SKU!A:C,3,0)</f>
        <v>ASA</v>
      </c>
    </row>
    <row r="836" spans="1:29" x14ac:dyDescent="0.3">
      <c r="A836" s="2">
        <f>INT(Tabela1[[#This Row],[Data e Hora2]])</f>
        <v>46283</v>
      </c>
      <c r="B836" s="6" t="str">
        <f>UPPER(TEXT(Tabela1[[#This Row],[Data Corrigida]],"MMM"))</f>
        <v>SET</v>
      </c>
      <c r="C836" t="s">
        <v>2101</v>
      </c>
      <c r="D836" s="2" t="s">
        <v>2102</v>
      </c>
      <c r="E836" s="1" t="s">
        <v>2103</v>
      </c>
      <c r="F836" t="s">
        <v>24</v>
      </c>
      <c r="G836" s="2" t="s">
        <v>2065</v>
      </c>
      <c r="H836" t="s">
        <v>26</v>
      </c>
      <c r="I836" t="s">
        <v>57</v>
      </c>
      <c r="J836" s="6">
        <v>42820</v>
      </c>
      <c r="K836" s="16">
        <v>2080</v>
      </c>
      <c r="L836" s="16">
        <v>2012</v>
      </c>
      <c r="M836" s="16">
        <v>2003</v>
      </c>
      <c r="N836" s="16">
        <v>2014</v>
      </c>
      <c r="O836" s="16">
        <v>1987</v>
      </c>
      <c r="P836" s="16">
        <v>1983</v>
      </c>
      <c r="Q836" s="16">
        <v>2042</v>
      </c>
      <c r="R836" s="16">
        <v>2064</v>
      </c>
      <c r="S836" s="16">
        <v>2017</v>
      </c>
      <c r="T836" s="16">
        <v>2045</v>
      </c>
      <c r="U836" s="15">
        <v>2024.7</v>
      </c>
      <c r="V836" t="s">
        <v>19</v>
      </c>
      <c r="W836" t="s">
        <v>28</v>
      </c>
      <c r="X836">
        <v>484</v>
      </c>
      <c r="Y836" s="16">
        <f>VLOOKUP(Tabela1[[#This Row],[SKU]],SKU!A:D,4,0)</f>
        <v>2000</v>
      </c>
      <c r="Z836" s="18">
        <f>IFERROR((Tabela1[[#This Row],[Média]]-Tabela1[[#This Row],[Meta]])/Tabela1[[#This Row],[Meta]],"")</f>
        <v>1.2350000000000022E-2</v>
      </c>
      <c r="AA836" s="29">
        <f>Tabela1[[#This Row],[Média]]-Tabela1[[#This Row],[Meta]]</f>
        <v>24.700000000000045</v>
      </c>
      <c r="AB836" s="6" t="str">
        <f>VLOOKUP(Tabela1[[#This Row],[SKU]],SKU!A:B,2,0)</f>
        <v>COXA SBCX S/O FG 200-220g PB</v>
      </c>
      <c r="AC836" s="6" t="str">
        <f>VLOOKUP(Tabela1[[#This Row],[SKU]],SKU!A:C,3,0)</f>
        <v>PERNA</v>
      </c>
    </row>
    <row r="837" spans="1:29" x14ac:dyDescent="0.3">
      <c r="A837" s="2">
        <f>INT(Tabela1[[#This Row],[Data e Hora2]])</f>
        <v>46283</v>
      </c>
      <c r="B837" s="6" t="str">
        <f>UPPER(TEXT(Tabela1[[#This Row],[Data Corrigida]],"MMM"))</f>
        <v>SET</v>
      </c>
      <c r="C837" t="s">
        <v>2104</v>
      </c>
      <c r="D837" s="2" t="s">
        <v>2105</v>
      </c>
      <c r="E837" s="1" t="s">
        <v>2103</v>
      </c>
      <c r="F837" t="s">
        <v>24</v>
      </c>
      <c r="G837" s="2" t="s">
        <v>2065</v>
      </c>
      <c r="H837" t="s">
        <v>26</v>
      </c>
      <c r="I837" t="s">
        <v>57</v>
      </c>
      <c r="J837" s="6">
        <v>42846</v>
      </c>
      <c r="K837" s="16">
        <v>2003</v>
      </c>
      <c r="L837" s="16">
        <v>1999</v>
      </c>
      <c r="M837" s="16">
        <v>2014</v>
      </c>
      <c r="N837" s="16">
        <v>2012</v>
      </c>
      <c r="O837" s="16">
        <v>2001</v>
      </c>
      <c r="P837" s="16">
        <v>2003</v>
      </c>
      <c r="Q837" s="16">
        <v>2000</v>
      </c>
      <c r="R837" s="16">
        <v>2007</v>
      </c>
      <c r="S837" s="16">
        <v>2012</v>
      </c>
      <c r="T837" s="16">
        <v>2025</v>
      </c>
      <c r="U837" s="15">
        <v>2007.6</v>
      </c>
      <c r="V837" t="s">
        <v>19</v>
      </c>
      <c r="W837" t="s">
        <v>28</v>
      </c>
      <c r="X837">
        <v>639</v>
      </c>
      <c r="Y837" s="16">
        <f>VLOOKUP(Tabela1[[#This Row],[SKU]],SKU!A:D,4,0)</f>
        <v>2000</v>
      </c>
      <c r="Z837" s="18">
        <f>IFERROR((Tabela1[[#This Row],[Média]]-Tabela1[[#This Row],[Meta]])/Tabela1[[#This Row],[Meta]],"")</f>
        <v>3.7999999999999545E-3</v>
      </c>
      <c r="AA837" s="29">
        <f>Tabela1[[#This Row],[Média]]-Tabela1[[#This Row],[Meta]]</f>
        <v>7.5999999999999091</v>
      </c>
      <c r="AB837" s="6" t="str">
        <f>VLOOKUP(Tabela1[[#This Row],[SKU]],SKU!A:B,2,0)</f>
        <v>COXA SBCX S/O FG 240-260g PB</v>
      </c>
      <c r="AC837" s="6" t="str">
        <f>VLOOKUP(Tabela1[[#This Row],[SKU]],SKU!A:C,3,0)</f>
        <v>PERNA</v>
      </c>
    </row>
    <row r="838" spans="1:29" x14ac:dyDescent="0.3">
      <c r="A838" s="2">
        <f>INT(Tabela1[[#This Row],[Data e Hora2]])</f>
        <v>46283</v>
      </c>
      <c r="B838" s="6" t="str">
        <f>UPPER(TEXT(Tabela1[[#This Row],[Data Corrigida]],"MMM"))</f>
        <v>SET</v>
      </c>
      <c r="C838" t="s">
        <v>2106</v>
      </c>
      <c r="D838" s="2" t="s">
        <v>2107</v>
      </c>
      <c r="E838" s="1" t="s">
        <v>2103</v>
      </c>
      <c r="F838" t="s">
        <v>24</v>
      </c>
      <c r="G838" s="2" t="s">
        <v>2065</v>
      </c>
      <c r="H838" t="s">
        <v>26</v>
      </c>
      <c r="I838" t="s">
        <v>57</v>
      </c>
      <c r="J838" s="6">
        <v>42838</v>
      </c>
      <c r="K838" s="16">
        <v>2016</v>
      </c>
      <c r="L838" s="16">
        <v>2026</v>
      </c>
      <c r="M838" s="16">
        <v>2016</v>
      </c>
      <c r="N838" s="16">
        <v>2058</v>
      </c>
      <c r="O838" s="16">
        <v>2038</v>
      </c>
      <c r="P838" s="16">
        <v>2011</v>
      </c>
      <c r="Q838" s="16">
        <v>2032</v>
      </c>
      <c r="R838" s="16">
        <v>2008</v>
      </c>
      <c r="S838" s="16">
        <v>2009</v>
      </c>
      <c r="T838" s="16">
        <v>2000</v>
      </c>
      <c r="U838" s="15">
        <v>2021.4</v>
      </c>
      <c r="V838" t="s">
        <v>19</v>
      </c>
      <c r="W838" t="s">
        <v>28</v>
      </c>
      <c r="X838">
        <v>204</v>
      </c>
      <c r="Y838" s="16">
        <f>VLOOKUP(Tabela1[[#This Row],[SKU]],SKU!A:D,4,0)</f>
        <v>2000</v>
      </c>
      <c r="Z838" s="18">
        <f>IFERROR((Tabela1[[#This Row],[Média]]-Tabela1[[#This Row],[Meta]])/Tabela1[[#This Row],[Meta]],"")</f>
        <v>1.0700000000000046E-2</v>
      </c>
      <c r="AA838" s="29">
        <f>Tabela1[[#This Row],[Média]]-Tabela1[[#This Row],[Meta]]</f>
        <v>21.400000000000091</v>
      </c>
      <c r="AB838" s="6" t="str">
        <f>VLOOKUP(Tabela1[[#This Row],[SKU]],SKU!A:B,2,0)</f>
        <v>COXA SBCX S/O FG 220-240g PB</v>
      </c>
      <c r="AC838" s="6" t="str">
        <f>VLOOKUP(Tabela1[[#This Row],[SKU]],SKU!A:C,3,0)</f>
        <v>PERNA</v>
      </c>
    </row>
    <row r="839" spans="1:29" x14ac:dyDescent="0.3">
      <c r="A839" s="2">
        <f>INT(Tabela1[[#This Row],[Data e Hora2]])</f>
        <v>46283</v>
      </c>
      <c r="B839" s="6" t="str">
        <f>UPPER(TEXT(Tabela1[[#This Row],[Data Corrigida]],"MMM"))</f>
        <v>SET</v>
      </c>
      <c r="C839" t="s">
        <v>2108</v>
      </c>
      <c r="D839" s="2" t="s">
        <v>2109</v>
      </c>
      <c r="E839" s="1" t="s">
        <v>2110</v>
      </c>
      <c r="F839" t="s">
        <v>24</v>
      </c>
      <c r="G839" s="2" t="s">
        <v>2065</v>
      </c>
      <c r="H839" t="s">
        <v>26</v>
      </c>
      <c r="I839" t="s">
        <v>57</v>
      </c>
      <c r="J839" s="6">
        <v>209069</v>
      </c>
      <c r="K839" s="16">
        <v>1013</v>
      </c>
      <c r="L839" s="16">
        <v>997</v>
      </c>
      <c r="M839" s="16">
        <v>1010</v>
      </c>
      <c r="N839" s="16">
        <v>1003</v>
      </c>
      <c r="O839" s="16">
        <v>993</v>
      </c>
      <c r="P839" s="16">
        <v>988</v>
      </c>
      <c r="Q839" s="16">
        <v>1037</v>
      </c>
      <c r="R839" s="16">
        <v>1027</v>
      </c>
      <c r="S839" s="16">
        <v>994</v>
      </c>
      <c r="T839" s="16">
        <v>1044</v>
      </c>
      <c r="U839" s="15">
        <v>1010.6</v>
      </c>
      <c r="V839" t="s">
        <v>19</v>
      </c>
      <c r="W839" t="s">
        <v>28</v>
      </c>
      <c r="X839">
        <v>229</v>
      </c>
      <c r="Y839" s="16">
        <f>VLOOKUP(Tabela1[[#This Row],[SKU]],SKU!A:D,4,0)</f>
        <v>1000</v>
      </c>
      <c r="Z839" s="18">
        <f>IFERROR((Tabela1[[#This Row],[Média]]-Tabela1[[#This Row],[Meta]])/Tabela1[[#This Row],[Meta]],"")</f>
        <v>1.0600000000000023E-2</v>
      </c>
      <c r="AA839" s="29">
        <f>Tabela1[[#This Row],[Média]]-Tabela1[[#This Row],[Meta]]</f>
        <v>10.600000000000023</v>
      </c>
      <c r="AB839" s="6" t="str">
        <f>VLOOKUP(Tabela1[[#This Row],[SKU]],SKU!A:B,2,0)</f>
        <v>FILE PEITO CG IQF1KG</v>
      </c>
      <c r="AC839" s="6" t="str">
        <f>VLOOKUP(Tabela1[[#This Row],[SKU]],SKU!A:C,3,0)</f>
        <v>PEITO</v>
      </c>
    </row>
    <row r="840" spans="1:29" x14ac:dyDescent="0.3">
      <c r="A840" s="2">
        <f>INT(Tabela1[[#This Row],[Data e Hora2]])</f>
        <v>46283</v>
      </c>
      <c r="B840" s="6" t="str">
        <f>UPPER(TEXT(Tabela1[[#This Row],[Data Corrigida]],"MMM"))</f>
        <v>SET</v>
      </c>
      <c r="C840" t="s">
        <v>2111</v>
      </c>
      <c r="D840" s="2" t="s">
        <v>2112</v>
      </c>
      <c r="E840" s="1" t="s">
        <v>2113</v>
      </c>
      <c r="F840" t="s">
        <v>24</v>
      </c>
      <c r="G840" s="2" t="s">
        <v>2065</v>
      </c>
      <c r="H840" t="s">
        <v>26</v>
      </c>
      <c r="I840" t="s">
        <v>57</v>
      </c>
      <c r="J840" s="6">
        <v>40762</v>
      </c>
      <c r="K840" s="16">
        <v>10075</v>
      </c>
      <c r="L840" s="16">
        <v>10065</v>
      </c>
      <c r="M840" s="16">
        <v>9990</v>
      </c>
      <c r="N840" s="16">
        <v>10010</v>
      </c>
      <c r="O840" s="16">
        <v>10060</v>
      </c>
      <c r="P840" s="16">
        <v>10075</v>
      </c>
      <c r="Q840" s="16">
        <v>10055</v>
      </c>
      <c r="R840" s="16">
        <v>10000</v>
      </c>
      <c r="S840" s="16">
        <v>10020</v>
      </c>
      <c r="T840" s="16">
        <v>10075</v>
      </c>
      <c r="U840" s="15">
        <v>10042.5</v>
      </c>
      <c r="V840" t="s">
        <v>19</v>
      </c>
      <c r="W840" t="s">
        <v>19</v>
      </c>
      <c r="X840">
        <v>456</v>
      </c>
      <c r="Y840" s="16">
        <f>VLOOKUP(Tabela1[[#This Row],[SKU]],SKU!A:D,4,0)</f>
        <v>10000</v>
      </c>
      <c r="Z840" s="18">
        <f>IFERROR((Tabela1[[#This Row],[Média]]-Tabela1[[#This Row],[Meta]])/Tabela1[[#This Row],[Meta]],"")</f>
        <v>4.2500000000000003E-3</v>
      </c>
      <c r="AA840" s="29">
        <f>Tabela1[[#This Row],[Média]]-Tabela1[[#This Row],[Meta]]</f>
        <v>42.5</v>
      </c>
      <c r="AB840" s="6" t="str">
        <f>VLOOKUP(Tabela1[[#This Row],[SKU]],SKU!A:B,2,0)</f>
        <v>COXA SBCX LQ FG LP</v>
      </c>
      <c r="AC840" s="6" t="str">
        <f>VLOOKUP(Tabela1[[#This Row],[SKU]],SKU!A:C,3,0)</f>
        <v>PERNA</v>
      </c>
    </row>
    <row r="841" spans="1:29" x14ac:dyDescent="0.3">
      <c r="A841" s="2">
        <f>INT(Tabela1[[#This Row],[Data e Hora2]])</f>
        <v>46283</v>
      </c>
      <c r="B841" s="6" t="str">
        <f>UPPER(TEXT(Tabela1[[#This Row],[Data Corrigida]],"MMM"))</f>
        <v>SET</v>
      </c>
      <c r="C841" t="s">
        <v>2114</v>
      </c>
      <c r="D841" s="2" t="s">
        <v>2115</v>
      </c>
      <c r="E841" s="1" t="s">
        <v>2113</v>
      </c>
      <c r="F841" t="s">
        <v>24</v>
      </c>
      <c r="G841" s="2" t="s">
        <v>2065</v>
      </c>
      <c r="H841" t="s">
        <v>26</v>
      </c>
      <c r="I841" t="s">
        <v>57</v>
      </c>
      <c r="J841" s="6">
        <v>40762</v>
      </c>
      <c r="K841" s="16">
        <v>10025</v>
      </c>
      <c r="L841" s="16">
        <v>10035</v>
      </c>
      <c r="M841" s="16">
        <v>9965</v>
      </c>
      <c r="N841" s="16">
        <v>9985</v>
      </c>
      <c r="O841" s="16">
        <v>10030</v>
      </c>
      <c r="P841" s="16">
        <v>10055</v>
      </c>
      <c r="Q841" s="16">
        <v>10040</v>
      </c>
      <c r="R841" s="16">
        <v>9995</v>
      </c>
      <c r="S841" s="16">
        <v>10040</v>
      </c>
      <c r="T841" s="16">
        <v>10025</v>
      </c>
      <c r="U841" s="15">
        <v>10019.5</v>
      </c>
      <c r="V841" t="s">
        <v>19</v>
      </c>
      <c r="W841" t="s">
        <v>19</v>
      </c>
      <c r="X841">
        <v>201</v>
      </c>
      <c r="Y841" s="16">
        <f>VLOOKUP(Tabela1[[#This Row],[SKU]],SKU!A:D,4,0)</f>
        <v>10000</v>
      </c>
      <c r="Z841" s="18">
        <f>IFERROR((Tabela1[[#This Row],[Média]]-Tabela1[[#This Row],[Meta]])/Tabela1[[#This Row],[Meta]],"")</f>
        <v>1.9499999999999999E-3</v>
      </c>
      <c r="AA841" s="29">
        <f>Tabela1[[#This Row],[Média]]-Tabela1[[#This Row],[Meta]]</f>
        <v>19.5</v>
      </c>
      <c r="AB841" s="6" t="str">
        <f>VLOOKUP(Tabela1[[#This Row],[SKU]],SKU!A:B,2,0)</f>
        <v>COXA SBCX LQ FG LP</v>
      </c>
      <c r="AC841" s="6" t="str">
        <f>VLOOKUP(Tabela1[[#This Row],[SKU]],SKU!A:C,3,0)</f>
        <v>PERNA</v>
      </c>
    </row>
    <row r="842" spans="1:29" x14ac:dyDescent="0.3">
      <c r="A842" s="2">
        <f>INT(Tabela1[[#This Row],[Data e Hora2]])</f>
        <v>46283</v>
      </c>
      <c r="B842" s="6" t="str">
        <f>UPPER(TEXT(Tabela1[[#This Row],[Data Corrigida]],"MMM"))</f>
        <v>SET</v>
      </c>
      <c r="C842" t="s">
        <v>2116</v>
      </c>
      <c r="D842" s="2" t="s">
        <v>2117</v>
      </c>
      <c r="E842" s="1" t="s">
        <v>2113</v>
      </c>
      <c r="F842" t="s">
        <v>24</v>
      </c>
      <c r="G842" s="2" t="s">
        <v>2065</v>
      </c>
      <c r="H842" t="s">
        <v>26</v>
      </c>
      <c r="I842" t="s">
        <v>57</v>
      </c>
      <c r="J842" s="6">
        <v>40762</v>
      </c>
      <c r="K842" s="16">
        <v>10040</v>
      </c>
      <c r="L842" s="16">
        <v>10015</v>
      </c>
      <c r="M842" s="16">
        <v>10085</v>
      </c>
      <c r="N842" s="16">
        <v>10025</v>
      </c>
      <c r="O842" s="16">
        <v>10005</v>
      </c>
      <c r="P842" s="16">
        <v>10010</v>
      </c>
      <c r="Q842" s="16">
        <v>10050</v>
      </c>
      <c r="R842" s="16">
        <v>10025</v>
      </c>
      <c r="S842" s="16">
        <v>10030</v>
      </c>
      <c r="T842" s="16">
        <v>9995</v>
      </c>
      <c r="U842" s="15">
        <v>10028</v>
      </c>
      <c r="V842" t="s">
        <v>19</v>
      </c>
      <c r="W842" t="s">
        <v>19</v>
      </c>
      <c r="X842">
        <v>151</v>
      </c>
      <c r="Y842" s="16">
        <f>VLOOKUP(Tabela1[[#This Row],[SKU]],SKU!A:D,4,0)</f>
        <v>10000</v>
      </c>
      <c r="Z842" s="18">
        <f>IFERROR((Tabela1[[#This Row],[Média]]-Tabela1[[#This Row],[Meta]])/Tabela1[[#This Row],[Meta]],"")</f>
        <v>2.8E-3</v>
      </c>
      <c r="AA842" s="29">
        <f>Tabela1[[#This Row],[Média]]-Tabela1[[#This Row],[Meta]]</f>
        <v>28</v>
      </c>
      <c r="AB842" s="6" t="str">
        <f>VLOOKUP(Tabela1[[#This Row],[SKU]],SKU!A:B,2,0)</f>
        <v>COXA SBCX LQ FG LP</v>
      </c>
      <c r="AC842" s="6" t="str">
        <f>VLOOKUP(Tabela1[[#This Row],[SKU]],SKU!A:C,3,0)</f>
        <v>PERNA</v>
      </c>
    </row>
    <row r="843" spans="1:29" x14ac:dyDescent="0.3">
      <c r="A843" s="2">
        <f>INT(Tabela1[[#This Row],[Data e Hora2]])</f>
        <v>46283</v>
      </c>
      <c r="B843" s="6" t="str">
        <f>UPPER(TEXT(Tabela1[[#This Row],[Data Corrigida]],"MMM"))</f>
        <v>SET</v>
      </c>
      <c r="C843" t="s">
        <v>2118</v>
      </c>
      <c r="D843" s="2" t="s">
        <v>2119</v>
      </c>
      <c r="E843" s="1" t="s">
        <v>2113</v>
      </c>
      <c r="F843" t="s">
        <v>24</v>
      </c>
      <c r="G843" s="2" t="s">
        <v>2065</v>
      </c>
      <c r="H843" t="s">
        <v>26</v>
      </c>
      <c r="I843" t="s">
        <v>57</v>
      </c>
      <c r="J843" s="6">
        <v>55552</v>
      </c>
      <c r="K843" s="16">
        <v>15005</v>
      </c>
      <c r="L843" s="16">
        <v>15010</v>
      </c>
      <c r="M843" s="16">
        <v>15020</v>
      </c>
      <c r="N843" s="16">
        <v>15015</v>
      </c>
      <c r="O843" s="16">
        <v>15005</v>
      </c>
      <c r="P843" s="16">
        <v>15015</v>
      </c>
      <c r="Q843" s="16">
        <v>15015</v>
      </c>
      <c r="R843" s="16">
        <v>15010</v>
      </c>
      <c r="S843" s="16">
        <v>15000</v>
      </c>
      <c r="T843" s="16">
        <v>15010</v>
      </c>
      <c r="U843" s="15">
        <v>15010.5</v>
      </c>
      <c r="V843" t="s">
        <v>19</v>
      </c>
      <c r="W843" t="s">
        <v>28</v>
      </c>
      <c r="X843">
        <v>452</v>
      </c>
      <c r="Y843" s="16">
        <f>VLOOKUP(Tabela1[[#This Row],[SKU]],SKU!A:D,4,0)</f>
        <v>15000</v>
      </c>
      <c r="Z843" s="18">
        <f>IFERROR((Tabela1[[#This Row],[Média]]-Tabela1[[#This Row],[Meta]])/Tabela1[[#This Row],[Meta]],"")</f>
        <v>6.9999999999999999E-4</v>
      </c>
      <c r="AA843" s="29">
        <f>Tabela1[[#This Row],[Média]]-Tabela1[[#This Row],[Meta]]</f>
        <v>10.5</v>
      </c>
      <c r="AB843" s="6" t="str">
        <f>VLOOKUP(Tabela1[[#This Row],[SKU]],SKU!A:B,2,0)</f>
        <v>COXA SBCX  S/O CG MP</v>
      </c>
      <c r="AC843" s="6" t="str">
        <f>VLOOKUP(Tabela1[[#This Row],[SKU]],SKU!A:C,3,0)</f>
        <v>PERNA</v>
      </c>
    </row>
    <row r="844" spans="1:29" x14ac:dyDescent="0.3">
      <c r="A844" s="2">
        <f>INT(Tabela1[[#This Row],[Data e Hora2]])</f>
        <v>46283</v>
      </c>
      <c r="B844" s="6" t="str">
        <f>UPPER(TEXT(Tabela1[[#This Row],[Data Corrigida]],"MMM"))</f>
        <v>SET</v>
      </c>
      <c r="C844" t="s">
        <v>2120</v>
      </c>
      <c r="D844" s="2" t="s">
        <v>2121</v>
      </c>
      <c r="E844" s="1" t="s">
        <v>2122</v>
      </c>
      <c r="F844" t="s">
        <v>24</v>
      </c>
      <c r="G844" s="2" t="s">
        <v>2065</v>
      </c>
      <c r="H844" t="s">
        <v>26</v>
      </c>
      <c r="I844" t="s">
        <v>57</v>
      </c>
      <c r="J844" s="6">
        <v>13188</v>
      </c>
      <c r="K844" s="16">
        <v>1000</v>
      </c>
      <c r="L844" s="16">
        <v>1012</v>
      </c>
      <c r="M844" s="16">
        <v>1003</v>
      </c>
      <c r="N844" s="16">
        <v>1011</v>
      </c>
      <c r="O844" s="16">
        <v>1014</v>
      </c>
      <c r="P844" s="16">
        <v>1002</v>
      </c>
      <c r="Q844" s="16">
        <v>997</v>
      </c>
      <c r="R844" s="16">
        <v>1008</v>
      </c>
      <c r="S844" s="16">
        <v>1000</v>
      </c>
      <c r="T844" s="16">
        <v>1014</v>
      </c>
      <c r="U844" s="15">
        <v>1006.1</v>
      </c>
      <c r="V844" t="s">
        <v>19</v>
      </c>
      <c r="W844" t="s">
        <v>28</v>
      </c>
      <c r="X844">
        <v>192</v>
      </c>
      <c r="Y844" s="16">
        <f>VLOOKUP(Tabela1[[#This Row],[SKU]],SKU!A:D,4,0)</f>
        <v>1000</v>
      </c>
      <c r="Z844" s="18">
        <f>IFERROR((Tabela1[[#This Row],[Média]]-Tabela1[[#This Row],[Meta]])/Tabela1[[#This Row],[Meta]],"")</f>
        <v>6.1000000000000229E-3</v>
      </c>
      <c r="AA844" s="29">
        <f>Tabela1[[#This Row],[Média]]-Tabela1[[#This Row],[Meta]]</f>
        <v>6.1000000000000227</v>
      </c>
      <c r="AB844" s="6" t="str">
        <f>VLOOKUP(Tabela1[[#This Row],[SKU]],SKU!A:B,2,0)</f>
        <v>SOBRECOXA CG BDJ SE</v>
      </c>
      <c r="AC844" s="6" t="str">
        <f>VLOOKUP(Tabela1[[#This Row],[SKU]],SKU!A:C,3,0)</f>
        <v>PERNA</v>
      </c>
    </row>
    <row r="845" spans="1:29" x14ac:dyDescent="0.3">
      <c r="A845" s="2">
        <f>INT(Tabela1[[#This Row],[Data e Hora2]])</f>
        <v>46283</v>
      </c>
      <c r="B845" s="6" t="str">
        <f>UPPER(TEXT(Tabela1[[#This Row],[Data Corrigida]],"MMM"))</f>
        <v>SET</v>
      </c>
      <c r="C845" t="s">
        <v>2123</v>
      </c>
      <c r="D845" s="2" t="s">
        <v>2124</v>
      </c>
      <c r="E845" s="1" t="s">
        <v>2122</v>
      </c>
      <c r="F845" t="s">
        <v>24</v>
      </c>
      <c r="G845" s="2" t="s">
        <v>2065</v>
      </c>
      <c r="H845" t="s">
        <v>26</v>
      </c>
      <c r="I845" t="s">
        <v>57</v>
      </c>
      <c r="J845" s="6">
        <v>13188</v>
      </c>
      <c r="K845" s="16">
        <v>1001</v>
      </c>
      <c r="L845" s="16">
        <v>1009</v>
      </c>
      <c r="M845" s="16">
        <v>1006</v>
      </c>
      <c r="N845" s="16">
        <v>1011</v>
      </c>
      <c r="O845" s="16">
        <v>1005</v>
      </c>
      <c r="P845" s="16">
        <v>996</v>
      </c>
      <c r="Q845" s="16">
        <v>1008</v>
      </c>
      <c r="R845" s="16">
        <v>1000</v>
      </c>
      <c r="S845" s="16">
        <v>999</v>
      </c>
      <c r="T845" s="16">
        <v>1002</v>
      </c>
      <c r="U845" s="15">
        <v>1003.7</v>
      </c>
      <c r="V845" t="s">
        <v>19</v>
      </c>
      <c r="W845" t="s">
        <v>28</v>
      </c>
      <c r="X845">
        <v>178</v>
      </c>
      <c r="Y845" s="16">
        <f>VLOOKUP(Tabela1[[#This Row],[SKU]],SKU!A:D,4,0)</f>
        <v>1000</v>
      </c>
      <c r="Z845" s="18">
        <f>IFERROR((Tabela1[[#This Row],[Média]]-Tabela1[[#This Row],[Meta]])/Tabela1[[#This Row],[Meta]],"")</f>
        <v>3.7000000000000453E-3</v>
      </c>
      <c r="AA845" s="29">
        <f>Tabela1[[#This Row],[Média]]-Tabela1[[#This Row],[Meta]]</f>
        <v>3.7000000000000455</v>
      </c>
      <c r="AB845" s="6" t="str">
        <f>VLOOKUP(Tabela1[[#This Row],[SKU]],SKU!A:B,2,0)</f>
        <v>SOBRECOXA CG BDJ SE</v>
      </c>
      <c r="AC845" s="6" t="str">
        <f>VLOOKUP(Tabela1[[#This Row],[SKU]],SKU!A:C,3,0)</f>
        <v>PERNA</v>
      </c>
    </row>
    <row r="846" spans="1:29" x14ac:dyDescent="0.3">
      <c r="A846" s="2">
        <f>INT(Tabela1[[#This Row],[Data e Hora2]])</f>
        <v>46283</v>
      </c>
      <c r="B846" s="6" t="str">
        <f>UPPER(TEXT(Tabela1[[#This Row],[Data Corrigida]],"MMM"))</f>
        <v>SET</v>
      </c>
      <c r="C846" t="s">
        <v>2125</v>
      </c>
      <c r="D846" s="2" t="s">
        <v>2126</v>
      </c>
      <c r="E846" s="1" t="s">
        <v>2122</v>
      </c>
      <c r="F846" t="s">
        <v>24</v>
      </c>
      <c r="G846" s="2" t="s">
        <v>2065</v>
      </c>
      <c r="H846" t="s">
        <v>26</v>
      </c>
      <c r="I846" t="s">
        <v>57</v>
      </c>
      <c r="J846" s="6">
        <v>15229</v>
      </c>
      <c r="K846" s="16">
        <v>1012</v>
      </c>
      <c r="L846" s="16">
        <v>1018</v>
      </c>
      <c r="M846" s="16">
        <v>1002</v>
      </c>
      <c r="N846" s="16">
        <v>1016</v>
      </c>
      <c r="O846" s="16">
        <v>998</v>
      </c>
      <c r="P846" s="16">
        <v>1005</v>
      </c>
      <c r="Q846" s="16">
        <v>996</v>
      </c>
      <c r="R846" s="16">
        <v>1007</v>
      </c>
      <c r="S846" s="16">
        <v>1011</v>
      </c>
      <c r="T846" s="16">
        <v>1008</v>
      </c>
      <c r="U846" s="15">
        <v>1007.3</v>
      </c>
      <c r="V846" t="s">
        <v>19</v>
      </c>
      <c r="W846" t="s">
        <v>28</v>
      </c>
      <c r="X846">
        <v>81</v>
      </c>
      <c r="Y846" s="16">
        <f>VLOOKUP(Tabela1[[#This Row],[SKU]],SKU!A:D,4,0)</f>
        <v>1000</v>
      </c>
      <c r="Z846" s="18">
        <f>IFERROR((Tabela1[[#This Row],[Média]]-Tabela1[[#This Row],[Meta]])/Tabela1[[#This Row],[Meta]],"")</f>
        <v>7.2999999999999541E-3</v>
      </c>
      <c r="AA846" s="29">
        <f>Tabela1[[#This Row],[Média]]-Tabela1[[#This Row],[Meta]]</f>
        <v>7.2999999999999545</v>
      </c>
      <c r="AB846" s="6" t="str">
        <f>VLOOKUP(Tabela1[[#This Row],[SKU]],SKU!A:B,2,0)</f>
        <v>COXA CG BDJ SE</v>
      </c>
      <c r="AC846" s="6" t="str">
        <f>VLOOKUP(Tabela1[[#This Row],[SKU]],SKU!A:C,3,0)</f>
        <v>PERNA</v>
      </c>
    </row>
    <row r="847" spans="1:29" x14ac:dyDescent="0.3">
      <c r="A847" s="2">
        <f>INT(Tabela1[[#This Row],[Data e Hora2]])</f>
        <v>46283</v>
      </c>
      <c r="B847" s="6" t="str">
        <f>UPPER(TEXT(Tabela1[[#This Row],[Data Corrigida]],"MMM"))</f>
        <v>SET</v>
      </c>
      <c r="C847" t="s">
        <v>2127</v>
      </c>
      <c r="D847" s="2" t="s">
        <v>2128</v>
      </c>
      <c r="E847" s="1" t="s">
        <v>2122</v>
      </c>
      <c r="F847" t="s">
        <v>24</v>
      </c>
      <c r="G847" s="2" t="s">
        <v>2065</v>
      </c>
      <c r="H847" t="s">
        <v>26</v>
      </c>
      <c r="I847" t="s">
        <v>57</v>
      </c>
      <c r="J847" s="6">
        <v>15229</v>
      </c>
      <c r="K847" s="16">
        <v>1006</v>
      </c>
      <c r="L847" s="16">
        <v>995</v>
      </c>
      <c r="M847" s="16">
        <v>1014</v>
      </c>
      <c r="N847" s="16">
        <v>995</v>
      </c>
      <c r="O847" s="16">
        <v>1013</v>
      </c>
      <c r="P847" s="16">
        <v>1003</v>
      </c>
      <c r="Q847" s="16">
        <v>1002</v>
      </c>
      <c r="R847" s="16">
        <v>1008</v>
      </c>
      <c r="S847" s="16">
        <v>1004</v>
      </c>
      <c r="T847" s="16">
        <v>1009</v>
      </c>
      <c r="U847" s="15">
        <v>1004.9</v>
      </c>
      <c r="V847" t="s">
        <v>19</v>
      </c>
      <c r="W847" t="s">
        <v>28</v>
      </c>
      <c r="X847">
        <v>149</v>
      </c>
      <c r="Y847" s="16">
        <f>VLOOKUP(Tabela1[[#This Row],[SKU]],SKU!A:D,4,0)</f>
        <v>1000</v>
      </c>
      <c r="Z847" s="18">
        <f>IFERROR((Tabela1[[#This Row],[Média]]-Tabela1[[#This Row],[Meta]])/Tabela1[[#This Row],[Meta]],"")</f>
        <v>4.8999999999999773E-3</v>
      </c>
      <c r="AA847" s="29">
        <f>Tabela1[[#This Row],[Média]]-Tabela1[[#This Row],[Meta]]</f>
        <v>4.8999999999999773</v>
      </c>
      <c r="AB847" s="6" t="str">
        <f>VLOOKUP(Tabela1[[#This Row],[SKU]],SKU!A:B,2,0)</f>
        <v>COXA CG BDJ SE</v>
      </c>
      <c r="AC847" s="6" t="str">
        <f>VLOOKUP(Tabela1[[#This Row],[SKU]],SKU!A:C,3,0)</f>
        <v>PERNA</v>
      </c>
    </row>
    <row r="848" spans="1:29" x14ac:dyDescent="0.3">
      <c r="A848" s="2">
        <f>INT(Tabela1[[#This Row],[Data e Hora2]])</f>
        <v>46283</v>
      </c>
      <c r="B848" s="6" t="str">
        <f>UPPER(TEXT(Tabela1[[#This Row],[Data Corrigida]],"MMM"))</f>
        <v>SET</v>
      </c>
      <c r="C848" t="s">
        <v>2129</v>
      </c>
      <c r="D848" s="2" t="s">
        <v>2130</v>
      </c>
      <c r="E848" s="1" t="s">
        <v>2122</v>
      </c>
      <c r="F848" t="s">
        <v>24</v>
      </c>
      <c r="G848" s="2" t="s">
        <v>2065</v>
      </c>
      <c r="H848" t="s">
        <v>26</v>
      </c>
      <c r="I848" t="s">
        <v>57</v>
      </c>
      <c r="J848" s="6">
        <v>15105</v>
      </c>
      <c r="K848" s="16">
        <v>1020</v>
      </c>
      <c r="L848" s="16">
        <v>1067</v>
      </c>
      <c r="M848" s="16">
        <v>999</v>
      </c>
      <c r="N848" s="16">
        <v>995</v>
      </c>
      <c r="O848" s="16">
        <v>1003</v>
      </c>
      <c r="P848" s="16">
        <v>1042</v>
      </c>
      <c r="Q848" s="16">
        <v>989</v>
      </c>
      <c r="R848" s="16">
        <v>990</v>
      </c>
      <c r="S848" s="16">
        <v>1015</v>
      </c>
      <c r="T848" s="16">
        <v>1030</v>
      </c>
      <c r="U848" s="15">
        <v>1015</v>
      </c>
      <c r="V848" t="s">
        <v>19</v>
      </c>
      <c r="W848" t="s">
        <v>28</v>
      </c>
      <c r="X848">
        <v>208</v>
      </c>
      <c r="Y848" s="16">
        <f>VLOOKUP(Tabela1[[#This Row],[SKU]],SKU!A:D,4,0)</f>
        <v>1000</v>
      </c>
      <c r="Z848" s="18">
        <f>IFERROR((Tabela1[[#This Row],[Média]]-Tabela1[[#This Row],[Meta]])/Tabela1[[#This Row],[Meta]],"")</f>
        <v>1.4999999999999999E-2</v>
      </c>
      <c r="AA848" s="29">
        <f>Tabela1[[#This Row],[Média]]-Tabela1[[#This Row],[Meta]]</f>
        <v>15</v>
      </c>
      <c r="AB848" s="6" t="str">
        <f>VLOOKUP(Tabela1[[#This Row],[SKU]],SKU!A:B,2,0)</f>
        <v>FILE PEITO MET CG BDJ SE</v>
      </c>
      <c r="AC848" s="6" t="str">
        <f>VLOOKUP(Tabela1[[#This Row],[SKU]],SKU!A:C,3,0)</f>
        <v>PEITO</v>
      </c>
    </row>
    <row r="849" spans="1:29" x14ac:dyDescent="0.3">
      <c r="A849" s="2">
        <f>INT(Tabela1[[#This Row],[Data e Hora2]])</f>
        <v>46283</v>
      </c>
      <c r="B849" s="6" t="str">
        <f>UPPER(TEXT(Tabela1[[#This Row],[Data Corrigida]],"MMM"))</f>
        <v>SET</v>
      </c>
      <c r="C849" t="s">
        <v>2131</v>
      </c>
      <c r="D849" s="2" t="s">
        <v>2132</v>
      </c>
      <c r="E849" s="1" t="s">
        <v>2133</v>
      </c>
      <c r="F849" t="s">
        <v>24</v>
      </c>
      <c r="G849" s="2" t="s">
        <v>2065</v>
      </c>
      <c r="H849" t="s">
        <v>142</v>
      </c>
      <c r="I849" t="s">
        <v>462</v>
      </c>
      <c r="J849" s="6">
        <v>209039</v>
      </c>
      <c r="K849" s="16">
        <v>1040</v>
      </c>
      <c r="L849" s="16">
        <v>1022</v>
      </c>
      <c r="M849" s="16">
        <v>1041</v>
      </c>
      <c r="N849" s="16">
        <v>1005</v>
      </c>
      <c r="O849" s="16">
        <v>1046</v>
      </c>
      <c r="P849" s="16">
        <v>1059</v>
      </c>
      <c r="Q849" s="16">
        <v>1034</v>
      </c>
      <c r="R849" s="16">
        <v>1047</v>
      </c>
      <c r="S849" s="16">
        <v>1012</v>
      </c>
      <c r="T849" s="16">
        <v>1009</v>
      </c>
      <c r="U849" s="15">
        <v>1031.5</v>
      </c>
      <c r="V849" t="s">
        <v>19</v>
      </c>
      <c r="W849" t="s">
        <v>28</v>
      </c>
      <c r="X849">
        <v>158</v>
      </c>
      <c r="Y849" s="16">
        <f>VLOOKUP(Tabela1[[#This Row],[SKU]],SKU!A:D,4,0)</f>
        <v>1000</v>
      </c>
      <c r="Z849" s="18">
        <f>IFERROR((Tabela1[[#This Row],[Média]]-Tabela1[[#This Row],[Meta]])/Tabela1[[#This Row],[Meta]],"")</f>
        <v>3.15E-2</v>
      </c>
      <c r="AA849" s="29">
        <f>Tabela1[[#This Row],[Média]]-Tabela1[[#This Row],[Meta]]</f>
        <v>31.5</v>
      </c>
      <c r="AB849" s="6" t="str">
        <f>VLOOKUP(Tabela1[[#This Row],[SKU]],SKU!A:B,2,0)</f>
        <v>COXINHA ASA IQF ALM 1KG</v>
      </c>
      <c r="AC849" s="6" t="str">
        <f>VLOOKUP(Tabela1[[#This Row],[SKU]],SKU!A:C,3,0)</f>
        <v>ASA</v>
      </c>
    </row>
    <row r="850" spans="1:29" x14ac:dyDescent="0.3">
      <c r="A850" s="2">
        <f>INT(Tabela1[[#This Row],[Data e Hora2]])</f>
        <v>46282</v>
      </c>
      <c r="B850" s="6" t="str">
        <f>UPPER(TEXT(Tabela1[[#This Row],[Data Corrigida]],"MMM"))</f>
        <v>SET</v>
      </c>
      <c r="C850" t="s">
        <v>2134</v>
      </c>
      <c r="D850" s="2" t="s">
        <v>2135</v>
      </c>
      <c r="E850" s="1" t="s">
        <v>2136</v>
      </c>
      <c r="F850" t="s">
        <v>24</v>
      </c>
      <c r="G850" s="2" t="s">
        <v>2137</v>
      </c>
      <c r="H850" t="s">
        <v>142</v>
      </c>
      <c r="I850" t="s">
        <v>462</v>
      </c>
      <c r="J850" s="6">
        <v>197734</v>
      </c>
      <c r="K850" s="16">
        <v>1003</v>
      </c>
      <c r="L850" s="16">
        <v>1000</v>
      </c>
      <c r="M850" s="16">
        <v>999</v>
      </c>
      <c r="N850" s="16">
        <v>1027</v>
      </c>
      <c r="O850" s="16">
        <v>1023</v>
      </c>
      <c r="P850" s="16">
        <v>1015</v>
      </c>
      <c r="Q850" s="16">
        <v>995</v>
      </c>
      <c r="R850" s="16">
        <v>1002</v>
      </c>
      <c r="S850" s="16">
        <v>996</v>
      </c>
      <c r="T850" s="16">
        <v>1004</v>
      </c>
      <c r="U850" s="15">
        <v>1006.4</v>
      </c>
      <c r="V850" t="s">
        <v>19</v>
      </c>
      <c r="W850" t="s">
        <v>28</v>
      </c>
      <c r="X850">
        <v>174</v>
      </c>
      <c r="Y850" s="16">
        <f>VLOOKUP(Tabela1[[#This Row],[SKU]],SKU!A:D,4,0)</f>
        <v>1000</v>
      </c>
      <c r="Z850" s="18">
        <f>IFERROR((Tabela1[[#This Row],[Média]]-Tabela1[[#This Row],[Meta]])/Tabela1[[#This Row],[Meta]],"")</f>
        <v>6.3999999999999769E-3</v>
      </c>
      <c r="AA850" s="29">
        <f>Tabela1[[#This Row],[Média]]-Tabela1[[#This Row],[Meta]]</f>
        <v>6.3999999999999773</v>
      </c>
      <c r="AB850" s="6" t="str">
        <f>VLOOKUP(Tabela1[[#This Row],[SKU]],SKU!A:B,2,0)</f>
        <v>FILEZINHO FRANGO IQF ALM SE</v>
      </c>
      <c r="AC850" s="6" t="str">
        <f>VLOOKUP(Tabela1[[#This Row],[SKU]],SKU!A:C,3,0)</f>
        <v>SASSAMI</v>
      </c>
    </row>
    <row r="851" spans="1:29" x14ac:dyDescent="0.3">
      <c r="A851" s="2">
        <f>INT(Tabela1[[#This Row],[Data e Hora2]])</f>
        <v>46283</v>
      </c>
      <c r="B851" s="6" t="str">
        <f>UPPER(TEXT(Tabela1[[#This Row],[Data Corrigida]],"MMM"))</f>
        <v>SET</v>
      </c>
      <c r="C851" t="s">
        <v>2138</v>
      </c>
      <c r="D851" s="2" t="s">
        <v>2139</v>
      </c>
      <c r="E851" s="1" t="s">
        <v>2140</v>
      </c>
      <c r="F851" t="s">
        <v>24</v>
      </c>
      <c r="G851" s="2" t="s">
        <v>2065</v>
      </c>
      <c r="H851" t="s">
        <v>26</v>
      </c>
      <c r="I851" t="s">
        <v>27</v>
      </c>
      <c r="J851" s="6">
        <v>42820</v>
      </c>
      <c r="K851" s="16">
        <v>2012</v>
      </c>
      <c r="L851" s="16">
        <v>2004</v>
      </c>
      <c r="M851" s="16">
        <v>2011</v>
      </c>
      <c r="N851" s="16">
        <v>2011</v>
      </c>
      <c r="O851" s="16">
        <v>2005</v>
      </c>
      <c r="P851" s="16">
        <v>2006</v>
      </c>
      <c r="Q851" s="16">
        <v>2000</v>
      </c>
      <c r="R851" s="16">
        <v>2012</v>
      </c>
      <c r="S851" s="16">
        <v>2004</v>
      </c>
      <c r="T851" s="16">
        <v>2047</v>
      </c>
      <c r="U851" s="15">
        <v>2011.2</v>
      </c>
      <c r="V851" t="s">
        <v>19</v>
      </c>
      <c r="W851" t="s">
        <v>28</v>
      </c>
      <c r="X851">
        <v>8825</v>
      </c>
      <c r="Y851" s="16">
        <f>VLOOKUP(Tabela1[[#This Row],[SKU]],SKU!A:D,4,0)</f>
        <v>2000</v>
      </c>
      <c r="Z851" s="18">
        <f>IFERROR((Tabela1[[#This Row],[Média]]-Tabela1[[#This Row],[Meta]])/Tabela1[[#This Row],[Meta]],"")</f>
        <v>5.6000000000000225E-3</v>
      </c>
      <c r="AA851" s="29">
        <f>Tabela1[[#This Row],[Média]]-Tabela1[[#This Row],[Meta]]</f>
        <v>11.200000000000045</v>
      </c>
      <c r="AB851" s="6" t="str">
        <f>VLOOKUP(Tabela1[[#This Row],[SKU]],SKU!A:B,2,0)</f>
        <v>COXA SBCX S/O FG 200-220g PB</v>
      </c>
      <c r="AC851" s="6" t="str">
        <f>VLOOKUP(Tabela1[[#This Row],[SKU]],SKU!A:C,3,0)</f>
        <v>PERNA</v>
      </c>
    </row>
    <row r="852" spans="1:29" x14ac:dyDescent="0.3">
      <c r="A852" s="2">
        <f>INT(Tabela1[[#This Row],[Data e Hora2]])</f>
        <v>46282</v>
      </c>
      <c r="B852" s="6" t="str">
        <f>UPPER(TEXT(Tabela1[[#This Row],[Data Corrigida]],"MMM"))</f>
        <v>SET</v>
      </c>
      <c r="C852" t="s">
        <v>2141</v>
      </c>
      <c r="D852" s="2" t="s">
        <v>2142</v>
      </c>
      <c r="E852" s="1" t="s">
        <v>2140</v>
      </c>
      <c r="F852" t="s">
        <v>24</v>
      </c>
      <c r="G852" s="2" t="s">
        <v>2137</v>
      </c>
      <c r="H852" t="s">
        <v>26</v>
      </c>
      <c r="I852" t="s">
        <v>27</v>
      </c>
      <c r="J852" s="6">
        <v>42820</v>
      </c>
      <c r="K852" s="16">
        <v>2040</v>
      </c>
      <c r="L852" s="16">
        <v>2021</v>
      </c>
      <c r="M852" s="16">
        <v>2032</v>
      </c>
      <c r="N852" s="16">
        <v>2024</v>
      </c>
      <c r="O852" s="16">
        <v>2012</v>
      </c>
      <c r="P852" s="16">
        <v>2001</v>
      </c>
      <c r="Q852" s="16">
        <v>2018</v>
      </c>
      <c r="R852" s="16">
        <v>2021</v>
      </c>
      <c r="S852" s="16">
        <v>2019</v>
      </c>
      <c r="T852" s="16">
        <v>2033</v>
      </c>
      <c r="U852" s="15">
        <v>2022.1</v>
      </c>
      <c r="V852" t="s">
        <v>19</v>
      </c>
      <c r="W852" t="s">
        <v>28</v>
      </c>
      <c r="X852">
        <v>8315</v>
      </c>
      <c r="Y852" s="16">
        <f>VLOOKUP(Tabela1[[#This Row],[SKU]],SKU!A:D,4,0)</f>
        <v>2000</v>
      </c>
      <c r="Z852" s="18">
        <f>IFERROR((Tabela1[[#This Row],[Média]]-Tabela1[[#This Row],[Meta]])/Tabela1[[#This Row],[Meta]],"")</f>
        <v>1.1049999999999954E-2</v>
      </c>
      <c r="AA852" s="29">
        <f>Tabela1[[#This Row],[Média]]-Tabela1[[#This Row],[Meta]]</f>
        <v>22.099999999999909</v>
      </c>
      <c r="AB852" s="6" t="str">
        <f>VLOOKUP(Tabela1[[#This Row],[SKU]],SKU!A:B,2,0)</f>
        <v>COXA SBCX S/O FG 200-220g PB</v>
      </c>
      <c r="AC852" s="6" t="str">
        <f>VLOOKUP(Tabela1[[#This Row],[SKU]],SKU!A:C,3,0)</f>
        <v>PERNA</v>
      </c>
    </row>
    <row r="853" spans="1:29" x14ac:dyDescent="0.3">
      <c r="A853" s="2">
        <f>INT(Tabela1[[#This Row],[Data e Hora2]])</f>
        <v>46282</v>
      </c>
      <c r="B853" s="6" t="str">
        <f>UPPER(TEXT(Tabela1[[#This Row],[Data Corrigida]],"MMM"))</f>
        <v>SET</v>
      </c>
      <c r="C853" t="s">
        <v>2143</v>
      </c>
      <c r="D853" s="2" t="s">
        <v>2144</v>
      </c>
      <c r="E853" s="1" t="s">
        <v>2140</v>
      </c>
      <c r="F853" t="s">
        <v>24</v>
      </c>
      <c r="G853" s="2" t="s">
        <v>2137</v>
      </c>
      <c r="H853" t="s">
        <v>26</v>
      </c>
      <c r="I853" t="s">
        <v>27</v>
      </c>
      <c r="J853" s="6">
        <v>42838</v>
      </c>
      <c r="K853" s="16">
        <v>2003</v>
      </c>
      <c r="L853" s="16">
        <v>2054</v>
      </c>
      <c r="M853" s="16">
        <v>2033</v>
      </c>
      <c r="N853" s="16">
        <v>2027</v>
      </c>
      <c r="O853" s="16">
        <v>2031</v>
      </c>
      <c r="P853" s="16">
        <v>2036</v>
      </c>
      <c r="Q853" s="16">
        <v>2007</v>
      </c>
      <c r="R853" s="16">
        <v>2028</v>
      </c>
      <c r="S853" s="16">
        <v>2041</v>
      </c>
      <c r="T853" s="16">
        <v>2035</v>
      </c>
      <c r="U853" s="15">
        <v>2029.5</v>
      </c>
      <c r="V853" t="s">
        <v>19</v>
      </c>
      <c r="W853" t="s">
        <v>28</v>
      </c>
      <c r="X853">
        <v>7735</v>
      </c>
      <c r="Y853" s="16">
        <f>VLOOKUP(Tabela1[[#This Row],[SKU]],SKU!A:D,4,0)</f>
        <v>2000</v>
      </c>
      <c r="Z853" s="18">
        <f>IFERROR((Tabela1[[#This Row],[Média]]-Tabela1[[#This Row],[Meta]])/Tabela1[[#This Row],[Meta]],"")</f>
        <v>1.4749999999999999E-2</v>
      </c>
      <c r="AA853" s="29">
        <f>Tabela1[[#This Row],[Média]]-Tabela1[[#This Row],[Meta]]</f>
        <v>29.5</v>
      </c>
      <c r="AB853" s="6" t="str">
        <f>VLOOKUP(Tabela1[[#This Row],[SKU]],SKU!A:B,2,0)</f>
        <v>COXA SBCX S/O FG 220-240g PB</v>
      </c>
      <c r="AC853" s="6" t="str">
        <f>VLOOKUP(Tabela1[[#This Row],[SKU]],SKU!A:C,3,0)</f>
        <v>PERNA</v>
      </c>
    </row>
    <row r="854" spans="1:29" x14ac:dyDescent="0.3">
      <c r="A854" s="2">
        <f>INT(Tabela1[[#This Row],[Data e Hora2]])</f>
        <v>46282</v>
      </c>
      <c r="B854" s="6" t="str">
        <f>UPPER(TEXT(Tabela1[[#This Row],[Data Corrigida]],"MMM"))</f>
        <v>SET</v>
      </c>
      <c r="C854" t="s">
        <v>2145</v>
      </c>
      <c r="D854" s="2" t="s">
        <v>2146</v>
      </c>
      <c r="E854" s="1" t="s">
        <v>2140</v>
      </c>
      <c r="F854" t="s">
        <v>24</v>
      </c>
      <c r="G854" s="2" t="s">
        <v>2137</v>
      </c>
      <c r="H854" t="s">
        <v>26</v>
      </c>
      <c r="I854" t="s">
        <v>27</v>
      </c>
      <c r="J854" s="6">
        <v>864048</v>
      </c>
      <c r="K854" s="16">
        <v>2011</v>
      </c>
      <c r="L854" s="16">
        <v>2012</v>
      </c>
      <c r="M854" s="16">
        <v>2007</v>
      </c>
      <c r="N854" s="16">
        <v>2013</v>
      </c>
      <c r="O854" s="16">
        <v>2055</v>
      </c>
      <c r="P854" s="16">
        <v>2048</v>
      </c>
      <c r="Q854" s="16">
        <v>2005</v>
      </c>
      <c r="R854" s="16">
        <v>2016</v>
      </c>
      <c r="S854" s="16">
        <v>1998</v>
      </c>
      <c r="T854" s="16">
        <v>2014</v>
      </c>
      <c r="U854" s="15">
        <v>2017.9</v>
      </c>
      <c r="V854" t="s">
        <v>19</v>
      </c>
      <c r="W854" t="s">
        <v>19</v>
      </c>
      <c r="X854">
        <v>100</v>
      </c>
      <c r="Y854" s="16">
        <f>VLOOKUP(Tabela1[[#This Row],[SKU]],SKU!A:D,4,0)</f>
        <v>2000</v>
      </c>
      <c r="Z854" s="18">
        <f>IFERROR((Tabela1[[#This Row],[Média]]-Tabela1[[#This Row],[Meta]])/Tabela1[[#This Row],[Meta]],"")</f>
        <v>8.9500000000000447E-3</v>
      </c>
      <c r="AA854" s="29">
        <f>Tabela1[[#This Row],[Média]]-Tabela1[[#This Row],[Meta]]</f>
        <v>17.900000000000091</v>
      </c>
      <c r="AB854" s="6" t="str">
        <f>VLOOKUP(Tabela1[[#This Row],[SKU]],SKU!A:B,2,0)</f>
        <v>COXA SBCX S/O 200g FG UP PB</v>
      </c>
      <c r="AC854" s="6" t="str">
        <f>VLOOKUP(Tabela1[[#This Row],[SKU]],SKU!A:C,3,0)</f>
        <v>PERNA</v>
      </c>
    </row>
    <row r="855" spans="1:29" x14ac:dyDescent="0.3">
      <c r="A855" s="2">
        <f>INT(Tabela1[[#This Row],[Data e Hora2]])</f>
        <v>46282</v>
      </c>
      <c r="B855" s="6" t="str">
        <f>UPPER(TEXT(Tabela1[[#This Row],[Data Corrigida]],"MMM"))</f>
        <v>SET</v>
      </c>
      <c r="C855" t="s">
        <v>2147</v>
      </c>
      <c r="D855" s="2" t="s">
        <v>2148</v>
      </c>
      <c r="E855" s="1" t="s">
        <v>2140</v>
      </c>
      <c r="F855" t="s">
        <v>24</v>
      </c>
      <c r="G855" s="2" t="s">
        <v>2137</v>
      </c>
      <c r="H855" t="s">
        <v>26</v>
      </c>
      <c r="I855" t="s">
        <v>27</v>
      </c>
      <c r="J855" s="6">
        <v>42811</v>
      </c>
      <c r="K855" s="16">
        <v>2024</v>
      </c>
      <c r="L855" s="16">
        <v>2003</v>
      </c>
      <c r="M855" s="16">
        <v>2033</v>
      </c>
      <c r="N855" s="16">
        <v>2028</v>
      </c>
      <c r="O855" s="16">
        <v>1992</v>
      </c>
      <c r="P855" s="16">
        <v>2018</v>
      </c>
      <c r="Q855" s="16">
        <v>2006</v>
      </c>
      <c r="R855" s="16">
        <v>2012</v>
      </c>
      <c r="S855" s="16">
        <v>2021</v>
      </c>
      <c r="T855" s="16">
        <v>2007</v>
      </c>
      <c r="U855" s="15">
        <v>2014.4</v>
      </c>
      <c r="V855" t="s">
        <v>19</v>
      </c>
      <c r="W855" t="s">
        <v>19</v>
      </c>
      <c r="X855">
        <v>116</v>
      </c>
      <c r="Y855" s="16">
        <f>VLOOKUP(Tabela1[[#This Row],[SKU]],SKU!A:D,4,0)</f>
        <v>2000</v>
      </c>
      <c r="Z855" s="18">
        <f>IFERROR((Tabela1[[#This Row],[Média]]-Tabela1[[#This Row],[Meta]])/Tabela1[[#This Row],[Meta]],"")</f>
        <v>7.2000000000000458E-3</v>
      </c>
      <c r="AA855" s="29">
        <f>Tabela1[[#This Row],[Média]]-Tabela1[[#This Row],[Meta]]</f>
        <v>14.400000000000091</v>
      </c>
      <c r="AB855" s="6" t="str">
        <f>VLOOKUP(Tabela1[[#This Row],[SKU]],SKU!A:B,2,0)</f>
        <v>COXA SBCX S/O FG 180-200g PB</v>
      </c>
      <c r="AC855" s="6" t="str">
        <f>VLOOKUP(Tabela1[[#This Row],[SKU]],SKU!A:C,3,0)</f>
        <v>PERNA</v>
      </c>
    </row>
    <row r="856" spans="1:29" x14ac:dyDescent="0.3">
      <c r="A856" s="2">
        <f>INT(Tabela1[[#This Row],[Data e Hora2]])</f>
        <v>46282</v>
      </c>
      <c r="B856" s="6" t="str">
        <f>UPPER(TEXT(Tabela1[[#This Row],[Data Corrigida]],"MMM"))</f>
        <v>SET</v>
      </c>
      <c r="C856" t="s">
        <v>2149</v>
      </c>
      <c r="D856" s="2" t="s">
        <v>2150</v>
      </c>
      <c r="E856" s="1" t="s">
        <v>2140</v>
      </c>
      <c r="F856" t="s">
        <v>24</v>
      </c>
      <c r="G856" s="2" t="s">
        <v>2137</v>
      </c>
      <c r="H856" t="s">
        <v>26</v>
      </c>
      <c r="I856" t="s">
        <v>27</v>
      </c>
      <c r="J856" s="6">
        <v>42862</v>
      </c>
      <c r="K856" s="16">
        <v>2033</v>
      </c>
      <c r="L856" s="16">
        <v>1997</v>
      </c>
      <c r="M856" s="16">
        <v>2025</v>
      </c>
      <c r="N856" s="16">
        <v>2019</v>
      </c>
      <c r="O856" s="16">
        <v>2000</v>
      </c>
      <c r="P856" s="16">
        <v>2017</v>
      </c>
      <c r="Q856" s="16">
        <v>2018</v>
      </c>
      <c r="R856" s="16">
        <v>2015</v>
      </c>
      <c r="S856" s="16">
        <v>2081</v>
      </c>
      <c r="T856" s="16">
        <v>2019</v>
      </c>
      <c r="U856" s="15">
        <v>2022.4</v>
      </c>
      <c r="V856" t="s">
        <v>19</v>
      </c>
      <c r="W856" t="s">
        <v>28</v>
      </c>
      <c r="X856">
        <v>281</v>
      </c>
      <c r="Y856" s="16">
        <f>VLOOKUP(Tabela1[[#This Row],[SKU]],SKU!A:D,4,0)</f>
        <v>2000</v>
      </c>
      <c r="Z856" s="18">
        <f>IFERROR((Tabela1[[#This Row],[Média]]-Tabela1[[#This Row],[Meta]])/Tabela1[[#This Row],[Meta]],"")</f>
        <v>1.1200000000000045E-2</v>
      </c>
      <c r="AA856" s="29">
        <f>Tabela1[[#This Row],[Média]]-Tabela1[[#This Row],[Meta]]</f>
        <v>22.400000000000091</v>
      </c>
      <c r="AB856" s="6" t="str">
        <f>VLOOKUP(Tabela1[[#This Row],[SKU]],SKU!A:B,2,0)</f>
        <v>COXA SBCX S/O FG 280-300g PB</v>
      </c>
      <c r="AC856" s="6" t="str">
        <f>VLOOKUP(Tabela1[[#This Row],[SKU]],SKU!A:C,3,0)</f>
        <v>PERNA</v>
      </c>
    </row>
    <row r="857" spans="1:29" x14ac:dyDescent="0.3">
      <c r="A857" s="2">
        <f>INT(Tabela1[[#This Row],[Data e Hora2]])</f>
        <v>46282</v>
      </c>
      <c r="B857" s="6" t="str">
        <f>UPPER(TEXT(Tabela1[[#This Row],[Data Corrigida]],"MMM"))</f>
        <v>SET</v>
      </c>
      <c r="C857" t="s">
        <v>2151</v>
      </c>
      <c r="D857" s="2" t="s">
        <v>2152</v>
      </c>
      <c r="E857" s="1" t="s">
        <v>2140</v>
      </c>
      <c r="F857" t="s">
        <v>24</v>
      </c>
      <c r="G857" s="2" t="s">
        <v>2137</v>
      </c>
      <c r="H857" t="s">
        <v>26</v>
      </c>
      <c r="I857" t="s">
        <v>27</v>
      </c>
      <c r="J857" s="6">
        <v>15105</v>
      </c>
      <c r="K857" s="16">
        <v>1014</v>
      </c>
      <c r="L857" s="16">
        <v>1000</v>
      </c>
      <c r="M857" s="16">
        <v>963</v>
      </c>
      <c r="N857" s="16">
        <v>1029</v>
      </c>
      <c r="O857" s="16">
        <v>1028</v>
      </c>
      <c r="P857" s="16">
        <v>1046</v>
      </c>
      <c r="Q857" s="16">
        <v>995</v>
      </c>
      <c r="R857" s="16">
        <v>1029</v>
      </c>
      <c r="S857" s="16">
        <v>1057</v>
      </c>
      <c r="T857" s="16">
        <v>1009</v>
      </c>
      <c r="U857" s="15">
        <v>1017</v>
      </c>
      <c r="V857" t="s">
        <v>19</v>
      </c>
      <c r="W857" t="s">
        <v>28</v>
      </c>
      <c r="X857">
        <v>197</v>
      </c>
      <c r="Y857" s="16">
        <f>VLOOKUP(Tabela1[[#This Row],[SKU]],SKU!A:D,4,0)</f>
        <v>1000</v>
      </c>
      <c r="Z857" s="18">
        <f>IFERROR((Tabela1[[#This Row],[Média]]-Tabela1[[#This Row],[Meta]])/Tabela1[[#This Row],[Meta]],"")</f>
        <v>1.7000000000000001E-2</v>
      </c>
      <c r="AA857" s="29">
        <f>Tabela1[[#This Row],[Média]]-Tabela1[[#This Row],[Meta]]</f>
        <v>17</v>
      </c>
      <c r="AB857" s="6" t="str">
        <f>VLOOKUP(Tabela1[[#This Row],[SKU]],SKU!A:B,2,0)</f>
        <v>FILE PEITO MET CG BDJ SE</v>
      </c>
      <c r="AC857" s="6" t="str">
        <f>VLOOKUP(Tabela1[[#This Row],[SKU]],SKU!A:C,3,0)</f>
        <v>PEITO</v>
      </c>
    </row>
    <row r="858" spans="1:29" x14ac:dyDescent="0.3">
      <c r="A858" s="2">
        <f>INT(Tabela1[[#This Row],[Data e Hora2]])</f>
        <v>46282</v>
      </c>
      <c r="B858" s="6" t="str">
        <f>UPPER(TEXT(Tabela1[[#This Row],[Data Corrigida]],"MMM"))</f>
        <v>SET</v>
      </c>
      <c r="C858" t="s">
        <v>2153</v>
      </c>
      <c r="D858" s="2" t="s">
        <v>2154</v>
      </c>
      <c r="E858" s="1" t="s">
        <v>2155</v>
      </c>
      <c r="F858" t="s">
        <v>24</v>
      </c>
      <c r="G858" s="2" t="s">
        <v>2137</v>
      </c>
      <c r="H858" t="s">
        <v>26</v>
      </c>
      <c r="I858" t="s">
        <v>27</v>
      </c>
      <c r="J858" s="6">
        <v>209069</v>
      </c>
      <c r="K858" s="16">
        <v>1050</v>
      </c>
      <c r="L858" s="16">
        <v>1081</v>
      </c>
      <c r="M858" s="16">
        <v>1055</v>
      </c>
      <c r="N858" s="16">
        <v>1018</v>
      </c>
      <c r="O858" s="16">
        <v>1002</v>
      </c>
      <c r="P858" s="16">
        <v>1000</v>
      </c>
      <c r="Q858" s="16">
        <v>1001</v>
      </c>
      <c r="R858" s="16">
        <v>1013</v>
      </c>
      <c r="S858" s="16">
        <v>1010</v>
      </c>
      <c r="T858" s="16">
        <v>1045</v>
      </c>
      <c r="U858" s="15">
        <v>1027.5</v>
      </c>
      <c r="V858" t="s">
        <v>19</v>
      </c>
      <c r="W858" t="s">
        <v>19</v>
      </c>
      <c r="X858">
        <v>114</v>
      </c>
      <c r="Y858" s="16">
        <f>VLOOKUP(Tabela1[[#This Row],[SKU]],SKU!A:D,4,0)</f>
        <v>1000</v>
      </c>
      <c r="Z858" s="18">
        <f>IFERROR((Tabela1[[#This Row],[Média]]-Tabela1[[#This Row],[Meta]])/Tabela1[[#This Row],[Meta]],"")</f>
        <v>2.75E-2</v>
      </c>
      <c r="AA858" s="29">
        <f>Tabela1[[#This Row],[Média]]-Tabela1[[#This Row],[Meta]]</f>
        <v>27.5</v>
      </c>
      <c r="AB858" s="6" t="str">
        <f>VLOOKUP(Tabela1[[#This Row],[SKU]],SKU!A:B,2,0)</f>
        <v>FILE PEITO CG IQF1KG</v>
      </c>
      <c r="AC858" s="6" t="str">
        <f>VLOOKUP(Tabela1[[#This Row],[SKU]],SKU!A:C,3,0)</f>
        <v>PEITO</v>
      </c>
    </row>
    <row r="859" spans="1:29" x14ac:dyDescent="0.3">
      <c r="A859" s="2">
        <f>INT(Tabela1[[#This Row],[Data e Hora2]])</f>
        <v>46282</v>
      </c>
      <c r="B859" s="6" t="str">
        <f>UPPER(TEXT(Tabela1[[#This Row],[Data Corrigida]],"MMM"))</f>
        <v>SET</v>
      </c>
      <c r="C859" t="s">
        <v>2156</v>
      </c>
      <c r="D859" s="2" t="s">
        <v>2157</v>
      </c>
      <c r="E859" s="1" t="s">
        <v>2155</v>
      </c>
      <c r="F859" t="s">
        <v>24</v>
      </c>
      <c r="G859" s="2" t="s">
        <v>2137</v>
      </c>
      <c r="H859" t="s">
        <v>26</v>
      </c>
      <c r="I859" t="s">
        <v>27</v>
      </c>
      <c r="J859" s="6">
        <v>15105</v>
      </c>
      <c r="K859" s="16">
        <v>960</v>
      </c>
      <c r="L859" s="16">
        <v>960</v>
      </c>
      <c r="M859" s="16">
        <v>974</v>
      </c>
      <c r="N859" s="16">
        <v>974</v>
      </c>
      <c r="O859" s="16">
        <v>988</v>
      </c>
      <c r="P859" s="16">
        <v>981</v>
      </c>
      <c r="Q859" s="16">
        <v>970</v>
      </c>
      <c r="R859" s="16">
        <v>1002</v>
      </c>
      <c r="S859" s="16">
        <v>971</v>
      </c>
      <c r="T859" s="16">
        <v>979</v>
      </c>
      <c r="U859" s="15">
        <v>975.9</v>
      </c>
      <c r="V859" t="s">
        <v>19</v>
      </c>
      <c r="W859" t="s">
        <v>28</v>
      </c>
      <c r="X859">
        <v>486</v>
      </c>
      <c r="Y859" s="16">
        <f>VLOOKUP(Tabela1[[#This Row],[SKU]],SKU!A:D,4,0)</f>
        <v>1000</v>
      </c>
      <c r="Z859" s="18">
        <f>IFERROR((Tabela1[[#This Row],[Média]]-Tabela1[[#This Row],[Meta]])/Tabela1[[#This Row],[Meta]],"")</f>
        <v>-2.4100000000000024E-2</v>
      </c>
      <c r="AA859" s="29">
        <f>Tabela1[[#This Row],[Média]]-Tabela1[[#This Row],[Meta]]</f>
        <v>-24.100000000000023</v>
      </c>
      <c r="AB859" s="6" t="str">
        <f>VLOOKUP(Tabela1[[#This Row],[SKU]],SKU!A:B,2,0)</f>
        <v>FILE PEITO MET CG BDJ SE</v>
      </c>
      <c r="AC859" s="6" t="str">
        <f>VLOOKUP(Tabela1[[#This Row],[SKU]],SKU!A:C,3,0)</f>
        <v>PEITO</v>
      </c>
    </row>
    <row r="860" spans="1:29" x14ac:dyDescent="0.3">
      <c r="A860" s="2">
        <f>INT(Tabela1[[#This Row],[Data e Hora2]])</f>
        <v>46282</v>
      </c>
      <c r="B860" s="6" t="str">
        <f>UPPER(TEXT(Tabela1[[#This Row],[Data Corrigida]],"MMM"))</f>
        <v>SET</v>
      </c>
      <c r="C860" t="s">
        <v>2158</v>
      </c>
      <c r="D860" s="2" t="s">
        <v>2159</v>
      </c>
      <c r="E860" s="1" t="s">
        <v>2155</v>
      </c>
      <c r="F860" t="s">
        <v>24</v>
      </c>
      <c r="G860" s="2" t="s">
        <v>2137</v>
      </c>
      <c r="H860" t="s">
        <v>26</v>
      </c>
      <c r="I860" t="s">
        <v>27</v>
      </c>
      <c r="J860" s="6">
        <v>42838</v>
      </c>
      <c r="K860" s="16">
        <v>2018</v>
      </c>
      <c r="L860" s="16">
        <v>2051</v>
      </c>
      <c r="M860" s="16">
        <v>2007</v>
      </c>
      <c r="N860" s="16">
        <v>2013</v>
      </c>
      <c r="O860" s="16">
        <v>2029</v>
      </c>
      <c r="P860" s="16">
        <v>2046</v>
      </c>
      <c r="Q860" s="16">
        <v>2026</v>
      </c>
      <c r="R860" s="16">
        <v>2030</v>
      </c>
      <c r="S860" s="16">
        <v>2025</v>
      </c>
      <c r="T860" s="16">
        <v>2025</v>
      </c>
      <c r="U860" s="15">
        <v>2027</v>
      </c>
      <c r="V860" t="s">
        <v>19</v>
      </c>
      <c r="W860" t="s">
        <v>28</v>
      </c>
      <c r="X860">
        <v>374</v>
      </c>
      <c r="Y860" s="16">
        <f>VLOOKUP(Tabela1[[#This Row],[SKU]],SKU!A:D,4,0)</f>
        <v>2000</v>
      </c>
      <c r="Z860" s="18">
        <f>IFERROR((Tabela1[[#This Row],[Média]]-Tabela1[[#This Row],[Meta]])/Tabela1[[#This Row],[Meta]],"")</f>
        <v>1.35E-2</v>
      </c>
      <c r="AA860" s="29">
        <f>Tabela1[[#This Row],[Média]]-Tabela1[[#This Row],[Meta]]</f>
        <v>27</v>
      </c>
      <c r="AB860" s="6" t="str">
        <f>VLOOKUP(Tabela1[[#This Row],[SKU]],SKU!A:B,2,0)</f>
        <v>COXA SBCX S/O FG 220-240g PB</v>
      </c>
      <c r="AC860" s="6" t="str">
        <f>VLOOKUP(Tabela1[[#This Row],[SKU]],SKU!A:C,3,0)</f>
        <v>PERNA</v>
      </c>
    </row>
    <row r="861" spans="1:29" x14ac:dyDescent="0.3">
      <c r="A861" s="2">
        <f>INT(Tabela1[[#This Row],[Data e Hora2]])</f>
        <v>46282</v>
      </c>
      <c r="B861" s="6" t="str">
        <f>UPPER(TEXT(Tabela1[[#This Row],[Data Corrigida]],"MMM"))</f>
        <v>SET</v>
      </c>
      <c r="C861" t="s">
        <v>2160</v>
      </c>
      <c r="D861" s="2" t="s">
        <v>2161</v>
      </c>
      <c r="E861" s="1" t="s">
        <v>2155</v>
      </c>
      <c r="F861" t="s">
        <v>24</v>
      </c>
      <c r="G861" s="2" t="s">
        <v>2137</v>
      </c>
      <c r="H861" t="s">
        <v>26</v>
      </c>
      <c r="I861" t="s">
        <v>27</v>
      </c>
      <c r="J861" s="6">
        <v>42846</v>
      </c>
      <c r="K861" s="16">
        <v>2004</v>
      </c>
      <c r="L861" s="16">
        <v>2019</v>
      </c>
      <c r="M861" s="16">
        <v>2002</v>
      </c>
      <c r="N861" s="16">
        <v>2012</v>
      </c>
      <c r="O861" s="16">
        <v>2012</v>
      </c>
      <c r="P861" s="16">
        <v>2016</v>
      </c>
      <c r="Q861" s="16">
        <v>2005</v>
      </c>
      <c r="R861" s="16">
        <v>2007</v>
      </c>
      <c r="S861" s="16">
        <v>2017</v>
      </c>
      <c r="T861" s="16">
        <v>2011</v>
      </c>
      <c r="U861" s="15">
        <v>2010.5</v>
      </c>
      <c r="V861" t="s">
        <v>19</v>
      </c>
      <c r="W861" t="s">
        <v>19</v>
      </c>
      <c r="X861">
        <v>218</v>
      </c>
      <c r="Y861" s="16">
        <f>VLOOKUP(Tabela1[[#This Row],[SKU]],SKU!A:D,4,0)</f>
        <v>2000</v>
      </c>
      <c r="Z861" s="18">
        <f>IFERROR((Tabela1[[#This Row],[Média]]-Tabela1[[#This Row],[Meta]])/Tabela1[[#This Row],[Meta]],"")</f>
        <v>5.2500000000000003E-3</v>
      </c>
      <c r="AA861" s="29">
        <f>Tabela1[[#This Row],[Média]]-Tabela1[[#This Row],[Meta]]</f>
        <v>10.5</v>
      </c>
      <c r="AB861" s="6" t="str">
        <f>VLOOKUP(Tabela1[[#This Row],[SKU]],SKU!A:B,2,0)</f>
        <v>COXA SBCX S/O FG 240-260g PB</v>
      </c>
      <c r="AC861" s="6" t="str">
        <f>VLOOKUP(Tabela1[[#This Row],[SKU]],SKU!A:C,3,0)</f>
        <v>PERNA</v>
      </c>
    </row>
    <row r="862" spans="1:29" x14ac:dyDescent="0.3">
      <c r="A862" s="2">
        <f>INT(Tabela1[[#This Row],[Data e Hora2]])</f>
        <v>46282</v>
      </c>
      <c r="B862" s="6" t="str">
        <f>UPPER(TEXT(Tabela1[[#This Row],[Data Corrigida]],"MMM"))</f>
        <v>SET</v>
      </c>
      <c r="C862" t="s">
        <v>2162</v>
      </c>
      <c r="D862" s="2" t="s">
        <v>2163</v>
      </c>
      <c r="E862" s="1" t="s">
        <v>2155</v>
      </c>
      <c r="F862" t="s">
        <v>24</v>
      </c>
      <c r="G862" s="2" t="s">
        <v>2137</v>
      </c>
      <c r="H862" t="s">
        <v>26</v>
      </c>
      <c r="I862" t="s">
        <v>27</v>
      </c>
      <c r="J862" s="6">
        <v>42862</v>
      </c>
      <c r="K862" s="16">
        <v>2001</v>
      </c>
      <c r="L862" s="16">
        <v>2017</v>
      </c>
      <c r="M862" s="16">
        <v>2002</v>
      </c>
      <c r="N862" s="16">
        <v>2017</v>
      </c>
      <c r="O862" s="16">
        <v>2015</v>
      </c>
      <c r="P862" s="16">
        <v>2019</v>
      </c>
      <c r="Q862" s="16">
        <v>2017</v>
      </c>
      <c r="R862" s="16">
        <v>2008</v>
      </c>
      <c r="S862" s="16">
        <v>2011</v>
      </c>
      <c r="T862" s="16">
        <v>2020</v>
      </c>
      <c r="U862" s="15">
        <v>2012.7</v>
      </c>
      <c r="V862" t="s">
        <v>19</v>
      </c>
      <c r="W862" t="s">
        <v>28</v>
      </c>
      <c r="X862">
        <v>157</v>
      </c>
      <c r="Y862" s="16">
        <f>VLOOKUP(Tabela1[[#This Row],[SKU]],SKU!A:D,4,0)</f>
        <v>2000</v>
      </c>
      <c r="Z862" s="18">
        <f>IFERROR((Tabela1[[#This Row],[Média]]-Tabela1[[#This Row],[Meta]])/Tabela1[[#This Row],[Meta]],"")</f>
        <v>6.3500000000000232E-3</v>
      </c>
      <c r="AA862" s="29">
        <f>Tabela1[[#This Row],[Média]]-Tabela1[[#This Row],[Meta]]</f>
        <v>12.700000000000045</v>
      </c>
      <c r="AB862" s="6" t="str">
        <f>VLOOKUP(Tabela1[[#This Row],[SKU]],SKU!A:B,2,0)</f>
        <v>COXA SBCX S/O FG 280-300g PB</v>
      </c>
      <c r="AC862" s="6" t="str">
        <f>VLOOKUP(Tabela1[[#This Row],[SKU]],SKU!A:C,3,0)</f>
        <v>PERNA</v>
      </c>
    </row>
    <row r="863" spans="1:29" x14ac:dyDescent="0.3">
      <c r="A863" s="2">
        <f>INT(Tabela1[[#This Row],[Data e Hora2]])</f>
        <v>46282</v>
      </c>
      <c r="B863" s="6" t="str">
        <f>UPPER(TEXT(Tabela1[[#This Row],[Data Corrigida]],"MMM"))</f>
        <v>SET</v>
      </c>
      <c r="C863" t="s">
        <v>2164</v>
      </c>
      <c r="D863" s="2" t="s">
        <v>2165</v>
      </c>
      <c r="E863" s="1" t="s">
        <v>2155</v>
      </c>
      <c r="F863" t="s">
        <v>24</v>
      </c>
      <c r="G863" s="2" t="s">
        <v>2137</v>
      </c>
      <c r="H863" t="s">
        <v>26</v>
      </c>
      <c r="I863" t="s">
        <v>27</v>
      </c>
      <c r="J863" s="6">
        <v>42854</v>
      </c>
      <c r="K863" s="16">
        <v>2091</v>
      </c>
      <c r="L863" s="16">
        <v>2103</v>
      </c>
      <c r="M863" s="16">
        <v>2101</v>
      </c>
      <c r="N863" s="16">
        <v>2099</v>
      </c>
      <c r="O863" s="16">
        <v>2095</v>
      </c>
      <c r="P863" s="16">
        <v>2002</v>
      </c>
      <c r="Q863" s="16">
        <v>2100</v>
      </c>
      <c r="R863" s="16">
        <v>2105</v>
      </c>
      <c r="S863" s="16">
        <v>2080</v>
      </c>
      <c r="T863" s="16">
        <v>2101</v>
      </c>
      <c r="U863" s="15">
        <v>2087.6999999999998</v>
      </c>
      <c r="V863" t="s">
        <v>19</v>
      </c>
      <c r="W863" t="s">
        <v>19</v>
      </c>
      <c r="X863">
        <v>109</v>
      </c>
      <c r="Y863" s="16">
        <f>VLOOKUP(Tabela1[[#This Row],[SKU]],SKU!A:D,4,0)</f>
        <v>2080</v>
      </c>
      <c r="Z863" s="18">
        <f>IFERROR((Tabela1[[#This Row],[Média]]-Tabela1[[#This Row],[Meta]])/Tabela1[[#This Row],[Meta]],"")</f>
        <v>3.7019230769229894E-3</v>
      </c>
      <c r="AA863" s="29">
        <f>Tabela1[[#This Row],[Média]]-Tabela1[[#This Row],[Meta]]</f>
        <v>7.6999999999998181</v>
      </c>
      <c r="AB863" s="6" t="str">
        <f>VLOOKUP(Tabela1[[#This Row],[SKU]],SKU!A:B,2,0)</f>
        <v>COXA SBCX S/O FG 260-280g PB</v>
      </c>
      <c r="AC863" s="6" t="str">
        <f>VLOOKUP(Tabela1[[#This Row],[SKU]],SKU!A:C,3,0)</f>
        <v>PERNA</v>
      </c>
    </row>
    <row r="864" spans="1:29" x14ac:dyDescent="0.3">
      <c r="A864" s="2">
        <f>INT(Tabela1[[#This Row],[Data e Hora2]])</f>
        <v>46282</v>
      </c>
      <c r="B864" s="6" t="str">
        <f>UPPER(TEXT(Tabela1[[#This Row],[Data Corrigida]],"MMM"))</f>
        <v>SET</v>
      </c>
      <c r="C864" t="s">
        <v>2166</v>
      </c>
      <c r="D864" s="2" t="s">
        <v>2167</v>
      </c>
      <c r="E864" s="1" t="s">
        <v>2155</v>
      </c>
      <c r="F864" t="s">
        <v>24</v>
      </c>
      <c r="G864" s="2" t="s">
        <v>2137</v>
      </c>
      <c r="H864" t="s">
        <v>26</v>
      </c>
      <c r="I864" t="s">
        <v>27</v>
      </c>
      <c r="J864" s="6">
        <v>40762</v>
      </c>
      <c r="K864" s="16">
        <v>10000</v>
      </c>
      <c r="L864" s="16">
        <v>10045</v>
      </c>
      <c r="M864" s="16">
        <v>10030</v>
      </c>
      <c r="N864" s="16">
        <v>10020</v>
      </c>
      <c r="O864" s="16">
        <v>10005</v>
      </c>
      <c r="P864" s="16">
        <v>9975</v>
      </c>
      <c r="Q864" s="16">
        <v>10055</v>
      </c>
      <c r="R864" s="16">
        <v>10015</v>
      </c>
      <c r="S864" s="16">
        <v>10025</v>
      </c>
      <c r="T864" s="16">
        <v>10030</v>
      </c>
      <c r="U864" s="15">
        <v>10020</v>
      </c>
      <c r="V864" t="s">
        <v>19</v>
      </c>
      <c r="W864" t="s">
        <v>28</v>
      </c>
      <c r="X864">
        <v>340</v>
      </c>
      <c r="Y864" s="16">
        <f>VLOOKUP(Tabela1[[#This Row],[SKU]],SKU!A:D,4,0)</f>
        <v>10000</v>
      </c>
      <c r="Z864" s="18">
        <f>IFERROR((Tabela1[[#This Row],[Média]]-Tabela1[[#This Row],[Meta]])/Tabela1[[#This Row],[Meta]],"")</f>
        <v>2E-3</v>
      </c>
      <c r="AA864" s="29">
        <f>Tabela1[[#This Row],[Média]]-Tabela1[[#This Row],[Meta]]</f>
        <v>20</v>
      </c>
      <c r="AB864" s="6" t="str">
        <f>VLOOKUP(Tabela1[[#This Row],[SKU]],SKU!A:B,2,0)</f>
        <v>COXA SBCX LQ FG LP</v>
      </c>
      <c r="AC864" s="6" t="str">
        <f>VLOOKUP(Tabela1[[#This Row],[SKU]],SKU!A:C,3,0)</f>
        <v>PERNA</v>
      </c>
    </row>
    <row r="865" spans="1:29" x14ac:dyDescent="0.3">
      <c r="A865" s="2">
        <f>INT(Tabela1[[#This Row],[Data e Hora2]])</f>
        <v>46282</v>
      </c>
      <c r="B865" s="6" t="str">
        <f>UPPER(TEXT(Tabela1[[#This Row],[Data Corrigida]],"MMM"))</f>
        <v>SET</v>
      </c>
      <c r="C865" t="s">
        <v>2168</v>
      </c>
      <c r="D865" s="2" t="s">
        <v>2169</v>
      </c>
      <c r="E865" s="1" t="s">
        <v>2155</v>
      </c>
      <c r="F865" t="s">
        <v>24</v>
      </c>
      <c r="G865" s="2" t="s">
        <v>2137</v>
      </c>
      <c r="H865" t="s">
        <v>26</v>
      </c>
      <c r="I865" t="s">
        <v>27</v>
      </c>
      <c r="J865" s="6">
        <v>995638</v>
      </c>
      <c r="K865" s="16">
        <v>15015</v>
      </c>
      <c r="L865" s="16">
        <v>15025</v>
      </c>
      <c r="M865" s="16">
        <v>15055</v>
      </c>
      <c r="N865" s="16">
        <v>15065</v>
      </c>
      <c r="O865" s="16">
        <v>15000</v>
      </c>
      <c r="P865" s="16">
        <v>15030</v>
      </c>
      <c r="Q865" s="16">
        <v>15030</v>
      </c>
      <c r="R865" s="16">
        <v>15020</v>
      </c>
      <c r="S865" s="16">
        <v>15045</v>
      </c>
      <c r="T865" s="16">
        <v>15025</v>
      </c>
      <c r="U865" s="15">
        <v>15031</v>
      </c>
      <c r="V865" t="s">
        <v>19</v>
      </c>
      <c r="W865" t="s">
        <v>28</v>
      </c>
      <c r="X865">
        <v>351</v>
      </c>
      <c r="Y865" s="16">
        <f>VLOOKUP(Tabela1[[#This Row],[SKU]],SKU!A:D,4,0)</f>
        <v>15000</v>
      </c>
      <c r="Z865" s="18">
        <f>IFERROR((Tabela1[[#This Row],[Média]]-Tabela1[[#This Row],[Meta]])/Tabela1[[#This Row],[Meta]],"")</f>
        <v>2.0666666666666667E-3</v>
      </c>
      <c r="AA865" s="29">
        <f>Tabela1[[#This Row],[Média]]-Tabela1[[#This Row],[Meta]]</f>
        <v>31</v>
      </c>
      <c r="AB865" s="6" t="str">
        <f>VLOOKUP(Tabela1[[#This Row],[SKU]],SKU!A:B,2,0)</f>
        <v>MEIO DA ASA 40-50G LP</v>
      </c>
      <c r="AC865" s="6" t="str">
        <f>VLOOKUP(Tabela1[[#This Row],[SKU]],SKU!A:C,3,0)</f>
        <v>ASA</v>
      </c>
    </row>
    <row r="866" spans="1:29" x14ac:dyDescent="0.3">
      <c r="A866" s="2">
        <f>INT(Tabela1[[#This Row],[Data e Hora2]])</f>
        <v>46282</v>
      </c>
      <c r="B866" s="6" t="str">
        <f>UPPER(TEXT(Tabela1[[#This Row],[Data Corrigida]],"MMM"))</f>
        <v>SET</v>
      </c>
      <c r="C866" t="s">
        <v>2170</v>
      </c>
      <c r="D866" s="2" t="s">
        <v>2171</v>
      </c>
      <c r="E866" s="1" t="s">
        <v>2155</v>
      </c>
      <c r="F866" t="s">
        <v>24</v>
      </c>
      <c r="G866" s="2" t="s">
        <v>2137</v>
      </c>
      <c r="H866" t="s">
        <v>26</v>
      </c>
      <c r="I866" t="s">
        <v>27</v>
      </c>
      <c r="J866" s="6">
        <v>992093</v>
      </c>
      <c r="K866" s="16">
        <v>5009</v>
      </c>
      <c r="L866" s="16">
        <v>5014</v>
      </c>
      <c r="M866" s="16">
        <v>5009</v>
      </c>
      <c r="N866" s="16">
        <v>5000</v>
      </c>
      <c r="O866" s="16">
        <v>5007</v>
      </c>
      <c r="P866" s="16">
        <v>5004</v>
      </c>
      <c r="Q866" s="16">
        <v>5003</v>
      </c>
      <c r="R866" s="16">
        <v>5004</v>
      </c>
      <c r="S866" s="16">
        <v>5006</v>
      </c>
      <c r="T866" s="16">
        <v>5006</v>
      </c>
      <c r="U866" s="15">
        <v>5006.2</v>
      </c>
      <c r="V866" t="s">
        <v>19</v>
      </c>
      <c r="W866" t="s">
        <v>19</v>
      </c>
      <c r="X866">
        <v>170</v>
      </c>
      <c r="Y866" s="16">
        <f>VLOOKUP(Tabela1[[#This Row],[SKU]],SKU!A:D,4,0)</f>
        <v>5000</v>
      </c>
      <c r="Z866" s="18">
        <f>IFERROR((Tabela1[[#This Row],[Média]]-Tabela1[[#This Row],[Meta]])/Tabela1[[#This Row],[Meta]],"")</f>
        <v>1.2399999999999636E-3</v>
      </c>
      <c r="AA866" s="29">
        <f>Tabela1[[#This Row],[Média]]-Tabela1[[#This Row],[Meta]]</f>
        <v>6.1999999999998181</v>
      </c>
      <c r="AB866" s="6" t="str">
        <f>VLOOKUP(Tabela1[[#This Row],[SKU]],SKU!A:B,2,0)</f>
        <v>PONTA ASA FG PB CG</v>
      </c>
      <c r="AC866" s="6" t="str">
        <f>VLOOKUP(Tabela1[[#This Row],[SKU]],SKU!A:C,3,0)</f>
        <v>ASA</v>
      </c>
    </row>
    <row r="867" spans="1:29" x14ac:dyDescent="0.3">
      <c r="A867" s="2">
        <f>INT(Tabela1[[#This Row],[Data e Hora2]])</f>
        <v>46282</v>
      </c>
      <c r="B867" s="6" t="str">
        <f>UPPER(TEXT(Tabela1[[#This Row],[Data Corrigida]],"MMM"))</f>
        <v>SET</v>
      </c>
      <c r="C867" t="s">
        <v>2172</v>
      </c>
      <c r="D867" s="2" t="s">
        <v>2173</v>
      </c>
      <c r="E867" s="1" t="s">
        <v>2155</v>
      </c>
      <c r="F867" t="s">
        <v>24</v>
      </c>
      <c r="G867" s="2" t="s">
        <v>2137</v>
      </c>
      <c r="H867" t="s">
        <v>26</v>
      </c>
      <c r="I867" t="s">
        <v>27</v>
      </c>
      <c r="J867" s="6">
        <v>15105</v>
      </c>
      <c r="K867" s="16">
        <v>998</v>
      </c>
      <c r="L867" s="16">
        <v>1038</v>
      </c>
      <c r="M867" s="16">
        <v>1058</v>
      </c>
      <c r="N867" s="16">
        <v>998</v>
      </c>
      <c r="O867" s="16">
        <v>1008</v>
      </c>
      <c r="P867" s="16">
        <v>1026</v>
      </c>
      <c r="Q867" s="16">
        <v>993</v>
      </c>
      <c r="R867" s="16">
        <v>1050</v>
      </c>
      <c r="S867" s="16">
        <v>1009</v>
      </c>
      <c r="T867" s="16">
        <v>1014</v>
      </c>
      <c r="U867" s="15">
        <v>1019.2</v>
      </c>
      <c r="V867" t="s">
        <v>19</v>
      </c>
      <c r="W867" t="s">
        <v>28</v>
      </c>
      <c r="X867">
        <v>299</v>
      </c>
      <c r="Y867" s="16">
        <f>VLOOKUP(Tabela1[[#This Row],[SKU]],SKU!A:D,4,0)</f>
        <v>1000</v>
      </c>
      <c r="Z867" s="18">
        <f>IFERROR((Tabela1[[#This Row],[Média]]-Tabela1[[#This Row],[Meta]])/Tabela1[[#This Row],[Meta]],"")</f>
        <v>1.9200000000000047E-2</v>
      </c>
      <c r="AA867" s="29">
        <f>Tabela1[[#This Row],[Média]]-Tabela1[[#This Row],[Meta]]</f>
        <v>19.200000000000045</v>
      </c>
      <c r="AB867" s="6" t="str">
        <f>VLOOKUP(Tabela1[[#This Row],[SKU]],SKU!A:B,2,0)</f>
        <v>FILE PEITO MET CG BDJ SE</v>
      </c>
      <c r="AC867" s="6" t="str">
        <f>VLOOKUP(Tabela1[[#This Row],[SKU]],SKU!A:C,3,0)</f>
        <v>PEITO</v>
      </c>
    </row>
    <row r="868" spans="1:29" x14ac:dyDescent="0.3">
      <c r="A868" s="2">
        <f>INT(Tabela1[[#This Row],[Data e Hora2]])</f>
        <v>46282</v>
      </c>
      <c r="B868" s="6" t="str">
        <f>UPPER(TEXT(Tabela1[[#This Row],[Data Corrigida]],"MMM"))</f>
        <v>SET</v>
      </c>
      <c r="C868" t="s">
        <v>2174</v>
      </c>
      <c r="D868" s="2" t="s">
        <v>2175</v>
      </c>
      <c r="E868" s="1" t="s">
        <v>2176</v>
      </c>
      <c r="F868" t="s">
        <v>24</v>
      </c>
      <c r="G868" s="2" t="s">
        <v>2137</v>
      </c>
      <c r="H868" t="s">
        <v>26</v>
      </c>
      <c r="I868" t="s">
        <v>57</v>
      </c>
      <c r="J868" s="6">
        <v>40762</v>
      </c>
      <c r="K868" s="16">
        <v>9990</v>
      </c>
      <c r="L868" s="16">
        <v>10065</v>
      </c>
      <c r="M868" s="16">
        <v>10070</v>
      </c>
      <c r="N868" s="16">
        <v>10020</v>
      </c>
      <c r="O868" s="16">
        <v>10085</v>
      </c>
      <c r="P868" s="16">
        <v>10015</v>
      </c>
      <c r="Q868" s="16">
        <v>10080</v>
      </c>
      <c r="R868" s="16">
        <v>10010</v>
      </c>
      <c r="S868" s="16">
        <v>10065</v>
      </c>
      <c r="T868" s="16">
        <v>10070</v>
      </c>
      <c r="U868" s="15">
        <v>10047</v>
      </c>
      <c r="V868" t="s">
        <v>19</v>
      </c>
      <c r="W868" t="s">
        <v>28</v>
      </c>
      <c r="X868">
        <v>318</v>
      </c>
      <c r="Y868" s="16">
        <f>VLOOKUP(Tabela1[[#This Row],[SKU]],SKU!A:D,4,0)</f>
        <v>10000</v>
      </c>
      <c r="Z868" s="18">
        <f>IFERROR((Tabela1[[#This Row],[Média]]-Tabela1[[#This Row],[Meta]])/Tabela1[[#This Row],[Meta]],"")</f>
        <v>4.7000000000000002E-3</v>
      </c>
      <c r="AA868" s="29">
        <f>Tabela1[[#This Row],[Média]]-Tabela1[[#This Row],[Meta]]</f>
        <v>47</v>
      </c>
      <c r="AB868" s="6" t="str">
        <f>VLOOKUP(Tabela1[[#This Row],[SKU]],SKU!A:B,2,0)</f>
        <v>COXA SBCX LQ FG LP</v>
      </c>
      <c r="AC868" s="6" t="str">
        <f>VLOOKUP(Tabela1[[#This Row],[SKU]],SKU!A:C,3,0)</f>
        <v>PERNA</v>
      </c>
    </row>
    <row r="869" spans="1:29" x14ac:dyDescent="0.3">
      <c r="A869" s="2">
        <f>INT(Tabela1[[#This Row],[Data e Hora2]])</f>
        <v>46282</v>
      </c>
      <c r="B869" s="6" t="str">
        <f>UPPER(TEXT(Tabela1[[#This Row],[Data Corrigida]],"MMM"))</f>
        <v>SET</v>
      </c>
      <c r="C869" t="s">
        <v>2177</v>
      </c>
      <c r="D869" s="2" t="s">
        <v>2178</v>
      </c>
      <c r="E869" s="1" t="s">
        <v>2179</v>
      </c>
      <c r="F869" t="s">
        <v>24</v>
      </c>
      <c r="G869" s="2" t="s">
        <v>2137</v>
      </c>
      <c r="H869" t="s">
        <v>142</v>
      </c>
      <c r="I869" t="s">
        <v>462</v>
      </c>
      <c r="J869" s="6">
        <v>209299</v>
      </c>
      <c r="K869" s="16">
        <v>1012</v>
      </c>
      <c r="L869" s="16">
        <v>1000</v>
      </c>
      <c r="M869" s="16">
        <v>1047</v>
      </c>
      <c r="N869" s="16">
        <v>1000</v>
      </c>
      <c r="O869" s="16">
        <v>1095</v>
      </c>
      <c r="P869" s="16">
        <v>1003</v>
      </c>
      <c r="Q869" s="16">
        <v>996</v>
      </c>
      <c r="R869" s="16">
        <v>1005</v>
      </c>
      <c r="S869" s="16">
        <v>1056</v>
      </c>
      <c r="T869" s="16">
        <v>1006</v>
      </c>
      <c r="U869" s="15">
        <v>1022</v>
      </c>
      <c r="V869" t="s">
        <v>19</v>
      </c>
      <c r="W869" t="s">
        <v>28</v>
      </c>
      <c r="X869">
        <v>189</v>
      </c>
      <c r="Y869" s="16">
        <f>VLOOKUP(Tabela1[[#This Row],[SKU]],SKU!A:D,4,0)</f>
        <v>1000</v>
      </c>
      <c r="Z869" s="18">
        <f>IFERROR((Tabela1[[#This Row],[Média]]-Tabela1[[#This Row],[Meta]])/Tabela1[[#This Row],[Meta]],"")</f>
        <v>2.1999999999999999E-2</v>
      </c>
      <c r="AA869" s="29">
        <f>Tabela1[[#This Row],[Média]]-Tabela1[[#This Row],[Meta]]</f>
        <v>22</v>
      </c>
      <c r="AB869" s="6" t="str">
        <f>VLOOKUP(Tabela1[[#This Row],[SKU]],SKU!A:B,2,0)</f>
        <v>SBCOXA SEM PELE IQF 1KG</v>
      </c>
      <c r="AC869" s="6" t="str">
        <f>VLOOKUP(Tabela1[[#This Row],[SKU]],SKU!A:C,3,0)</f>
        <v>PERNA</v>
      </c>
    </row>
    <row r="870" spans="1:29" x14ac:dyDescent="0.3">
      <c r="A870" s="2">
        <f>INT(Tabela1[[#This Row],[Data e Hora2]])</f>
        <v>46282</v>
      </c>
      <c r="B870" s="6" t="str">
        <f>UPPER(TEXT(Tabela1[[#This Row],[Data Corrigida]],"MMM"))</f>
        <v>SET</v>
      </c>
      <c r="C870" t="s">
        <v>2180</v>
      </c>
      <c r="D870" s="2" t="s">
        <v>2181</v>
      </c>
      <c r="E870" s="1" t="s">
        <v>2182</v>
      </c>
      <c r="F870" t="s">
        <v>24</v>
      </c>
      <c r="G870" s="2" t="s">
        <v>2137</v>
      </c>
      <c r="H870" t="s">
        <v>142</v>
      </c>
      <c r="I870" t="s">
        <v>462</v>
      </c>
      <c r="J870" s="6">
        <v>40762</v>
      </c>
      <c r="K870" s="16">
        <v>10250</v>
      </c>
      <c r="L870" s="16">
        <v>10085</v>
      </c>
      <c r="M870" s="16">
        <v>10105</v>
      </c>
      <c r="N870" s="16">
        <v>10095</v>
      </c>
      <c r="O870" s="16">
        <v>10090</v>
      </c>
      <c r="P870" s="16">
        <v>10120</v>
      </c>
      <c r="Q870" s="16">
        <v>9935</v>
      </c>
      <c r="R870" s="16">
        <v>10040</v>
      </c>
      <c r="S870" s="16">
        <v>9915</v>
      </c>
      <c r="T870" s="16">
        <v>10140</v>
      </c>
      <c r="U870" s="15">
        <v>10077.5</v>
      </c>
      <c r="V870" t="s">
        <v>19</v>
      </c>
      <c r="W870" t="s">
        <v>28</v>
      </c>
      <c r="X870">
        <v>1142</v>
      </c>
      <c r="Y870" s="16">
        <f>VLOOKUP(Tabela1[[#This Row],[SKU]],SKU!A:D,4,0)</f>
        <v>10000</v>
      </c>
      <c r="Z870" s="18">
        <f>IFERROR((Tabela1[[#This Row],[Média]]-Tabela1[[#This Row],[Meta]])/Tabela1[[#This Row],[Meta]],"")</f>
        <v>7.7499999999999999E-3</v>
      </c>
      <c r="AA870" s="29">
        <f>Tabela1[[#This Row],[Média]]-Tabela1[[#This Row],[Meta]]</f>
        <v>77.5</v>
      </c>
      <c r="AB870" s="6" t="str">
        <f>VLOOKUP(Tabela1[[#This Row],[SKU]],SKU!A:B,2,0)</f>
        <v>COXA SBCX LQ FG LP</v>
      </c>
      <c r="AC870" s="6" t="str">
        <f>VLOOKUP(Tabela1[[#This Row],[SKU]],SKU!A:C,3,0)</f>
        <v>PERNA</v>
      </c>
    </row>
    <row r="871" spans="1:29" x14ac:dyDescent="0.3">
      <c r="A871" s="2">
        <f>INT(Tabela1[[#This Row],[Data e Hora2]])</f>
        <v>46282</v>
      </c>
      <c r="B871" s="6" t="str">
        <f>UPPER(TEXT(Tabela1[[#This Row],[Data Corrigida]],"MMM"))</f>
        <v>SET</v>
      </c>
      <c r="C871" t="s">
        <v>2183</v>
      </c>
      <c r="D871" s="2" t="s">
        <v>2184</v>
      </c>
      <c r="E871" s="1" t="s">
        <v>2182</v>
      </c>
      <c r="F871" t="s">
        <v>24</v>
      </c>
      <c r="G871" s="2" t="s">
        <v>2137</v>
      </c>
      <c r="H871" t="s">
        <v>142</v>
      </c>
      <c r="I871" t="s">
        <v>462</v>
      </c>
      <c r="J871" s="6">
        <v>42862</v>
      </c>
      <c r="K871" s="16">
        <v>2016</v>
      </c>
      <c r="L871" s="16">
        <v>2027</v>
      </c>
      <c r="M871" s="16">
        <v>2037</v>
      </c>
      <c r="N871" s="16">
        <v>2044</v>
      </c>
      <c r="O871" s="16">
        <v>2048</v>
      </c>
      <c r="P871" s="16">
        <v>2066</v>
      </c>
      <c r="Q871" s="16">
        <v>2034</v>
      </c>
      <c r="R871" s="16">
        <v>2076</v>
      </c>
      <c r="S871" s="16">
        <v>2020</v>
      </c>
      <c r="T871" s="16">
        <v>2026</v>
      </c>
      <c r="U871" s="15">
        <v>2039.4</v>
      </c>
      <c r="V871" t="s">
        <v>19</v>
      </c>
      <c r="W871" t="s">
        <v>28</v>
      </c>
      <c r="X871">
        <v>1336</v>
      </c>
      <c r="Y871" s="16">
        <f>VLOOKUP(Tabela1[[#This Row],[SKU]],SKU!A:D,4,0)</f>
        <v>2000</v>
      </c>
      <c r="Z871" s="18">
        <f>IFERROR((Tabela1[[#This Row],[Média]]-Tabela1[[#This Row],[Meta]])/Tabela1[[#This Row],[Meta]],"")</f>
        <v>1.9700000000000044E-2</v>
      </c>
      <c r="AA871" s="29">
        <f>Tabela1[[#This Row],[Média]]-Tabela1[[#This Row],[Meta]]</f>
        <v>39.400000000000091</v>
      </c>
      <c r="AB871" s="6" t="str">
        <f>VLOOKUP(Tabela1[[#This Row],[SKU]],SKU!A:B,2,0)</f>
        <v>COXA SBCX S/O FG 280-300g PB</v>
      </c>
      <c r="AC871" s="6" t="str">
        <f>VLOOKUP(Tabela1[[#This Row],[SKU]],SKU!A:C,3,0)</f>
        <v>PERNA</v>
      </c>
    </row>
    <row r="872" spans="1:29" x14ac:dyDescent="0.3">
      <c r="A872" s="2">
        <f>INT(Tabela1[[#This Row],[Data e Hora2]])</f>
        <v>46282</v>
      </c>
      <c r="B872" s="6" t="str">
        <f>UPPER(TEXT(Tabela1[[#This Row],[Data Corrigida]],"MMM"))</f>
        <v>SET</v>
      </c>
      <c r="C872" t="s">
        <v>2185</v>
      </c>
      <c r="D872" s="2" t="s">
        <v>2186</v>
      </c>
      <c r="E872" s="1" t="s">
        <v>2182</v>
      </c>
      <c r="F872" t="s">
        <v>24</v>
      </c>
      <c r="G872" s="2" t="s">
        <v>2137</v>
      </c>
      <c r="H872" t="s">
        <v>142</v>
      </c>
      <c r="I872" t="s">
        <v>462</v>
      </c>
      <c r="J872" s="6">
        <v>15105</v>
      </c>
      <c r="K872" s="16">
        <v>1045</v>
      </c>
      <c r="L872" s="16">
        <v>1003</v>
      </c>
      <c r="M872" s="16">
        <v>995</v>
      </c>
      <c r="N872" s="16">
        <v>1022</v>
      </c>
      <c r="O872" s="16">
        <v>1009</v>
      </c>
      <c r="P872" s="16">
        <v>1004</v>
      </c>
      <c r="Q872" s="16">
        <v>1000</v>
      </c>
      <c r="R872" s="16">
        <v>1028</v>
      </c>
      <c r="S872" s="16">
        <v>1021</v>
      </c>
      <c r="T872" s="16">
        <v>1008</v>
      </c>
      <c r="U872" s="15">
        <v>1013.5</v>
      </c>
      <c r="V872" t="s">
        <v>19</v>
      </c>
      <c r="W872" t="s">
        <v>28</v>
      </c>
      <c r="X872">
        <v>5707</v>
      </c>
      <c r="Y872" s="16">
        <f>VLOOKUP(Tabela1[[#This Row],[SKU]],SKU!A:D,4,0)</f>
        <v>1000</v>
      </c>
      <c r="Z872" s="18">
        <f>IFERROR((Tabela1[[#This Row],[Média]]-Tabela1[[#This Row],[Meta]])/Tabela1[[#This Row],[Meta]],"")</f>
        <v>1.35E-2</v>
      </c>
      <c r="AA872" s="29">
        <f>Tabela1[[#This Row],[Média]]-Tabela1[[#This Row],[Meta]]</f>
        <v>13.5</v>
      </c>
      <c r="AB872" s="6" t="str">
        <f>VLOOKUP(Tabela1[[#This Row],[SKU]],SKU!A:B,2,0)</f>
        <v>FILE PEITO MET CG BDJ SE</v>
      </c>
      <c r="AC872" s="6" t="str">
        <f>VLOOKUP(Tabela1[[#This Row],[SKU]],SKU!A:C,3,0)</f>
        <v>PEITO</v>
      </c>
    </row>
    <row r="873" spans="1:29" x14ac:dyDescent="0.3">
      <c r="A873" s="2">
        <f>INT(Tabela1[[#This Row],[Data e Hora2]])</f>
        <v>46282</v>
      </c>
      <c r="B873" s="6" t="str">
        <f>UPPER(TEXT(Tabela1[[#This Row],[Data Corrigida]],"MMM"))</f>
        <v>SET</v>
      </c>
      <c r="C873" t="s">
        <v>2187</v>
      </c>
      <c r="D873" s="2" t="s">
        <v>2188</v>
      </c>
      <c r="E873" s="1" t="s">
        <v>2182</v>
      </c>
      <c r="F873" t="s">
        <v>24</v>
      </c>
      <c r="G873" s="2" t="s">
        <v>2137</v>
      </c>
      <c r="H873" t="s">
        <v>142</v>
      </c>
      <c r="I873" t="s">
        <v>462</v>
      </c>
      <c r="J873" s="6">
        <v>43784</v>
      </c>
      <c r="K873" s="16">
        <v>993</v>
      </c>
      <c r="L873" s="16">
        <v>988</v>
      </c>
      <c r="M873" s="16">
        <v>994</v>
      </c>
      <c r="N873" s="16">
        <v>989</v>
      </c>
      <c r="O873" s="16">
        <v>988</v>
      </c>
      <c r="P873" s="16">
        <v>990</v>
      </c>
      <c r="Q873" s="16">
        <v>989</v>
      </c>
      <c r="R873" s="16">
        <v>995</v>
      </c>
      <c r="S873" s="16">
        <v>998</v>
      </c>
      <c r="T873" s="16">
        <v>999</v>
      </c>
      <c r="U873" s="15">
        <v>992.3</v>
      </c>
      <c r="V873" t="s">
        <v>19</v>
      </c>
      <c r="W873" t="s">
        <v>28</v>
      </c>
      <c r="X873">
        <v>6038</v>
      </c>
      <c r="Y873" s="16">
        <f>VLOOKUP(Tabela1[[#This Row],[SKU]],SKU!A:D,4,0)</f>
        <v>1000</v>
      </c>
      <c r="Z873" s="18">
        <f>IFERROR((Tabela1[[#This Row],[Média]]-Tabela1[[#This Row],[Meta]])/Tabela1[[#This Row],[Meta]],"")</f>
        <v>-7.7000000000000453E-3</v>
      </c>
      <c r="AA873" s="29">
        <f>Tabela1[[#This Row],[Média]]-Tabela1[[#This Row],[Meta]]</f>
        <v>-7.7000000000000455</v>
      </c>
      <c r="AB873" s="6" t="str">
        <f>VLOOKUP(Tabela1[[#This Row],[SKU]],SKU!A:B,2,0)</f>
        <v>CARTILAGEM PEITO FG PB</v>
      </c>
      <c r="AC873" s="6" t="str">
        <f>VLOOKUP(Tabela1[[#This Row],[SKU]],SKU!A:C,3,0)</f>
        <v>CARTILAGEM PEITO</v>
      </c>
    </row>
    <row r="874" spans="1:29" x14ac:dyDescent="0.3">
      <c r="A874" s="2">
        <f>INT(Tabela1[[#This Row],[Data e Hora2]])</f>
        <v>46282</v>
      </c>
      <c r="B874" s="6" t="str">
        <f>UPPER(TEXT(Tabela1[[#This Row],[Data Corrigida]],"MMM"))</f>
        <v>SET</v>
      </c>
      <c r="C874" t="s">
        <v>2189</v>
      </c>
      <c r="D874" s="2" t="s">
        <v>2190</v>
      </c>
      <c r="E874" s="1" t="s">
        <v>2182</v>
      </c>
      <c r="F874" t="s">
        <v>24</v>
      </c>
      <c r="G874" s="2" t="s">
        <v>2137</v>
      </c>
      <c r="H874" t="s">
        <v>142</v>
      </c>
      <c r="I874" t="s">
        <v>462</v>
      </c>
      <c r="J874" s="6">
        <v>864048</v>
      </c>
      <c r="K874" s="16">
        <v>2071</v>
      </c>
      <c r="L874" s="16">
        <v>2031</v>
      </c>
      <c r="M874" s="16">
        <v>2064</v>
      </c>
      <c r="N874" s="16">
        <v>2038</v>
      </c>
      <c r="O874" s="16">
        <v>1999</v>
      </c>
      <c r="P874" s="16">
        <v>1989</v>
      </c>
      <c r="Q874" s="16">
        <v>2083</v>
      </c>
      <c r="R874" s="16">
        <v>2031</v>
      </c>
      <c r="S874" s="16">
        <v>2000</v>
      </c>
      <c r="T874" s="16">
        <v>2011</v>
      </c>
      <c r="U874" s="15">
        <v>2031.7</v>
      </c>
      <c r="V874" t="s">
        <v>19</v>
      </c>
      <c r="W874" t="s">
        <v>28</v>
      </c>
      <c r="X874">
        <v>1691</v>
      </c>
      <c r="Y874" s="16">
        <f>VLOOKUP(Tabela1[[#This Row],[SKU]],SKU!A:D,4,0)</f>
        <v>2000</v>
      </c>
      <c r="Z874" s="18">
        <f>IFERROR((Tabela1[[#This Row],[Média]]-Tabela1[[#This Row],[Meta]])/Tabela1[[#This Row],[Meta]],"")</f>
        <v>1.5850000000000024E-2</v>
      </c>
      <c r="AA874" s="29">
        <f>Tabela1[[#This Row],[Média]]-Tabela1[[#This Row],[Meta]]</f>
        <v>31.700000000000045</v>
      </c>
      <c r="AB874" s="6" t="str">
        <f>VLOOKUP(Tabela1[[#This Row],[SKU]],SKU!A:B,2,0)</f>
        <v>COXA SBCX S/O 200g FG UP PB</v>
      </c>
      <c r="AC874" s="6" t="str">
        <f>VLOOKUP(Tabela1[[#This Row],[SKU]],SKU!A:C,3,0)</f>
        <v>PERNA</v>
      </c>
    </row>
    <row r="875" spans="1:29" x14ac:dyDescent="0.3">
      <c r="A875" s="2">
        <f>INT(Tabela1[[#This Row],[Data e Hora2]])</f>
        <v>46282</v>
      </c>
      <c r="B875" s="6" t="str">
        <f>UPPER(TEXT(Tabela1[[#This Row],[Data Corrigida]],"MMM"))</f>
        <v>SET</v>
      </c>
      <c r="C875" t="s">
        <v>2191</v>
      </c>
      <c r="D875" s="2" t="s">
        <v>2192</v>
      </c>
      <c r="E875" s="1" t="s">
        <v>2182</v>
      </c>
      <c r="F875" t="s">
        <v>24</v>
      </c>
      <c r="G875" s="2" t="s">
        <v>2137</v>
      </c>
      <c r="H875" t="s">
        <v>142</v>
      </c>
      <c r="I875" t="s">
        <v>462</v>
      </c>
      <c r="J875" s="6">
        <v>42854</v>
      </c>
      <c r="K875" s="16">
        <v>2100</v>
      </c>
      <c r="L875" s="16">
        <v>2118</v>
      </c>
      <c r="M875" s="16">
        <v>2152</v>
      </c>
      <c r="N875" s="16">
        <v>2063</v>
      </c>
      <c r="O875" s="16">
        <v>2152</v>
      </c>
      <c r="P875" s="16">
        <v>2070</v>
      </c>
      <c r="Q875" s="16">
        <v>2146</v>
      </c>
      <c r="R875" s="16">
        <v>2153</v>
      </c>
      <c r="S875" s="16">
        <v>2179</v>
      </c>
      <c r="T875" s="16">
        <v>2166</v>
      </c>
      <c r="U875" s="15">
        <v>2129.9</v>
      </c>
      <c r="V875" t="s">
        <v>19</v>
      </c>
      <c r="W875" t="s">
        <v>28</v>
      </c>
      <c r="X875">
        <v>2082</v>
      </c>
      <c r="Y875" s="16">
        <f>VLOOKUP(Tabela1[[#This Row],[SKU]],SKU!A:D,4,0)</f>
        <v>2080</v>
      </c>
      <c r="Z875" s="18">
        <f>IFERROR((Tabela1[[#This Row],[Média]]-Tabela1[[#This Row],[Meta]])/Tabela1[[#This Row],[Meta]],"")</f>
        <v>2.399038461538466E-2</v>
      </c>
      <c r="AA875" s="29">
        <f>Tabela1[[#This Row],[Média]]-Tabela1[[#This Row],[Meta]]</f>
        <v>49.900000000000091</v>
      </c>
      <c r="AB875" s="6" t="str">
        <f>VLOOKUP(Tabela1[[#This Row],[SKU]],SKU!A:B,2,0)</f>
        <v>COXA SBCX S/O FG 260-280g PB</v>
      </c>
      <c r="AC875" s="6" t="str">
        <f>VLOOKUP(Tabela1[[#This Row],[SKU]],SKU!A:C,3,0)</f>
        <v>PERNA</v>
      </c>
    </row>
    <row r="876" spans="1:29" x14ac:dyDescent="0.3">
      <c r="A876" s="2">
        <f>INT(Tabela1[[#This Row],[Data e Hora2]])</f>
        <v>46282</v>
      </c>
      <c r="B876" s="6" t="str">
        <f>UPPER(TEXT(Tabela1[[#This Row],[Data Corrigida]],"MMM"))</f>
        <v>SET</v>
      </c>
      <c r="C876" t="s">
        <v>2193</v>
      </c>
      <c r="D876" s="2" t="s">
        <v>2194</v>
      </c>
      <c r="E876" s="1" t="s">
        <v>2182</v>
      </c>
      <c r="F876" t="s">
        <v>24</v>
      </c>
      <c r="G876" s="2" t="s">
        <v>2137</v>
      </c>
      <c r="H876" t="s">
        <v>142</v>
      </c>
      <c r="I876" t="s">
        <v>462</v>
      </c>
      <c r="J876" s="6">
        <v>42838</v>
      </c>
      <c r="K876" s="16">
        <v>2060</v>
      </c>
      <c r="L876" s="16">
        <v>2059</v>
      </c>
      <c r="M876" s="16">
        <v>2090</v>
      </c>
      <c r="N876" s="16">
        <v>2053</v>
      </c>
      <c r="O876" s="16">
        <v>2045</v>
      </c>
      <c r="P876" s="16">
        <v>2062</v>
      </c>
      <c r="Q876" s="16">
        <v>2079</v>
      </c>
      <c r="R876" s="16">
        <v>2114</v>
      </c>
      <c r="S876" s="16">
        <v>2058</v>
      </c>
      <c r="T876" s="16">
        <v>2053</v>
      </c>
      <c r="U876" s="15">
        <v>2067.3000000000002</v>
      </c>
      <c r="V876" t="s">
        <v>19</v>
      </c>
      <c r="W876" t="s">
        <v>28</v>
      </c>
      <c r="X876">
        <v>2381</v>
      </c>
      <c r="Y876" s="16">
        <f>VLOOKUP(Tabela1[[#This Row],[SKU]],SKU!A:D,4,0)</f>
        <v>2000</v>
      </c>
      <c r="Z876" s="18">
        <f>IFERROR((Tabela1[[#This Row],[Média]]-Tabela1[[#This Row],[Meta]])/Tabela1[[#This Row],[Meta]],"")</f>
        <v>3.365000000000009E-2</v>
      </c>
      <c r="AA876" s="29">
        <f>Tabela1[[#This Row],[Média]]-Tabela1[[#This Row],[Meta]]</f>
        <v>67.300000000000182</v>
      </c>
      <c r="AB876" s="6" t="str">
        <f>VLOOKUP(Tabela1[[#This Row],[SKU]],SKU!A:B,2,0)</f>
        <v>COXA SBCX S/O FG 220-240g PB</v>
      </c>
      <c r="AC876" s="6" t="str">
        <f>VLOOKUP(Tabela1[[#This Row],[SKU]],SKU!A:C,3,0)</f>
        <v>PERNA</v>
      </c>
    </row>
    <row r="877" spans="1:29" x14ac:dyDescent="0.3">
      <c r="A877" s="2">
        <f>INT(Tabela1[[#This Row],[Data e Hora2]])</f>
        <v>46282</v>
      </c>
      <c r="B877" s="6" t="str">
        <f>UPPER(TEXT(Tabela1[[#This Row],[Data Corrigida]],"MMM"))</f>
        <v>SET</v>
      </c>
      <c r="C877" t="s">
        <v>2195</v>
      </c>
      <c r="D877" s="2" t="s">
        <v>2196</v>
      </c>
      <c r="E877" s="1" t="s">
        <v>2182</v>
      </c>
      <c r="F877" t="s">
        <v>24</v>
      </c>
      <c r="G877" s="2" t="s">
        <v>2137</v>
      </c>
      <c r="H877" t="s">
        <v>142</v>
      </c>
      <c r="I877" t="s">
        <v>462</v>
      </c>
      <c r="J877" s="6">
        <v>42846</v>
      </c>
      <c r="K877" s="16">
        <v>2014</v>
      </c>
      <c r="L877" s="16">
        <v>2001</v>
      </c>
      <c r="M877" s="16">
        <v>2006</v>
      </c>
      <c r="N877" s="16">
        <v>2026</v>
      </c>
      <c r="O877" s="16">
        <v>2008</v>
      </c>
      <c r="P877" s="16">
        <v>2000</v>
      </c>
      <c r="Q877" s="16">
        <v>2021</v>
      </c>
      <c r="R877" s="16">
        <v>2018</v>
      </c>
      <c r="S877" s="16">
        <v>2005</v>
      </c>
      <c r="T877" s="16">
        <v>2037</v>
      </c>
      <c r="U877" s="15">
        <v>2013.6</v>
      </c>
      <c r="V877" t="s">
        <v>19</v>
      </c>
      <c r="W877" t="s">
        <v>28</v>
      </c>
      <c r="X877">
        <v>2630</v>
      </c>
      <c r="Y877" s="16">
        <f>VLOOKUP(Tabela1[[#This Row],[SKU]],SKU!A:D,4,0)</f>
        <v>2000</v>
      </c>
      <c r="Z877" s="18">
        <f>IFERROR((Tabela1[[#This Row],[Média]]-Tabela1[[#This Row],[Meta]])/Tabela1[[#This Row],[Meta]],"")</f>
        <v>6.7999999999999545E-3</v>
      </c>
      <c r="AA877" s="29">
        <f>Tabela1[[#This Row],[Média]]-Tabela1[[#This Row],[Meta]]</f>
        <v>13.599999999999909</v>
      </c>
      <c r="AB877" s="6" t="str">
        <f>VLOOKUP(Tabela1[[#This Row],[SKU]],SKU!A:B,2,0)</f>
        <v>COXA SBCX S/O FG 240-260g PB</v>
      </c>
      <c r="AC877" s="6" t="str">
        <f>VLOOKUP(Tabela1[[#This Row],[SKU]],SKU!A:C,3,0)</f>
        <v>PERNA</v>
      </c>
    </row>
    <row r="878" spans="1:29" x14ac:dyDescent="0.3">
      <c r="A878" s="2">
        <f>INT(Tabela1[[#This Row],[Data e Hora2]])</f>
        <v>46282</v>
      </c>
      <c r="B878" s="6" t="str">
        <f>UPPER(TEXT(Tabela1[[#This Row],[Data Corrigida]],"MMM"))</f>
        <v>SET</v>
      </c>
      <c r="C878" t="s">
        <v>2197</v>
      </c>
      <c r="D878" s="2" t="s">
        <v>2198</v>
      </c>
      <c r="E878" s="1" t="s">
        <v>2182</v>
      </c>
      <c r="F878" t="s">
        <v>24</v>
      </c>
      <c r="G878" s="2" t="s">
        <v>2137</v>
      </c>
      <c r="H878" t="s">
        <v>142</v>
      </c>
      <c r="I878" t="s">
        <v>462</v>
      </c>
      <c r="J878" s="6">
        <v>15849</v>
      </c>
      <c r="K878" s="16">
        <v>1004</v>
      </c>
      <c r="L878" s="16">
        <v>961</v>
      </c>
      <c r="M878" s="16">
        <v>1000</v>
      </c>
      <c r="N878" s="16">
        <v>1010</v>
      </c>
      <c r="O878" s="16">
        <v>999</v>
      </c>
      <c r="P878" s="16">
        <v>1000</v>
      </c>
      <c r="Q878" s="16">
        <v>1017</v>
      </c>
      <c r="R878" s="16">
        <v>1012</v>
      </c>
      <c r="S878" s="16">
        <v>1008</v>
      </c>
      <c r="T878" s="16">
        <v>1021</v>
      </c>
      <c r="U878" s="15">
        <v>1003.2</v>
      </c>
      <c r="V878" t="s">
        <v>19</v>
      </c>
      <c r="W878" t="s">
        <v>28</v>
      </c>
      <c r="X878">
        <v>7326</v>
      </c>
      <c r="Y878" s="16">
        <f>VLOOKUP(Tabela1[[#This Row],[SKU]],SKU!A:D,4,0)</f>
        <v>1000</v>
      </c>
      <c r="Z878" s="18">
        <f>IFERROR((Tabela1[[#This Row],[Média]]-Tabela1[[#This Row],[Meta]])/Tabela1[[#This Row],[Meta]],"")</f>
        <v>3.2000000000000457E-3</v>
      </c>
      <c r="AA878" s="29">
        <f>Tabela1[[#This Row],[Média]]-Tabela1[[#This Row],[Meta]]</f>
        <v>3.2000000000000455</v>
      </c>
      <c r="AB878" s="6" t="str">
        <f>VLOOKUP(Tabela1[[#This Row],[SKU]],SKU!A:B,2,0)</f>
        <v>FILEZINHO PEITO CG BDJ SE</v>
      </c>
      <c r="AC878" s="6" t="str">
        <f>VLOOKUP(Tabela1[[#This Row],[SKU]],SKU!A:C,3,0)</f>
        <v>SASSAMI</v>
      </c>
    </row>
    <row r="879" spans="1:29" x14ac:dyDescent="0.3">
      <c r="A879" s="2">
        <f>INT(Tabela1[[#This Row],[Data e Hora2]])</f>
        <v>46281</v>
      </c>
      <c r="B879" s="6" t="str">
        <f>UPPER(TEXT(Tabela1[[#This Row],[Data Corrigida]],"MMM"))</f>
        <v>SET</v>
      </c>
      <c r="C879" t="s">
        <v>2199</v>
      </c>
      <c r="D879" s="2" t="s">
        <v>2200</v>
      </c>
      <c r="E879" s="1" t="s">
        <v>2182</v>
      </c>
      <c r="F879" t="s">
        <v>24</v>
      </c>
      <c r="G879" s="2" t="s">
        <v>2006</v>
      </c>
      <c r="H879" t="s">
        <v>142</v>
      </c>
      <c r="I879" t="s">
        <v>462</v>
      </c>
      <c r="J879" s="6">
        <v>42838</v>
      </c>
      <c r="K879" s="16">
        <v>2084</v>
      </c>
      <c r="L879" s="16">
        <v>1913</v>
      </c>
      <c r="M879" s="16">
        <v>2015</v>
      </c>
      <c r="N879" s="16">
        <v>2055</v>
      </c>
      <c r="O879" s="16">
        <v>2143</v>
      </c>
      <c r="P879" s="16">
        <v>2073</v>
      </c>
      <c r="Q879" s="16">
        <v>2087</v>
      </c>
      <c r="R879" s="16">
        <v>2057</v>
      </c>
      <c r="S879" s="16">
        <v>1989</v>
      </c>
      <c r="T879" s="16">
        <v>2124</v>
      </c>
      <c r="U879" s="15">
        <v>2054</v>
      </c>
      <c r="V879" t="s">
        <v>19</v>
      </c>
      <c r="W879" t="s">
        <v>28</v>
      </c>
      <c r="X879">
        <v>73773</v>
      </c>
      <c r="Y879" s="16">
        <f>VLOOKUP(Tabela1[[#This Row],[SKU]],SKU!A:D,4,0)</f>
        <v>2000</v>
      </c>
      <c r="Z879" s="18">
        <f>IFERROR((Tabela1[[#This Row],[Média]]-Tabela1[[#This Row],[Meta]])/Tabela1[[#This Row],[Meta]],"")</f>
        <v>2.7E-2</v>
      </c>
      <c r="AA879" s="29">
        <f>Tabela1[[#This Row],[Média]]-Tabela1[[#This Row],[Meta]]</f>
        <v>54</v>
      </c>
      <c r="AB879" s="6" t="str">
        <f>VLOOKUP(Tabela1[[#This Row],[SKU]],SKU!A:B,2,0)</f>
        <v>COXA SBCX S/O FG 220-240g PB</v>
      </c>
      <c r="AC879" s="6" t="str">
        <f>VLOOKUP(Tabela1[[#This Row],[SKU]],SKU!A:C,3,0)</f>
        <v>PERNA</v>
      </c>
    </row>
    <row r="880" spans="1:29" x14ac:dyDescent="0.3">
      <c r="A880" s="2">
        <f>INT(Tabela1[[#This Row],[Data e Hora2]])</f>
        <v>46281</v>
      </c>
      <c r="B880" s="6" t="str">
        <f>UPPER(TEXT(Tabela1[[#This Row],[Data Corrigida]],"MMM"))</f>
        <v>SET</v>
      </c>
      <c r="C880" t="s">
        <v>2201</v>
      </c>
      <c r="D880" s="2" t="s">
        <v>2202</v>
      </c>
      <c r="E880" s="1" t="s">
        <v>2182</v>
      </c>
      <c r="F880" t="s">
        <v>24</v>
      </c>
      <c r="G880" s="2" t="s">
        <v>2006</v>
      </c>
      <c r="H880" t="s">
        <v>142</v>
      </c>
      <c r="I880" t="s">
        <v>462</v>
      </c>
      <c r="J880" s="6">
        <v>864048</v>
      </c>
      <c r="K880" s="16">
        <v>2066</v>
      </c>
      <c r="L880" s="16">
        <v>2023</v>
      </c>
      <c r="M880" s="16">
        <v>2068</v>
      </c>
      <c r="N880" s="16">
        <v>2015</v>
      </c>
      <c r="O880" s="16">
        <v>1989</v>
      </c>
      <c r="P880" s="16">
        <v>2075</v>
      </c>
      <c r="Q880" s="16">
        <v>2025</v>
      </c>
      <c r="R880" s="16">
        <v>2003</v>
      </c>
      <c r="S880" s="16">
        <v>1984</v>
      </c>
      <c r="T880" s="16">
        <v>2057</v>
      </c>
      <c r="U880" s="15">
        <v>2030.5</v>
      </c>
      <c r="V880" t="s">
        <v>19</v>
      </c>
      <c r="W880" t="s">
        <v>28</v>
      </c>
      <c r="X880">
        <v>69721</v>
      </c>
      <c r="Y880" s="16">
        <f>VLOOKUP(Tabela1[[#This Row],[SKU]],SKU!A:D,4,0)</f>
        <v>2000</v>
      </c>
      <c r="Z880" s="18">
        <f>IFERROR((Tabela1[[#This Row],[Média]]-Tabela1[[#This Row],[Meta]])/Tabela1[[#This Row],[Meta]],"")</f>
        <v>1.525E-2</v>
      </c>
      <c r="AA880" s="29">
        <f>Tabela1[[#This Row],[Média]]-Tabela1[[#This Row],[Meta]]</f>
        <v>30.5</v>
      </c>
      <c r="AB880" s="6" t="str">
        <f>VLOOKUP(Tabela1[[#This Row],[SKU]],SKU!A:B,2,0)</f>
        <v>COXA SBCX S/O 200g FG UP PB</v>
      </c>
      <c r="AC880" s="6" t="str">
        <f>VLOOKUP(Tabela1[[#This Row],[SKU]],SKU!A:C,3,0)</f>
        <v>PERNA</v>
      </c>
    </row>
    <row r="881" spans="1:29" x14ac:dyDescent="0.3">
      <c r="A881" s="2">
        <f>INT(Tabela1[[#This Row],[Data e Hora2]])</f>
        <v>46281</v>
      </c>
      <c r="B881" s="6" t="str">
        <f>UPPER(TEXT(Tabela1[[#This Row],[Data Corrigida]],"MMM"))</f>
        <v>SET</v>
      </c>
      <c r="C881" t="s">
        <v>2203</v>
      </c>
      <c r="D881" s="2" t="s">
        <v>2204</v>
      </c>
      <c r="E881" s="1" t="s">
        <v>2182</v>
      </c>
      <c r="F881" t="s">
        <v>24</v>
      </c>
      <c r="G881" s="2" t="s">
        <v>2006</v>
      </c>
      <c r="H881" t="s">
        <v>142</v>
      </c>
      <c r="I881" t="s">
        <v>462</v>
      </c>
      <c r="J881" s="6">
        <v>42854</v>
      </c>
      <c r="K881" s="16">
        <v>2164</v>
      </c>
      <c r="L881" s="16">
        <v>2157</v>
      </c>
      <c r="M881" s="16">
        <v>2150</v>
      </c>
      <c r="N881" s="16">
        <v>2054</v>
      </c>
      <c r="O881" s="16">
        <v>2157</v>
      </c>
      <c r="P881" s="16">
        <v>2173</v>
      </c>
      <c r="Q881" s="16">
        <v>2151</v>
      </c>
      <c r="R881" s="16">
        <v>2130</v>
      </c>
      <c r="S881" s="16">
        <v>2149</v>
      </c>
      <c r="T881" s="16">
        <v>2161</v>
      </c>
      <c r="U881" s="15">
        <v>2144.6</v>
      </c>
      <c r="V881" t="s">
        <v>19</v>
      </c>
      <c r="W881" t="s">
        <v>28</v>
      </c>
      <c r="X881">
        <v>74407</v>
      </c>
      <c r="Y881" s="16">
        <f>VLOOKUP(Tabela1[[#This Row],[SKU]],SKU!A:D,4,0)</f>
        <v>2080</v>
      </c>
      <c r="Z881" s="18">
        <f>IFERROR((Tabela1[[#This Row],[Média]]-Tabela1[[#This Row],[Meta]])/Tabela1[[#This Row],[Meta]],"")</f>
        <v>3.1057692307692265E-2</v>
      </c>
      <c r="AA881" s="29">
        <f>Tabela1[[#This Row],[Média]]-Tabela1[[#This Row],[Meta]]</f>
        <v>64.599999999999909</v>
      </c>
      <c r="AB881" s="6" t="str">
        <f>VLOOKUP(Tabela1[[#This Row],[SKU]],SKU!A:B,2,0)</f>
        <v>COXA SBCX S/O FG 260-280g PB</v>
      </c>
      <c r="AC881" s="6" t="str">
        <f>VLOOKUP(Tabela1[[#This Row],[SKU]],SKU!A:C,3,0)</f>
        <v>PERNA</v>
      </c>
    </row>
    <row r="882" spans="1:29" x14ac:dyDescent="0.3">
      <c r="A882" s="2">
        <f>INT(Tabela1[[#This Row],[Data e Hora2]])</f>
        <v>46281</v>
      </c>
      <c r="B882" s="6" t="str">
        <f>UPPER(TEXT(Tabela1[[#This Row],[Data Corrigida]],"MMM"))</f>
        <v>SET</v>
      </c>
      <c r="C882" t="s">
        <v>2205</v>
      </c>
      <c r="D882" s="2" t="s">
        <v>2206</v>
      </c>
      <c r="E882" s="1" t="s">
        <v>2182</v>
      </c>
      <c r="F882" t="s">
        <v>24</v>
      </c>
      <c r="G882" s="2" t="s">
        <v>2006</v>
      </c>
      <c r="H882" t="s">
        <v>142</v>
      </c>
      <c r="I882" t="s">
        <v>462</v>
      </c>
      <c r="J882" s="6">
        <v>197734</v>
      </c>
      <c r="K882" s="16">
        <v>1020</v>
      </c>
      <c r="L882" s="16">
        <v>1007</v>
      </c>
      <c r="M882" s="16">
        <v>1006</v>
      </c>
      <c r="N882" s="16">
        <v>1011</v>
      </c>
      <c r="O882" s="16">
        <v>1020</v>
      </c>
      <c r="P882" s="16">
        <v>1004</v>
      </c>
      <c r="Q882" s="16">
        <v>997</v>
      </c>
      <c r="R882" s="16">
        <v>1006</v>
      </c>
      <c r="S882" s="16">
        <v>1008</v>
      </c>
      <c r="T882" s="16">
        <v>1007</v>
      </c>
      <c r="U882" s="15">
        <v>1008.6</v>
      </c>
      <c r="V882" t="s">
        <v>19</v>
      </c>
      <c r="W882" t="s">
        <v>28</v>
      </c>
      <c r="X882">
        <v>158</v>
      </c>
      <c r="Y882" s="16">
        <f>VLOOKUP(Tabela1[[#This Row],[SKU]],SKU!A:D,4,0)</f>
        <v>1000</v>
      </c>
      <c r="Z882" s="18">
        <f>IFERROR((Tabela1[[#This Row],[Média]]-Tabela1[[#This Row],[Meta]])/Tabela1[[#This Row],[Meta]],"")</f>
        <v>8.6000000000000226E-3</v>
      </c>
      <c r="AA882" s="29">
        <f>Tabela1[[#This Row],[Média]]-Tabela1[[#This Row],[Meta]]</f>
        <v>8.6000000000000227</v>
      </c>
      <c r="AB882" s="6" t="str">
        <f>VLOOKUP(Tabela1[[#This Row],[SKU]],SKU!A:B,2,0)</f>
        <v>FILEZINHO FRANGO IQF ALM SE</v>
      </c>
      <c r="AC882" s="6" t="str">
        <f>VLOOKUP(Tabela1[[#This Row],[SKU]],SKU!A:C,3,0)</f>
        <v>SASSAMI</v>
      </c>
    </row>
    <row r="883" spans="1:29" x14ac:dyDescent="0.3">
      <c r="A883" s="2">
        <f>INT(Tabela1[[#This Row],[Data e Hora2]])</f>
        <v>46281</v>
      </c>
      <c r="B883" s="6" t="str">
        <f>UPPER(TEXT(Tabela1[[#This Row],[Data Corrigida]],"MMM"))</f>
        <v>SET</v>
      </c>
      <c r="C883" t="s">
        <v>2207</v>
      </c>
      <c r="D883" s="2" t="s">
        <v>2208</v>
      </c>
      <c r="E883" s="1" t="s">
        <v>2182</v>
      </c>
      <c r="F883" t="s">
        <v>24</v>
      </c>
      <c r="G883" s="2" t="s">
        <v>2006</v>
      </c>
      <c r="H883" t="s">
        <v>142</v>
      </c>
      <c r="I883" t="s">
        <v>462</v>
      </c>
      <c r="J883" s="6">
        <v>15105</v>
      </c>
      <c r="K883" s="16">
        <v>997</v>
      </c>
      <c r="L883" s="16">
        <v>1016</v>
      </c>
      <c r="M883" s="16">
        <v>1006</v>
      </c>
      <c r="N883" s="16">
        <v>996</v>
      </c>
      <c r="O883" s="16">
        <v>1018</v>
      </c>
      <c r="P883" s="16">
        <v>1022</v>
      </c>
      <c r="Q883" s="16">
        <v>996</v>
      </c>
      <c r="R883" s="16">
        <v>1024</v>
      </c>
      <c r="S883" s="16">
        <v>1003</v>
      </c>
      <c r="T883" s="16">
        <v>1025</v>
      </c>
      <c r="U883" s="15">
        <v>1010.3</v>
      </c>
      <c r="V883" t="s">
        <v>19</v>
      </c>
      <c r="W883" t="s">
        <v>28</v>
      </c>
      <c r="X883">
        <v>286</v>
      </c>
      <c r="Y883" s="16">
        <f>VLOOKUP(Tabela1[[#This Row],[SKU]],SKU!A:D,4,0)</f>
        <v>1000</v>
      </c>
      <c r="Z883" s="18">
        <f>IFERROR((Tabela1[[#This Row],[Média]]-Tabela1[[#This Row],[Meta]])/Tabela1[[#This Row],[Meta]],"")</f>
        <v>1.0299999999999955E-2</v>
      </c>
      <c r="AA883" s="29">
        <f>Tabela1[[#This Row],[Média]]-Tabela1[[#This Row],[Meta]]</f>
        <v>10.299999999999955</v>
      </c>
      <c r="AB883" s="6" t="str">
        <f>VLOOKUP(Tabela1[[#This Row],[SKU]],SKU!A:B,2,0)</f>
        <v>FILE PEITO MET CG BDJ SE</v>
      </c>
      <c r="AC883" s="6" t="str">
        <f>VLOOKUP(Tabela1[[#This Row],[SKU]],SKU!A:C,3,0)</f>
        <v>PEITO</v>
      </c>
    </row>
    <row r="884" spans="1:29" x14ac:dyDescent="0.3">
      <c r="A884" s="2">
        <f>INT(Tabela1[[#This Row],[Data e Hora2]])</f>
        <v>46282</v>
      </c>
      <c r="B884" s="6" t="str">
        <f>UPPER(TEXT(Tabela1[[#This Row],[Data Corrigida]],"MMM"))</f>
        <v>SET</v>
      </c>
      <c r="C884" t="s">
        <v>2209</v>
      </c>
      <c r="D884" s="2" t="s">
        <v>2210</v>
      </c>
      <c r="E884" s="1" t="s">
        <v>2211</v>
      </c>
      <c r="F884" t="s">
        <v>24</v>
      </c>
      <c r="G884" s="2" t="s">
        <v>2137</v>
      </c>
      <c r="H884" t="s">
        <v>142</v>
      </c>
      <c r="I884" t="s">
        <v>143</v>
      </c>
      <c r="J884" s="6">
        <v>31454</v>
      </c>
      <c r="K884" s="16">
        <v>2514</v>
      </c>
      <c r="L884" s="16">
        <v>2497</v>
      </c>
      <c r="M884" s="16">
        <v>2522</v>
      </c>
      <c r="N884" s="16">
        <v>2459</v>
      </c>
      <c r="O884" s="16">
        <v>2524</v>
      </c>
      <c r="P884" s="16">
        <v>2500</v>
      </c>
      <c r="Q884" s="16">
        <v>2494</v>
      </c>
      <c r="R884" s="16">
        <v>2497</v>
      </c>
      <c r="S884" s="16">
        <v>2546</v>
      </c>
      <c r="T884" s="16">
        <v>2492</v>
      </c>
      <c r="U884" s="15">
        <v>2504.5</v>
      </c>
      <c r="V884" t="s">
        <v>19</v>
      </c>
      <c r="W884" t="s">
        <v>28</v>
      </c>
      <c r="X884">
        <v>152</v>
      </c>
      <c r="Y884" s="16">
        <f>VLOOKUP(Tabela1[[#This Row],[SKU]],SKU!A:D,4,0)</f>
        <v>2500</v>
      </c>
      <c r="Z884" s="18">
        <f>IFERROR((Tabela1[[#This Row],[Média]]-Tabela1[[#This Row],[Meta]])/Tabela1[[#This Row],[Meta]],"")</f>
        <v>1.8E-3</v>
      </c>
      <c r="AA884" s="29">
        <f>Tabela1[[#This Row],[Média]]-Tabela1[[#This Row],[Meta]]</f>
        <v>4.5</v>
      </c>
      <c r="AB884" s="6" t="str">
        <f>VLOOKUP(Tabela1[[#This Row],[SKU]],SKU!A:B,2,0)</f>
        <v>MEIO DE ASA 2,5KG  IQF</v>
      </c>
      <c r="AC884" s="6" t="str">
        <f>VLOOKUP(Tabela1[[#This Row],[SKU]],SKU!A:C,3,0)</f>
        <v>ASA</v>
      </c>
    </row>
    <row r="885" spans="1:29" x14ac:dyDescent="0.3">
      <c r="A885" s="2">
        <f>INT(Tabela1[[#This Row],[Data e Hora2]])</f>
        <v>46282</v>
      </c>
      <c r="B885" s="6" t="str">
        <f>UPPER(TEXT(Tabela1[[#This Row],[Data Corrigida]],"MMM"))</f>
        <v>SET</v>
      </c>
      <c r="C885" t="s">
        <v>2212</v>
      </c>
      <c r="D885" s="2" t="s">
        <v>2213</v>
      </c>
      <c r="E885" s="1" t="s">
        <v>2211</v>
      </c>
      <c r="F885" t="s">
        <v>24</v>
      </c>
      <c r="G885" s="2" t="s">
        <v>2137</v>
      </c>
      <c r="H885" t="s">
        <v>142</v>
      </c>
      <c r="I885" t="s">
        <v>143</v>
      </c>
      <c r="J885" s="6">
        <v>42862</v>
      </c>
      <c r="K885" s="16">
        <v>2037</v>
      </c>
      <c r="L885" s="16">
        <v>2054</v>
      </c>
      <c r="M885" s="16">
        <v>2035</v>
      </c>
      <c r="N885" s="16">
        <v>1985</v>
      </c>
      <c r="O885" s="16">
        <v>2052</v>
      </c>
      <c r="P885" s="16">
        <v>2007</v>
      </c>
      <c r="Q885" s="16">
        <v>2070</v>
      </c>
      <c r="R885" s="16">
        <v>2005</v>
      </c>
      <c r="S885" s="16">
        <v>2024</v>
      </c>
      <c r="T885" s="16">
        <v>2002</v>
      </c>
      <c r="U885" s="15">
        <v>2027.1</v>
      </c>
      <c r="V885" t="s">
        <v>19</v>
      </c>
      <c r="W885" t="s">
        <v>28</v>
      </c>
      <c r="X885">
        <v>342</v>
      </c>
      <c r="Y885" s="16">
        <f>VLOOKUP(Tabela1[[#This Row],[SKU]],SKU!A:D,4,0)</f>
        <v>2000</v>
      </c>
      <c r="Z885" s="18">
        <f>IFERROR((Tabela1[[#This Row],[Média]]-Tabela1[[#This Row],[Meta]])/Tabela1[[#This Row],[Meta]],"")</f>
        <v>1.3549999999999954E-2</v>
      </c>
      <c r="AA885" s="29">
        <f>Tabela1[[#This Row],[Média]]-Tabela1[[#This Row],[Meta]]</f>
        <v>27.099999999999909</v>
      </c>
      <c r="AB885" s="6" t="str">
        <f>VLOOKUP(Tabela1[[#This Row],[SKU]],SKU!A:B,2,0)</f>
        <v>COXA SBCX S/O FG 280-300g PB</v>
      </c>
      <c r="AC885" s="6" t="str">
        <f>VLOOKUP(Tabela1[[#This Row],[SKU]],SKU!A:C,3,0)</f>
        <v>PERNA</v>
      </c>
    </row>
    <row r="886" spans="1:29" x14ac:dyDescent="0.3">
      <c r="A886" s="2">
        <f>INT(Tabela1[[#This Row],[Data e Hora2]])</f>
        <v>46282</v>
      </c>
      <c r="B886" s="6" t="str">
        <f>UPPER(TEXT(Tabela1[[#This Row],[Data Corrigida]],"MMM"))</f>
        <v>SET</v>
      </c>
      <c r="C886" t="s">
        <v>2214</v>
      </c>
      <c r="D886" s="2" t="s">
        <v>2215</v>
      </c>
      <c r="E886" s="1" t="s">
        <v>2211</v>
      </c>
      <c r="F886" t="s">
        <v>24</v>
      </c>
      <c r="G886" s="2" t="s">
        <v>2137</v>
      </c>
      <c r="H886" t="s">
        <v>142</v>
      </c>
      <c r="I886" t="s">
        <v>143</v>
      </c>
      <c r="J886" s="6">
        <v>42846</v>
      </c>
      <c r="K886" s="16">
        <v>2044</v>
      </c>
      <c r="L886" s="16">
        <v>1996</v>
      </c>
      <c r="M886" s="16">
        <v>1986</v>
      </c>
      <c r="N886" s="16">
        <v>2000</v>
      </c>
      <c r="O886" s="16">
        <v>2040</v>
      </c>
      <c r="P886" s="16">
        <v>2004</v>
      </c>
      <c r="Q886" s="16">
        <v>1993</v>
      </c>
      <c r="R886" s="16">
        <v>2028</v>
      </c>
      <c r="S886" s="16">
        <v>2005</v>
      </c>
      <c r="T886" s="16">
        <v>2009</v>
      </c>
      <c r="U886" s="15">
        <v>2010.5</v>
      </c>
      <c r="V886" t="s">
        <v>19</v>
      </c>
      <c r="W886" t="s">
        <v>28</v>
      </c>
      <c r="X886">
        <v>151</v>
      </c>
      <c r="Y886" s="16">
        <f>VLOOKUP(Tabela1[[#This Row],[SKU]],SKU!A:D,4,0)</f>
        <v>2000</v>
      </c>
      <c r="Z886" s="18">
        <f>IFERROR((Tabela1[[#This Row],[Média]]-Tabela1[[#This Row],[Meta]])/Tabela1[[#This Row],[Meta]],"")</f>
        <v>5.2500000000000003E-3</v>
      </c>
      <c r="AA886" s="29">
        <f>Tabela1[[#This Row],[Média]]-Tabela1[[#This Row],[Meta]]</f>
        <v>10.5</v>
      </c>
      <c r="AB886" s="6" t="str">
        <f>VLOOKUP(Tabela1[[#This Row],[SKU]],SKU!A:B,2,0)</f>
        <v>COXA SBCX S/O FG 240-260g PB</v>
      </c>
      <c r="AC886" s="6" t="str">
        <f>VLOOKUP(Tabela1[[#This Row],[SKU]],SKU!A:C,3,0)</f>
        <v>PERNA</v>
      </c>
    </row>
    <row r="887" spans="1:29" x14ac:dyDescent="0.3">
      <c r="A887" s="2">
        <f>INT(Tabela1[[#This Row],[Data e Hora2]])</f>
        <v>46282</v>
      </c>
      <c r="B887" s="6" t="str">
        <f>UPPER(TEXT(Tabela1[[#This Row],[Data Corrigida]],"MMM"))</f>
        <v>SET</v>
      </c>
      <c r="C887" t="s">
        <v>2216</v>
      </c>
      <c r="D887" s="2" t="s">
        <v>2217</v>
      </c>
      <c r="E887" s="1" t="s">
        <v>2211</v>
      </c>
      <c r="F887" t="s">
        <v>24</v>
      </c>
      <c r="G887" s="2" t="s">
        <v>2137</v>
      </c>
      <c r="H887" t="s">
        <v>142</v>
      </c>
      <c r="I887" t="s">
        <v>143</v>
      </c>
      <c r="J887" s="6">
        <v>15105</v>
      </c>
      <c r="K887" s="16">
        <v>987</v>
      </c>
      <c r="L887" s="16">
        <v>995</v>
      </c>
      <c r="M887" s="16">
        <v>1038</v>
      </c>
      <c r="N887" s="16">
        <v>1014</v>
      </c>
      <c r="O887" s="16">
        <v>1015</v>
      </c>
      <c r="P887" s="16">
        <v>1008</v>
      </c>
      <c r="Q887" s="16">
        <v>994</v>
      </c>
      <c r="R887" s="16">
        <v>1002</v>
      </c>
      <c r="S887" s="16">
        <v>1013</v>
      </c>
      <c r="T887" s="16">
        <v>1056</v>
      </c>
      <c r="U887" s="15">
        <v>1012.2</v>
      </c>
      <c r="V887" t="s">
        <v>19</v>
      </c>
      <c r="W887" t="s">
        <v>28</v>
      </c>
      <c r="X887">
        <v>141</v>
      </c>
      <c r="Y887" s="16">
        <f>VLOOKUP(Tabela1[[#This Row],[SKU]],SKU!A:D,4,0)</f>
        <v>1000</v>
      </c>
      <c r="Z887" s="18">
        <f>IFERROR((Tabela1[[#This Row],[Média]]-Tabela1[[#This Row],[Meta]])/Tabela1[[#This Row],[Meta]],"")</f>
        <v>1.2200000000000046E-2</v>
      </c>
      <c r="AA887" s="29">
        <f>Tabela1[[#This Row],[Média]]-Tabela1[[#This Row],[Meta]]</f>
        <v>12.200000000000045</v>
      </c>
      <c r="AB887" s="6" t="str">
        <f>VLOOKUP(Tabela1[[#This Row],[SKU]],SKU!A:B,2,0)</f>
        <v>FILE PEITO MET CG BDJ SE</v>
      </c>
      <c r="AC887" s="6" t="str">
        <f>VLOOKUP(Tabela1[[#This Row],[SKU]],SKU!A:C,3,0)</f>
        <v>PEITO</v>
      </c>
    </row>
    <row r="888" spans="1:29" x14ac:dyDescent="0.3">
      <c r="A888" s="2">
        <f>INT(Tabela1[[#This Row],[Data e Hora2]])</f>
        <v>46281</v>
      </c>
      <c r="B888" s="6" t="str">
        <f>UPPER(TEXT(Tabela1[[#This Row],[Data Corrigida]],"MMM"))</f>
        <v>SET</v>
      </c>
      <c r="C888" t="s">
        <v>2003</v>
      </c>
      <c r="D888" s="2" t="s">
        <v>2004</v>
      </c>
      <c r="E888" s="1" t="s">
        <v>2005</v>
      </c>
      <c r="F888" t="s">
        <v>24</v>
      </c>
      <c r="G888" s="2" t="s">
        <v>2006</v>
      </c>
      <c r="H888" t="s">
        <v>26</v>
      </c>
      <c r="I888" t="s">
        <v>27</v>
      </c>
      <c r="J888" s="6">
        <v>42820</v>
      </c>
      <c r="K888" s="16">
        <v>2013</v>
      </c>
      <c r="L888" s="16">
        <v>2041</v>
      </c>
      <c r="M888" s="16">
        <v>2023</v>
      </c>
      <c r="N888" s="16">
        <v>2062</v>
      </c>
      <c r="O888" s="16">
        <v>2020</v>
      </c>
      <c r="P888" s="16">
        <v>2038</v>
      </c>
      <c r="Q888" s="16">
        <v>2038</v>
      </c>
      <c r="R888" s="16">
        <v>2042</v>
      </c>
      <c r="S888" s="16">
        <v>2051</v>
      </c>
      <c r="T888" s="16">
        <v>2041</v>
      </c>
      <c r="U888" s="15">
        <v>2036.9</v>
      </c>
      <c r="V888" t="s">
        <v>19</v>
      </c>
      <c r="W888" t="s">
        <v>28</v>
      </c>
      <c r="X888">
        <v>1312</v>
      </c>
      <c r="Y888" s="16">
        <f>VLOOKUP(Tabela1[[#This Row],[SKU]],SKU!A:D,4,0)</f>
        <v>2000</v>
      </c>
      <c r="Z888" s="18">
        <f>IFERROR((Tabela1[[#This Row],[Média]]-Tabela1[[#This Row],[Meta]])/Tabela1[[#This Row],[Meta]],"")</f>
        <v>1.8450000000000046E-2</v>
      </c>
      <c r="AA888" s="29">
        <f>Tabela1[[#This Row],[Média]]-Tabela1[[#This Row],[Meta]]</f>
        <v>36.900000000000091</v>
      </c>
      <c r="AB888" s="6" t="str">
        <f>VLOOKUP(Tabela1[[#This Row],[SKU]],SKU!A:B,2,0)</f>
        <v>COXA SBCX S/O FG 200-220g PB</v>
      </c>
      <c r="AC888" s="6" t="str">
        <f>VLOOKUP(Tabela1[[#This Row],[SKU]],SKU!A:C,3,0)</f>
        <v>PERNA</v>
      </c>
    </row>
    <row r="889" spans="1:29" x14ac:dyDescent="0.3">
      <c r="A889" s="2">
        <f>INT(Tabela1[[#This Row],[Data e Hora2]])</f>
        <v>46281</v>
      </c>
      <c r="B889" s="6" t="str">
        <f>UPPER(TEXT(Tabela1[[#This Row],[Data Corrigida]],"MMM"))</f>
        <v>SET</v>
      </c>
      <c r="C889" t="s">
        <v>2007</v>
      </c>
      <c r="D889" s="2" t="s">
        <v>2008</v>
      </c>
      <c r="E889" s="1" t="s">
        <v>2005</v>
      </c>
      <c r="F889" t="s">
        <v>24</v>
      </c>
      <c r="G889" s="2" t="s">
        <v>2006</v>
      </c>
      <c r="H889" t="s">
        <v>26</v>
      </c>
      <c r="I889" t="s">
        <v>27</v>
      </c>
      <c r="J889" s="6">
        <v>42838</v>
      </c>
      <c r="K889" s="16">
        <v>2020</v>
      </c>
      <c r="L889" s="16">
        <v>2020</v>
      </c>
      <c r="M889" s="16">
        <v>2051</v>
      </c>
      <c r="N889" s="16">
        <v>2030</v>
      </c>
      <c r="O889" s="16">
        <v>2025</v>
      </c>
      <c r="P889" s="16">
        <v>2025</v>
      </c>
      <c r="Q889" s="16">
        <v>2022</v>
      </c>
      <c r="R889" s="16">
        <v>2030</v>
      </c>
      <c r="S889" s="16">
        <v>2028</v>
      </c>
      <c r="T889" s="16">
        <v>2039</v>
      </c>
      <c r="U889" s="15">
        <v>2029</v>
      </c>
      <c r="V889" t="s">
        <v>19</v>
      </c>
      <c r="W889" t="s">
        <v>28</v>
      </c>
      <c r="X889">
        <v>8499</v>
      </c>
      <c r="Y889" s="16">
        <f>VLOOKUP(Tabela1[[#This Row],[SKU]],SKU!A:D,4,0)</f>
        <v>2000</v>
      </c>
      <c r="Z889" s="18">
        <f>IFERROR((Tabela1[[#This Row],[Média]]-Tabela1[[#This Row],[Meta]])/Tabela1[[#This Row],[Meta]],"")</f>
        <v>1.4500000000000001E-2</v>
      </c>
      <c r="AA889" s="29">
        <f>Tabela1[[#This Row],[Média]]-Tabela1[[#This Row],[Meta]]</f>
        <v>29</v>
      </c>
      <c r="AB889" s="6" t="str">
        <f>VLOOKUP(Tabela1[[#This Row],[SKU]],SKU!A:B,2,0)</f>
        <v>COXA SBCX S/O FG 220-240g PB</v>
      </c>
      <c r="AC889" s="6" t="str">
        <f>VLOOKUP(Tabela1[[#This Row],[SKU]],SKU!A:C,3,0)</f>
        <v>PERNA</v>
      </c>
    </row>
    <row r="890" spans="1:29" x14ac:dyDescent="0.3">
      <c r="A890" s="2">
        <f>INT(Tabela1[[#This Row],[Data e Hora2]])</f>
        <v>46281</v>
      </c>
      <c r="B890" s="6" t="str">
        <f>UPPER(TEXT(Tabela1[[#This Row],[Data Corrigida]],"MMM"))</f>
        <v>SET</v>
      </c>
      <c r="C890" t="s">
        <v>2009</v>
      </c>
      <c r="D890" s="2" t="s">
        <v>2010</v>
      </c>
      <c r="E890" s="1" t="s">
        <v>2005</v>
      </c>
      <c r="F890" t="s">
        <v>24</v>
      </c>
      <c r="G890" s="2" t="s">
        <v>2006</v>
      </c>
      <c r="H890" t="s">
        <v>26</v>
      </c>
      <c r="I890" t="s">
        <v>27</v>
      </c>
      <c r="J890" s="6">
        <v>864048</v>
      </c>
      <c r="K890" s="16">
        <v>2017</v>
      </c>
      <c r="L890" s="16">
        <v>2025</v>
      </c>
      <c r="M890" s="16">
        <v>2072</v>
      </c>
      <c r="N890" s="16">
        <v>2015</v>
      </c>
      <c r="O890" s="16">
        <v>2020</v>
      </c>
      <c r="P890" s="16">
        <v>2017</v>
      </c>
      <c r="Q890" s="16">
        <v>2003</v>
      </c>
      <c r="R890" s="16">
        <v>2007</v>
      </c>
      <c r="S890" s="16">
        <v>2015</v>
      </c>
      <c r="T890" s="16">
        <v>2000</v>
      </c>
      <c r="U890" s="15">
        <v>2019.1</v>
      </c>
      <c r="V890" t="s">
        <v>19</v>
      </c>
      <c r="W890" t="s">
        <v>28</v>
      </c>
      <c r="X890">
        <v>496</v>
      </c>
      <c r="Y890" s="16">
        <f>VLOOKUP(Tabela1[[#This Row],[SKU]],SKU!A:D,4,0)</f>
        <v>2000</v>
      </c>
      <c r="Z890" s="18">
        <f>IFERROR((Tabela1[[#This Row],[Média]]-Tabela1[[#This Row],[Meta]])/Tabela1[[#This Row],[Meta]],"")</f>
        <v>9.5499999999999544E-3</v>
      </c>
      <c r="AA890" s="29">
        <f>Tabela1[[#This Row],[Média]]-Tabela1[[#This Row],[Meta]]</f>
        <v>19.099999999999909</v>
      </c>
      <c r="AB890" s="6" t="str">
        <f>VLOOKUP(Tabela1[[#This Row],[SKU]],SKU!A:B,2,0)</f>
        <v>COXA SBCX S/O 200g FG UP PB</v>
      </c>
      <c r="AC890" s="6" t="str">
        <f>VLOOKUP(Tabela1[[#This Row],[SKU]],SKU!A:C,3,0)</f>
        <v>PERNA</v>
      </c>
    </row>
    <row r="891" spans="1:29" x14ac:dyDescent="0.3">
      <c r="A891" s="2">
        <f>INT(Tabela1[[#This Row],[Data e Hora2]])</f>
        <v>46281</v>
      </c>
      <c r="B891" s="6" t="str">
        <f>UPPER(TEXT(Tabela1[[#This Row],[Data Corrigida]],"MMM"))</f>
        <v>SET</v>
      </c>
      <c r="C891" t="s">
        <v>2011</v>
      </c>
      <c r="D891" s="2" t="s">
        <v>2012</v>
      </c>
      <c r="E891" s="1" t="s">
        <v>2005</v>
      </c>
      <c r="F891" t="s">
        <v>24</v>
      </c>
      <c r="G891" s="2" t="s">
        <v>2006</v>
      </c>
      <c r="H891" t="s">
        <v>26</v>
      </c>
      <c r="I891" t="s">
        <v>27</v>
      </c>
      <c r="J891" s="6">
        <v>992014</v>
      </c>
      <c r="K891" s="16">
        <v>702</v>
      </c>
      <c r="L891" s="16">
        <v>704</v>
      </c>
      <c r="M891" s="16">
        <v>703</v>
      </c>
      <c r="N891" s="16">
        <v>709</v>
      </c>
      <c r="O891" s="16">
        <v>703</v>
      </c>
      <c r="P891" s="16">
        <v>702</v>
      </c>
      <c r="Q891" s="16">
        <v>702</v>
      </c>
      <c r="R891" s="16">
        <v>700</v>
      </c>
      <c r="S891" s="16">
        <v>712</v>
      </c>
      <c r="T891" s="16">
        <v>701</v>
      </c>
      <c r="U891" s="15">
        <v>703.8</v>
      </c>
      <c r="V891" t="s">
        <v>19</v>
      </c>
      <c r="W891" t="s">
        <v>28</v>
      </c>
      <c r="X891">
        <v>8025</v>
      </c>
      <c r="Y891" s="16">
        <f>VLOOKUP(Tabela1[[#This Row],[SKU]],SKU!A:D,4,0)</f>
        <v>700</v>
      </c>
      <c r="Z891" s="18">
        <f>IFERROR((Tabela1[[#This Row],[Média]]-Tabela1[[#This Row],[Meta]])/Tabela1[[#This Row],[Meta]],"")</f>
        <v>5.4285714285713634E-3</v>
      </c>
      <c r="AA891" s="29">
        <f>Tabela1[[#This Row],[Média]]-Tabela1[[#This Row],[Meta]]</f>
        <v>3.7999999999999545</v>
      </c>
      <c r="AB891" s="6" t="str">
        <f>VLOOKUP(Tabela1[[#This Row],[SKU]],SKU!A:B,2,0)</f>
        <v>OSTRINHA CG PCT 700G SWIFT</v>
      </c>
      <c r="AC891" s="6" t="str">
        <f>VLOOKUP(Tabela1[[#This Row],[SKU]],SKU!A:C,3,0)</f>
        <v>PERNA</v>
      </c>
    </row>
    <row r="892" spans="1:29" x14ac:dyDescent="0.3">
      <c r="A892" s="2">
        <f>INT(Tabela1[[#This Row],[Data e Hora2]])</f>
        <v>46281</v>
      </c>
      <c r="B892" s="6" t="str">
        <f>UPPER(TEXT(Tabela1[[#This Row],[Data Corrigida]],"MMM"))</f>
        <v>SET</v>
      </c>
      <c r="C892" t="s">
        <v>2013</v>
      </c>
      <c r="D892" s="2" t="s">
        <v>2014</v>
      </c>
      <c r="E892" s="1" t="s">
        <v>2015</v>
      </c>
      <c r="F892" t="s">
        <v>24</v>
      </c>
      <c r="G892" s="2" t="s">
        <v>2006</v>
      </c>
      <c r="H892" t="s">
        <v>26</v>
      </c>
      <c r="I892" t="s">
        <v>27</v>
      </c>
      <c r="J892" s="6">
        <v>995638</v>
      </c>
      <c r="K892" s="16">
        <v>15065</v>
      </c>
      <c r="L892" s="16">
        <v>15055</v>
      </c>
      <c r="M892" s="16">
        <v>15050</v>
      </c>
      <c r="N892" s="16">
        <v>15075</v>
      </c>
      <c r="O892" s="16">
        <v>15090</v>
      </c>
      <c r="P892" s="16">
        <v>15040</v>
      </c>
      <c r="Q892" s="16">
        <v>15020</v>
      </c>
      <c r="R892" s="16">
        <v>15020</v>
      </c>
      <c r="S892" s="16">
        <v>15035</v>
      </c>
      <c r="T892" s="16">
        <v>15015</v>
      </c>
      <c r="U892" s="15">
        <v>15046.5</v>
      </c>
      <c r="V892" t="s">
        <v>19</v>
      </c>
      <c r="W892" t="s">
        <v>28</v>
      </c>
      <c r="X892">
        <v>918</v>
      </c>
      <c r="Y892" s="16">
        <f>VLOOKUP(Tabela1[[#This Row],[SKU]],SKU!A:D,4,0)</f>
        <v>15000</v>
      </c>
      <c r="Z892" s="18">
        <f>IFERROR((Tabela1[[#This Row],[Média]]-Tabela1[[#This Row],[Meta]])/Tabela1[[#This Row],[Meta]],"")</f>
        <v>3.0999999999999999E-3</v>
      </c>
      <c r="AA892" s="29">
        <f>Tabela1[[#This Row],[Média]]-Tabela1[[#This Row],[Meta]]</f>
        <v>46.5</v>
      </c>
      <c r="AB892" s="6" t="str">
        <f>VLOOKUP(Tabela1[[#This Row],[SKU]],SKU!A:B,2,0)</f>
        <v>MEIO DA ASA 40-50G LP</v>
      </c>
      <c r="AC892" s="6" t="str">
        <f>VLOOKUP(Tabela1[[#This Row],[SKU]],SKU!A:C,3,0)</f>
        <v>ASA</v>
      </c>
    </row>
    <row r="893" spans="1:29" x14ac:dyDescent="0.3">
      <c r="A893" s="2">
        <f>INT(Tabela1[[#This Row],[Data e Hora2]])</f>
        <v>46281</v>
      </c>
      <c r="B893" s="6" t="str">
        <f>UPPER(TEXT(Tabela1[[#This Row],[Data Corrigida]],"MMM"))</f>
        <v>SET</v>
      </c>
      <c r="C893" t="s">
        <v>2016</v>
      </c>
      <c r="D893" s="2" t="s">
        <v>2017</v>
      </c>
      <c r="E893" s="1" t="s">
        <v>2015</v>
      </c>
      <c r="F893" t="s">
        <v>24</v>
      </c>
      <c r="G893" s="2" t="s">
        <v>2006</v>
      </c>
      <c r="H893" t="s">
        <v>26</v>
      </c>
      <c r="I893" t="s">
        <v>27</v>
      </c>
      <c r="J893" s="6">
        <v>40762</v>
      </c>
      <c r="K893" s="16">
        <v>9980</v>
      </c>
      <c r="L893" s="16">
        <v>10060</v>
      </c>
      <c r="M893" s="16">
        <v>9920</v>
      </c>
      <c r="N893" s="16">
        <v>10075</v>
      </c>
      <c r="O893" s="16">
        <v>10230</v>
      </c>
      <c r="P893" s="16">
        <v>9960</v>
      </c>
      <c r="Q893" s="16">
        <v>10190</v>
      </c>
      <c r="R893" s="16">
        <v>9970</v>
      </c>
      <c r="S893" s="16">
        <v>10155</v>
      </c>
      <c r="T893" s="16">
        <v>10120</v>
      </c>
      <c r="U893" s="15">
        <v>10066</v>
      </c>
      <c r="V893" t="s">
        <v>19</v>
      </c>
      <c r="W893" t="s">
        <v>28</v>
      </c>
      <c r="X893">
        <v>749</v>
      </c>
      <c r="Y893" s="16">
        <f>VLOOKUP(Tabela1[[#This Row],[SKU]],SKU!A:D,4,0)</f>
        <v>10000</v>
      </c>
      <c r="Z893" s="18">
        <f>IFERROR((Tabela1[[#This Row],[Média]]-Tabela1[[#This Row],[Meta]])/Tabela1[[#This Row],[Meta]],"")</f>
        <v>6.6E-3</v>
      </c>
      <c r="AA893" s="29">
        <f>Tabela1[[#This Row],[Média]]-Tabela1[[#This Row],[Meta]]</f>
        <v>66</v>
      </c>
      <c r="AB893" s="6" t="str">
        <f>VLOOKUP(Tabela1[[#This Row],[SKU]],SKU!A:B,2,0)</f>
        <v>COXA SBCX LQ FG LP</v>
      </c>
      <c r="AC893" s="6" t="str">
        <f>VLOOKUP(Tabela1[[#This Row],[SKU]],SKU!A:C,3,0)</f>
        <v>PERNA</v>
      </c>
    </row>
    <row r="894" spans="1:29" x14ac:dyDescent="0.3">
      <c r="A894" s="2">
        <f>INT(Tabela1[[#This Row],[Data e Hora2]])</f>
        <v>46281</v>
      </c>
      <c r="B894" s="6" t="str">
        <f>UPPER(TEXT(Tabela1[[#This Row],[Data Corrigida]],"MMM"))</f>
        <v>SET</v>
      </c>
      <c r="C894" t="s">
        <v>2018</v>
      </c>
      <c r="D894" s="2" t="s">
        <v>2019</v>
      </c>
      <c r="E894" s="1" t="s">
        <v>2015</v>
      </c>
      <c r="F894" t="s">
        <v>24</v>
      </c>
      <c r="G894" s="2" t="s">
        <v>2006</v>
      </c>
      <c r="H894" t="s">
        <v>26</v>
      </c>
      <c r="I894" t="s">
        <v>27</v>
      </c>
      <c r="J894" s="6">
        <v>15105</v>
      </c>
      <c r="K894" s="16">
        <v>1028</v>
      </c>
      <c r="L894" s="16">
        <v>1039</v>
      </c>
      <c r="M894" s="16">
        <v>1005</v>
      </c>
      <c r="N894" s="16">
        <v>1027</v>
      </c>
      <c r="O894" s="16">
        <v>1042</v>
      </c>
      <c r="P894" s="16">
        <v>1010</v>
      </c>
      <c r="Q894" s="16">
        <v>1006</v>
      </c>
      <c r="R894" s="16">
        <v>996</v>
      </c>
      <c r="S894" s="16">
        <v>1019</v>
      </c>
      <c r="T894" s="16">
        <v>1056</v>
      </c>
      <c r="U894" s="15">
        <v>1022.8</v>
      </c>
      <c r="V894" t="s">
        <v>19</v>
      </c>
      <c r="W894" t="s">
        <v>28</v>
      </c>
      <c r="X894">
        <v>253</v>
      </c>
      <c r="Y894" s="16">
        <f>VLOOKUP(Tabela1[[#This Row],[SKU]],SKU!A:D,4,0)</f>
        <v>1000</v>
      </c>
      <c r="Z894" s="18">
        <f>IFERROR((Tabela1[[#This Row],[Média]]-Tabela1[[#This Row],[Meta]])/Tabela1[[#This Row],[Meta]],"")</f>
        <v>2.2799999999999956E-2</v>
      </c>
      <c r="AA894" s="29">
        <f>Tabela1[[#This Row],[Média]]-Tabela1[[#This Row],[Meta]]</f>
        <v>22.799999999999955</v>
      </c>
      <c r="AB894" s="6" t="str">
        <f>VLOOKUP(Tabela1[[#This Row],[SKU]],SKU!A:B,2,0)</f>
        <v>FILE PEITO MET CG BDJ SE</v>
      </c>
      <c r="AC894" s="6" t="str">
        <f>VLOOKUP(Tabela1[[#This Row],[SKU]],SKU!A:C,3,0)</f>
        <v>PEITO</v>
      </c>
    </row>
    <row r="895" spans="1:29" x14ac:dyDescent="0.3">
      <c r="A895" s="2">
        <f>INT(Tabela1[[#This Row],[Data e Hora2]])</f>
        <v>46281</v>
      </c>
      <c r="B895" s="6" t="str">
        <f>UPPER(TEXT(Tabela1[[#This Row],[Data Corrigida]],"MMM"))</f>
        <v>SET</v>
      </c>
      <c r="C895" t="s">
        <v>2020</v>
      </c>
      <c r="D895" s="2" t="s">
        <v>2021</v>
      </c>
      <c r="E895" s="1" t="s">
        <v>2015</v>
      </c>
      <c r="F895" t="s">
        <v>24</v>
      </c>
      <c r="G895" s="2" t="s">
        <v>2006</v>
      </c>
      <c r="H895" t="s">
        <v>26</v>
      </c>
      <c r="I895" t="s">
        <v>27</v>
      </c>
      <c r="J895" s="6">
        <v>209099</v>
      </c>
      <c r="K895" s="16">
        <v>1035</v>
      </c>
      <c r="L895" s="16">
        <v>1022</v>
      </c>
      <c r="M895" s="16">
        <v>999</v>
      </c>
      <c r="N895" s="16">
        <v>994</v>
      </c>
      <c r="O895" s="16">
        <v>1006</v>
      </c>
      <c r="P895" s="16">
        <v>995</v>
      </c>
      <c r="Q895" s="16">
        <v>990</v>
      </c>
      <c r="R895" s="16">
        <v>1049</v>
      </c>
      <c r="S895" s="16">
        <v>1000</v>
      </c>
      <c r="T895" s="16">
        <v>1027</v>
      </c>
      <c r="U895" s="15">
        <v>1011.7</v>
      </c>
      <c r="V895" t="s">
        <v>19</v>
      </c>
      <c r="W895" t="s">
        <v>28</v>
      </c>
      <c r="X895">
        <v>167</v>
      </c>
      <c r="Y895" s="16">
        <f>VLOOKUP(Tabela1[[#This Row],[SKU]],SKU!A:D,4,0)</f>
        <v>1000</v>
      </c>
      <c r="Z895" s="18">
        <f>IFERROR((Tabela1[[#This Row],[Média]]-Tabela1[[#This Row],[Meta]])/Tabela1[[#This Row],[Meta]],"")</f>
        <v>1.1700000000000045E-2</v>
      </c>
      <c r="AA895" s="29">
        <f>Tabela1[[#This Row],[Média]]-Tabela1[[#This Row],[Meta]]</f>
        <v>11.700000000000045</v>
      </c>
      <c r="AB895" s="6" t="str">
        <f>VLOOKUP(Tabela1[[#This Row],[SKU]],SKU!A:B,2,0)</f>
        <v>FILE DE SOBRECOXA IQF</v>
      </c>
      <c r="AC895" s="6" t="str">
        <f>VLOOKUP(Tabela1[[#This Row],[SKU]],SKU!A:C,3,0)</f>
        <v>PERNA</v>
      </c>
    </row>
    <row r="896" spans="1:29" x14ac:dyDescent="0.3">
      <c r="A896" s="2">
        <f>INT(Tabela1[[#This Row],[Data e Hora2]])</f>
        <v>46281</v>
      </c>
      <c r="B896" s="6" t="str">
        <f>UPPER(TEXT(Tabela1[[#This Row],[Data Corrigida]],"MMM"))</f>
        <v>SET</v>
      </c>
      <c r="C896" t="s">
        <v>2022</v>
      </c>
      <c r="D896" s="2" t="s">
        <v>2023</v>
      </c>
      <c r="E896" s="1" t="s">
        <v>2015</v>
      </c>
      <c r="F896" t="s">
        <v>24</v>
      </c>
      <c r="G896" s="2" t="s">
        <v>2006</v>
      </c>
      <c r="H896" t="s">
        <v>26</v>
      </c>
      <c r="I896" t="s">
        <v>27</v>
      </c>
      <c r="J896" s="6">
        <v>40762</v>
      </c>
      <c r="K896" s="16">
        <v>9980</v>
      </c>
      <c r="L896" s="16">
        <v>10040</v>
      </c>
      <c r="M896" s="16">
        <v>10200</v>
      </c>
      <c r="N896" s="16">
        <v>10030</v>
      </c>
      <c r="O896" s="16">
        <v>10000</v>
      </c>
      <c r="P896" s="16">
        <v>9995</v>
      </c>
      <c r="Q896" s="16">
        <v>10040</v>
      </c>
      <c r="R896" s="16">
        <v>10225</v>
      </c>
      <c r="S896" s="16">
        <v>10025</v>
      </c>
      <c r="T896" s="16">
        <v>10000</v>
      </c>
      <c r="U896" s="15">
        <v>10053.5</v>
      </c>
      <c r="V896" t="s">
        <v>19</v>
      </c>
      <c r="W896" t="s">
        <v>28</v>
      </c>
      <c r="X896">
        <v>2449</v>
      </c>
      <c r="Y896" s="16">
        <f>VLOOKUP(Tabela1[[#This Row],[SKU]],SKU!A:D,4,0)</f>
        <v>10000</v>
      </c>
      <c r="Z896" s="18">
        <f>IFERROR((Tabela1[[#This Row],[Média]]-Tabela1[[#This Row],[Meta]])/Tabela1[[#This Row],[Meta]],"")</f>
        <v>5.3499999999999997E-3</v>
      </c>
      <c r="AA896" s="29">
        <f>Tabela1[[#This Row],[Média]]-Tabela1[[#This Row],[Meta]]</f>
        <v>53.5</v>
      </c>
      <c r="AB896" s="6" t="str">
        <f>VLOOKUP(Tabela1[[#This Row],[SKU]],SKU!A:B,2,0)</f>
        <v>COXA SBCX LQ FG LP</v>
      </c>
      <c r="AC896" s="6" t="str">
        <f>VLOOKUP(Tabela1[[#This Row],[SKU]],SKU!A:C,3,0)</f>
        <v>PERNA</v>
      </c>
    </row>
    <row r="897" spans="1:29" x14ac:dyDescent="0.3">
      <c r="A897" s="2">
        <f>INT(Tabela1[[#This Row],[Data e Hora2]])</f>
        <v>46281</v>
      </c>
      <c r="B897" s="6" t="str">
        <f>UPPER(TEXT(Tabela1[[#This Row],[Data Corrigida]],"MMM"))</f>
        <v>SET</v>
      </c>
      <c r="C897" t="s">
        <v>2024</v>
      </c>
      <c r="D897" s="2" t="s">
        <v>2025</v>
      </c>
      <c r="E897" s="1" t="s">
        <v>2015</v>
      </c>
      <c r="F897" t="s">
        <v>24</v>
      </c>
      <c r="G897" s="2" t="s">
        <v>2006</v>
      </c>
      <c r="H897" t="s">
        <v>26</v>
      </c>
      <c r="I897" t="s">
        <v>27</v>
      </c>
      <c r="J897" s="6">
        <v>42854</v>
      </c>
      <c r="K897" s="16">
        <v>2180</v>
      </c>
      <c r="L897" s="16">
        <v>2111</v>
      </c>
      <c r="M897" s="16">
        <v>2097</v>
      </c>
      <c r="N897" s="16">
        <v>2177</v>
      </c>
      <c r="O897" s="16">
        <v>2105</v>
      </c>
      <c r="P897" s="16">
        <v>2103</v>
      </c>
      <c r="Q897" s="16">
        <v>2117</v>
      </c>
      <c r="R897" s="16">
        <v>2107</v>
      </c>
      <c r="S897" s="16">
        <v>2105</v>
      </c>
      <c r="T897" s="16">
        <v>2088</v>
      </c>
      <c r="U897" s="15">
        <v>2119</v>
      </c>
      <c r="V897" t="s">
        <v>19</v>
      </c>
      <c r="W897" t="s">
        <v>19</v>
      </c>
      <c r="X897">
        <v>307</v>
      </c>
      <c r="Y897" s="16">
        <f>VLOOKUP(Tabela1[[#This Row],[SKU]],SKU!A:D,4,0)</f>
        <v>2080</v>
      </c>
      <c r="Z897" s="18">
        <f>IFERROR((Tabela1[[#This Row],[Média]]-Tabela1[[#This Row],[Meta]])/Tabela1[[#This Row],[Meta]],"")</f>
        <v>1.8749999999999999E-2</v>
      </c>
      <c r="AA897" s="29">
        <f>Tabela1[[#This Row],[Média]]-Tabela1[[#This Row],[Meta]]</f>
        <v>39</v>
      </c>
      <c r="AB897" s="6" t="str">
        <f>VLOOKUP(Tabela1[[#This Row],[SKU]],SKU!A:B,2,0)</f>
        <v>COXA SBCX S/O FG 260-280g PB</v>
      </c>
      <c r="AC897" s="6" t="str">
        <f>VLOOKUP(Tabela1[[#This Row],[SKU]],SKU!A:C,3,0)</f>
        <v>PERNA</v>
      </c>
    </row>
    <row r="898" spans="1:29" x14ac:dyDescent="0.3">
      <c r="A898" s="2">
        <f>INT(Tabela1[[#This Row],[Data e Hora2]])</f>
        <v>46281</v>
      </c>
      <c r="B898" s="6" t="str">
        <f>UPPER(TEXT(Tabela1[[#This Row],[Data Corrigida]],"MMM"))</f>
        <v>SET</v>
      </c>
      <c r="C898" t="s">
        <v>2026</v>
      </c>
      <c r="D898" s="2" t="s">
        <v>2027</v>
      </c>
      <c r="E898" s="1" t="s">
        <v>2015</v>
      </c>
      <c r="F898" t="s">
        <v>24</v>
      </c>
      <c r="G898" s="2" t="s">
        <v>2006</v>
      </c>
      <c r="H898" t="s">
        <v>26</v>
      </c>
      <c r="I898" t="s">
        <v>27</v>
      </c>
      <c r="J898" s="6">
        <v>42846</v>
      </c>
      <c r="K898" s="16">
        <v>2015</v>
      </c>
      <c r="L898" s="16">
        <v>2028</v>
      </c>
      <c r="M898" s="16">
        <v>2021</v>
      </c>
      <c r="N898" s="16">
        <v>2014</v>
      </c>
      <c r="O898" s="16">
        <v>2013</v>
      </c>
      <c r="P898" s="16">
        <v>2008</v>
      </c>
      <c r="Q898" s="16">
        <v>2013</v>
      </c>
      <c r="R898" s="16">
        <v>2011</v>
      </c>
      <c r="S898" s="16">
        <v>2021</v>
      </c>
      <c r="T898" s="16">
        <v>2019</v>
      </c>
      <c r="U898" s="15">
        <v>2016.3</v>
      </c>
      <c r="V898" t="s">
        <v>19</v>
      </c>
      <c r="W898" t="s">
        <v>28</v>
      </c>
      <c r="X898">
        <v>258</v>
      </c>
      <c r="Y898" s="16">
        <f>VLOOKUP(Tabela1[[#This Row],[SKU]],SKU!A:D,4,0)</f>
        <v>2000</v>
      </c>
      <c r="Z898" s="18">
        <f>IFERROR((Tabela1[[#This Row],[Média]]-Tabela1[[#This Row],[Meta]])/Tabela1[[#This Row],[Meta]],"")</f>
        <v>8.1499999999999767E-3</v>
      </c>
      <c r="AA898" s="29">
        <f>Tabela1[[#This Row],[Média]]-Tabela1[[#This Row],[Meta]]</f>
        <v>16.299999999999955</v>
      </c>
      <c r="AB898" s="6" t="str">
        <f>VLOOKUP(Tabela1[[#This Row],[SKU]],SKU!A:B,2,0)</f>
        <v>COXA SBCX S/O FG 240-260g PB</v>
      </c>
      <c r="AC898" s="6" t="str">
        <f>VLOOKUP(Tabela1[[#This Row],[SKU]],SKU!A:C,3,0)</f>
        <v>PERNA</v>
      </c>
    </row>
    <row r="899" spans="1:29" x14ac:dyDescent="0.3">
      <c r="A899" s="2">
        <f>INT(Tabela1[[#This Row],[Data e Hora2]])</f>
        <v>46281</v>
      </c>
      <c r="B899" s="6" t="str">
        <f>UPPER(TEXT(Tabela1[[#This Row],[Data Corrigida]],"MMM"))</f>
        <v>SET</v>
      </c>
      <c r="C899" t="s">
        <v>2028</v>
      </c>
      <c r="D899" s="2" t="s">
        <v>2029</v>
      </c>
      <c r="E899" s="1" t="s">
        <v>2015</v>
      </c>
      <c r="F899" t="s">
        <v>24</v>
      </c>
      <c r="G899" s="2" t="s">
        <v>2006</v>
      </c>
      <c r="H899" t="s">
        <v>26</v>
      </c>
      <c r="I899" t="s">
        <v>27</v>
      </c>
      <c r="J899" s="6">
        <v>42838</v>
      </c>
      <c r="K899" s="16">
        <v>2028</v>
      </c>
      <c r="L899" s="16">
        <v>2057</v>
      </c>
      <c r="M899" s="16">
        <v>2053</v>
      </c>
      <c r="N899" s="16">
        <v>2052</v>
      </c>
      <c r="O899" s="16">
        <v>2002</v>
      </c>
      <c r="P899" s="16">
        <v>1991</v>
      </c>
      <c r="Q899" s="16">
        <v>2009</v>
      </c>
      <c r="R899" s="16">
        <v>2007</v>
      </c>
      <c r="S899" s="16">
        <v>2016</v>
      </c>
      <c r="T899" s="16">
        <v>2046</v>
      </c>
      <c r="U899" s="15">
        <v>2026.1</v>
      </c>
      <c r="V899" t="s">
        <v>19</v>
      </c>
      <c r="W899" t="s">
        <v>19</v>
      </c>
      <c r="X899">
        <v>91</v>
      </c>
      <c r="Y899" s="16">
        <f>VLOOKUP(Tabela1[[#This Row],[SKU]],SKU!A:D,4,0)</f>
        <v>2000</v>
      </c>
      <c r="Z899" s="18">
        <f>IFERROR((Tabela1[[#This Row],[Média]]-Tabela1[[#This Row],[Meta]])/Tabela1[[#This Row],[Meta]],"")</f>
        <v>1.3049999999999954E-2</v>
      </c>
      <c r="AA899" s="29">
        <f>Tabela1[[#This Row],[Média]]-Tabela1[[#This Row],[Meta]]</f>
        <v>26.099999999999909</v>
      </c>
      <c r="AB899" s="6" t="str">
        <f>VLOOKUP(Tabela1[[#This Row],[SKU]],SKU!A:B,2,0)</f>
        <v>COXA SBCX S/O FG 220-240g PB</v>
      </c>
      <c r="AC899" s="6" t="str">
        <f>VLOOKUP(Tabela1[[#This Row],[SKU]],SKU!A:C,3,0)</f>
        <v>PERNA</v>
      </c>
    </row>
    <row r="900" spans="1:29" x14ac:dyDescent="0.3">
      <c r="A900" s="2">
        <f>INT(Tabela1[[#This Row],[Data e Hora2]])</f>
        <v>46281</v>
      </c>
      <c r="B900" s="6" t="str">
        <f>UPPER(TEXT(Tabela1[[#This Row],[Data Corrigida]],"MMM"))</f>
        <v>SET</v>
      </c>
      <c r="C900" t="s">
        <v>2030</v>
      </c>
      <c r="D900" s="2" t="s">
        <v>2031</v>
      </c>
      <c r="E900" s="1" t="s">
        <v>2015</v>
      </c>
      <c r="F900" t="s">
        <v>24</v>
      </c>
      <c r="G900" s="2" t="s">
        <v>2006</v>
      </c>
      <c r="H900" t="s">
        <v>26</v>
      </c>
      <c r="I900" t="s">
        <v>27</v>
      </c>
      <c r="J900" s="6">
        <v>42862</v>
      </c>
      <c r="K900" s="16">
        <v>2024</v>
      </c>
      <c r="L900" s="16">
        <v>2029</v>
      </c>
      <c r="M900" s="16">
        <v>2002</v>
      </c>
      <c r="N900" s="16">
        <v>2022</v>
      </c>
      <c r="O900" s="16">
        <v>2027</v>
      </c>
      <c r="P900" s="16">
        <v>2034</v>
      </c>
      <c r="Q900" s="16">
        <v>2006</v>
      </c>
      <c r="R900" s="16">
        <v>2019</v>
      </c>
      <c r="S900" s="16">
        <v>2036</v>
      </c>
      <c r="T900" s="16">
        <v>2028</v>
      </c>
      <c r="U900" s="15">
        <v>2022.7</v>
      </c>
      <c r="V900" t="s">
        <v>19</v>
      </c>
      <c r="W900" t="s">
        <v>28</v>
      </c>
      <c r="X900">
        <v>244</v>
      </c>
      <c r="Y900" s="16">
        <f>VLOOKUP(Tabela1[[#This Row],[SKU]],SKU!A:D,4,0)</f>
        <v>2000</v>
      </c>
      <c r="Z900" s="18">
        <f>IFERROR((Tabela1[[#This Row],[Média]]-Tabela1[[#This Row],[Meta]])/Tabela1[[#This Row],[Meta]],"")</f>
        <v>1.1350000000000023E-2</v>
      </c>
      <c r="AA900" s="29">
        <f>Tabela1[[#This Row],[Média]]-Tabela1[[#This Row],[Meta]]</f>
        <v>22.700000000000045</v>
      </c>
      <c r="AB900" s="6" t="str">
        <f>VLOOKUP(Tabela1[[#This Row],[SKU]],SKU!A:B,2,0)</f>
        <v>COXA SBCX S/O FG 280-300g PB</v>
      </c>
      <c r="AC900" s="6" t="str">
        <f>VLOOKUP(Tabela1[[#This Row],[SKU]],SKU!A:C,3,0)</f>
        <v>PERNA</v>
      </c>
    </row>
    <row r="901" spans="1:29" x14ac:dyDescent="0.3">
      <c r="A901" s="2">
        <f>INT(Tabela1[[#This Row],[Data e Hora2]])</f>
        <v>46281</v>
      </c>
      <c r="B901" s="6" t="str">
        <f>UPPER(TEXT(Tabela1[[#This Row],[Data Corrigida]],"MMM"))</f>
        <v>SET</v>
      </c>
      <c r="C901" t="s">
        <v>2032</v>
      </c>
      <c r="D901" s="2" t="s">
        <v>2033</v>
      </c>
      <c r="E901" s="1" t="s">
        <v>2015</v>
      </c>
      <c r="F901" t="s">
        <v>24</v>
      </c>
      <c r="G901" s="2" t="s">
        <v>2006</v>
      </c>
      <c r="H901" t="s">
        <v>26</v>
      </c>
      <c r="I901" t="s">
        <v>27</v>
      </c>
      <c r="J901" s="6">
        <v>792799</v>
      </c>
      <c r="K901" s="16">
        <v>15025</v>
      </c>
      <c r="L901" s="16">
        <v>15040</v>
      </c>
      <c r="M901" s="16">
        <v>15055</v>
      </c>
      <c r="N901" s="16">
        <v>15025</v>
      </c>
      <c r="O901" s="16">
        <v>15000</v>
      </c>
      <c r="P901" s="16">
        <v>14990</v>
      </c>
      <c r="Q901" s="16">
        <v>15025</v>
      </c>
      <c r="R901" s="16">
        <v>15045</v>
      </c>
      <c r="S901" s="16">
        <v>15035</v>
      </c>
      <c r="T901" s="16">
        <v>15050</v>
      </c>
      <c r="U901" s="15">
        <v>15029</v>
      </c>
      <c r="V901" t="s">
        <v>19</v>
      </c>
      <c r="W901" t="s">
        <v>28</v>
      </c>
      <c r="X901">
        <v>300</v>
      </c>
      <c r="Y901" s="16">
        <f>VLOOKUP(Tabela1[[#This Row],[SKU]],SKU!A:D,4,0)</f>
        <v>15000</v>
      </c>
      <c r="Z901" s="18">
        <f>IFERROR((Tabela1[[#This Row],[Média]]-Tabela1[[#This Row],[Meta]])/Tabela1[[#This Row],[Meta]],"")</f>
        <v>1.9333333333333333E-3</v>
      </c>
      <c r="AA901" s="29">
        <f>Tabela1[[#This Row],[Média]]-Tabela1[[#This Row],[Meta]]</f>
        <v>29</v>
      </c>
      <c r="AB901" s="6" t="str">
        <f>VLOOKUP(Tabela1[[#This Row],[SKU]],SKU!A:B,2,0)</f>
        <v>ASAS FG 100g UP LP</v>
      </c>
      <c r="AC901" s="6" t="str">
        <f>VLOOKUP(Tabela1[[#This Row],[SKU]],SKU!A:C,3,0)</f>
        <v>ASA</v>
      </c>
    </row>
    <row r="902" spans="1:29" x14ac:dyDescent="0.3">
      <c r="A902" s="2">
        <f>INT(Tabela1[[#This Row],[Data e Hora2]])</f>
        <v>46281</v>
      </c>
      <c r="B902" s="6" t="str">
        <f>UPPER(TEXT(Tabela1[[#This Row],[Data Corrigida]],"MMM"))</f>
        <v>SET</v>
      </c>
      <c r="C902" t="s">
        <v>2034</v>
      </c>
      <c r="D902" s="2" t="s">
        <v>2035</v>
      </c>
      <c r="E902" s="1" t="s">
        <v>2015</v>
      </c>
      <c r="F902" t="s">
        <v>24</v>
      </c>
      <c r="G902" s="2" t="s">
        <v>2006</v>
      </c>
      <c r="H902" t="s">
        <v>26</v>
      </c>
      <c r="I902" t="s">
        <v>27</v>
      </c>
      <c r="J902" s="6">
        <v>15105</v>
      </c>
      <c r="K902" s="16">
        <v>1052</v>
      </c>
      <c r="L902" s="16">
        <v>1008</v>
      </c>
      <c r="M902" s="16">
        <v>1042</v>
      </c>
      <c r="N902" s="16">
        <v>1017</v>
      </c>
      <c r="O902" s="16">
        <v>1003</v>
      </c>
      <c r="P902" s="16">
        <v>1053</v>
      </c>
      <c r="Q902" s="16">
        <v>1013</v>
      </c>
      <c r="R902" s="16">
        <v>1035</v>
      </c>
      <c r="S902" s="16">
        <v>1013</v>
      </c>
      <c r="T902" s="16">
        <v>988</v>
      </c>
      <c r="U902" s="15">
        <v>1022.4</v>
      </c>
      <c r="V902" t="s">
        <v>19</v>
      </c>
      <c r="W902" t="s">
        <v>28</v>
      </c>
      <c r="X902">
        <v>161</v>
      </c>
      <c r="Y902" s="16">
        <f>VLOOKUP(Tabela1[[#This Row],[SKU]],SKU!A:D,4,0)</f>
        <v>1000</v>
      </c>
      <c r="Z902" s="18">
        <f>IFERROR((Tabela1[[#This Row],[Média]]-Tabela1[[#This Row],[Meta]])/Tabela1[[#This Row],[Meta]],"")</f>
        <v>2.2399999999999979E-2</v>
      </c>
      <c r="AA902" s="29">
        <f>Tabela1[[#This Row],[Média]]-Tabela1[[#This Row],[Meta]]</f>
        <v>22.399999999999977</v>
      </c>
      <c r="AB902" s="6" t="str">
        <f>VLOOKUP(Tabela1[[#This Row],[SKU]],SKU!A:B,2,0)</f>
        <v>FILE PEITO MET CG BDJ SE</v>
      </c>
      <c r="AC902" s="6" t="str">
        <f>VLOOKUP(Tabela1[[#This Row],[SKU]],SKU!A:C,3,0)</f>
        <v>PEITO</v>
      </c>
    </row>
    <row r="903" spans="1:29" x14ac:dyDescent="0.3">
      <c r="A903" s="2">
        <f>INT(Tabela1[[#This Row],[Data e Hora2]])</f>
        <v>46281</v>
      </c>
      <c r="B903" s="6" t="str">
        <f>UPPER(TEXT(Tabela1[[#This Row],[Data Corrigida]],"MMM"))</f>
        <v>SET</v>
      </c>
      <c r="C903" t="s">
        <v>2036</v>
      </c>
      <c r="D903" s="2" t="s">
        <v>2037</v>
      </c>
      <c r="E903" s="1" t="s">
        <v>2015</v>
      </c>
      <c r="F903" t="s">
        <v>24</v>
      </c>
      <c r="G903" s="2" t="s">
        <v>2006</v>
      </c>
      <c r="H903" t="s">
        <v>26</v>
      </c>
      <c r="I903" t="s">
        <v>27</v>
      </c>
      <c r="J903" s="6">
        <v>992093</v>
      </c>
      <c r="K903" s="16">
        <v>5007</v>
      </c>
      <c r="L903" s="16">
        <v>5003</v>
      </c>
      <c r="M903" s="16">
        <v>5015</v>
      </c>
      <c r="N903" s="16">
        <v>5012</v>
      </c>
      <c r="O903" s="16">
        <v>5009</v>
      </c>
      <c r="P903" s="16">
        <v>5016</v>
      </c>
      <c r="Q903" s="16">
        <v>5008</v>
      </c>
      <c r="R903" s="16">
        <v>5016</v>
      </c>
      <c r="S903" s="16">
        <v>5003</v>
      </c>
      <c r="T903" s="16">
        <v>5015</v>
      </c>
      <c r="U903" s="15">
        <v>5010.3999999999996</v>
      </c>
      <c r="V903" t="s">
        <v>19</v>
      </c>
      <c r="W903" t="s">
        <v>28</v>
      </c>
      <c r="X903">
        <v>211</v>
      </c>
      <c r="Y903" s="16">
        <f>VLOOKUP(Tabela1[[#This Row],[SKU]],SKU!A:D,4,0)</f>
        <v>5000</v>
      </c>
      <c r="Z903" s="18">
        <f>IFERROR((Tabela1[[#This Row],[Média]]-Tabela1[[#This Row],[Meta]])/Tabela1[[#This Row],[Meta]],"")</f>
        <v>2.0799999999999274E-3</v>
      </c>
      <c r="AA903" s="29">
        <f>Tabela1[[#This Row],[Média]]-Tabela1[[#This Row],[Meta]]</f>
        <v>10.399999999999636</v>
      </c>
      <c r="AB903" s="6" t="str">
        <f>VLOOKUP(Tabela1[[#This Row],[SKU]],SKU!A:B,2,0)</f>
        <v>PONTA ASA FG PB CG</v>
      </c>
      <c r="AC903" s="6" t="str">
        <f>VLOOKUP(Tabela1[[#This Row],[SKU]],SKU!A:C,3,0)</f>
        <v>ASA</v>
      </c>
    </row>
    <row r="904" spans="1:29" x14ac:dyDescent="0.3">
      <c r="A904" s="2">
        <f>INT(Tabela1[[#This Row],[Data e Hora2]])</f>
        <v>46281</v>
      </c>
      <c r="B904" s="6" t="str">
        <f>UPPER(TEXT(Tabela1[[#This Row],[Data Corrigida]],"MMM"))</f>
        <v>SET</v>
      </c>
      <c r="C904" t="s">
        <v>2038</v>
      </c>
      <c r="D904" s="2" t="s">
        <v>2039</v>
      </c>
      <c r="E904" s="1" t="s">
        <v>2040</v>
      </c>
      <c r="F904" t="s">
        <v>24</v>
      </c>
      <c r="G904" s="2" t="s">
        <v>2006</v>
      </c>
      <c r="H904" t="s">
        <v>26</v>
      </c>
      <c r="I904" t="s">
        <v>57</v>
      </c>
      <c r="J904" s="6">
        <v>42846</v>
      </c>
      <c r="K904" s="16">
        <v>1997</v>
      </c>
      <c r="L904" s="16">
        <v>2002</v>
      </c>
      <c r="M904" s="16">
        <v>2007</v>
      </c>
      <c r="N904" s="16">
        <v>2024</v>
      </c>
      <c r="O904" s="16">
        <v>2017</v>
      </c>
      <c r="P904" s="16">
        <v>2008</v>
      </c>
      <c r="Q904" s="16">
        <v>2024</v>
      </c>
      <c r="R904" s="16">
        <v>1739</v>
      </c>
      <c r="S904" s="16">
        <v>2002</v>
      </c>
      <c r="T904" s="16">
        <v>2018</v>
      </c>
      <c r="U904" s="15">
        <v>1983.8</v>
      </c>
      <c r="V904" t="s">
        <v>19</v>
      </c>
      <c r="W904" t="s">
        <v>28</v>
      </c>
      <c r="X904">
        <v>311</v>
      </c>
      <c r="Y904" s="16">
        <f>VLOOKUP(Tabela1[[#This Row],[SKU]],SKU!A:D,4,0)</f>
        <v>2000</v>
      </c>
      <c r="Z904" s="18">
        <f>IFERROR((Tabela1[[#This Row],[Média]]-Tabela1[[#This Row],[Meta]])/Tabela1[[#This Row],[Meta]],"")</f>
        <v>-8.1000000000000221E-3</v>
      </c>
      <c r="AA904" s="29">
        <f>Tabela1[[#This Row],[Média]]-Tabela1[[#This Row],[Meta]]</f>
        <v>-16.200000000000045</v>
      </c>
      <c r="AB904" s="6" t="str">
        <f>VLOOKUP(Tabela1[[#This Row],[SKU]],SKU!A:B,2,0)</f>
        <v>COXA SBCX S/O FG 240-260g PB</v>
      </c>
      <c r="AC904" s="6" t="str">
        <f>VLOOKUP(Tabela1[[#This Row],[SKU]],SKU!A:C,3,0)</f>
        <v>PERNA</v>
      </c>
    </row>
    <row r="905" spans="1:29" x14ac:dyDescent="0.3">
      <c r="A905" s="2">
        <f>INT(Tabela1[[#This Row],[Data e Hora2]])</f>
        <v>46281</v>
      </c>
      <c r="B905" s="6" t="str">
        <f>UPPER(TEXT(Tabela1[[#This Row],[Data Corrigida]],"MMM"))</f>
        <v>SET</v>
      </c>
      <c r="C905" t="s">
        <v>2041</v>
      </c>
      <c r="D905" s="2" t="s">
        <v>2042</v>
      </c>
      <c r="E905" s="1" t="s">
        <v>2043</v>
      </c>
      <c r="F905" t="s">
        <v>24</v>
      </c>
      <c r="G905" s="2" t="s">
        <v>2006</v>
      </c>
      <c r="H905" t="s">
        <v>26</v>
      </c>
      <c r="I905" t="s">
        <v>57</v>
      </c>
      <c r="J905" s="6">
        <v>42854</v>
      </c>
      <c r="K905" s="16">
        <v>2099</v>
      </c>
      <c r="L905" s="16">
        <v>2050</v>
      </c>
      <c r="M905" s="16">
        <v>2093</v>
      </c>
      <c r="N905" s="16">
        <v>2106</v>
      </c>
      <c r="O905" s="16">
        <v>2031</v>
      </c>
      <c r="P905" s="16">
        <v>2088</v>
      </c>
      <c r="Q905" s="16">
        <v>2060</v>
      </c>
      <c r="R905" s="16">
        <v>2078</v>
      </c>
      <c r="S905" s="16">
        <v>2092</v>
      </c>
      <c r="T905" s="16">
        <v>2085</v>
      </c>
      <c r="U905" s="15">
        <v>2078.1999999999998</v>
      </c>
      <c r="V905" t="s">
        <v>19</v>
      </c>
      <c r="W905" t="s">
        <v>28</v>
      </c>
      <c r="X905">
        <v>337</v>
      </c>
      <c r="Y905" s="16">
        <f>VLOOKUP(Tabela1[[#This Row],[SKU]],SKU!A:D,4,0)</f>
        <v>2080</v>
      </c>
      <c r="Z905" s="18">
        <f>IFERROR((Tabela1[[#This Row],[Média]]-Tabela1[[#This Row],[Meta]])/Tabela1[[#This Row],[Meta]],"")</f>
        <v>-8.653846153847028E-4</v>
      </c>
      <c r="AA905" s="29">
        <f>Tabela1[[#This Row],[Média]]-Tabela1[[#This Row],[Meta]]</f>
        <v>-1.8000000000001819</v>
      </c>
      <c r="AB905" s="6" t="str">
        <f>VLOOKUP(Tabela1[[#This Row],[SKU]],SKU!A:B,2,0)</f>
        <v>COXA SBCX S/O FG 260-280g PB</v>
      </c>
      <c r="AC905" s="6" t="str">
        <f>VLOOKUP(Tabela1[[#This Row],[SKU]],SKU!A:C,3,0)</f>
        <v>PERNA</v>
      </c>
    </row>
    <row r="906" spans="1:29" x14ac:dyDescent="0.3">
      <c r="A906" s="2">
        <f>INT(Tabela1[[#This Row],[Data e Hora2]])</f>
        <v>46281</v>
      </c>
      <c r="B906" s="6" t="str">
        <f>UPPER(TEXT(Tabela1[[#This Row],[Data Corrigida]],"MMM"))</f>
        <v>SET</v>
      </c>
      <c r="C906" t="s">
        <v>2044</v>
      </c>
      <c r="D906" s="2" t="s">
        <v>2045</v>
      </c>
      <c r="E906" s="1" t="s">
        <v>2043</v>
      </c>
      <c r="F906" t="s">
        <v>24</v>
      </c>
      <c r="G906" s="2" t="s">
        <v>2006</v>
      </c>
      <c r="H906" t="s">
        <v>26</v>
      </c>
      <c r="I906" t="s">
        <v>57</v>
      </c>
      <c r="J906" s="6">
        <v>42811</v>
      </c>
      <c r="K906" s="16">
        <v>2019</v>
      </c>
      <c r="L906" s="16">
        <v>2000</v>
      </c>
      <c r="M906" s="16">
        <v>2018</v>
      </c>
      <c r="N906" s="16">
        <v>1807</v>
      </c>
      <c r="O906" s="16">
        <v>2002</v>
      </c>
      <c r="P906" s="16">
        <v>2068</v>
      </c>
      <c r="Q906" s="16">
        <v>2072</v>
      </c>
      <c r="R906" s="16">
        <v>2079</v>
      </c>
      <c r="S906" s="16">
        <v>2084</v>
      </c>
      <c r="T906" s="16">
        <v>2099</v>
      </c>
      <c r="U906" s="15">
        <v>2024.8</v>
      </c>
      <c r="V906" t="s">
        <v>19</v>
      </c>
      <c r="W906" t="s">
        <v>28</v>
      </c>
      <c r="X906">
        <v>385</v>
      </c>
      <c r="Y906" s="16">
        <f>VLOOKUP(Tabela1[[#This Row],[SKU]],SKU!A:D,4,0)</f>
        <v>2000</v>
      </c>
      <c r="Z906" s="18">
        <f>IFERROR((Tabela1[[#This Row],[Média]]-Tabela1[[#This Row],[Meta]])/Tabela1[[#This Row],[Meta]],"")</f>
        <v>1.2399999999999977E-2</v>
      </c>
      <c r="AA906" s="29">
        <f>Tabela1[[#This Row],[Média]]-Tabela1[[#This Row],[Meta]]</f>
        <v>24.799999999999955</v>
      </c>
      <c r="AB906" s="6" t="str">
        <f>VLOOKUP(Tabela1[[#This Row],[SKU]],SKU!A:B,2,0)</f>
        <v>COXA SBCX S/O FG 180-200g PB</v>
      </c>
      <c r="AC906" s="6" t="str">
        <f>VLOOKUP(Tabela1[[#This Row],[SKU]],SKU!A:C,3,0)</f>
        <v>PERNA</v>
      </c>
    </row>
    <row r="907" spans="1:29" x14ac:dyDescent="0.3">
      <c r="A907" s="2">
        <f>INT(Tabela1[[#This Row],[Data e Hora2]])</f>
        <v>46281</v>
      </c>
      <c r="B907" s="6" t="str">
        <f>UPPER(TEXT(Tabela1[[#This Row],[Data Corrigida]],"MMM"))</f>
        <v>SET</v>
      </c>
      <c r="C907" t="s">
        <v>2046</v>
      </c>
      <c r="D907" s="2" t="s">
        <v>2047</v>
      </c>
      <c r="E907" s="1" t="s">
        <v>2043</v>
      </c>
      <c r="F907" t="s">
        <v>24</v>
      </c>
      <c r="G907" s="2" t="s">
        <v>2006</v>
      </c>
      <c r="H907" t="s">
        <v>26</v>
      </c>
      <c r="I907" t="s">
        <v>57</v>
      </c>
      <c r="J907" s="6">
        <v>864048</v>
      </c>
      <c r="K907" s="16">
        <v>2002</v>
      </c>
      <c r="L907" s="16">
        <v>2020</v>
      </c>
      <c r="M907" s="16">
        <v>1998</v>
      </c>
      <c r="N907" s="16">
        <v>2019</v>
      </c>
      <c r="O907" s="16">
        <v>2103</v>
      </c>
      <c r="P907" s="16">
        <v>1983</v>
      </c>
      <c r="Q907" s="16">
        <v>1998</v>
      </c>
      <c r="R907" s="16">
        <v>2091</v>
      </c>
      <c r="S907" s="16">
        <v>1969</v>
      </c>
      <c r="T907" s="16">
        <v>2112</v>
      </c>
      <c r="U907" s="15">
        <v>2029.5</v>
      </c>
      <c r="V907" t="s">
        <v>19</v>
      </c>
      <c r="W907" t="s">
        <v>28</v>
      </c>
      <c r="X907">
        <v>724</v>
      </c>
      <c r="Y907" s="16">
        <f>VLOOKUP(Tabela1[[#This Row],[SKU]],SKU!A:D,4,0)</f>
        <v>2000</v>
      </c>
      <c r="Z907" s="18">
        <f>IFERROR((Tabela1[[#This Row],[Média]]-Tabela1[[#This Row],[Meta]])/Tabela1[[#This Row],[Meta]],"")</f>
        <v>1.4749999999999999E-2</v>
      </c>
      <c r="AA907" s="29">
        <f>Tabela1[[#This Row],[Média]]-Tabela1[[#This Row],[Meta]]</f>
        <v>29.5</v>
      </c>
      <c r="AB907" s="6" t="str">
        <f>VLOOKUP(Tabela1[[#This Row],[SKU]],SKU!A:B,2,0)</f>
        <v>COXA SBCX S/O 200g FG UP PB</v>
      </c>
      <c r="AC907" s="6" t="str">
        <f>VLOOKUP(Tabela1[[#This Row],[SKU]],SKU!A:C,3,0)</f>
        <v>PERNA</v>
      </c>
    </row>
    <row r="908" spans="1:29" x14ac:dyDescent="0.3">
      <c r="A908" s="2">
        <f>INT(Tabela1[[#This Row],[Data e Hora2]])</f>
        <v>46281</v>
      </c>
      <c r="B908" s="6" t="str">
        <f>UPPER(TEXT(Tabela1[[#This Row],[Data Corrigida]],"MMM"))</f>
        <v>SET</v>
      </c>
      <c r="C908" t="s">
        <v>2048</v>
      </c>
      <c r="D908" s="2" t="s">
        <v>2049</v>
      </c>
      <c r="E908" s="1" t="s">
        <v>2050</v>
      </c>
      <c r="F908" t="s">
        <v>24</v>
      </c>
      <c r="G908" s="2" t="s">
        <v>2006</v>
      </c>
      <c r="H908" t="s">
        <v>26</v>
      </c>
      <c r="I908" t="s">
        <v>57</v>
      </c>
      <c r="J908" s="6">
        <v>15105</v>
      </c>
      <c r="K908" s="16">
        <v>1011</v>
      </c>
      <c r="L908" s="16">
        <v>1020</v>
      </c>
      <c r="M908" s="16">
        <v>1012</v>
      </c>
      <c r="N908" s="16">
        <v>872</v>
      </c>
      <c r="O908" s="16">
        <v>1000</v>
      </c>
      <c r="P908" s="16">
        <v>1009</v>
      </c>
      <c r="Q908" s="16">
        <v>1019</v>
      </c>
      <c r="R908" s="16">
        <v>1030</v>
      </c>
      <c r="S908" s="16">
        <v>996</v>
      </c>
      <c r="T908" s="16">
        <v>970</v>
      </c>
      <c r="U908" s="15">
        <v>993.9</v>
      </c>
      <c r="V908" t="s">
        <v>19</v>
      </c>
      <c r="W908" t="s">
        <v>28</v>
      </c>
      <c r="X908">
        <v>235</v>
      </c>
      <c r="Y908" s="16">
        <f>VLOOKUP(Tabela1[[#This Row],[SKU]],SKU!A:D,4,0)</f>
        <v>1000</v>
      </c>
      <c r="Z908" s="18">
        <f>IFERROR((Tabela1[[#This Row],[Média]]-Tabela1[[#This Row],[Meta]])/Tabela1[[#This Row],[Meta]],"")</f>
        <v>-6.1000000000000229E-3</v>
      </c>
      <c r="AA908" s="29">
        <f>Tabela1[[#This Row],[Média]]-Tabela1[[#This Row],[Meta]]</f>
        <v>-6.1000000000000227</v>
      </c>
      <c r="AB908" s="6" t="str">
        <f>VLOOKUP(Tabela1[[#This Row],[SKU]],SKU!A:B,2,0)</f>
        <v>FILE PEITO MET CG BDJ SE</v>
      </c>
      <c r="AC908" s="6" t="str">
        <f>VLOOKUP(Tabela1[[#This Row],[SKU]],SKU!A:C,3,0)</f>
        <v>PEITO</v>
      </c>
    </row>
    <row r="909" spans="1:29" x14ac:dyDescent="0.3">
      <c r="A909" s="2">
        <f>INT(Tabela1[[#This Row],[Data e Hora2]])</f>
        <v>46281</v>
      </c>
      <c r="B909" s="6" t="str">
        <f>UPPER(TEXT(Tabela1[[#This Row],[Data Corrigida]],"MMM"))</f>
        <v>SET</v>
      </c>
      <c r="C909" t="s">
        <v>2051</v>
      </c>
      <c r="D909" s="2" t="s">
        <v>2052</v>
      </c>
      <c r="E909" s="1" t="s">
        <v>2050</v>
      </c>
      <c r="F909" t="s">
        <v>24</v>
      </c>
      <c r="G909" s="2" t="s">
        <v>2006</v>
      </c>
      <c r="H909" t="s">
        <v>26</v>
      </c>
      <c r="I909" t="s">
        <v>57</v>
      </c>
      <c r="J909" s="6">
        <v>40762</v>
      </c>
      <c r="K909" s="16">
        <v>10025</v>
      </c>
      <c r="L909" s="16">
        <v>10130</v>
      </c>
      <c r="M909" s="16">
        <v>10085</v>
      </c>
      <c r="N909" s="16">
        <v>10050</v>
      </c>
      <c r="O909" s="16">
        <v>10035</v>
      </c>
      <c r="P909" s="16">
        <v>10010</v>
      </c>
      <c r="Q909" s="16">
        <v>10000</v>
      </c>
      <c r="R909" s="16">
        <v>10035</v>
      </c>
      <c r="S909" s="16">
        <v>9995</v>
      </c>
      <c r="T909" s="16">
        <v>10040</v>
      </c>
      <c r="U909" s="15">
        <v>10040.5</v>
      </c>
      <c r="V909" t="s">
        <v>19</v>
      </c>
      <c r="W909" t="s">
        <v>28</v>
      </c>
      <c r="X909">
        <v>4071</v>
      </c>
      <c r="Y909" s="16">
        <f>VLOOKUP(Tabela1[[#This Row],[SKU]],SKU!A:D,4,0)</f>
        <v>10000</v>
      </c>
      <c r="Z909" s="18">
        <f>IFERROR((Tabela1[[#This Row],[Média]]-Tabela1[[#This Row],[Meta]])/Tabela1[[#This Row],[Meta]],"")</f>
        <v>4.0499999999999998E-3</v>
      </c>
      <c r="AA909" s="29">
        <f>Tabela1[[#This Row],[Média]]-Tabela1[[#This Row],[Meta]]</f>
        <v>40.5</v>
      </c>
      <c r="AB909" s="6" t="str">
        <f>VLOOKUP(Tabela1[[#This Row],[SKU]],SKU!A:B,2,0)</f>
        <v>COXA SBCX LQ FG LP</v>
      </c>
      <c r="AC909" s="6" t="str">
        <f>VLOOKUP(Tabela1[[#This Row],[SKU]],SKU!A:C,3,0)</f>
        <v>PERNA</v>
      </c>
    </row>
    <row r="910" spans="1:29" x14ac:dyDescent="0.3">
      <c r="A910" s="2">
        <f>INT(Tabela1[[#This Row],[Data e Hora2]])</f>
        <v>46280</v>
      </c>
      <c r="B910" s="6" t="str">
        <f>UPPER(TEXT(Tabela1[[#This Row],[Data Corrigida]],"MMM"))</f>
        <v>SET</v>
      </c>
      <c r="C910" t="s">
        <v>2053</v>
      </c>
      <c r="D910" s="2" t="s">
        <v>2054</v>
      </c>
      <c r="E910" s="1" t="s">
        <v>2050</v>
      </c>
      <c r="F910" t="s">
        <v>24</v>
      </c>
      <c r="G910" s="2" t="s">
        <v>1904</v>
      </c>
      <c r="H910" t="s">
        <v>26</v>
      </c>
      <c r="I910" t="s">
        <v>57</v>
      </c>
      <c r="J910" s="6">
        <v>15105</v>
      </c>
      <c r="K910" s="16">
        <v>1009</v>
      </c>
      <c r="L910" s="16">
        <v>998</v>
      </c>
      <c r="M910" s="16">
        <v>1009</v>
      </c>
      <c r="N910" s="16">
        <v>1005</v>
      </c>
      <c r="O910" s="16">
        <v>1000</v>
      </c>
      <c r="P910" s="16">
        <v>1012</v>
      </c>
      <c r="Q910" s="16">
        <v>1039</v>
      </c>
      <c r="R910" s="16">
        <v>990</v>
      </c>
      <c r="S910" s="16">
        <v>995</v>
      </c>
      <c r="T910" s="16">
        <v>1005</v>
      </c>
      <c r="U910" s="15">
        <v>1006.2</v>
      </c>
      <c r="V910" t="s">
        <v>19</v>
      </c>
      <c r="W910" t="s">
        <v>28</v>
      </c>
      <c r="X910">
        <v>145</v>
      </c>
      <c r="Y910" s="16">
        <f>VLOOKUP(Tabela1[[#This Row],[SKU]],SKU!A:D,4,0)</f>
        <v>1000</v>
      </c>
      <c r="Z910" s="18">
        <f>IFERROR((Tabela1[[#This Row],[Média]]-Tabela1[[#This Row],[Meta]])/Tabela1[[#This Row],[Meta]],"")</f>
        <v>6.2000000000000458E-3</v>
      </c>
      <c r="AA910" s="29">
        <f>Tabela1[[#This Row],[Média]]-Tabela1[[#This Row],[Meta]]</f>
        <v>6.2000000000000455</v>
      </c>
      <c r="AB910" s="6" t="str">
        <f>VLOOKUP(Tabela1[[#This Row],[SKU]],SKU!A:B,2,0)</f>
        <v>FILE PEITO MET CG BDJ SE</v>
      </c>
      <c r="AC910" s="6" t="str">
        <f>VLOOKUP(Tabela1[[#This Row],[SKU]],SKU!A:C,3,0)</f>
        <v>PEITO</v>
      </c>
    </row>
    <row r="911" spans="1:29" x14ac:dyDescent="0.3">
      <c r="A911" s="2">
        <f>INT(Tabela1[[#This Row],[Data e Hora2]])</f>
        <v>46281</v>
      </c>
      <c r="B911" s="6" t="str">
        <f>UPPER(TEXT(Tabela1[[#This Row],[Data Corrigida]],"MMM"))</f>
        <v>SET</v>
      </c>
      <c r="C911" t="s">
        <v>2055</v>
      </c>
      <c r="D911" s="2" t="s">
        <v>2056</v>
      </c>
      <c r="E911" s="1" t="s">
        <v>2057</v>
      </c>
      <c r="F911" t="s">
        <v>24</v>
      </c>
      <c r="G911" s="2" t="s">
        <v>2006</v>
      </c>
      <c r="H911" t="s">
        <v>142</v>
      </c>
      <c r="I911" t="s">
        <v>143</v>
      </c>
      <c r="J911" s="6">
        <v>197734</v>
      </c>
      <c r="K911" s="16">
        <v>1022</v>
      </c>
      <c r="L911" s="16">
        <v>1003</v>
      </c>
      <c r="M911" s="16">
        <v>1039</v>
      </c>
      <c r="N911" s="16">
        <v>1006</v>
      </c>
      <c r="O911" s="16">
        <v>1015</v>
      </c>
      <c r="P911" s="16">
        <v>1006</v>
      </c>
      <c r="Q911" s="16">
        <v>1011</v>
      </c>
      <c r="R911" s="16">
        <v>1007</v>
      </c>
      <c r="S911" s="16">
        <v>1009</v>
      </c>
      <c r="T911" s="16">
        <v>1011</v>
      </c>
      <c r="U911" s="15">
        <v>1012.9</v>
      </c>
      <c r="V911" t="s">
        <v>19</v>
      </c>
      <c r="W911" t="s">
        <v>28</v>
      </c>
      <c r="X911">
        <v>127</v>
      </c>
      <c r="Y911" s="16">
        <f>VLOOKUP(Tabela1[[#This Row],[SKU]],SKU!A:D,4,0)</f>
        <v>1000</v>
      </c>
      <c r="Z911" s="18">
        <f>IFERROR((Tabela1[[#This Row],[Média]]-Tabela1[[#This Row],[Meta]])/Tabela1[[#This Row],[Meta]],"")</f>
        <v>1.2899999999999977E-2</v>
      </c>
      <c r="AA911" s="29">
        <f>Tabela1[[#This Row],[Média]]-Tabela1[[#This Row],[Meta]]</f>
        <v>12.899999999999977</v>
      </c>
      <c r="AB911" s="6" t="str">
        <f>VLOOKUP(Tabela1[[#This Row],[SKU]],SKU!A:B,2,0)</f>
        <v>FILEZINHO FRANGO IQF ALM SE</v>
      </c>
      <c r="AC911" s="6" t="str">
        <f>VLOOKUP(Tabela1[[#This Row],[SKU]],SKU!A:C,3,0)</f>
        <v>SASSAMI</v>
      </c>
    </row>
    <row r="912" spans="1:29" x14ac:dyDescent="0.3">
      <c r="A912" s="2">
        <f>INT(Tabela1[[#This Row],[Data e Hora2]])</f>
        <v>46281</v>
      </c>
      <c r="B912" s="6" t="str">
        <f>UPPER(TEXT(Tabela1[[#This Row],[Data Corrigida]],"MMM"))</f>
        <v>SET</v>
      </c>
      <c r="C912" t="s">
        <v>2058</v>
      </c>
      <c r="D912" s="2" t="s">
        <v>2059</v>
      </c>
      <c r="E912" s="1" t="s">
        <v>2057</v>
      </c>
      <c r="F912" t="s">
        <v>24</v>
      </c>
      <c r="G912" s="2" t="s">
        <v>2006</v>
      </c>
      <c r="H912" t="s">
        <v>142</v>
      </c>
      <c r="I912" t="s">
        <v>143</v>
      </c>
      <c r="J912" s="6">
        <v>15105</v>
      </c>
      <c r="K912" s="16">
        <v>996</v>
      </c>
      <c r="L912" s="16">
        <v>1017</v>
      </c>
      <c r="M912" s="16">
        <v>1021</v>
      </c>
      <c r="N912" s="16">
        <v>1025</v>
      </c>
      <c r="O912" s="16">
        <v>1018</v>
      </c>
      <c r="P912" s="16">
        <v>1023</v>
      </c>
      <c r="Q912" s="16">
        <v>1023</v>
      </c>
      <c r="R912" s="16">
        <v>982</v>
      </c>
      <c r="S912" s="16">
        <v>1018</v>
      </c>
      <c r="T912" s="16">
        <v>1023</v>
      </c>
      <c r="U912" s="15">
        <v>1014.6</v>
      </c>
      <c r="V912" t="s">
        <v>19</v>
      </c>
      <c r="W912" t="s">
        <v>28</v>
      </c>
      <c r="X912">
        <v>194</v>
      </c>
      <c r="Y912" s="16">
        <f>VLOOKUP(Tabela1[[#This Row],[SKU]],SKU!A:D,4,0)</f>
        <v>1000</v>
      </c>
      <c r="Z912" s="18">
        <f>IFERROR((Tabela1[[#This Row],[Média]]-Tabela1[[#This Row],[Meta]])/Tabela1[[#This Row],[Meta]],"")</f>
        <v>1.4600000000000023E-2</v>
      </c>
      <c r="AA912" s="29">
        <f>Tabela1[[#This Row],[Média]]-Tabela1[[#This Row],[Meta]]</f>
        <v>14.600000000000023</v>
      </c>
      <c r="AB912" s="6" t="str">
        <f>VLOOKUP(Tabela1[[#This Row],[SKU]],SKU!A:B,2,0)</f>
        <v>FILE PEITO MET CG BDJ SE</v>
      </c>
      <c r="AC912" s="6" t="str">
        <f>VLOOKUP(Tabela1[[#This Row],[SKU]],SKU!A:C,3,0)</f>
        <v>PEITO</v>
      </c>
    </row>
    <row r="913" spans="1:29" x14ac:dyDescent="0.3">
      <c r="A913" s="2">
        <f>INT(Tabela1[[#This Row],[Data e Hora2]])</f>
        <v>46281</v>
      </c>
      <c r="B913" s="6" t="str">
        <f>UPPER(TEXT(Tabela1[[#This Row],[Data Corrigida]],"MMM"))</f>
        <v>SET</v>
      </c>
      <c r="C913" t="s">
        <v>2060</v>
      </c>
      <c r="D913" s="2" t="s">
        <v>2061</v>
      </c>
      <c r="E913" s="1" t="s">
        <v>2057</v>
      </c>
      <c r="F913" t="s">
        <v>24</v>
      </c>
      <c r="G913" s="2" t="s">
        <v>2006</v>
      </c>
      <c r="H913" t="s">
        <v>142</v>
      </c>
      <c r="I913" t="s">
        <v>143</v>
      </c>
      <c r="J913" s="6">
        <v>864048</v>
      </c>
      <c r="K913" s="16">
        <v>2045</v>
      </c>
      <c r="L913" s="16">
        <v>2040</v>
      </c>
      <c r="M913" s="16">
        <v>1990</v>
      </c>
      <c r="N913" s="16">
        <v>2041</v>
      </c>
      <c r="O913" s="16">
        <v>1991</v>
      </c>
      <c r="P913" s="16">
        <v>2029</v>
      </c>
      <c r="Q913" s="16">
        <v>2049</v>
      </c>
      <c r="R913" s="16">
        <v>1981</v>
      </c>
      <c r="S913" s="16">
        <v>1979</v>
      </c>
      <c r="T913" s="16">
        <v>2018</v>
      </c>
      <c r="U913" s="15">
        <v>2016.3</v>
      </c>
      <c r="V913" t="s">
        <v>19</v>
      </c>
      <c r="W913" t="s">
        <v>28</v>
      </c>
      <c r="X913">
        <v>370</v>
      </c>
      <c r="Y913" s="16">
        <f>VLOOKUP(Tabela1[[#This Row],[SKU]],SKU!A:D,4,0)</f>
        <v>2000</v>
      </c>
      <c r="Z913" s="18">
        <f>IFERROR((Tabela1[[#This Row],[Média]]-Tabela1[[#This Row],[Meta]])/Tabela1[[#This Row],[Meta]],"")</f>
        <v>8.1499999999999767E-3</v>
      </c>
      <c r="AA913" s="29">
        <f>Tabela1[[#This Row],[Média]]-Tabela1[[#This Row],[Meta]]</f>
        <v>16.299999999999955</v>
      </c>
      <c r="AB913" s="6" t="str">
        <f>VLOOKUP(Tabela1[[#This Row],[SKU]],SKU!A:B,2,0)</f>
        <v>COXA SBCX S/O 200g FG UP PB</v>
      </c>
      <c r="AC913" s="6" t="str">
        <f>VLOOKUP(Tabela1[[#This Row],[SKU]],SKU!A:C,3,0)</f>
        <v>PERNA</v>
      </c>
    </row>
    <row r="914" spans="1:29" x14ac:dyDescent="0.3">
      <c r="A914" s="2">
        <f>INT(Tabela1[[#This Row],[Data e Hora2]])</f>
        <v>46287</v>
      </c>
      <c r="B914" s="6" t="str">
        <f>UPPER(TEXT(Tabela1[[#This Row],[Data Corrigida]],"MMM"))</f>
        <v>SET</v>
      </c>
      <c r="C914" s="26" t="s">
        <v>2218</v>
      </c>
      <c r="D914" s="2" t="s">
        <v>2219</v>
      </c>
      <c r="E914" s="1" t="s">
        <v>2220</v>
      </c>
      <c r="F914" t="s">
        <v>24</v>
      </c>
      <c r="G914" s="2" t="s">
        <v>2221</v>
      </c>
      <c r="H914" t="s">
        <v>142</v>
      </c>
      <c r="I914" t="s">
        <v>462</v>
      </c>
      <c r="J914" s="6">
        <v>209069</v>
      </c>
      <c r="K914" s="16">
        <v>1117</v>
      </c>
      <c r="L914" s="16">
        <v>1022</v>
      </c>
      <c r="M914" s="16">
        <v>1000</v>
      </c>
      <c r="N914" s="16">
        <v>1008</v>
      </c>
      <c r="O914" s="16">
        <v>1122</v>
      </c>
      <c r="P914" s="16">
        <v>1001</v>
      </c>
      <c r="Q914" s="16">
        <v>1005</v>
      </c>
      <c r="R914" s="16">
        <v>1106</v>
      </c>
      <c r="S914" s="16">
        <v>1003</v>
      </c>
      <c r="T914" s="16">
        <v>1033</v>
      </c>
      <c r="U914" s="15">
        <v>1041.7</v>
      </c>
      <c r="V914" t="s">
        <v>19</v>
      </c>
      <c r="W914" t="s">
        <v>28</v>
      </c>
      <c r="X914">
        <v>173</v>
      </c>
      <c r="Y914" s="16">
        <f>VLOOKUP(Tabela1[[#This Row],[SKU]],SKU!A:D,4,0)</f>
        <v>1000</v>
      </c>
      <c r="Z914" s="18">
        <f>IFERROR((Tabela1[[#This Row],[Média]]-Tabela1[[#This Row],[Meta]])/Tabela1[[#This Row],[Meta]],"")</f>
        <v>4.1700000000000043E-2</v>
      </c>
      <c r="AA914" s="29">
        <f>Tabela1[[#This Row],[Média]]-Tabela1[[#This Row],[Meta]]</f>
        <v>41.700000000000045</v>
      </c>
      <c r="AB914" s="6" t="str">
        <f>VLOOKUP(Tabela1[[#This Row],[SKU]],SKU!A:B,2,0)</f>
        <v>FILE PEITO CG IQF1KG</v>
      </c>
      <c r="AC914" s="6" t="str">
        <f>VLOOKUP(Tabela1[[#This Row],[SKU]],SKU!A:C,3,0)</f>
        <v>PEITO</v>
      </c>
    </row>
    <row r="915" spans="1:29" x14ac:dyDescent="0.3">
      <c r="A915" s="2">
        <f>INT(Tabela1[[#This Row],[Data e Hora2]])</f>
        <v>46287</v>
      </c>
      <c r="B915" s="6" t="str">
        <f>UPPER(TEXT(Tabela1[[#This Row],[Data Corrigida]],"MMM"))</f>
        <v>SET</v>
      </c>
      <c r="C915" t="s">
        <v>2222</v>
      </c>
      <c r="D915" s="2" t="s">
        <v>2223</v>
      </c>
      <c r="E915" s="1" t="s">
        <v>2224</v>
      </c>
      <c r="F915" t="s">
        <v>24</v>
      </c>
      <c r="G915" s="2" t="s">
        <v>2221</v>
      </c>
      <c r="H915" t="s">
        <v>142</v>
      </c>
      <c r="I915" t="s">
        <v>462</v>
      </c>
      <c r="J915" s="6">
        <v>15105</v>
      </c>
      <c r="K915" s="16">
        <v>955</v>
      </c>
      <c r="L915" s="16">
        <v>1009</v>
      </c>
      <c r="M915" s="16">
        <v>994</v>
      </c>
      <c r="N915" s="16">
        <v>931</v>
      </c>
      <c r="O915" s="16">
        <v>987</v>
      </c>
      <c r="P915" s="16">
        <v>1013</v>
      </c>
      <c r="Q915" s="16">
        <v>1018</v>
      </c>
      <c r="R915" s="16">
        <v>1183</v>
      </c>
      <c r="S915" s="16">
        <v>1002</v>
      </c>
      <c r="T915" s="16">
        <v>1024</v>
      </c>
      <c r="U915" s="15">
        <v>1011.6</v>
      </c>
      <c r="V915" t="s">
        <v>19</v>
      </c>
      <c r="W915" t="s">
        <v>28</v>
      </c>
      <c r="X915">
        <v>273</v>
      </c>
      <c r="Y915" s="16">
        <f>VLOOKUP(Tabela1[[#This Row],[SKU]],SKU!A:D,4,0)</f>
        <v>1000</v>
      </c>
      <c r="Z915" s="18">
        <f>IFERROR((Tabela1[[#This Row],[Média]]-Tabela1[[#This Row],[Meta]])/Tabela1[[#This Row],[Meta]],"")</f>
        <v>1.1600000000000023E-2</v>
      </c>
      <c r="AA915" s="29">
        <f>Tabela1[[#This Row],[Média]]-Tabela1[[#This Row],[Meta]]</f>
        <v>11.600000000000023</v>
      </c>
      <c r="AB915" s="6" t="str">
        <f>VLOOKUP(Tabela1[[#This Row],[SKU]],SKU!A:B,2,0)</f>
        <v>FILE PEITO MET CG BDJ SE</v>
      </c>
      <c r="AC915" s="6" t="str">
        <f>VLOOKUP(Tabela1[[#This Row],[SKU]],SKU!A:C,3,0)</f>
        <v>PEITO</v>
      </c>
    </row>
    <row r="916" spans="1:29" x14ac:dyDescent="0.3">
      <c r="A916" s="2">
        <f>INT(Tabela1[[#This Row],[Data e Hora2]])</f>
        <v>46286</v>
      </c>
      <c r="B916" s="6" t="str">
        <f>UPPER(TEXT(Tabela1[[#This Row],[Data Corrigida]],"MMM"))</f>
        <v>SET</v>
      </c>
      <c r="C916" t="s">
        <v>2225</v>
      </c>
      <c r="D916" s="2" t="s">
        <v>2226</v>
      </c>
      <c r="E916" s="1" t="s">
        <v>2227</v>
      </c>
      <c r="F916" t="s">
        <v>24</v>
      </c>
      <c r="G916" s="2" t="s">
        <v>2228</v>
      </c>
      <c r="H916" t="s">
        <v>26</v>
      </c>
      <c r="I916" t="s">
        <v>27</v>
      </c>
      <c r="J916" s="6">
        <v>197734</v>
      </c>
      <c r="K916" s="16">
        <v>1010</v>
      </c>
      <c r="L916" s="16">
        <v>1008</v>
      </c>
      <c r="M916" s="16">
        <v>1003</v>
      </c>
      <c r="N916" s="16">
        <v>1025</v>
      </c>
      <c r="O916" s="16">
        <v>1034</v>
      </c>
      <c r="P916" s="16">
        <v>1006</v>
      </c>
      <c r="Q916" s="16">
        <v>1014</v>
      </c>
      <c r="R916" s="16">
        <v>978</v>
      </c>
      <c r="S916" s="16">
        <v>990</v>
      </c>
      <c r="T916" s="16">
        <v>1003</v>
      </c>
      <c r="U916" s="15">
        <v>1007.1</v>
      </c>
      <c r="V916" t="s">
        <v>19</v>
      </c>
      <c r="W916" t="s">
        <v>28</v>
      </c>
      <c r="X916">
        <v>262</v>
      </c>
      <c r="Y916" s="16">
        <f>VLOOKUP(Tabela1[[#This Row],[SKU]],SKU!A:D,4,0)</f>
        <v>1000</v>
      </c>
      <c r="Z916" s="18">
        <f>IFERROR((Tabela1[[#This Row],[Média]]-Tabela1[[#This Row],[Meta]])/Tabela1[[#This Row],[Meta]],"")</f>
        <v>7.100000000000023E-3</v>
      </c>
      <c r="AA916" s="29">
        <f>Tabela1[[#This Row],[Média]]-Tabela1[[#This Row],[Meta]]</f>
        <v>7.1000000000000227</v>
      </c>
      <c r="AB916" s="6" t="str">
        <f>VLOOKUP(Tabela1[[#This Row],[SKU]],SKU!A:B,2,0)</f>
        <v>FILEZINHO FRANGO IQF ALM SE</v>
      </c>
      <c r="AC916" s="6" t="str">
        <f>VLOOKUP(Tabela1[[#This Row],[SKU]],SKU!A:C,3,0)</f>
        <v>SASSAMI</v>
      </c>
    </row>
    <row r="917" spans="1:29" x14ac:dyDescent="0.3">
      <c r="A917" s="2">
        <f>INT(Tabela1[[#This Row],[Data e Hora2]])</f>
        <v>46286</v>
      </c>
      <c r="B917" s="6" t="str">
        <f>UPPER(TEXT(Tabela1[[#This Row],[Data Corrigida]],"MMM"))</f>
        <v>SET</v>
      </c>
      <c r="C917" t="s">
        <v>2229</v>
      </c>
      <c r="D917" s="2" t="s">
        <v>2230</v>
      </c>
      <c r="E917" s="1" t="s">
        <v>2227</v>
      </c>
      <c r="F917" t="s">
        <v>24</v>
      </c>
      <c r="G917" s="2" t="s">
        <v>2228</v>
      </c>
      <c r="H917" t="s">
        <v>26</v>
      </c>
      <c r="I917" t="s">
        <v>27</v>
      </c>
      <c r="J917" s="6">
        <v>40762</v>
      </c>
      <c r="K917" s="16">
        <v>9970</v>
      </c>
      <c r="L917" s="16">
        <v>9960</v>
      </c>
      <c r="M917" s="16">
        <v>9965</v>
      </c>
      <c r="N917" s="16">
        <v>10000</v>
      </c>
      <c r="O917" s="16">
        <v>10010</v>
      </c>
      <c r="P917" s="16">
        <v>10020</v>
      </c>
      <c r="Q917" s="16">
        <v>9995</v>
      </c>
      <c r="R917" s="16">
        <v>9985</v>
      </c>
      <c r="S917" s="16">
        <v>9975</v>
      </c>
      <c r="T917" s="16">
        <v>10005</v>
      </c>
      <c r="U917" s="15">
        <v>9988.5</v>
      </c>
      <c r="V917" t="s">
        <v>19</v>
      </c>
      <c r="W917" t="s">
        <v>28</v>
      </c>
      <c r="X917">
        <v>2830</v>
      </c>
      <c r="Y917" s="16">
        <f>VLOOKUP(Tabela1[[#This Row],[SKU]],SKU!A:D,4,0)</f>
        <v>10000</v>
      </c>
      <c r="Z917" s="18">
        <f>IFERROR((Tabela1[[#This Row],[Média]]-Tabela1[[#This Row],[Meta]])/Tabela1[[#This Row],[Meta]],"")</f>
        <v>-1.15E-3</v>
      </c>
      <c r="AA917" s="29">
        <f>Tabela1[[#This Row],[Média]]-Tabela1[[#This Row],[Meta]]</f>
        <v>-11.5</v>
      </c>
      <c r="AB917" s="6" t="str">
        <f>VLOOKUP(Tabela1[[#This Row],[SKU]],SKU!A:B,2,0)</f>
        <v>COXA SBCX LQ FG LP</v>
      </c>
      <c r="AC917" s="6" t="str">
        <f>VLOOKUP(Tabela1[[#This Row],[SKU]],SKU!A:C,3,0)</f>
        <v>PERNA</v>
      </c>
    </row>
    <row r="918" spans="1:29" x14ac:dyDescent="0.3">
      <c r="A918" s="2">
        <f>INT(Tabela1[[#This Row],[Data e Hora2]])</f>
        <v>46286</v>
      </c>
      <c r="B918" s="6" t="str">
        <f>UPPER(TEXT(Tabela1[[#This Row],[Data Corrigida]],"MMM"))</f>
        <v>SET</v>
      </c>
      <c r="C918" t="s">
        <v>2231</v>
      </c>
      <c r="D918" s="2" t="s">
        <v>2232</v>
      </c>
      <c r="E918" s="1" t="s">
        <v>2233</v>
      </c>
      <c r="F918" t="s">
        <v>24</v>
      </c>
      <c r="G918" s="2" t="s">
        <v>2228</v>
      </c>
      <c r="H918" t="s">
        <v>26</v>
      </c>
      <c r="I918" t="s">
        <v>27</v>
      </c>
      <c r="J918" s="6">
        <v>209069</v>
      </c>
      <c r="K918" s="16">
        <v>1072</v>
      </c>
      <c r="L918" s="16">
        <v>998</v>
      </c>
      <c r="M918" s="16">
        <v>1085</v>
      </c>
      <c r="N918" s="16">
        <v>1029</v>
      </c>
      <c r="O918" s="16">
        <v>1000</v>
      </c>
      <c r="P918" s="16">
        <v>1010</v>
      </c>
      <c r="Q918" s="16">
        <v>1041</v>
      </c>
      <c r="R918" s="16">
        <v>1035</v>
      </c>
      <c r="S918" s="16">
        <v>997</v>
      </c>
      <c r="T918" s="16">
        <v>1005</v>
      </c>
      <c r="U918" s="15">
        <v>1027.2</v>
      </c>
      <c r="V918" t="s">
        <v>19</v>
      </c>
      <c r="W918" t="s">
        <v>28</v>
      </c>
      <c r="X918">
        <v>334</v>
      </c>
      <c r="Y918" s="16">
        <f>VLOOKUP(Tabela1[[#This Row],[SKU]],SKU!A:D,4,0)</f>
        <v>1000</v>
      </c>
      <c r="Z918" s="18">
        <f>IFERROR((Tabela1[[#This Row],[Média]]-Tabela1[[#This Row],[Meta]])/Tabela1[[#This Row],[Meta]],"")</f>
        <v>2.7200000000000047E-2</v>
      </c>
      <c r="AA918" s="29">
        <f>Tabela1[[#This Row],[Média]]-Tabela1[[#This Row],[Meta]]</f>
        <v>27.200000000000045</v>
      </c>
      <c r="AB918" s="6" t="str">
        <f>VLOOKUP(Tabela1[[#This Row],[SKU]],SKU!A:B,2,0)</f>
        <v>FILE PEITO CG IQF1KG</v>
      </c>
      <c r="AC918" s="6" t="str">
        <f>VLOOKUP(Tabela1[[#This Row],[SKU]],SKU!A:C,3,0)</f>
        <v>PEITO</v>
      </c>
    </row>
    <row r="919" spans="1:29" x14ac:dyDescent="0.3">
      <c r="A919" s="2">
        <f>INT(Tabela1[[#This Row],[Data e Hora2]])</f>
        <v>46286</v>
      </c>
      <c r="B919" s="6" t="str">
        <f>UPPER(TEXT(Tabela1[[#This Row],[Data Corrigida]],"MMM"))</f>
        <v>SET</v>
      </c>
      <c r="C919" t="s">
        <v>2234</v>
      </c>
      <c r="D919" s="2" t="s">
        <v>2235</v>
      </c>
      <c r="E919" s="1" t="s">
        <v>2233</v>
      </c>
      <c r="F919" t="s">
        <v>24</v>
      </c>
      <c r="G919" s="2" t="s">
        <v>2228</v>
      </c>
      <c r="H919" t="s">
        <v>26</v>
      </c>
      <c r="I919" t="s">
        <v>27</v>
      </c>
      <c r="J919" s="6">
        <v>40762</v>
      </c>
      <c r="K919" s="16">
        <v>9980</v>
      </c>
      <c r="L919" s="16">
        <v>10025</v>
      </c>
      <c r="M919" s="16">
        <v>9985</v>
      </c>
      <c r="N919" s="16">
        <v>9945</v>
      </c>
      <c r="O919" s="16">
        <v>9980</v>
      </c>
      <c r="P919" s="16">
        <v>10025</v>
      </c>
      <c r="Q919" s="16">
        <v>9965</v>
      </c>
      <c r="R919" s="16">
        <v>10025</v>
      </c>
      <c r="S919" s="16">
        <v>10000</v>
      </c>
      <c r="T919" s="16">
        <v>9965</v>
      </c>
      <c r="U919" s="15">
        <v>9989.5</v>
      </c>
      <c r="V919" t="s">
        <v>19</v>
      </c>
      <c r="W919" t="s">
        <v>28</v>
      </c>
      <c r="X919">
        <v>404</v>
      </c>
      <c r="Y919" s="16">
        <f>VLOOKUP(Tabela1[[#This Row],[SKU]],SKU!A:D,4,0)</f>
        <v>10000</v>
      </c>
      <c r="Z919" s="18">
        <f>IFERROR((Tabela1[[#This Row],[Média]]-Tabela1[[#This Row],[Meta]])/Tabela1[[#This Row],[Meta]],"")</f>
        <v>-1.0499999999999999E-3</v>
      </c>
      <c r="AA919" s="29">
        <f>Tabela1[[#This Row],[Média]]-Tabela1[[#This Row],[Meta]]</f>
        <v>-10.5</v>
      </c>
      <c r="AB919" s="6" t="str">
        <f>VLOOKUP(Tabela1[[#This Row],[SKU]],SKU!A:B,2,0)</f>
        <v>COXA SBCX LQ FG LP</v>
      </c>
      <c r="AC919" s="6" t="str">
        <f>VLOOKUP(Tabela1[[#This Row],[SKU]],SKU!A:C,3,0)</f>
        <v>PERNA</v>
      </c>
    </row>
    <row r="920" spans="1:29" x14ac:dyDescent="0.3">
      <c r="A920" s="2">
        <f>INT(Tabela1[[#This Row],[Data e Hora2]])</f>
        <v>46286</v>
      </c>
      <c r="B920" s="6" t="str">
        <f>UPPER(TEXT(Tabela1[[#This Row],[Data Corrigida]],"MMM"))</f>
        <v>SET</v>
      </c>
      <c r="C920" t="s">
        <v>2236</v>
      </c>
      <c r="D920" s="2" t="s">
        <v>2237</v>
      </c>
      <c r="E920" s="1" t="s">
        <v>2233</v>
      </c>
      <c r="F920" t="s">
        <v>24</v>
      </c>
      <c r="G920" s="2" t="s">
        <v>2228</v>
      </c>
      <c r="H920" t="s">
        <v>26</v>
      </c>
      <c r="I920" t="s">
        <v>27</v>
      </c>
      <c r="J920" s="6">
        <v>42811</v>
      </c>
      <c r="K920" s="16">
        <v>2035</v>
      </c>
      <c r="L920" s="16">
        <v>2071</v>
      </c>
      <c r="M920" s="16">
        <v>2038</v>
      </c>
      <c r="N920" s="16">
        <v>2009</v>
      </c>
      <c r="O920" s="16">
        <v>2067</v>
      </c>
      <c r="P920" s="16">
        <v>2034</v>
      </c>
      <c r="Q920" s="16">
        <v>2011</v>
      </c>
      <c r="R920" s="16">
        <v>2004</v>
      </c>
      <c r="S920" s="16">
        <v>2012</v>
      </c>
      <c r="T920" s="16">
        <v>2000</v>
      </c>
      <c r="U920" s="15">
        <v>2028.1</v>
      </c>
      <c r="V920" t="s">
        <v>19</v>
      </c>
      <c r="W920" t="s">
        <v>28</v>
      </c>
      <c r="X920">
        <v>11863</v>
      </c>
      <c r="Y920" s="16">
        <f>VLOOKUP(Tabela1[[#This Row],[SKU]],SKU!A:D,4,0)</f>
        <v>2000</v>
      </c>
      <c r="Z920" s="18">
        <f>IFERROR((Tabela1[[#This Row],[Média]]-Tabela1[[#This Row],[Meta]])/Tabela1[[#This Row],[Meta]],"")</f>
        <v>1.4049999999999955E-2</v>
      </c>
      <c r="AA920" s="29">
        <f>Tabela1[[#This Row],[Média]]-Tabela1[[#This Row],[Meta]]</f>
        <v>28.099999999999909</v>
      </c>
      <c r="AB920" s="6" t="str">
        <f>VLOOKUP(Tabela1[[#This Row],[SKU]],SKU!A:B,2,0)</f>
        <v>COXA SBCX S/O FG 180-200g PB</v>
      </c>
      <c r="AC920" s="6" t="str">
        <f>VLOOKUP(Tabela1[[#This Row],[SKU]],SKU!A:C,3,0)</f>
        <v>PERNA</v>
      </c>
    </row>
    <row r="921" spans="1:29" x14ac:dyDescent="0.3">
      <c r="A921" s="2">
        <f>INT(Tabela1[[#This Row],[Data e Hora2]])</f>
        <v>46286</v>
      </c>
      <c r="B921" s="6" t="str">
        <f>UPPER(TEXT(Tabela1[[#This Row],[Data Corrigida]],"MMM"))</f>
        <v>SET</v>
      </c>
      <c r="C921" t="s">
        <v>2238</v>
      </c>
      <c r="D921" s="2" t="s">
        <v>2239</v>
      </c>
      <c r="E921" s="1" t="s">
        <v>2233</v>
      </c>
      <c r="F921" t="s">
        <v>24</v>
      </c>
      <c r="G921" s="2" t="s">
        <v>2228</v>
      </c>
      <c r="H921" t="s">
        <v>26</v>
      </c>
      <c r="I921" t="s">
        <v>27</v>
      </c>
      <c r="J921" s="6">
        <v>42820</v>
      </c>
      <c r="K921" s="16">
        <v>2035</v>
      </c>
      <c r="L921" s="16">
        <v>2067</v>
      </c>
      <c r="M921" s="16">
        <v>2013</v>
      </c>
      <c r="N921" s="16">
        <v>2070</v>
      </c>
      <c r="O921" s="16">
        <v>2028</v>
      </c>
      <c r="P921" s="16">
        <v>2006</v>
      </c>
      <c r="Q921" s="16">
        <v>2018</v>
      </c>
      <c r="R921" s="16">
        <v>2060</v>
      </c>
      <c r="S921" s="16">
        <v>2065</v>
      </c>
      <c r="T921" s="16">
        <v>2008</v>
      </c>
      <c r="U921" s="15">
        <v>2037</v>
      </c>
      <c r="V921" t="s">
        <v>19</v>
      </c>
      <c r="W921" t="s">
        <v>28</v>
      </c>
      <c r="X921">
        <v>12887</v>
      </c>
      <c r="Y921" s="16">
        <f>VLOOKUP(Tabela1[[#This Row],[SKU]],SKU!A:D,4,0)</f>
        <v>2000</v>
      </c>
      <c r="Z921" s="18">
        <f>IFERROR((Tabela1[[#This Row],[Média]]-Tabela1[[#This Row],[Meta]])/Tabela1[[#This Row],[Meta]],"")</f>
        <v>1.8499999999999999E-2</v>
      </c>
      <c r="AA921" s="29">
        <f>Tabela1[[#This Row],[Média]]-Tabela1[[#This Row],[Meta]]</f>
        <v>37</v>
      </c>
      <c r="AB921" s="6" t="str">
        <f>VLOOKUP(Tabela1[[#This Row],[SKU]],SKU!A:B,2,0)</f>
        <v>COXA SBCX S/O FG 200-220g PB</v>
      </c>
      <c r="AC921" s="6" t="str">
        <f>VLOOKUP(Tabela1[[#This Row],[SKU]],SKU!A:C,3,0)</f>
        <v>PERNA</v>
      </c>
    </row>
    <row r="922" spans="1:29" x14ac:dyDescent="0.3">
      <c r="A922" s="2">
        <f>INT(Tabela1[[#This Row],[Data e Hora2]])</f>
        <v>46286</v>
      </c>
      <c r="B922" s="6" t="str">
        <f>UPPER(TEXT(Tabela1[[#This Row],[Data Corrigida]],"MMM"))</f>
        <v>SET</v>
      </c>
      <c r="C922" t="s">
        <v>2240</v>
      </c>
      <c r="D922" s="2" t="s">
        <v>2241</v>
      </c>
      <c r="E922" s="1" t="s">
        <v>2233</v>
      </c>
      <c r="F922" t="s">
        <v>24</v>
      </c>
      <c r="G922" s="2" t="s">
        <v>2228</v>
      </c>
      <c r="H922" t="s">
        <v>26</v>
      </c>
      <c r="I922" t="s">
        <v>27</v>
      </c>
      <c r="J922" s="6">
        <v>42838</v>
      </c>
      <c r="K922" s="16">
        <v>2000</v>
      </c>
      <c r="L922" s="16">
        <v>2040</v>
      </c>
      <c r="M922" s="16">
        <v>2037</v>
      </c>
      <c r="N922" s="16">
        <v>2033</v>
      </c>
      <c r="O922" s="16">
        <v>2026</v>
      </c>
      <c r="P922" s="16">
        <v>2016</v>
      </c>
      <c r="Q922" s="16">
        <v>2039</v>
      </c>
      <c r="R922" s="16">
        <v>2030</v>
      </c>
      <c r="S922" s="16">
        <v>2007</v>
      </c>
      <c r="T922" s="16">
        <v>2016</v>
      </c>
      <c r="U922" s="15">
        <v>2024.4</v>
      </c>
      <c r="V922" t="s">
        <v>19</v>
      </c>
      <c r="W922" t="s">
        <v>28</v>
      </c>
      <c r="X922">
        <v>5598</v>
      </c>
      <c r="Y922" s="16">
        <f>VLOOKUP(Tabela1[[#This Row],[SKU]],SKU!A:D,4,0)</f>
        <v>2000</v>
      </c>
      <c r="Z922" s="18">
        <f>IFERROR((Tabela1[[#This Row],[Média]]-Tabela1[[#This Row],[Meta]])/Tabela1[[#This Row],[Meta]],"")</f>
        <v>1.2200000000000046E-2</v>
      </c>
      <c r="AA922" s="29">
        <f>Tabela1[[#This Row],[Média]]-Tabela1[[#This Row],[Meta]]</f>
        <v>24.400000000000091</v>
      </c>
      <c r="AB922" s="6" t="str">
        <f>VLOOKUP(Tabela1[[#This Row],[SKU]],SKU!A:B,2,0)</f>
        <v>COXA SBCX S/O FG 220-240g PB</v>
      </c>
      <c r="AC922" s="6" t="str">
        <f>VLOOKUP(Tabela1[[#This Row],[SKU]],SKU!A:C,3,0)</f>
        <v>PERNA</v>
      </c>
    </row>
    <row r="923" spans="1:29" x14ac:dyDescent="0.3">
      <c r="A923" s="2">
        <f>INT(Tabela1[[#This Row],[Data e Hora2]])</f>
        <v>46286</v>
      </c>
      <c r="B923" s="6" t="str">
        <f>UPPER(TEXT(Tabela1[[#This Row],[Data Corrigida]],"MMM"))</f>
        <v>SET</v>
      </c>
      <c r="C923" t="s">
        <v>2242</v>
      </c>
      <c r="D923" s="2" t="s">
        <v>2243</v>
      </c>
      <c r="E923" s="1" t="s">
        <v>2233</v>
      </c>
      <c r="F923" t="s">
        <v>24</v>
      </c>
      <c r="G923" s="2" t="s">
        <v>2228</v>
      </c>
      <c r="H923" t="s">
        <v>26</v>
      </c>
      <c r="I923" t="s">
        <v>27</v>
      </c>
      <c r="J923" s="6">
        <v>42846</v>
      </c>
      <c r="K923" s="16">
        <v>1999</v>
      </c>
      <c r="L923" s="16">
        <v>2003</v>
      </c>
      <c r="M923" s="16">
        <v>2013</v>
      </c>
      <c r="N923" s="16">
        <v>2007</v>
      </c>
      <c r="O923" s="16">
        <v>2001</v>
      </c>
      <c r="P923" s="16">
        <v>2006</v>
      </c>
      <c r="Q923" s="16">
        <v>2026</v>
      </c>
      <c r="R923" s="16">
        <v>2001</v>
      </c>
      <c r="S923" s="16">
        <v>2005</v>
      </c>
      <c r="T923" s="16">
        <v>2008</v>
      </c>
      <c r="U923" s="15">
        <v>2006.9</v>
      </c>
      <c r="V923" t="s">
        <v>19</v>
      </c>
      <c r="W923" t="s">
        <v>28</v>
      </c>
      <c r="X923">
        <v>4010</v>
      </c>
      <c r="Y923" s="16">
        <f>VLOOKUP(Tabela1[[#This Row],[SKU]],SKU!A:D,4,0)</f>
        <v>2000</v>
      </c>
      <c r="Z923" s="18">
        <f>IFERROR((Tabela1[[#This Row],[Média]]-Tabela1[[#This Row],[Meta]])/Tabela1[[#This Row],[Meta]],"")</f>
        <v>3.4500000000000455E-3</v>
      </c>
      <c r="AA923" s="29">
        <f>Tabela1[[#This Row],[Média]]-Tabela1[[#This Row],[Meta]]</f>
        <v>6.9000000000000909</v>
      </c>
      <c r="AB923" s="6" t="str">
        <f>VLOOKUP(Tabela1[[#This Row],[SKU]],SKU!A:B,2,0)</f>
        <v>COXA SBCX S/O FG 240-260g PB</v>
      </c>
      <c r="AC923" s="6" t="str">
        <f>VLOOKUP(Tabela1[[#This Row],[SKU]],SKU!A:C,3,0)</f>
        <v>PERNA</v>
      </c>
    </row>
    <row r="924" spans="1:29" x14ac:dyDescent="0.3">
      <c r="A924" s="2">
        <f>INT(Tabela1[[#This Row],[Data e Hora2]])</f>
        <v>46286</v>
      </c>
      <c r="B924" s="6" t="str">
        <f>UPPER(TEXT(Tabela1[[#This Row],[Data Corrigida]],"MMM"))</f>
        <v>SET</v>
      </c>
      <c r="C924" t="s">
        <v>2244</v>
      </c>
      <c r="D924" s="2" t="s">
        <v>2245</v>
      </c>
      <c r="E924" s="1" t="s">
        <v>2233</v>
      </c>
      <c r="F924" t="s">
        <v>24</v>
      </c>
      <c r="G924" s="2" t="s">
        <v>2228</v>
      </c>
      <c r="H924" t="s">
        <v>26</v>
      </c>
      <c r="I924" t="s">
        <v>27</v>
      </c>
      <c r="J924" s="6">
        <v>42854</v>
      </c>
      <c r="K924" s="16">
        <v>2101</v>
      </c>
      <c r="L924" s="16">
        <v>2069</v>
      </c>
      <c r="M924" s="16">
        <v>2113</v>
      </c>
      <c r="N924" s="16">
        <v>2086</v>
      </c>
      <c r="O924" s="16">
        <v>2117</v>
      </c>
      <c r="P924" s="16">
        <v>2088</v>
      </c>
      <c r="Q924" s="16">
        <v>2071</v>
      </c>
      <c r="R924" s="16">
        <v>2083</v>
      </c>
      <c r="S924" s="16">
        <v>2117</v>
      </c>
      <c r="T924" s="16">
        <v>2116</v>
      </c>
      <c r="U924" s="15">
        <v>2096.1</v>
      </c>
      <c r="V924" t="s">
        <v>19</v>
      </c>
      <c r="W924" t="s">
        <v>28</v>
      </c>
      <c r="X924">
        <v>4173</v>
      </c>
      <c r="Y924" s="16">
        <f>VLOOKUP(Tabela1[[#This Row],[SKU]],SKU!A:D,4,0)</f>
        <v>2080</v>
      </c>
      <c r="Z924" s="18">
        <f>IFERROR((Tabela1[[#This Row],[Média]]-Tabela1[[#This Row],[Meta]])/Tabela1[[#This Row],[Meta]],"")</f>
        <v>7.7403846153845718E-3</v>
      </c>
      <c r="AA924" s="29">
        <f>Tabela1[[#This Row],[Média]]-Tabela1[[#This Row],[Meta]]</f>
        <v>16.099999999999909</v>
      </c>
      <c r="AB924" s="6" t="str">
        <f>VLOOKUP(Tabela1[[#This Row],[SKU]],SKU!A:B,2,0)</f>
        <v>COXA SBCX S/O FG 260-280g PB</v>
      </c>
      <c r="AC924" s="6" t="str">
        <f>VLOOKUP(Tabela1[[#This Row],[SKU]],SKU!A:C,3,0)</f>
        <v>PERNA</v>
      </c>
    </row>
    <row r="925" spans="1:29" x14ac:dyDescent="0.3">
      <c r="A925" s="2">
        <f>INT(Tabela1[[#This Row],[Data e Hora2]])</f>
        <v>46286</v>
      </c>
      <c r="B925" s="6" t="str">
        <f>UPPER(TEXT(Tabela1[[#This Row],[Data Corrigida]],"MMM"))</f>
        <v>SET</v>
      </c>
      <c r="C925" t="s">
        <v>2246</v>
      </c>
      <c r="D925" s="2" t="s">
        <v>2247</v>
      </c>
      <c r="E925" s="1" t="s">
        <v>2233</v>
      </c>
      <c r="F925" t="s">
        <v>24</v>
      </c>
      <c r="G925" s="2" t="s">
        <v>2228</v>
      </c>
      <c r="H925" t="s">
        <v>26</v>
      </c>
      <c r="I925" t="s">
        <v>27</v>
      </c>
      <c r="J925" s="6">
        <v>42862</v>
      </c>
      <c r="K925" s="16">
        <v>2004</v>
      </c>
      <c r="L925" s="16">
        <v>2009</v>
      </c>
      <c r="M925" s="16">
        <v>2017</v>
      </c>
      <c r="N925" s="16">
        <v>2065</v>
      </c>
      <c r="O925" s="16">
        <v>2016</v>
      </c>
      <c r="P925" s="16">
        <v>1979</v>
      </c>
      <c r="Q925" s="16">
        <v>2023</v>
      </c>
      <c r="R925" s="16">
        <v>2007</v>
      </c>
      <c r="S925" s="16">
        <v>1991</v>
      </c>
      <c r="T925" s="16">
        <v>1999</v>
      </c>
      <c r="U925" s="15">
        <v>2011</v>
      </c>
      <c r="V925" t="s">
        <v>19</v>
      </c>
      <c r="W925" t="s">
        <v>28</v>
      </c>
      <c r="X925">
        <v>3861</v>
      </c>
      <c r="Y925" s="16">
        <f>VLOOKUP(Tabela1[[#This Row],[SKU]],SKU!A:D,4,0)</f>
        <v>2000</v>
      </c>
      <c r="Z925" s="18">
        <f>IFERROR((Tabela1[[#This Row],[Média]]-Tabela1[[#This Row],[Meta]])/Tabela1[[#This Row],[Meta]],"")</f>
        <v>5.4999999999999997E-3</v>
      </c>
      <c r="AA925" s="29">
        <f>Tabela1[[#This Row],[Média]]-Tabela1[[#This Row],[Meta]]</f>
        <v>11</v>
      </c>
      <c r="AB925" s="6" t="str">
        <f>VLOOKUP(Tabela1[[#This Row],[SKU]],SKU!A:B,2,0)</f>
        <v>COXA SBCX S/O FG 280-300g PB</v>
      </c>
      <c r="AC925" s="6" t="str">
        <f>VLOOKUP(Tabela1[[#This Row],[SKU]],SKU!A:C,3,0)</f>
        <v>PERNA</v>
      </c>
    </row>
    <row r="926" spans="1:29" x14ac:dyDescent="0.3">
      <c r="A926" s="2">
        <f>INT(Tabela1[[#This Row],[Data e Hora2]])</f>
        <v>46286</v>
      </c>
      <c r="B926" s="6" t="str">
        <f>UPPER(TEXT(Tabela1[[#This Row],[Data Corrigida]],"MMM"))</f>
        <v>SET</v>
      </c>
      <c r="C926" t="s">
        <v>2248</v>
      </c>
      <c r="D926" s="2" t="s">
        <v>2249</v>
      </c>
      <c r="E926" s="1" t="s">
        <v>2233</v>
      </c>
      <c r="F926" t="s">
        <v>24</v>
      </c>
      <c r="G926" s="2" t="s">
        <v>2228</v>
      </c>
      <c r="H926" t="s">
        <v>26</v>
      </c>
      <c r="I926" t="s">
        <v>27</v>
      </c>
      <c r="J926" s="6">
        <v>15105</v>
      </c>
      <c r="K926" s="16">
        <v>985</v>
      </c>
      <c r="L926" s="16">
        <v>1028</v>
      </c>
      <c r="M926" s="16">
        <v>1006</v>
      </c>
      <c r="N926" s="16">
        <v>1002</v>
      </c>
      <c r="O926" s="16">
        <v>1056</v>
      </c>
      <c r="P926" s="16">
        <v>1008</v>
      </c>
      <c r="Q926" s="16">
        <v>996</v>
      </c>
      <c r="R926" s="16">
        <v>1021</v>
      </c>
      <c r="S926" s="16">
        <v>1025</v>
      </c>
      <c r="T926" s="16">
        <v>992</v>
      </c>
      <c r="U926" s="15">
        <v>1011.9</v>
      </c>
      <c r="V926" t="s">
        <v>19</v>
      </c>
      <c r="W926" t="s">
        <v>28</v>
      </c>
      <c r="X926">
        <v>3737</v>
      </c>
      <c r="Y926" s="16">
        <f>VLOOKUP(Tabela1[[#This Row],[SKU]],SKU!A:D,4,0)</f>
        <v>1000</v>
      </c>
      <c r="Z926" s="18">
        <f>IFERROR((Tabela1[[#This Row],[Média]]-Tabela1[[#This Row],[Meta]])/Tabela1[[#This Row],[Meta]],"")</f>
        <v>1.1899999999999977E-2</v>
      </c>
      <c r="AA926" s="29">
        <f>Tabela1[[#This Row],[Média]]-Tabela1[[#This Row],[Meta]]</f>
        <v>11.899999999999977</v>
      </c>
      <c r="AB926" s="6" t="str">
        <f>VLOOKUP(Tabela1[[#This Row],[SKU]],SKU!A:B,2,0)</f>
        <v>FILE PEITO MET CG BDJ SE</v>
      </c>
      <c r="AC926" s="6" t="str">
        <f>VLOOKUP(Tabela1[[#This Row],[SKU]],SKU!A:C,3,0)</f>
        <v>PEITO</v>
      </c>
    </row>
    <row r="927" spans="1:29" x14ac:dyDescent="0.3">
      <c r="A927" s="2">
        <f>INT(Tabela1[[#This Row],[Data e Hora2]])</f>
        <v>46286</v>
      </c>
      <c r="B927" s="6" t="str">
        <f>UPPER(TEXT(Tabela1[[#This Row],[Data Corrigida]],"MMM"))</f>
        <v>SET</v>
      </c>
      <c r="C927" t="s">
        <v>2250</v>
      </c>
      <c r="D927" s="2" t="s">
        <v>2251</v>
      </c>
      <c r="E927" s="1" t="s">
        <v>2233</v>
      </c>
      <c r="F927" t="s">
        <v>24</v>
      </c>
      <c r="G927" s="2" t="s">
        <v>2228</v>
      </c>
      <c r="H927" t="s">
        <v>26</v>
      </c>
      <c r="I927" t="s">
        <v>27</v>
      </c>
      <c r="J927" s="6">
        <v>13188</v>
      </c>
      <c r="K927" s="16">
        <v>1007</v>
      </c>
      <c r="L927" s="16">
        <v>998</v>
      </c>
      <c r="M927" s="16">
        <v>1011</v>
      </c>
      <c r="N927" s="16">
        <v>1005</v>
      </c>
      <c r="O927" s="16">
        <v>1005</v>
      </c>
      <c r="P927" s="16">
        <v>1004</v>
      </c>
      <c r="Q927" s="16">
        <v>1009</v>
      </c>
      <c r="R927" s="16">
        <v>1010</v>
      </c>
      <c r="S927" s="16">
        <v>1012</v>
      </c>
      <c r="T927" s="16">
        <v>993</v>
      </c>
      <c r="U927" s="15">
        <v>1005.4</v>
      </c>
      <c r="V927" t="s">
        <v>19</v>
      </c>
      <c r="W927" t="s">
        <v>19</v>
      </c>
      <c r="X927">
        <v>153</v>
      </c>
      <c r="Y927" s="16">
        <f>VLOOKUP(Tabela1[[#This Row],[SKU]],SKU!A:D,4,0)</f>
        <v>1000</v>
      </c>
      <c r="Z927" s="18">
        <f>IFERROR((Tabela1[[#This Row],[Média]]-Tabela1[[#This Row],[Meta]])/Tabela1[[#This Row],[Meta]],"")</f>
        <v>5.3999999999999769E-3</v>
      </c>
      <c r="AA927" s="29">
        <f>Tabela1[[#This Row],[Média]]-Tabela1[[#This Row],[Meta]]</f>
        <v>5.3999999999999773</v>
      </c>
      <c r="AB927" s="6" t="str">
        <f>VLOOKUP(Tabela1[[#This Row],[SKU]],SKU!A:B,2,0)</f>
        <v>SOBRECOXA CG BDJ SE</v>
      </c>
      <c r="AC927" s="6" t="str">
        <f>VLOOKUP(Tabela1[[#This Row],[SKU]],SKU!A:C,3,0)</f>
        <v>PERNA</v>
      </c>
    </row>
    <row r="928" spans="1:29" x14ac:dyDescent="0.3">
      <c r="A928" s="2">
        <f>INT(Tabela1[[#This Row],[Data e Hora2]])</f>
        <v>46286</v>
      </c>
      <c r="B928" s="6" t="str">
        <f>UPPER(TEXT(Tabela1[[#This Row],[Data Corrigida]],"MMM"))</f>
        <v>SET</v>
      </c>
      <c r="C928" t="s">
        <v>2252</v>
      </c>
      <c r="D928" s="2" t="s">
        <v>2253</v>
      </c>
      <c r="E928" s="1" t="s">
        <v>2233</v>
      </c>
      <c r="F928" t="s">
        <v>24</v>
      </c>
      <c r="G928" s="2" t="s">
        <v>2228</v>
      </c>
      <c r="H928" t="s">
        <v>26</v>
      </c>
      <c r="I928" t="s">
        <v>27</v>
      </c>
      <c r="J928" s="6">
        <v>15229</v>
      </c>
      <c r="K928" s="16">
        <v>1007</v>
      </c>
      <c r="L928" s="16">
        <v>1014</v>
      </c>
      <c r="M928" s="16">
        <v>999</v>
      </c>
      <c r="N928" s="16">
        <v>1009</v>
      </c>
      <c r="O928" s="16">
        <v>1011</v>
      </c>
      <c r="P928" s="16">
        <v>1004</v>
      </c>
      <c r="Q928" s="16">
        <v>1008</v>
      </c>
      <c r="R928" s="16">
        <v>1007</v>
      </c>
      <c r="S928" s="16">
        <v>1017</v>
      </c>
      <c r="T928" s="16">
        <v>1015</v>
      </c>
      <c r="U928" s="15">
        <v>1009.1</v>
      </c>
      <c r="V928" t="s">
        <v>19</v>
      </c>
      <c r="W928" t="s">
        <v>28</v>
      </c>
      <c r="X928">
        <v>282</v>
      </c>
      <c r="Y928" s="16">
        <f>VLOOKUP(Tabela1[[#This Row],[SKU]],SKU!A:D,4,0)</f>
        <v>1000</v>
      </c>
      <c r="Z928" s="18">
        <f>IFERROR((Tabela1[[#This Row],[Média]]-Tabela1[[#This Row],[Meta]])/Tabela1[[#This Row],[Meta]],"")</f>
        <v>9.100000000000023E-3</v>
      </c>
      <c r="AA928" s="29">
        <f>Tabela1[[#This Row],[Média]]-Tabela1[[#This Row],[Meta]]</f>
        <v>9.1000000000000227</v>
      </c>
      <c r="AB928" s="6" t="str">
        <f>VLOOKUP(Tabela1[[#This Row],[SKU]],SKU!A:B,2,0)</f>
        <v>COXA CG BDJ SE</v>
      </c>
      <c r="AC928" s="6" t="str">
        <f>VLOOKUP(Tabela1[[#This Row],[SKU]],SKU!A:C,3,0)</f>
        <v>PERNA</v>
      </c>
    </row>
    <row r="929" spans="1:29" x14ac:dyDescent="0.3">
      <c r="A929" s="2">
        <f>INT(Tabela1[[#This Row],[Data e Hora2]])</f>
        <v>46286</v>
      </c>
      <c r="B929" s="6" t="str">
        <f>UPPER(TEXT(Tabela1[[#This Row],[Data Corrigida]],"MMM"))</f>
        <v>SET</v>
      </c>
      <c r="C929" t="s">
        <v>2254</v>
      </c>
      <c r="D929" s="2" t="s">
        <v>2255</v>
      </c>
      <c r="E929" s="1" t="s">
        <v>2233</v>
      </c>
      <c r="F929" t="s">
        <v>24</v>
      </c>
      <c r="G929" s="2" t="s">
        <v>2228</v>
      </c>
      <c r="H929" t="s">
        <v>26</v>
      </c>
      <c r="I929" t="s">
        <v>27</v>
      </c>
      <c r="J929" s="6">
        <v>15105</v>
      </c>
      <c r="K929" s="16">
        <v>1011</v>
      </c>
      <c r="L929" s="16">
        <v>1057</v>
      </c>
      <c r="M929" s="16">
        <v>1025</v>
      </c>
      <c r="N929" s="16">
        <v>1013</v>
      </c>
      <c r="O929" s="16">
        <v>1016</v>
      </c>
      <c r="P929" s="16">
        <v>967</v>
      </c>
      <c r="Q929" s="16">
        <v>1004</v>
      </c>
      <c r="R929" s="16">
        <v>1053</v>
      </c>
      <c r="S929" s="16">
        <v>1037</v>
      </c>
      <c r="T929" s="16">
        <v>983</v>
      </c>
      <c r="U929" s="15">
        <v>1016.6</v>
      </c>
      <c r="V929" t="s">
        <v>19</v>
      </c>
      <c r="W929" t="s">
        <v>28</v>
      </c>
      <c r="X929">
        <v>284</v>
      </c>
      <c r="Y929" s="16">
        <f>VLOOKUP(Tabela1[[#This Row],[SKU]],SKU!A:D,4,0)</f>
        <v>1000</v>
      </c>
      <c r="Z929" s="18">
        <f>IFERROR((Tabela1[[#This Row],[Média]]-Tabela1[[#This Row],[Meta]])/Tabela1[[#This Row],[Meta]],"")</f>
        <v>1.6600000000000024E-2</v>
      </c>
      <c r="AA929" s="29">
        <f>Tabela1[[#This Row],[Média]]-Tabela1[[#This Row],[Meta]]</f>
        <v>16.600000000000023</v>
      </c>
      <c r="AB929" s="6" t="str">
        <f>VLOOKUP(Tabela1[[#This Row],[SKU]],SKU!A:B,2,0)</f>
        <v>FILE PEITO MET CG BDJ SE</v>
      </c>
      <c r="AC929" s="6" t="str">
        <f>VLOOKUP(Tabela1[[#This Row],[SKU]],SKU!A:C,3,0)</f>
        <v>PEITO</v>
      </c>
    </row>
    <row r="930" spans="1:29" x14ac:dyDescent="0.3">
      <c r="A930" s="2">
        <f>INT(Tabela1[[#This Row],[Data e Hora2]])</f>
        <v>46286</v>
      </c>
      <c r="B930" s="6" t="str">
        <f>UPPER(TEXT(Tabela1[[#This Row],[Data Corrigida]],"MMM"))</f>
        <v>SET</v>
      </c>
      <c r="C930" t="s">
        <v>2256</v>
      </c>
      <c r="D930" s="2" t="s">
        <v>2257</v>
      </c>
      <c r="E930" s="1" t="s">
        <v>2233</v>
      </c>
      <c r="F930" t="s">
        <v>24</v>
      </c>
      <c r="G930" s="2" t="s">
        <v>2228</v>
      </c>
      <c r="H930" t="s">
        <v>26</v>
      </c>
      <c r="I930" t="s">
        <v>27</v>
      </c>
      <c r="J930" s="6">
        <v>792799</v>
      </c>
      <c r="K930" s="16">
        <v>15060</v>
      </c>
      <c r="L930" s="16">
        <v>15080</v>
      </c>
      <c r="M930" s="16">
        <v>15060</v>
      </c>
      <c r="N930" s="16">
        <v>15090</v>
      </c>
      <c r="O930" s="16">
        <v>15025</v>
      </c>
      <c r="P930" s="16">
        <v>15070</v>
      </c>
      <c r="Q930" s="16">
        <v>15070</v>
      </c>
      <c r="R930" s="16">
        <v>15060</v>
      </c>
      <c r="S930" s="16">
        <v>15075</v>
      </c>
      <c r="T930" s="16">
        <v>15005</v>
      </c>
      <c r="U930" s="15">
        <v>15059.5</v>
      </c>
      <c r="V930" t="s">
        <v>19</v>
      </c>
      <c r="W930" t="s">
        <v>19</v>
      </c>
      <c r="X930">
        <v>773</v>
      </c>
      <c r="Y930" s="16">
        <f>VLOOKUP(Tabela1[[#This Row],[SKU]],SKU!A:D,4,0)</f>
        <v>15000</v>
      </c>
      <c r="Z930" s="18">
        <f>IFERROR((Tabela1[[#This Row],[Média]]-Tabela1[[#This Row],[Meta]])/Tabela1[[#This Row],[Meta]],"")</f>
        <v>3.966666666666667E-3</v>
      </c>
      <c r="AA930" s="29">
        <f>Tabela1[[#This Row],[Média]]-Tabela1[[#This Row],[Meta]]</f>
        <v>59.5</v>
      </c>
      <c r="AB930" s="6" t="str">
        <f>VLOOKUP(Tabela1[[#This Row],[SKU]],SKU!A:B,2,0)</f>
        <v>ASAS FG 100g UP LP</v>
      </c>
      <c r="AC930" s="6" t="str">
        <f>VLOOKUP(Tabela1[[#This Row],[SKU]],SKU!A:C,3,0)</f>
        <v>ASA</v>
      </c>
    </row>
    <row r="931" spans="1:29" x14ac:dyDescent="0.3">
      <c r="A931" s="2">
        <f>INT(Tabela1[[#This Row],[Data e Hora2]])</f>
        <v>46286</v>
      </c>
      <c r="B931" s="6" t="str">
        <f>UPPER(TEXT(Tabela1[[#This Row],[Data Corrigida]],"MMM"))</f>
        <v>SET</v>
      </c>
      <c r="C931" t="s">
        <v>2258</v>
      </c>
      <c r="D931" s="2" t="s">
        <v>2259</v>
      </c>
      <c r="E931" s="1" t="s">
        <v>2260</v>
      </c>
      <c r="F931" t="s">
        <v>24</v>
      </c>
      <c r="G931" s="2" t="s">
        <v>2228</v>
      </c>
      <c r="H931" t="s">
        <v>26</v>
      </c>
      <c r="I931" t="s">
        <v>27</v>
      </c>
      <c r="J931" s="6">
        <v>992093</v>
      </c>
      <c r="K931" s="16">
        <v>5003</v>
      </c>
      <c r="L931" s="16">
        <v>5008</v>
      </c>
      <c r="M931" s="16">
        <v>5012</v>
      </c>
      <c r="N931" s="16">
        <v>5013</v>
      </c>
      <c r="O931" s="16">
        <v>5012</v>
      </c>
      <c r="P931" s="16">
        <v>5001</v>
      </c>
      <c r="Q931" s="16">
        <v>5002</v>
      </c>
      <c r="R931" s="16">
        <v>5012</v>
      </c>
      <c r="S931" s="16">
        <v>5009</v>
      </c>
      <c r="T931" s="16">
        <v>5009</v>
      </c>
      <c r="U931" s="15">
        <v>5008.1000000000004</v>
      </c>
      <c r="V931" t="s">
        <v>19</v>
      </c>
      <c r="W931" t="s">
        <v>28</v>
      </c>
      <c r="X931">
        <v>226</v>
      </c>
      <c r="Y931" s="16">
        <f>VLOOKUP(Tabela1[[#This Row],[SKU]],SKU!A:D,4,0)</f>
        <v>5000</v>
      </c>
      <c r="Z931" s="18">
        <f>IFERROR((Tabela1[[#This Row],[Média]]-Tabela1[[#This Row],[Meta]])/Tabela1[[#This Row],[Meta]],"")</f>
        <v>1.6200000000000728E-3</v>
      </c>
      <c r="AA931" s="29">
        <f>Tabela1[[#This Row],[Média]]-Tabela1[[#This Row],[Meta]]</f>
        <v>8.1000000000003638</v>
      </c>
      <c r="AB931" s="6" t="str">
        <f>VLOOKUP(Tabela1[[#This Row],[SKU]],SKU!A:B,2,0)</f>
        <v>PONTA ASA FG PB CG</v>
      </c>
      <c r="AC931" s="6" t="str">
        <f>VLOOKUP(Tabela1[[#This Row],[SKU]],SKU!A:C,3,0)</f>
        <v>ASA</v>
      </c>
    </row>
    <row r="932" spans="1:29" x14ac:dyDescent="0.3">
      <c r="A932" s="2">
        <f>INT(Tabela1[[#This Row],[Data e Hora2]])</f>
        <v>46286</v>
      </c>
      <c r="B932" s="6" t="str">
        <f>UPPER(TEXT(Tabela1[[#This Row],[Data Corrigida]],"MMM"))</f>
        <v>SET</v>
      </c>
      <c r="C932" t="s">
        <v>2261</v>
      </c>
      <c r="D932" s="2" t="s">
        <v>2262</v>
      </c>
      <c r="E932" s="1" t="s">
        <v>2263</v>
      </c>
      <c r="F932" t="s">
        <v>24</v>
      </c>
      <c r="G932" s="2" t="s">
        <v>2228</v>
      </c>
      <c r="H932" t="s">
        <v>26</v>
      </c>
      <c r="I932" t="s">
        <v>57</v>
      </c>
      <c r="J932" s="6">
        <v>15105</v>
      </c>
      <c r="K932" s="16">
        <v>1023</v>
      </c>
      <c r="L932" s="16">
        <v>1024</v>
      </c>
      <c r="M932" s="16">
        <v>1030</v>
      </c>
      <c r="N932" s="16">
        <v>988</v>
      </c>
      <c r="O932" s="16">
        <v>1001</v>
      </c>
      <c r="P932" s="16">
        <v>1027</v>
      </c>
      <c r="Q932" s="16">
        <v>1005</v>
      </c>
      <c r="R932" s="16">
        <v>1021</v>
      </c>
      <c r="S932" s="16">
        <v>1012</v>
      </c>
      <c r="T932" s="16">
        <v>1005</v>
      </c>
      <c r="U932" s="15">
        <v>1013.6</v>
      </c>
      <c r="V932" t="s">
        <v>19</v>
      </c>
      <c r="W932" t="s">
        <v>28</v>
      </c>
      <c r="X932">
        <v>144</v>
      </c>
      <c r="Y932" s="16">
        <f>VLOOKUP(Tabela1[[#This Row],[SKU]],SKU!A:D,4,0)</f>
        <v>1000</v>
      </c>
      <c r="Z932" s="18">
        <f>IFERROR((Tabela1[[#This Row],[Média]]-Tabela1[[#This Row],[Meta]])/Tabela1[[#This Row],[Meta]],"")</f>
        <v>1.3600000000000024E-2</v>
      </c>
      <c r="AA932" s="29">
        <f>Tabela1[[#This Row],[Média]]-Tabela1[[#This Row],[Meta]]</f>
        <v>13.600000000000023</v>
      </c>
      <c r="AB932" s="6" t="str">
        <f>VLOOKUP(Tabela1[[#This Row],[SKU]],SKU!A:B,2,0)</f>
        <v>FILE PEITO MET CG BDJ SE</v>
      </c>
      <c r="AC932" s="6" t="str">
        <f>VLOOKUP(Tabela1[[#This Row],[SKU]],SKU!A:C,3,0)</f>
        <v>PEITO</v>
      </c>
    </row>
    <row r="933" spans="1:29" x14ac:dyDescent="0.3">
      <c r="A933" s="2">
        <f>INT(Tabela1[[#This Row],[Data e Hora2]])</f>
        <v>46286</v>
      </c>
      <c r="B933" s="6" t="str">
        <f>UPPER(TEXT(Tabela1[[#This Row],[Data Corrigida]],"MMM"))</f>
        <v>SET</v>
      </c>
      <c r="C933" t="s">
        <v>2264</v>
      </c>
      <c r="D933" s="2" t="s">
        <v>2265</v>
      </c>
      <c r="E933" s="1" t="s">
        <v>2263</v>
      </c>
      <c r="F933" t="s">
        <v>24</v>
      </c>
      <c r="G933" s="2" t="s">
        <v>2228</v>
      </c>
      <c r="H933" t="s">
        <v>26</v>
      </c>
      <c r="I933" t="s">
        <v>57</v>
      </c>
      <c r="J933" s="6">
        <v>42838</v>
      </c>
      <c r="K933" s="16">
        <v>2013</v>
      </c>
      <c r="L933" s="16">
        <v>2012</v>
      </c>
      <c r="M933" s="16">
        <v>1994</v>
      </c>
      <c r="N933" s="16">
        <v>2030</v>
      </c>
      <c r="O933" s="16">
        <v>2031</v>
      </c>
      <c r="P933" s="16">
        <v>2006</v>
      </c>
      <c r="Q933" s="16">
        <v>2029</v>
      </c>
      <c r="R933" s="16">
        <v>2017</v>
      </c>
      <c r="S933" s="16">
        <v>2027</v>
      </c>
      <c r="T933" s="16">
        <v>2017</v>
      </c>
      <c r="U933" s="15">
        <v>2017.6</v>
      </c>
      <c r="V933" t="s">
        <v>19</v>
      </c>
      <c r="W933" t="s">
        <v>28</v>
      </c>
      <c r="X933">
        <v>284</v>
      </c>
      <c r="Y933" s="16">
        <f>VLOOKUP(Tabela1[[#This Row],[SKU]],SKU!A:D,4,0)</f>
        <v>2000</v>
      </c>
      <c r="Z933" s="18">
        <f>IFERROR((Tabela1[[#This Row],[Média]]-Tabela1[[#This Row],[Meta]])/Tabela1[[#This Row],[Meta]],"")</f>
        <v>8.7999999999999537E-3</v>
      </c>
      <c r="AA933" s="29">
        <f>Tabela1[[#This Row],[Média]]-Tabela1[[#This Row],[Meta]]</f>
        <v>17.599999999999909</v>
      </c>
      <c r="AB933" s="6" t="str">
        <f>VLOOKUP(Tabela1[[#This Row],[SKU]],SKU!A:B,2,0)</f>
        <v>COXA SBCX S/O FG 220-240g PB</v>
      </c>
      <c r="AC933" s="6" t="str">
        <f>VLOOKUP(Tabela1[[#This Row],[SKU]],SKU!A:C,3,0)</f>
        <v>PERNA</v>
      </c>
    </row>
    <row r="934" spans="1:29" x14ac:dyDescent="0.3">
      <c r="A934" s="2">
        <f>INT(Tabela1[[#This Row],[Data e Hora2]])</f>
        <v>46286</v>
      </c>
      <c r="B934" s="6" t="str">
        <f>UPPER(TEXT(Tabela1[[#This Row],[Data Corrigida]],"MMM"))</f>
        <v>SET</v>
      </c>
      <c r="C934" t="s">
        <v>2266</v>
      </c>
      <c r="D934" s="2" t="s">
        <v>2267</v>
      </c>
      <c r="E934" s="1" t="s">
        <v>2263</v>
      </c>
      <c r="F934" t="s">
        <v>24</v>
      </c>
      <c r="G934" s="2" t="s">
        <v>2228</v>
      </c>
      <c r="H934" t="s">
        <v>26</v>
      </c>
      <c r="I934" t="s">
        <v>57</v>
      </c>
      <c r="J934" s="6">
        <v>42820</v>
      </c>
      <c r="K934" s="16">
        <v>2033</v>
      </c>
      <c r="L934" s="16">
        <v>2021</v>
      </c>
      <c r="M934" s="16">
        <v>1997</v>
      </c>
      <c r="N934" s="16">
        <v>2044</v>
      </c>
      <c r="O934" s="16">
        <v>2010</v>
      </c>
      <c r="P934" s="16">
        <v>2010</v>
      </c>
      <c r="Q934" s="16">
        <v>2011</v>
      </c>
      <c r="R934" s="16">
        <v>2039</v>
      </c>
      <c r="S934" s="16">
        <v>2067</v>
      </c>
      <c r="T934" s="16">
        <v>2093</v>
      </c>
      <c r="U934" s="15">
        <v>2032.5</v>
      </c>
      <c r="V934" t="s">
        <v>19</v>
      </c>
      <c r="W934" t="s">
        <v>28</v>
      </c>
      <c r="X934">
        <v>560</v>
      </c>
      <c r="Y934" s="16">
        <f>VLOOKUP(Tabela1[[#This Row],[SKU]],SKU!A:D,4,0)</f>
        <v>2000</v>
      </c>
      <c r="Z934" s="18">
        <f>IFERROR((Tabela1[[#This Row],[Média]]-Tabela1[[#This Row],[Meta]])/Tabela1[[#This Row],[Meta]],"")</f>
        <v>1.6250000000000001E-2</v>
      </c>
      <c r="AA934" s="29">
        <f>Tabela1[[#This Row],[Média]]-Tabela1[[#This Row],[Meta]]</f>
        <v>32.5</v>
      </c>
      <c r="AB934" s="6" t="str">
        <f>VLOOKUP(Tabela1[[#This Row],[SKU]],SKU!A:B,2,0)</f>
        <v>COXA SBCX S/O FG 200-220g PB</v>
      </c>
      <c r="AC934" s="6" t="str">
        <f>VLOOKUP(Tabela1[[#This Row],[SKU]],SKU!A:C,3,0)</f>
        <v>PERNA</v>
      </c>
    </row>
    <row r="935" spans="1:29" x14ac:dyDescent="0.3">
      <c r="A935" s="2">
        <f>INT(Tabela1[[#This Row],[Data e Hora2]])</f>
        <v>46286</v>
      </c>
      <c r="B935" s="6" t="str">
        <f>UPPER(TEXT(Tabela1[[#This Row],[Data Corrigida]],"MMM"))</f>
        <v>SET</v>
      </c>
      <c r="C935" t="s">
        <v>2268</v>
      </c>
      <c r="D935" s="2" t="s">
        <v>2269</v>
      </c>
      <c r="E935" s="1" t="s">
        <v>2263</v>
      </c>
      <c r="F935" t="s">
        <v>24</v>
      </c>
      <c r="G935" s="2" t="s">
        <v>2228</v>
      </c>
      <c r="H935" t="s">
        <v>26</v>
      </c>
      <c r="I935" t="s">
        <v>57</v>
      </c>
      <c r="J935" s="6">
        <v>42846</v>
      </c>
      <c r="K935" s="16">
        <v>2008</v>
      </c>
      <c r="L935" s="16">
        <v>2013</v>
      </c>
      <c r="M935" s="16">
        <v>2006</v>
      </c>
      <c r="N935" s="16">
        <v>2005</v>
      </c>
      <c r="O935" s="16">
        <v>2006</v>
      </c>
      <c r="P935" s="16">
        <v>2013</v>
      </c>
      <c r="Q935" s="16">
        <v>2003</v>
      </c>
      <c r="R935" s="16">
        <v>2006</v>
      </c>
      <c r="S935" s="16">
        <v>2004</v>
      </c>
      <c r="T935" s="16">
        <v>2026</v>
      </c>
      <c r="U935" s="15">
        <v>2009</v>
      </c>
      <c r="V935" t="s">
        <v>19</v>
      </c>
      <c r="W935" t="s">
        <v>28</v>
      </c>
      <c r="X935">
        <v>978</v>
      </c>
      <c r="Y935" s="16">
        <f>VLOOKUP(Tabela1[[#This Row],[SKU]],SKU!A:D,4,0)</f>
        <v>2000</v>
      </c>
      <c r="Z935" s="18">
        <f>IFERROR((Tabela1[[#This Row],[Média]]-Tabela1[[#This Row],[Meta]])/Tabela1[[#This Row],[Meta]],"")</f>
        <v>4.4999999999999997E-3</v>
      </c>
      <c r="AA935" s="29">
        <f>Tabela1[[#This Row],[Média]]-Tabela1[[#This Row],[Meta]]</f>
        <v>9</v>
      </c>
      <c r="AB935" s="6" t="str">
        <f>VLOOKUP(Tabela1[[#This Row],[SKU]],SKU!A:B,2,0)</f>
        <v>COXA SBCX S/O FG 240-260g PB</v>
      </c>
      <c r="AC935" s="6" t="str">
        <f>VLOOKUP(Tabela1[[#This Row],[SKU]],SKU!A:C,3,0)</f>
        <v>PERNA</v>
      </c>
    </row>
    <row r="936" spans="1:29" x14ac:dyDescent="0.3">
      <c r="A936" s="2">
        <f>INT(Tabela1[[#This Row],[Data e Hora2]])</f>
        <v>46286</v>
      </c>
      <c r="B936" s="6" t="str">
        <f>UPPER(TEXT(Tabela1[[#This Row],[Data Corrigida]],"MMM"))</f>
        <v>SET</v>
      </c>
      <c r="C936" t="s">
        <v>2270</v>
      </c>
      <c r="D936" s="2" t="s">
        <v>2271</v>
      </c>
      <c r="E936" s="1" t="s">
        <v>2263</v>
      </c>
      <c r="F936" t="s">
        <v>24</v>
      </c>
      <c r="G936" s="2" t="s">
        <v>2228</v>
      </c>
      <c r="H936" t="s">
        <v>26</v>
      </c>
      <c r="I936" t="s">
        <v>57</v>
      </c>
      <c r="J936" s="6">
        <v>42862</v>
      </c>
      <c r="K936" s="16">
        <v>1998</v>
      </c>
      <c r="L936" s="16">
        <v>2014</v>
      </c>
      <c r="M936" s="16">
        <v>2010</v>
      </c>
      <c r="N936" s="16">
        <v>2012</v>
      </c>
      <c r="O936" s="16">
        <v>2003</v>
      </c>
      <c r="P936" s="16">
        <v>2044</v>
      </c>
      <c r="Q936" s="16">
        <v>2011</v>
      </c>
      <c r="R936" s="16">
        <v>2010</v>
      </c>
      <c r="S936" s="16">
        <v>2011</v>
      </c>
      <c r="T936" s="16">
        <v>2026</v>
      </c>
      <c r="U936" s="15">
        <v>2013.9</v>
      </c>
      <c r="V936" t="s">
        <v>19</v>
      </c>
      <c r="W936" t="s">
        <v>28</v>
      </c>
      <c r="X936">
        <v>1227</v>
      </c>
      <c r="Y936" s="16">
        <f>VLOOKUP(Tabela1[[#This Row],[SKU]],SKU!A:D,4,0)</f>
        <v>2000</v>
      </c>
      <c r="Z936" s="18">
        <f>IFERROR((Tabela1[[#This Row],[Média]]-Tabela1[[#This Row],[Meta]])/Tabela1[[#This Row],[Meta]],"")</f>
        <v>6.9500000000000456E-3</v>
      </c>
      <c r="AA936" s="29">
        <f>Tabela1[[#This Row],[Média]]-Tabela1[[#This Row],[Meta]]</f>
        <v>13.900000000000091</v>
      </c>
      <c r="AB936" s="6" t="str">
        <f>VLOOKUP(Tabela1[[#This Row],[SKU]],SKU!A:B,2,0)</f>
        <v>COXA SBCX S/O FG 280-300g PB</v>
      </c>
      <c r="AC936" s="6" t="str">
        <f>VLOOKUP(Tabela1[[#This Row],[SKU]],SKU!A:C,3,0)</f>
        <v>PERNA</v>
      </c>
    </row>
    <row r="937" spans="1:29" x14ac:dyDescent="0.3">
      <c r="A937" s="2">
        <f>INT(Tabela1[[#This Row],[Data e Hora2]])</f>
        <v>46286</v>
      </c>
      <c r="B937" s="6" t="str">
        <f>UPPER(TEXT(Tabela1[[#This Row],[Data Corrigida]],"MMM"))</f>
        <v>SET</v>
      </c>
      <c r="C937" t="s">
        <v>2272</v>
      </c>
      <c r="D937" s="2" t="s">
        <v>2273</v>
      </c>
      <c r="E937" s="1" t="s">
        <v>2263</v>
      </c>
      <c r="F937" t="s">
        <v>24</v>
      </c>
      <c r="G937" s="2" t="s">
        <v>2228</v>
      </c>
      <c r="H937" t="s">
        <v>26</v>
      </c>
      <c r="I937" t="s">
        <v>57</v>
      </c>
      <c r="J937" s="6">
        <v>42854</v>
      </c>
      <c r="K937" s="16">
        <v>2105</v>
      </c>
      <c r="L937" s="16">
        <v>2077</v>
      </c>
      <c r="M937" s="16">
        <v>2082</v>
      </c>
      <c r="N937" s="16">
        <v>2085</v>
      </c>
      <c r="O937" s="16">
        <v>2080</v>
      </c>
      <c r="P937" s="16">
        <v>2091</v>
      </c>
      <c r="Q937" s="16">
        <v>2037</v>
      </c>
      <c r="R937" s="16">
        <v>2098</v>
      </c>
      <c r="S937" s="16">
        <v>2102</v>
      </c>
      <c r="T937" s="16">
        <v>2077</v>
      </c>
      <c r="U937" s="15">
        <v>2083.4</v>
      </c>
      <c r="V937" t="s">
        <v>19</v>
      </c>
      <c r="W937" t="s">
        <v>28</v>
      </c>
      <c r="X937">
        <v>1468</v>
      </c>
      <c r="Y937" s="16">
        <f>VLOOKUP(Tabela1[[#This Row],[SKU]],SKU!A:D,4,0)</f>
        <v>2080</v>
      </c>
      <c r="Z937" s="18">
        <f>IFERROR((Tabela1[[#This Row],[Média]]-Tabela1[[#This Row],[Meta]])/Tabela1[[#This Row],[Meta]],"")</f>
        <v>1.6346153846154283E-3</v>
      </c>
      <c r="AA937" s="29">
        <f>Tabela1[[#This Row],[Média]]-Tabela1[[#This Row],[Meta]]</f>
        <v>3.4000000000000909</v>
      </c>
      <c r="AB937" s="6" t="str">
        <f>VLOOKUP(Tabela1[[#This Row],[SKU]],SKU!A:B,2,0)</f>
        <v>COXA SBCX S/O FG 260-280g PB</v>
      </c>
      <c r="AC937" s="6" t="str">
        <f>VLOOKUP(Tabela1[[#This Row],[SKU]],SKU!A:C,3,0)</f>
        <v>PERNA</v>
      </c>
    </row>
    <row r="938" spans="1:29" x14ac:dyDescent="0.3">
      <c r="A938" s="2">
        <f>INT(Tabela1[[#This Row],[Data e Hora2]])</f>
        <v>46286</v>
      </c>
      <c r="B938" s="6" t="str">
        <f>UPPER(TEXT(Tabela1[[#This Row],[Data Corrigida]],"MMM"))</f>
        <v>SET</v>
      </c>
      <c r="C938" t="s">
        <v>2274</v>
      </c>
      <c r="D938" s="2" t="s">
        <v>2275</v>
      </c>
      <c r="E938" s="1" t="s">
        <v>2276</v>
      </c>
      <c r="F938" t="s">
        <v>24</v>
      </c>
      <c r="G938" s="2" t="s">
        <v>2228</v>
      </c>
      <c r="H938" t="s">
        <v>26</v>
      </c>
      <c r="I938" t="s">
        <v>57</v>
      </c>
      <c r="J938" s="6">
        <v>40762</v>
      </c>
      <c r="K938" s="16">
        <v>9985</v>
      </c>
      <c r="L938" s="16">
        <v>10015</v>
      </c>
      <c r="M938" s="16">
        <v>9945</v>
      </c>
      <c r="N938" s="16">
        <v>9965</v>
      </c>
      <c r="O938" s="16">
        <v>10035</v>
      </c>
      <c r="P938" s="16">
        <v>9945</v>
      </c>
      <c r="Q938" s="16">
        <v>9990</v>
      </c>
      <c r="R938" s="16">
        <v>10020</v>
      </c>
      <c r="S938" s="16">
        <v>9955</v>
      </c>
      <c r="T938" s="16">
        <v>10000</v>
      </c>
      <c r="U938" s="15">
        <v>9985.5</v>
      </c>
      <c r="V938" t="s">
        <v>19</v>
      </c>
      <c r="W938" t="s">
        <v>28</v>
      </c>
      <c r="X938">
        <v>355</v>
      </c>
      <c r="Y938" s="16">
        <f>VLOOKUP(Tabela1[[#This Row],[SKU]],SKU!A:D,4,0)</f>
        <v>10000</v>
      </c>
      <c r="Z938" s="18">
        <f>IFERROR((Tabela1[[#This Row],[Média]]-Tabela1[[#This Row],[Meta]])/Tabela1[[#This Row],[Meta]],"")</f>
        <v>-1.4499999999999999E-3</v>
      </c>
      <c r="AA938" s="29">
        <f>Tabela1[[#This Row],[Média]]-Tabela1[[#This Row],[Meta]]</f>
        <v>-14.5</v>
      </c>
      <c r="AB938" s="6" t="str">
        <f>VLOOKUP(Tabela1[[#This Row],[SKU]],SKU!A:B,2,0)</f>
        <v>COXA SBCX LQ FG LP</v>
      </c>
      <c r="AC938" s="6" t="str">
        <f>VLOOKUP(Tabela1[[#This Row],[SKU]],SKU!A:C,3,0)</f>
        <v>PERNA</v>
      </c>
    </row>
    <row r="939" spans="1:29" x14ac:dyDescent="0.3">
      <c r="A939" s="2">
        <f>INT(Tabela1[[#This Row],[Data e Hora2]])</f>
        <v>46286</v>
      </c>
      <c r="B939" s="6" t="str">
        <f>UPPER(TEXT(Tabela1[[#This Row],[Data Corrigida]],"MMM"))</f>
        <v>SET</v>
      </c>
      <c r="C939" t="s">
        <v>2277</v>
      </c>
      <c r="D939" s="2" t="s">
        <v>2278</v>
      </c>
      <c r="E939" s="1" t="s">
        <v>2276</v>
      </c>
      <c r="F939" t="s">
        <v>24</v>
      </c>
      <c r="G939" s="2" t="s">
        <v>2228</v>
      </c>
      <c r="H939" t="s">
        <v>26</v>
      </c>
      <c r="I939" t="s">
        <v>57</v>
      </c>
      <c r="J939" s="6">
        <v>40762</v>
      </c>
      <c r="K939" s="16">
        <v>9995</v>
      </c>
      <c r="L939" s="16">
        <v>10005</v>
      </c>
      <c r="M939" s="16">
        <v>9945</v>
      </c>
      <c r="N939" s="16">
        <v>9950</v>
      </c>
      <c r="O939" s="16">
        <v>9990</v>
      </c>
      <c r="P939" s="16">
        <v>10005</v>
      </c>
      <c r="Q939" s="16">
        <v>9940</v>
      </c>
      <c r="R939" s="16">
        <v>11380</v>
      </c>
      <c r="S939" s="16">
        <v>9955</v>
      </c>
      <c r="T939" s="16">
        <v>10010</v>
      </c>
      <c r="U939" s="15">
        <v>10117.5</v>
      </c>
      <c r="V939" t="s">
        <v>19</v>
      </c>
      <c r="W939" t="s">
        <v>28</v>
      </c>
      <c r="X939">
        <v>516</v>
      </c>
      <c r="Y939" s="16">
        <f>VLOOKUP(Tabela1[[#This Row],[SKU]],SKU!A:D,4,0)</f>
        <v>10000</v>
      </c>
      <c r="Z939" s="18">
        <f>IFERROR((Tabela1[[#This Row],[Média]]-Tabela1[[#This Row],[Meta]])/Tabela1[[#This Row],[Meta]],"")</f>
        <v>1.175E-2</v>
      </c>
      <c r="AA939" s="29">
        <f>Tabela1[[#This Row],[Média]]-Tabela1[[#This Row],[Meta]]</f>
        <v>117.5</v>
      </c>
      <c r="AB939" s="6" t="str">
        <f>VLOOKUP(Tabela1[[#This Row],[SKU]],SKU!A:B,2,0)</f>
        <v>COXA SBCX LQ FG LP</v>
      </c>
      <c r="AC939" s="6" t="str">
        <f>VLOOKUP(Tabela1[[#This Row],[SKU]],SKU!A:C,3,0)</f>
        <v>PERNA</v>
      </c>
    </row>
    <row r="940" spans="1:29" x14ac:dyDescent="0.3">
      <c r="A940" s="2">
        <f>INT(Tabela1[[#This Row],[Data e Hora2]])</f>
        <v>46286</v>
      </c>
      <c r="B940" s="6" t="str">
        <f>UPPER(TEXT(Tabela1[[#This Row],[Data Corrigida]],"MMM"))</f>
        <v>SET</v>
      </c>
      <c r="C940" t="s">
        <v>2279</v>
      </c>
      <c r="D940" s="2" t="s">
        <v>2280</v>
      </c>
      <c r="E940" s="1" t="s">
        <v>2281</v>
      </c>
      <c r="F940" t="s">
        <v>24</v>
      </c>
      <c r="G940" s="2" t="s">
        <v>2228</v>
      </c>
      <c r="H940" t="s">
        <v>142</v>
      </c>
      <c r="I940" t="s">
        <v>462</v>
      </c>
      <c r="J940" s="6">
        <v>197742</v>
      </c>
      <c r="K940" s="16">
        <v>1018</v>
      </c>
      <c r="L940" s="16">
        <v>1001</v>
      </c>
      <c r="M940" s="16">
        <v>1003</v>
      </c>
      <c r="N940" s="16">
        <v>1003</v>
      </c>
      <c r="O940" s="16">
        <v>1002</v>
      </c>
      <c r="P940" s="16">
        <v>1003</v>
      </c>
      <c r="Q940" s="16">
        <v>1009</v>
      </c>
      <c r="R940" s="16">
        <v>1007</v>
      </c>
      <c r="S940" s="16">
        <v>1001</v>
      </c>
      <c r="T940" s="16">
        <v>1004</v>
      </c>
      <c r="U940" s="15">
        <v>1005.1</v>
      </c>
      <c r="V940" t="s">
        <v>19</v>
      </c>
      <c r="W940" t="s">
        <v>28</v>
      </c>
      <c r="X940">
        <v>192</v>
      </c>
      <c r="Y940" s="16">
        <f>VLOOKUP(Tabela1[[#This Row],[SKU]],SKU!A:D,4,0)</f>
        <v>1000</v>
      </c>
      <c r="Z940" s="18">
        <f>IFERROR((Tabela1[[#This Row],[Média]]-Tabela1[[#This Row],[Meta]])/Tabela1[[#This Row],[Meta]],"")</f>
        <v>5.1000000000000229E-3</v>
      </c>
      <c r="AA940" s="29">
        <f>Tabela1[[#This Row],[Média]]-Tabela1[[#This Row],[Meta]]</f>
        <v>5.1000000000000227</v>
      </c>
      <c r="AB940" s="6" t="str">
        <f>VLOOKUP(Tabela1[[#This Row],[SKU]],SKU!A:B,2,0)</f>
        <v>COXINHA ASA IQF ALM SE</v>
      </c>
      <c r="AC940" s="6" t="str">
        <f>VLOOKUP(Tabela1[[#This Row],[SKU]],SKU!A:C,3,0)</f>
        <v>ASA</v>
      </c>
    </row>
    <row r="941" spans="1:29" x14ac:dyDescent="0.3">
      <c r="A941" s="2">
        <f>INT(Tabela1[[#This Row],[Data e Hora2]])</f>
        <v>46286</v>
      </c>
      <c r="B941" s="6" t="str">
        <f>UPPER(TEXT(Tabela1[[#This Row],[Data Corrigida]],"MMM"))</f>
        <v>SET</v>
      </c>
      <c r="C941" t="s">
        <v>2282</v>
      </c>
      <c r="D941" s="2" t="s">
        <v>2283</v>
      </c>
      <c r="E941" s="1" t="s">
        <v>2284</v>
      </c>
      <c r="F941" t="s">
        <v>24</v>
      </c>
      <c r="G941" s="2" t="s">
        <v>2228</v>
      </c>
      <c r="H941" t="s">
        <v>142</v>
      </c>
      <c r="I941" t="s">
        <v>462</v>
      </c>
      <c r="J941" s="6">
        <v>992014</v>
      </c>
      <c r="K941" s="16">
        <v>694</v>
      </c>
      <c r="L941" s="16">
        <v>668</v>
      </c>
      <c r="M941" s="16">
        <v>688</v>
      </c>
      <c r="N941" s="16">
        <v>700</v>
      </c>
      <c r="O941" s="16">
        <v>696</v>
      </c>
      <c r="P941" s="16">
        <v>699</v>
      </c>
      <c r="Q941" s="16">
        <v>686</v>
      </c>
      <c r="R941" s="16">
        <v>687</v>
      </c>
      <c r="S941" s="16">
        <v>693</v>
      </c>
      <c r="T941" s="16">
        <v>700</v>
      </c>
      <c r="U941" s="15">
        <v>691.1</v>
      </c>
      <c r="V941" t="s">
        <v>19</v>
      </c>
      <c r="W941" t="s">
        <v>28</v>
      </c>
      <c r="X941">
        <v>700</v>
      </c>
      <c r="Y941" s="16">
        <f>VLOOKUP(Tabela1[[#This Row],[SKU]],SKU!A:D,4,0)</f>
        <v>700</v>
      </c>
      <c r="Z941" s="18">
        <f>IFERROR((Tabela1[[#This Row],[Média]]-Tabela1[[#This Row],[Meta]])/Tabela1[[#This Row],[Meta]],"")</f>
        <v>-1.2714285714285681E-2</v>
      </c>
      <c r="AA941" s="29">
        <f>Tabela1[[#This Row],[Média]]-Tabela1[[#This Row],[Meta]]</f>
        <v>-8.8999999999999773</v>
      </c>
      <c r="AB941" s="6" t="str">
        <f>VLOOKUP(Tabela1[[#This Row],[SKU]],SKU!A:B,2,0)</f>
        <v>OSTRINHA CG PCT 700G SWIFT</v>
      </c>
      <c r="AC941" s="6" t="str">
        <f>VLOOKUP(Tabela1[[#This Row],[SKU]],SKU!A:C,3,0)</f>
        <v>PERNA</v>
      </c>
    </row>
    <row r="942" spans="1:29" x14ac:dyDescent="0.3">
      <c r="A942" s="2">
        <f>INT(Tabela1[[#This Row],[Data e Hora2]])</f>
        <v>46286</v>
      </c>
      <c r="B942" s="6" t="str">
        <f>UPPER(TEXT(Tabela1[[#This Row],[Data Corrigida]],"MMM"))</f>
        <v>SET</v>
      </c>
      <c r="C942" t="s">
        <v>2285</v>
      </c>
      <c r="D942" s="2" t="s">
        <v>2286</v>
      </c>
      <c r="E942" s="1" t="s">
        <v>2284</v>
      </c>
      <c r="F942" t="s">
        <v>24</v>
      </c>
      <c r="G942" s="2" t="s">
        <v>2228</v>
      </c>
      <c r="H942" t="s">
        <v>142</v>
      </c>
      <c r="I942" t="s">
        <v>462</v>
      </c>
      <c r="J942" s="6">
        <v>40762</v>
      </c>
      <c r="K942" s="16">
        <v>10135</v>
      </c>
      <c r="L942" s="16">
        <v>10010</v>
      </c>
      <c r="M942" s="16">
        <v>10295</v>
      </c>
      <c r="N942" s="16">
        <v>10020</v>
      </c>
      <c r="O942" s="16">
        <v>10080</v>
      </c>
      <c r="P942" s="16">
        <v>10075</v>
      </c>
      <c r="Q942" s="16">
        <v>10110</v>
      </c>
      <c r="R942" s="16">
        <v>10120</v>
      </c>
      <c r="S942" s="16">
        <v>9935</v>
      </c>
      <c r="T942" s="16">
        <v>10060</v>
      </c>
      <c r="U942" s="15">
        <v>10084</v>
      </c>
      <c r="V942" t="s">
        <v>19</v>
      </c>
      <c r="W942" t="s">
        <v>28</v>
      </c>
      <c r="X942">
        <v>1052</v>
      </c>
      <c r="Y942" s="16">
        <f>VLOOKUP(Tabela1[[#This Row],[SKU]],SKU!A:D,4,0)</f>
        <v>10000</v>
      </c>
      <c r="Z942" s="18">
        <f>IFERROR((Tabela1[[#This Row],[Média]]-Tabela1[[#This Row],[Meta]])/Tabela1[[#This Row],[Meta]],"")</f>
        <v>8.3999999999999995E-3</v>
      </c>
      <c r="AA942" s="29">
        <f>Tabela1[[#This Row],[Média]]-Tabela1[[#This Row],[Meta]]</f>
        <v>84</v>
      </c>
      <c r="AB942" s="6" t="str">
        <f>VLOOKUP(Tabela1[[#This Row],[SKU]],SKU!A:B,2,0)</f>
        <v>COXA SBCX LQ FG LP</v>
      </c>
      <c r="AC942" s="6" t="str">
        <f>VLOOKUP(Tabela1[[#This Row],[SKU]],SKU!A:C,3,0)</f>
        <v>PERNA</v>
      </c>
    </row>
    <row r="943" spans="1:29" x14ac:dyDescent="0.3">
      <c r="A943" s="2">
        <f>INT(Tabela1[[#This Row],[Data e Hora2]])</f>
        <v>46286</v>
      </c>
      <c r="B943" s="6" t="str">
        <f>UPPER(TEXT(Tabela1[[#This Row],[Data Corrigida]],"MMM"))</f>
        <v>SET</v>
      </c>
      <c r="C943" t="s">
        <v>2287</v>
      </c>
      <c r="D943" s="2" t="s">
        <v>2288</v>
      </c>
      <c r="E943" s="1" t="s">
        <v>2284</v>
      </c>
      <c r="F943" t="s">
        <v>24</v>
      </c>
      <c r="G943" s="2" t="s">
        <v>2228</v>
      </c>
      <c r="H943" t="s">
        <v>142</v>
      </c>
      <c r="I943" t="s">
        <v>462</v>
      </c>
      <c r="J943" s="6">
        <v>43784</v>
      </c>
      <c r="K943" s="16">
        <v>993</v>
      </c>
      <c r="L943" s="16">
        <v>996</v>
      </c>
      <c r="M943" s="16">
        <v>1024</v>
      </c>
      <c r="N943" s="16">
        <v>995</v>
      </c>
      <c r="O943" s="16">
        <v>992</v>
      </c>
      <c r="P943" s="16">
        <v>967</v>
      </c>
      <c r="Q943" s="16">
        <v>991</v>
      </c>
      <c r="R943" s="16">
        <v>1002</v>
      </c>
      <c r="S943" s="16">
        <v>998</v>
      </c>
      <c r="T943" s="16">
        <v>1000</v>
      </c>
      <c r="U943" s="15">
        <v>995.8</v>
      </c>
      <c r="V943" t="s">
        <v>19</v>
      </c>
      <c r="W943" t="s">
        <v>28</v>
      </c>
      <c r="X943">
        <v>1305</v>
      </c>
      <c r="Y943" s="16">
        <f>VLOOKUP(Tabela1[[#This Row],[SKU]],SKU!A:D,4,0)</f>
        <v>1000</v>
      </c>
      <c r="Z943" s="18">
        <f>IFERROR((Tabela1[[#This Row],[Média]]-Tabela1[[#This Row],[Meta]])/Tabela1[[#This Row],[Meta]],"")</f>
        <v>-4.2000000000000457E-3</v>
      </c>
      <c r="AA943" s="29">
        <f>Tabela1[[#This Row],[Média]]-Tabela1[[#This Row],[Meta]]</f>
        <v>-4.2000000000000455</v>
      </c>
      <c r="AB943" s="6" t="str">
        <f>VLOOKUP(Tabela1[[#This Row],[SKU]],SKU!A:B,2,0)</f>
        <v>CARTILAGEM PEITO FG PB</v>
      </c>
      <c r="AC943" s="6" t="str">
        <f>VLOOKUP(Tabela1[[#This Row],[SKU]],SKU!A:C,3,0)</f>
        <v>CARTILAGEM PEITO</v>
      </c>
    </row>
    <row r="944" spans="1:29" x14ac:dyDescent="0.3">
      <c r="A944" s="2">
        <f>INT(Tabela1[[#This Row],[Data e Hora2]])</f>
        <v>46286</v>
      </c>
      <c r="B944" s="6" t="str">
        <f>UPPER(TEXT(Tabela1[[#This Row],[Data Corrigida]],"MMM"))</f>
        <v>SET</v>
      </c>
      <c r="C944" t="s">
        <v>2289</v>
      </c>
      <c r="D944" s="2" t="s">
        <v>2290</v>
      </c>
      <c r="E944" s="1" t="s">
        <v>2284</v>
      </c>
      <c r="F944" t="s">
        <v>24</v>
      </c>
      <c r="G944" s="2" t="s">
        <v>2228</v>
      </c>
      <c r="H944" t="s">
        <v>142</v>
      </c>
      <c r="I944" t="s">
        <v>462</v>
      </c>
      <c r="J944" s="6">
        <v>42862</v>
      </c>
      <c r="K944" s="16">
        <v>2063</v>
      </c>
      <c r="L944" s="16">
        <v>2020</v>
      </c>
      <c r="M944" s="16">
        <v>2041</v>
      </c>
      <c r="N944" s="16">
        <v>2088</v>
      </c>
      <c r="O944" s="16">
        <v>2036</v>
      </c>
      <c r="P944" s="16">
        <v>2034</v>
      </c>
      <c r="Q944" s="16">
        <v>1994</v>
      </c>
      <c r="R944" s="16">
        <v>2057</v>
      </c>
      <c r="S944" s="16">
        <v>2064</v>
      </c>
      <c r="T944" s="16">
        <v>2061</v>
      </c>
      <c r="U944" s="15">
        <v>2045.8</v>
      </c>
      <c r="V944" t="s">
        <v>19</v>
      </c>
      <c r="W944" t="s">
        <v>28</v>
      </c>
      <c r="X944">
        <v>1429</v>
      </c>
      <c r="Y944" s="16">
        <f>VLOOKUP(Tabela1[[#This Row],[SKU]],SKU!A:D,4,0)</f>
        <v>2000</v>
      </c>
      <c r="Z944" s="18">
        <f>IFERROR((Tabela1[[#This Row],[Média]]-Tabela1[[#This Row],[Meta]])/Tabela1[[#This Row],[Meta]],"")</f>
        <v>2.2899999999999976E-2</v>
      </c>
      <c r="AA944" s="29">
        <f>Tabela1[[#This Row],[Média]]-Tabela1[[#This Row],[Meta]]</f>
        <v>45.799999999999955</v>
      </c>
      <c r="AB944" s="6" t="str">
        <f>VLOOKUP(Tabela1[[#This Row],[SKU]],SKU!A:B,2,0)</f>
        <v>COXA SBCX S/O FG 280-300g PB</v>
      </c>
      <c r="AC944" s="6" t="str">
        <f>VLOOKUP(Tabela1[[#This Row],[SKU]],SKU!A:C,3,0)</f>
        <v>PERNA</v>
      </c>
    </row>
    <row r="945" spans="1:29" x14ac:dyDescent="0.3">
      <c r="A945" s="2">
        <f>INT(Tabela1[[#This Row],[Data e Hora2]])</f>
        <v>46286</v>
      </c>
      <c r="B945" s="6" t="str">
        <f>UPPER(TEXT(Tabela1[[#This Row],[Data Corrigida]],"MMM"))</f>
        <v>SET</v>
      </c>
      <c r="C945" t="s">
        <v>2291</v>
      </c>
      <c r="D945" s="2" t="s">
        <v>2292</v>
      </c>
      <c r="E945" s="1" t="s">
        <v>2284</v>
      </c>
      <c r="F945" t="s">
        <v>24</v>
      </c>
      <c r="G945" s="2" t="s">
        <v>2228</v>
      </c>
      <c r="H945" t="s">
        <v>142</v>
      </c>
      <c r="I945" t="s">
        <v>462</v>
      </c>
      <c r="J945" s="6">
        <v>42846</v>
      </c>
      <c r="K945" s="16">
        <v>2055</v>
      </c>
      <c r="L945" s="16">
        <v>2034</v>
      </c>
      <c r="M945" s="16">
        <v>2003</v>
      </c>
      <c r="N945" s="16">
        <v>2002</v>
      </c>
      <c r="O945" s="16">
        <v>2029</v>
      </c>
      <c r="P945" s="16">
        <v>2033</v>
      </c>
      <c r="Q945" s="16">
        <v>2036</v>
      </c>
      <c r="R945" s="16">
        <v>2045</v>
      </c>
      <c r="S945" s="16">
        <v>2017</v>
      </c>
      <c r="T945" s="16">
        <v>2007</v>
      </c>
      <c r="U945" s="15">
        <v>2026.1</v>
      </c>
      <c r="V945" t="s">
        <v>19</v>
      </c>
      <c r="W945" t="s">
        <v>28</v>
      </c>
      <c r="X945">
        <v>1862</v>
      </c>
      <c r="Y945" s="16">
        <f>VLOOKUP(Tabela1[[#This Row],[SKU]],SKU!A:D,4,0)</f>
        <v>2000</v>
      </c>
      <c r="Z945" s="18">
        <f>IFERROR((Tabela1[[#This Row],[Média]]-Tabela1[[#This Row],[Meta]])/Tabela1[[#This Row],[Meta]],"")</f>
        <v>1.3049999999999954E-2</v>
      </c>
      <c r="AA945" s="29">
        <f>Tabela1[[#This Row],[Média]]-Tabela1[[#This Row],[Meta]]</f>
        <v>26.099999999999909</v>
      </c>
      <c r="AB945" s="6" t="str">
        <f>VLOOKUP(Tabela1[[#This Row],[SKU]],SKU!A:B,2,0)</f>
        <v>COXA SBCX S/O FG 240-260g PB</v>
      </c>
      <c r="AC945" s="6" t="str">
        <f>VLOOKUP(Tabela1[[#This Row],[SKU]],SKU!A:C,3,0)</f>
        <v>PERNA</v>
      </c>
    </row>
    <row r="946" spans="1:29" x14ac:dyDescent="0.3">
      <c r="A946" s="2">
        <f>INT(Tabela1[[#This Row],[Data e Hora2]])</f>
        <v>46286</v>
      </c>
      <c r="B946" s="6" t="str">
        <f>UPPER(TEXT(Tabela1[[#This Row],[Data Corrigida]],"MMM"))</f>
        <v>SET</v>
      </c>
      <c r="C946" t="s">
        <v>2293</v>
      </c>
      <c r="D946" s="2" t="s">
        <v>2294</v>
      </c>
      <c r="E946" s="1" t="s">
        <v>2284</v>
      </c>
      <c r="F946" t="s">
        <v>24</v>
      </c>
      <c r="G946" s="2" t="s">
        <v>2228</v>
      </c>
      <c r="H946" t="s">
        <v>142</v>
      </c>
      <c r="I946" t="s">
        <v>462</v>
      </c>
      <c r="J946" s="6">
        <v>42854</v>
      </c>
      <c r="K946" s="16">
        <v>2149</v>
      </c>
      <c r="L946" s="16">
        <v>2154</v>
      </c>
      <c r="M946" s="16">
        <v>2154</v>
      </c>
      <c r="N946" s="16">
        <v>2108</v>
      </c>
      <c r="O946" s="16">
        <v>2108</v>
      </c>
      <c r="P946" s="16">
        <v>2158</v>
      </c>
      <c r="Q946" s="16">
        <v>2159</v>
      </c>
      <c r="R946" s="16">
        <v>2005</v>
      </c>
      <c r="S946" s="16">
        <v>2175</v>
      </c>
      <c r="T946" s="16">
        <v>2143</v>
      </c>
      <c r="U946" s="15">
        <v>2131.3000000000002</v>
      </c>
      <c r="V946" t="s">
        <v>19</v>
      </c>
      <c r="W946" t="s">
        <v>28</v>
      </c>
      <c r="X946">
        <v>2261</v>
      </c>
      <c r="Y946" s="16">
        <f>VLOOKUP(Tabela1[[#This Row],[SKU]],SKU!A:D,4,0)</f>
        <v>2080</v>
      </c>
      <c r="Z946" s="18">
        <f>IFERROR((Tabela1[[#This Row],[Média]]-Tabela1[[#This Row],[Meta]])/Tabela1[[#This Row],[Meta]],"")</f>
        <v>2.4663461538461627E-2</v>
      </c>
      <c r="AA946" s="29">
        <f>Tabela1[[#This Row],[Média]]-Tabela1[[#This Row],[Meta]]</f>
        <v>51.300000000000182</v>
      </c>
      <c r="AB946" s="6" t="str">
        <f>VLOOKUP(Tabela1[[#This Row],[SKU]],SKU!A:B,2,0)</f>
        <v>COXA SBCX S/O FG 260-280g PB</v>
      </c>
      <c r="AC946" s="6" t="str">
        <f>VLOOKUP(Tabela1[[#This Row],[SKU]],SKU!A:C,3,0)</f>
        <v>PERNA</v>
      </c>
    </row>
    <row r="947" spans="1:29" x14ac:dyDescent="0.3">
      <c r="A947" s="2">
        <f>INT(Tabela1[[#This Row],[Data e Hora2]])</f>
        <v>46283</v>
      </c>
      <c r="B947" s="6" t="str">
        <f>UPPER(TEXT(Tabela1[[#This Row],[Data Corrigida]],"MMM"))</f>
        <v>SET</v>
      </c>
      <c r="C947" t="s">
        <v>2295</v>
      </c>
      <c r="D947" s="2" t="s">
        <v>2296</v>
      </c>
      <c r="E947" s="1" t="s">
        <v>2284</v>
      </c>
      <c r="F947" t="s">
        <v>24</v>
      </c>
      <c r="G947" s="2" t="s">
        <v>2065</v>
      </c>
      <c r="H947" t="s">
        <v>142</v>
      </c>
      <c r="I947" t="s">
        <v>462</v>
      </c>
      <c r="J947" s="6">
        <v>15105</v>
      </c>
      <c r="K947" s="16">
        <v>1015</v>
      </c>
      <c r="L947" s="16">
        <v>1023</v>
      </c>
      <c r="M947" s="16">
        <v>999</v>
      </c>
      <c r="N947" s="16">
        <v>1044</v>
      </c>
      <c r="O947" s="16">
        <v>1013</v>
      </c>
      <c r="P947" s="16">
        <v>1001</v>
      </c>
      <c r="Q947" s="16">
        <v>998</v>
      </c>
      <c r="R947" s="16">
        <v>1039</v>
      </c>
      <c r="S947" s="16">
        <v>1018</v>
      </c>
      <c r="T947" s="16">
        <v>1002</v>
      </c>
      <c r="U947" s="15">
        <v>1015.2</v>
      </c>
      <c r="V947" t="s">
        <v>19</v>
      </c>
      <c r="W947" t="s">
        <v>28</v>
      </c>
      <c r="X947">
        <v>9184</v>
      </c>
      <c r="Y947" s="16">
        <f>VLOOKUP(Tabela1[[#This Row],[SKU]],SKU!A:D,4,0)</f>
        <v>1000</v>
      </c>
      <c r="Z947" s="18">
        <f>IFERROR((Tabela1[[#This Row],[Média]]-Tabela1[[#This Row],[Meta]])/Tabela1[[#This Row],[Meta]],"")</f>
        <v>1.5200000000000045E-2</v>
      </c>
      <c r="AA947" s="29">
        <f>Tabela1[[#This Row],[Média]]-Tabela1[[#This Row],[Meta]]</f>
        <v>15.200000000000045</v>
      </c>
      <c r="AB947" s="6" t="str">
        <f>VLOOKUP(Tabela1[[#This Row],[SKU]],SKU!A:B,2,0)</f>
        <v>FILE PEITO MET CG BDJ SE</v>
      </c>
      <c r="AC947" s="6" t="str">
        <f>VLOOKUP(Tabela1[[#This Row],[SKU]],SKU!A:C,3,0)</f>
        <v>PEITO</v>
      </c>
    </row>
    <row r="948" spans="1:29" x14ac:dyDescent="0.3">
      <c r="A948" s="2">
        <f>INT(Tabela1[[#This Row],[Data e Hora2]])</f>
        <v>46286</v>
      </c>
      <c r="B948" s="6" t="str">
        <f>UPPER(TEXT(Tabela1[[#This Row],[Data Corrigida]],"MMM"))</f>
        <v>SET</v>
      </c>
      <c r="C948" t="s">
        <v>2297</v>
      </c>
      <c r="D948" s="2" t="s">
        <v>2298</v>
      </c>
      <c r="E948" s="1" t="s">
        <v>2284</v>
      </c>
      <c r="F948" t="s">
        <v>24</v>
      </c>
      <c r="G948" s="2" t="s">
        <v>2228</v>
      </c>
      <c r="H948" t="s">
        <v>142</v>
      </c>
      <c r="I948" t="s">
        <v>462</v>
      </c>
      <c r="J948" s="6">
        <v>15105</v>
      </c>
      <c r="K948" s="16">
        <v>999</v>
      </c>
      <c r="L948" s="16">
        <v>1001</v>
      </c>
      <c r="M948" s="16">
        <v>1023</v>
      </c>
      <c r="N948" s="16">
        <v>1019</v>
      </c>
      <c r="O948" s="16">
        <v>996</v>
      </c>
      <c r="P948" s="16">
        <v>1028</v>
      </c>
      <c r="Q948" s="16">
        <v>997</v>
      </c>
      <c r="R948" s="16">
        <v>985</v>
      </c>
      <c r="S948" s="16">
        <v>999</v>
      </c>
      <c r="T948" s="16">
        <v>992</v>
      </c>
      <c r="U948" s="15">
        <v>1003.9</v>
      </c>
      <c r="V948" t="s">
        <v>19</v>
      </c>
      <c r="W948" t="s">
        <v>28</v>
      </c>
      <c r="X948">
        <v>9553</v>
      </c>
      <c r="Y948" s="16">
        <f>VLOOKUP(Tabela1[[#This Row],[SKU]],SKU!A:D,4,0)</f>
        <v>1000</v>
      </c>
      <c r="Z948" s="18">
        <f>IFERROR((Tabela1[[#This Row],[Média]]-Tabela1[[#This Row],[Meta]])/Tabela1[[#This Row],[Meta]],"")</f>
        <v>3.8999999999999773E-3</v>
      </c>
      <c r="AA948" s="29">
        <f>Tabela1[[#This Row],[Média]]-Tabela1[[#This Row],[Meta]]</f>
        <v>3.8999999999999773</v>
      </c>
      <c r="AB948" s="6" t="str">
        <f>VLOOKUP(Tabela1[[#This Row],[SKU]],SKU!A:B,2,0)</f>
        <v>FILE PEITO MET CG BDJ SE</v>
      </c>
      <c r="AC948" s="6" t="str">
        <f>VLOOKUP(Tabela1[[#This Row],[SKU]],SKU!A:C,3,0)</f>
        <v>PEITO</v>
      </c>
    </row>
    <row r="949" spans="1:29" x14ac:dyDescent="0.3">
      <c r="A949" s="2">
        <f>INT(Tabela1[[#This Row],[Data e Hora2]])</f>
        <v>46286</v>
      </c>
      <c r="B949" s="6" t="str">
        <f>UPPER(TEXT(Tabela1[[#This Row],[Data Corrigida]],"MMM"))</f>
        <v>SET</v>
      </c>
      <c r="C949" t="s">
        <v>2299</v>
      </c>
      <c r="D949" s="2" t="s">
        <v>2300</v>
      </c>
      <c r="E949" s="1" t="s">
        <v>2284</v>
      </c>
      <c r="F949" t="s">
        <v>24</v>
      </c>
      <c r="G949" s="2" t="s">
        <v>2228</v>
      </c>
      <c r="H949" t="s">
        <v>142</v>
      </c>
      <c r="I949" t="s">
        <v>462</v>
      </c>
      <c r="J949" s="6">
        <v>15105</v>
      </c>
      <c r="K949" s="16">
        <v>987</v>
      </c>
      <c r="L949" s="16">
        <v>990</v>
      </c>
      <c r="M949" s="16">
        <v>1014</v>
      </c>
      <c r="N949" s="16">
        <v>995</v>
      </c>
      <c r="O949" s="16">
        <v>987</v>
      </c>
      <c r="P949" s="16">
        <v>988</v>
      </c>
      <c r="Q949" s="16">
        <v>1040</v>
      </c>
      <c r="R949" s="16">
        <v>996</v>
      </c>
      <c r="S949" s="16">
        <v>977</v>
      </c>
      <c r="T949" s="16">
        <v>992</v>
      </c>
      <c r="U949" s="15">
        <v>996.6</v>
      </c>
      <c r="V949" t="s">
        <v>19</v>
      </c>
      <c r="W949" t="s">
        <v>28</v>
      </c>
      <c r="X949">
        <v>10317</v>
      </c>
      <c r="Y949" s="16">
        <f>VLOOKUP(Tabela1[[#This Row],[SKU]],SKU!A:D,4,0)</f>
        <v>1000</v>
      </c>
      <c r="Z949" s="18">
        <f>IFERROR((Tabela1[[#This Row],[Média]]-Tabela1[[#This Row],[Meta]])/Tabela1[[#This Row],[Meta]],"")</f>
        <v>-3.3999999999999773E-3</v>
      </c>
      <c r="AA949" s="29">
        <f>Tabela1[[#This Row],[Média]]-Tabela1[[#This Row],[Meta]]</f>
        <v>-3.3999999999999773</v>
      </c>
      <c r="AB949" s="6" t="str">
        <f>VLOOKUP(Tabela1[[#This Row],[SKU]],SKU!A:B,2,0)</f>
        <v>FILE PEITO MET CG BDJ SE</v>
      </c>
      <c r="AC949" s="6" t="str">
        <f>VLOOKUP(Tabela1[[#This Row],[SKU]],SKU!A:C,3,0)</f>
        <v>PEITO</v>
      </c>
    </row>
    <row r="950" spans="1:29" x14ac:dyDescent="0.3">
      <c r="A950" s="2">
        <f>INT(Tabela1[[#This Row],[Data e Hora2]])</f>
        <v>46286</v>
      </c>
      <c r="B950" s="6" t="str">
        <f>UPPER(TEXT(Tabela1[[#This Row],[Data Corrigida]],"MMM"))</f>
        <v>SET</v>
      </c>
      <c r="C950" t="s">
        <v>2301</v>
      </c>
      <c r="D950" s="2" t="s">
        <v>2302</v>
      </c>
      <c r="E950" s="1" t="s">
        <v>2284</v>
      </c>
      <c r="F950" t="s">
        <v>24</v>
      </c>
      <c r="G950" s="2" t="s">
        <v>2228</v>
      </c>
      <c r="H950" t="s">
        <v>142</v>
      </c>
      <c r="I950" t="s">
        <v>462</v>
      </c>
      <c r="J950" s="6">
        <v>54632</v>
      </c>
      <c r="K950" s="16">
        <v>999</v>
      </c>
      <c r="L950" s="16">
        <v>996</v>
      </c>
      <c r="M950" s="16">
        <v>1022</v>
      </c>
      <c r="N950" s="16">
        <v>1002</v>
      </c>
      <c r="O950" s="16">
        <v>1024</v>
      </c>
      <c r="P950" s="16">
        <v>1006</v>
      </c>
      <c r="Q950" s="16">
        <v>1000</v>
      </c>
      <c r="R950" s="16">
        <v>1019</v>
      </c>
      <c r="S950" s="16">
        <v>987</v>
      </c>
      <c r="T950" s="16">
        <v>1003</v>
      </c>
      <c r="U950" s="15">
        <v>1005.8</v>
      </c>
      <c r="V950" t="s">
        <v>19</v>
      </c>
      <c r="W950" t="s">
        <v>28</v>
      </c>
      <c r="X950">
        <v>10650</v>
      </c>
      <c r="Y950" s="16">
        <f>VLOOKUP(Tabela1[[#This Row],[SKU]],SKU!A:D,4,0)</f>
        <v>1000</v>
      </c>
      <c r="Z950" s="18">
        <f>IFERROR((Tabela1[[#This Row],[Média]]-Tabela1[[#This Row],[Meta]])/Tabela1[[#This Row],[Meta]],"")</f>
        <v>5.7999999999999545E-3</v>
      </c>
      <c r="AA950" s="29">
        <f>Tabela1[[#This Row],[Média]]-Tabela1[[#This Row],[Meta]]</f>
        <v>5.7999999999999545</v>
      </c>
      <c r="AB950" s="6" t="str">
        <f>VLOOKUP(Tabela1[[#This Row],[SKU]],SKU!A:B,2,0)</f>
        <v>COXA SBCX S/O BDJ CG</v>
      </c>
      <c r="AC950" s="6" t="str">
        <f>VLOOKUP(Tabela1[[#This Row],[SKU]],SKU!A:C,3,0)</f>
        <v>PERNA</v>
      </c>
    </row>
    <row r="951" spans="1:29" x14ac:dyDescent="0.3">
      <c r="A951" s="2">
        <f>INT(Tabela1[[#This Row],[Data e Hora2]])</f>
        <v>46286</v>
      </c>
      <c r="B951" s="6" t="str">
        <f>UPPER(TEXT(Tabela1[[#This Row],[Data Corrigida]],"MMM"))</f>
        <v>SET</v>
      </c>
      <c r="C951" t="s">
        <v>2303</v>
      </c>
      <c r="D951" s="2" t="s">
        <v>2304</v>
      </c>
      <c r="E951" s="1" t="s">
        <v>2284</v>
      </c>
      <c r="F951" t="s">
        <v>24</v>
      </c>
      <c r="G951" s="2" t="s">
        <v>2228</v>
      </c>
      <c r="H951" t="s">
        <v>142</v>
      </c>
      <c r="I951" t="s">
        <v>462</v>
      </c>
      <c r="J951" s="6">
        <v>15849</v>
      </c>
      <c r="K951" s="16">
        <v>995</v>
      </c>
      <c r="L951" s="16">
        <v>992</v>
      </c>
      <c r="M951" s="16">
        <v>1013</v>
      </c>
      <c r="N951" s="16">
        <v>1001</v>
      </c>
      <c r="O951" s="16">
        <v>1007</v>
      </c>
      <c r="P951" s="16">
        <v>990</v>
      </c>
      <c r="Q951" s="16">
        <v>1015</v>
      </c>
      <c r="R951" s="16">
        <v>996</v>
      </c>
      <c r="S951" s="16">
        <v>1016</v>
      </c>
      <c r="T951" s="16">
        <v>1013</v>
      </c>
      <c r="U951" s="15">
        <v>1003.8</v>
      </c>
      <c r="V951" t="s">
        <v>19</v>
      </c>
      <c r="W951" t="s">
        <v>28</v>
      </c>
      <c r="X951">
        <v>10964</v>
      </c>
      <c r="Y951" s="16">
        <f>VLOOKUP(Tabela1[[#This Row],[SKU]],SKU!A:D,4,0)</f>
        <v>1000</v>
      </c>
      <c r="Z951" s="18">
        <f>IFERROR((Tabela1[[#This Row],[Média]]-Tabela1[[#This Row],[Meta]])/Tabela1[[#This Row],[Meta]],"")</f>
        <v>3.7999999999999545E-3</v>
      </c>
      <c r="AA951" s="29">
        <f>Tabela1[[#This Row],[Média]]-Tabela1[[#This Row],[Meta]]</f>
        <v>3.7999999999999545</v>
      </c>
      <c r="AB951" s="6" t="str">
        <f>VLOOKUP(Tabela1[[#This Row],[SKU]],SKU!A:B,2,0)</f>
        <v>FILEZINHO PEITO CG BDJ SE</v>
      </c>
      <c r="AC951" s="6" t="str">
        <f>VLOOKUP(Tabela1[[#This Row],[SKU]],SKU!A:C,3,0)</f>
        <v>SASSAMI</v>
      </c>
    </row>
    <row r="952" spans="1:29" x14ac:dyDescent="0.3">
      <c r="A952" s="2">
        <f>INT(Tabela1[[#This Row],[Data e Hora2]])</f>
        <v>46286</v>
      </c>
      <c r="B952" s="6" t="str">
        <f>UPPER(TEXT(Tabela1[[#This Row],[Data Corrigida]],"MMM"))</f>
        <v>SET</v>
      </c>
      <c r="C952" t="s">
        <v>2305</v>
      </c>
      <c r="D952" s="2" t="s">
        <v>2306</v>
      </c>
      <c r="E952" s="1" t="s">
        <v>2284</v>
      </c>
      <c r="F952" t="s">
        <v>24</v>
      </c>
      <c r="G952" s="2" t="s">
        <v>2228</v>
      </c>
      <c r="H952" t="s">
        <v>142</v>
      </c>
      <c r="I952" t="s">
        <v>462</v>
      </c>
      <c r="J952" s="6">
        <v>18163</v>
      </c>
      <c r="K952" s="16">
        <v>1012</v>
      </c>
      <c r="L952" s="16">
        <v>1002</v>
      </c>
      <c r="M952" s="16">
        <v>1007</v>
      </c>
      <c r="N952" s="16">
        <v>1001</v>
      </c>
      <c r="O952" s="16">
        <v>1004</v>
      </c>
      <c r="P952" s="16">
        <v>1003</v>
      </c>
      <c r="Q952" s="16">
        <v>991</v>
      </c>
      <c r="R952" s="16">
        <v>1006</v>
      </c>
      <c r="S952" s="16">
        <v>996</v>
      </c>
      <c r="T952" s="16">
        <v>1008</v>
      </c>
      <c r="U952" s="15">
        <v>1003</v>
      </c>
      <c r="V952" t="s">
        <v>19</v>
      </c>
      <c r="W952" t="s">
        <v>28</v>
      </c>
      <c r="X952">
        <v>12326</v>
      </c>
      <c r="Y952" s="16">
        <f>VLOOKUP(Tabela1[[#This Row],[SKU]],SKU!A:D,4,0)</f>
        <v>1000</v>
      </c>
      <c r="Z952" s="18">
        <f>IFERROR((Tabela1[[#This Row],[Média]]-Tabela1[[#This Row],[Meta]])/Tabela1[[#This Row],[Meta]],"")</f>
        <v>3.0000000000000001E-3</v>
      </c>
      <c r="AA952" s="29">
        <f>Tabela1[[#This Row],[Média]]-Tabela1[[#This Row],[Meta]]</f>
        <v>3</v>
      </c>
      <c r="AB952" s="6" t="str">
        <f>VLOOKUP(Tabela1[[#This Row],[SKU]],SKU!A:B,2,0)</f>
        <v>CORACAO FGO CG ALM SE</v>
      </c>
      <c r="AC952" s="6" t="str">
        <f>VLOOKUP(Tabela1[[#This Row],[SKU]],SKU!A:C,3,0)</f>
        <v>CORAÇÃO</v>
      </c>
    </row>
    <row r="953" spans="1:29" x14ac:dyDescent="0.3">
      <c r="A953" s="2">
        <f>INT(Tabela1[[#This Row],[Data e Hora2]])</f>
        <v>46283</v>
      </c>
      <c r="B953" s="6" t="str">
        <f>UPPER(TEXT(Tabela1[[#This Row],[Data Corrigida]],"MMM"))</f>
        <v>SET</v>
      </c>
      <c r="C953" t="s">
        <v>2307</v>
      </c>
      <c r="D953" s="2" t="s">
        <v>2308</v>
      </c>
      <c r="E953" s="1" t="s">
        <v>2284</v>
      </c>
      <c r="F953" t="s">
        <v>24</v>
      </c>
      <c r="G953" s="2" t="s">
        <v>2065</v>
      </c>
      <c r="H953" t="s">
        <v>142</v>
      </c>
      <c r="I953" t="s">
        <v>462</v>
      </c>
      <c r="J953" s="6">
        <v>15849</v>
      </c>
      <c r="K953" s="16">
        <v>1040</v>
      </c>
      <c r="L953" s="16">
        <v>1007</v>
      </c>
      <c r="M953" s="16">
        <v>1031</v>
      </c>
      <c r="N953" s="16">
        <v>1035</v>
      </c>
      <c r="O953" s="16">
        <v>1054</v>
      </c>
      <c r="P953" s="16">
        <v>1029</v>
      </c>
      <c r="Q953" s="16">
        <v>1024</v>
      </c>
      <c r="R953" s="16">
        <v>793</v>
      </c>
      <c r="S953" s="16">
        <v>1191</v>
      </c>
      <c r="T953" s="16">
        <v>1101</v>
      </c>
      <c r="U953" s="15">
        <v>1030.5</v>
      </c>
      <c r="V953" t="s">
        <v>19</v>
      </c>
      <c r="W953" t="s">
        <v>28</v>
      </c>
      <c r="X953">
        <v>263234</v>
      </c>
      <c r="Y953" s="16">
        <f>VLOOKUP(Tabela1[[#This Row],[SKU]],SKU!A:D,4,0)</f>
        <v>1000</v>
      </c>
      <c r="Z953" s="18">
        <f>IFERROR((Tabela1[[#This Row],[Média]]-Tabela1[[#This Row],[Meta]])/Tabela1[[#This Row],[Meta]],"")</f>
        <v>3.0499999999999999E-2</v>
      </c>
      <c r="AA953" s="29">
        <f>Tabela1[[#This Row],[Média]]-Tabela1[[#This Row],[Meta]]</f>
        <v>30.5</v>
      </c>
      <c r="AB953" s="6" t="str">
        <f>VLOOKUP(Tabela1[[#This Row],[SKU]],SKU!A:B,2,0)</f>
        <v>FILEZINHO PEITO CG BDJ SE</v>
      </c>
      <c r="AC953" s="6" t="str">
        <f>VLOOKUP(Tabela1[[#This Row],[SKU]],SKU!A:C,3,0)</f>
        <v>SASSAMI</v>
      </c>
    </row>
    <row r="954" spans="1:29" x14ac:dyDescent="0.3">
      <c r="A954" s="2">
        <f>INT(Tabela1[[#This Row],[Data e Hora2]])</f>
        <v>46283</v>
      </c>
      <c r="B954" s="6" t="str">
        <f>UPPER(TEXT(Tabela1[[#This Row],[Data Corrigida]],"MMM"))</f>
        <v>SET</v>
      </c>
      <c r="C954" t="s">
        <v>2062</v>
      </c>
      <c r="D954" s="2" t="s">
        <v>2063</v>
      </c>
      <c r="E954" s="1" t="s">
        <v>2064</v>
      </c>
      <c r="F954" t="s">
        <v>24</v>
      </c>
      <c r="G954" s="2" t="s">
        <v>2065</v>
      </c>
      <c r="H954" t="s">
        <v>26</v>
      </c>
      <c r="I954" t="s">
        <v>27</v>
      </c>
      <c r="J954" s="6">
        <v>13188</v>
      </c>
      <c r="K954" s="16">
        <v>1012</v>
      </c>
      <c r="L954" s="16">
        <v>1024</v>
      </c>
      <c r="M954" s="16">
        <v>1018</v>
      </c>
      <c r="N954" s="16">
        <v>1002</v>
      </c>
      <c r="O954" s="16">
        <v>1016</v>
      </c>
      <c r="P954" s="16">
        <v>998</v>
      </c>
      <c r="Q954" s="16">
        <v>1005</v>
      </c>
      <c r="R954" s="16">
        <v>996</v>
      </c>
      <c r="S954" s="16">
        <v>1007</v>
      </c>
      <c r="T954" s="16">
        <v>1008</v>
      </c>
      <c r="U954" s="15">
        <v>1008.6</v>
      </c>
      <c r="V954" t="s">
        <v>19</v>
      </c>
      <c r="W954" t="s">
        <v>28</v>
      </c>
      <c r="X954">
        <v>107</v>
      </c>
      <c r="Y954" s="16">
        <f>VLOOKUP(Tabela1[[#This Row],[SKU]],SKU!A:D,4,0)</f>
        <v>1000</v>
      </c>
      <c r="Z954" s="18">
        <f>IFERROR((Tabela1[[#This Row],[Média]]-Tabela1[[#This Row],[Meta]])/Tabela1[[#This Row],[Meta]],"")</f>
        <v>8.6000000000000226E-3</v>
      </c>
      <c r="AA954" s="29">
        <f>Tabela1[[#This Row],[Média]]-Tabela1[[#This Row],[Meta]]</f>
        <v>8.6000000000000227</v>
      </c>
      <c r="AB954" s="6" t="str">
        <f>VLOOKUP(Tabela1[[#This Row],[SKU]],SKU!A:B,2,0)</f>
        <v>SOBRECOXA CG BDJ SE</v>
      </c>
      <c r="AC954" s="6" t="str">
        <f>VLOOKUP(Tabela1[[#This Row],[SKU]],SKU!A:C,3,0)</f>
        <v>PERNA</v>
      </c>
    </row>
    <row r="955" spans="1:29" x14ac:dyDescent="0.3">
      <c r="A955" s="2">
        <f>INT(Tabela1[[#This Row],[Data e Hora2]])</f>
        <v>46283</v>
      </c>
      <c r="B955" s="6" t="str">
        <f>UPPER(TEXT(Tabela1[[#This Row],[Data Corrigida]],"MMM"))</f>
        <v>SET</v>
      </c>
      <c r="C955" t="s">
        <v>2066</v>
      </c>
      <c r="D955" s="2" t="s">
        <v>2067</v>
      </c>
      <c r="E955" s="1" t="s">
        <v>2064</v>
      </c>
      <c r="F955" t="s">
        <v>24</v>
      </c>
      <c r="G955" s="2" t="s">
        <v>2065</v>
      </c>
      <c r="H955" t="s">
        <v>26</v>
      </c>
      <c r="I955" t="s">
        <v>27</v>
      </c>
      <c r="J955" s="6">
        <v>209319</v>
      </c>
      <c r="K955" s="16">
        <v>1027</v>
      </c>
      <c r="L955" s="16">
        <v>1009</v>
      </c>
      <c r="M955" s="16">
        <v>1052</v>
      </c>
      <c r="N955" s="16">
        <v>1004</v>
      </c>
      <c r="O955" s="16">
        <v>999</v>
      </c>
      <c r="P955" s="16">
        <v>1046</v>
      </c>
      <c r="Q955" s="16">
        <v>996</v>
      </c>
      <c r="R955" s="16">
        <v>1011</v>
      </c>
      <c r="S955" s="16">
        <v>1022</v>
      </c>
      <c r="T955" s="16">
        <v>1025</v>
      </c>
      <c r="U955" s="15">
        <v>1019.1</v>
      </c>
      <c r="V955" t="s">
        <v>19</v>
      </c>
      <c r="W955" t="s">
        <v>28</v>
      </c>
      <c r="X955">
        <v>2719</v>
      </c>
      <c r="Y955" s="16">
        <f>VLOOKUP(Tabela1[[#This Row],[SKU]],SKU!A:D,4,0)</f>
        <v>1000</v>
      </c>
      <c r="Z955" s="18">
        <f>IFERROR((Tabela1[[#This Row],[Média]]-Tabela1[[#This Row],[Meta]])/Tabela1[[#This Row],[Meta]],"")</f>
        <v>1.9100000000000023E-2</v>
      </c>
      <c r="AA955" s="29">
        <f>Tabela1[[#This Row],[Média]]-Tabela1[[#This Row],[Meta]]</f>
        <v>19.100000000000023</v>
      </c>
      <c r="AB955" s="6" t="str">
        <f>VLOOKUP(Tabela1[[#This Row],[SKU]],SKU!A:B,2,0)</f>
        <v>SOBRECOXA IQF ALM 1KG</v>
      </c>
      <c r="AC955" s="6" t="str">
        <f>VLOOKUP(Tabela1[[#This Row],[SKU]],SKU!A:C,3,0)</f>
        <v>PERNA</v>
      </c>
    </row>
    <row r="956" spans="1:29" x14ac:dyDescent="0.3">
      <c r="A956" s="2">
        <f>INT(Tabela1[[#This Row],[Data e Hora2]])</f>
        <v>46283</v>
      </c>
      <c r="B956" s="6" t="str">
        <f>UPPER(TEXT(Tabela1[[#This Row],[Data Corrigida]],"MMM"))</f>
        <v>SET</v>
      </c>
      <c r="C956" t="s">
        <v>2068</v>
      </c>
      <c r="D956" s="2" t="s">
        <v>2069</v>
      </c>
      <c r="E956" s="1" t="s">
        <v>2064</v>
      </c>
      <c r="F956" t="s">
        <v>24</v>
      </c>
      <c r="G956" s="2" t="s">
        <v>2065</v>
      </c>
      <c r="H956" t="s">
        <v>26</v>
      </c>
      <c r="I956" t="s">
        <v>27</v>
      </c>
      <c r="J956" s="6">
        <v>40762</v>
      </c>
      <c r="K956" s="16">
        <v>10025</v>
      </c>
      <c r="L956" s="16">
        <v>9975</v>
      </c>
      <c r="M956" s="16">
        <v>9945</v>
      </c>
      <c r="N956" s="16">
        <v>10050</v>
      </c>
      <c r="O956" s="16">
        <v>9975</v>
      </c>
      <c r="P956" s="16">
        <v>10040</v>
      </c>
      <c r="Q956" s="16">
        <v>9980</v>
      </c>
      <c r="R956" s="16">
        <v>9990</v>
      </c>
      <c r="S956" s="16">
        <v>10018</v>
      </c>
      <c r="T956" s="16">
        <v>9985</v>
      </c>
      <c r="U956" s="15">
        <v>9998.2999999999993</v>
      </c>
      <c r="V956" t="s">
        <v>19</v>
      </c>
      <c r="W956" t="s">
        <v>28</v>
      </c>
      <c r="X956">
        <v>2402</v>
      </c>
      <c r="Y956" s="16">
        <f>VLOOKUP(Tabela1[[#This Row],[SKU]],SKU!A:D,4,0)</f>
        <v>10000</v>
      </c>
      <c r="Z956" s="18">
        <f>IFERROR((Tabela1[[#This Row],[Média]]-Tabela1[[#This Row],[Meta]])/Tabela1[[#This Row],[Meta]],"")</f>
        <v>-1.7000000000007276E-4</v>
      </c>
      <c r="AA956" s="29">
        <f>Tabela1[[#This Row],[Média]]-Tabela1[[#This Row],[Meta]]</f>
        <v>-1.7000000000007276</v>
      </c>
      <c r="AB956" s="6" t="str">
        <f>VLOOKUP(Tabela1[[#This Row],[SKU]],SKU!A:B,2,0)</f>
        <v>COXA SBCX LQ FG LP</v>
      </c>
      <c r="AC956" s="6" t="str">
        <f>VLOOKUP(Tabela1[[#This Row],[SKU]],SKU!A:C,3,0)</f>
        <v>PERNA</v>
      </c>
    </row>
    <row r="957" spans="1:29" x14ac:dyDescent="0.3">
      <c r="A957" s="2">
        <f>INT(Tabela1[[#This Row],[Data e Hora2]])</f>
        <v>46283</v>
      </c>
      <c r="B957" s="6" t="str">
        <f>UPPER(TEXT(Tabela1[[#This Row],[Data Corrigida]],"MMM"))</f>
        <v>SET</v>
      </c>
      <c r="C957" t="s">
        <v>2070</v>
      </c>
      <c r="D957" s="2" t="s">
        <v>2071</v>
      </c>
      <c r="E957" s="1" t="s">
        <v>2064</v>
      </c>
      <c r="F957" t="s">
        <v>24</v>
      </c>
      <c r="G957" s="2" t="s">
        <v>2065</v>
      </c>
      <c r="H957" t="s">
        <v>26</v>
      </c>
      <c r="I957" t="s">
        <v>27</v>
      </c>
      <c r="J957" s="6">
        <v>13188</v>
      </c>
      <c r="K957" s="16">
        <v>1003</v>
      </c>
      <c r="L957" s="16">
        <v>1005</v>
      </c>
      <c r="M957" s="16">
        <v>997</v>
      </c>
      <c r="N957" s="16">
        <v>1009</v>
      </c>
      <c r="O957" s="16">
        <v>1003</v>
      </c>
      <c r="P957" s="16">
        <v>1006</v>
      </c>
      <c r="Q957" s="16">
        <v>1003</v>
      </c>
      <c r="R957" s="16">
        <v>1003</v>
      </c>
      <c r="S957" s="16">
        <v>1022</v>
      </c>
      <c r="T957" s="16">
        <v>1005</v>
      </c>
      <c r="U957" s="15">
        <v>1005.6</v>
      </c>
      <c r="V957" t="s">
        <v>19</v>
      </c>
      <c r="W957" t="s">
        <v>19</v>
      </c>
      <c r="X957">
        <v>107</v>
      </c>
      <c r="Y957" s="16">
        <f>VLOOKUP(Tabela1[[#This Row],[SKU]],SKU!A:D,4,0)</f>
        <v>1000</v>
      </c>
      <c r="Z957" s="18">
        <f>IFERROR((Tabela1[[#This Row],[Média]]-Tabela1[[#This Row],[Meta]])/Tabela1[[#This Row],[Meta]],"")</f>
        <v>5.6000000000000225E-3</v>
      </c>
      <c r="AA957" s="29">
        <f>Tabela1[[#This Row],[Média]]-Tabela1[[#This Row],[Meta]]</f>
        <v>5.6000000000000227</v>
      </c>
      <c r="AB957" s="6" t="str">
        <f>VLOOKUP(Tabela1[[#This Row],[SKU]],SKU!A:B,2,0)</f>
        <v>SOBRECOXA CG BDJ SE</v>
      </c>
      <c r="AC957" s="6" t="str">
        <f>VLOOKUP(Tabela1[[#This Row],[SKU]],SKU!A:C,3,0)</f>
        <v>PERNA</v>
      </c>
    </row>
    <row r="958" spans="1:29" x14ac:dyDescent="0.3">
      <c r="A958" s="2">
        <f>INT(Tabela1[[#This Row],[Data e Hora2]])</f>
        <v>46283</v>
      </c>
      <c r="B958" s="6" t="str">
        <f>UPPER(TEXT(Tabela1[[#This Row],[Data Corrigida]],"MMM"))</f>
        <v>SET</v>
      </c>
      <c r="C958" t="s">
        <v>2072</v>
      </c>
      <c r="D958" s="2" t="s">
        <v>2073</v>
      </c>
      <c r="E958" s="1" t="s">
        <v>2064</v>
      </c>
      <c r="F958" t="s">
        <v>24</v>
      </c>
      <c r="G958" s="2" t="s">
        <v>2065</v>
      </c>
      <c r="H958" t="s">
        <v>26</v>
      </c>
      <c r="I958" t="s">
        <v>27</v>
      </c>
      <c r="J958" s="6">
        <v>15229</v>
      </c>
      <c r="K958" s="16">
        <v>998</v>
      </c>
      <c r="L958" s="16">
        <v>1005</v>
      </c>
      <c r="M958" s="16">
        <v>1001</v>
      </c>
      <c r="N958" s="16">
        <v>1005</v>
      </c>
      <c r="O958" s="16">
        <v>1009</v>
      </c>
      <c r="P958" s="16">
        <v>1007</v>
      </c>
      <c r="Q958" s="16">
        <v>1018</v>
      </c>
      <c r="R958" s="16">
        <v>1018</v>
      </c>
      <c r="S958" s="16">
        <v>1001</v>
      </c>
      <c r="T958" s="16">
        <v>1011</v>
      </c>
      <c r="U958" s="15">
        <v>1007.3</v>
      </c>
      <c r="V958" t="s">
        <v>19</v>
      </c>
      <c r="W958" t="s">
        <v>28</v>
      </c>
      <c r="X958">
        <v>146</v>
      </c>
      <c r="Y958" s="16">
        <f>VLOOKUP(Tabela1[[#This Row],[SKU]],SKU!A:D,4,0)</f>
        <v>1000</v>
      </c>
      <c r="Z958" s="18">
        <f>IFERROR((Tabela1[[#This Row],[Média]]-Tabela1[[#This Row],[Meta]])/Tabela1[[#This Row],[Meta]],"")</f>
        <v>7.2999999999999541E-3</v>
      </c>
      <c r="AA958" s="29">
        <f>Tabela1[[#This Row],[Média]]-Tabela1[[#This Row],[Meta]]</f>
        <v>7.2999999999999545</v>
      </c>
      <c r="AB958" s="6" t="str">
        <f>VLOOKUP(Tabela1[[#This Row],[SKU]],SKU!A:B,2,0)</f>
        <v>COXA CG BDJ SE</v>
      </c>
      <c r="AC958" s="6" t="str">
        <f>VLOOKUP(Tabela1[[#This Row],[SKU]],SKU!A:C,3,0)</f>
        <v>PERNA</v>
      </c>
    </row>
    <row r="959" spans="1:29" x14ac:dyDescent="0.3">
      <c r="A959" s="2">
        <f>INT(Tabela1[[#This Row],[Data e Hora2]])</f>
        <v>46283</v>
      </c>
      <c r="B959" s="6" t="str">
        <f>UPPER(TEXT(Tabela1[[#This Row],[Data Corrigida]],"MMM"))</f>
        <v>SET</v>
      </c>
      <c r="C959" t="s">
        <v>2074</v>
      </c>
      <c r="D959" s="2" t="s">
        <v>2075</v>
      </c>
      <c r="E959" s="1" t="s">
        <v>2064</v>
      </c>
      <c r="F959" t="s">
        <v>24</v>
      </c>
      <c r="G959" s="2" t="s">
        <v>2065</v>
      </c>
      <c r="H959" t="s">
        <v>26</v>
      </c>
      <c r="I959" t="s">
        <v>27</v>
      </c>
      <c r="J959" s="6">
        <v>15849</v>
      </c>
      <c r="K959" s="16">
        <v>1007</v>
      </c>
      <c r="L959" s="16">
        <v>1004</v>
      </c>
      <c r="M959" s="16">
        <v>1000</v>
      </c>
      <c r="N959" s="16">
        <v>1000</v>
      </c>
      <c r="O959" s="16">
        <v>998</v>
      </c>
      <c r="P959" s="16">
        <v>996</v>
      </c>
      <c r="Q959" s="16">
        <v>1014</v>
      </c>
      <c r="R959" s="16">
        <v>994</v>
      </c>
      <c r="S959" s="16">
        <v>1006</v>
      </c>
      <c r="T959" s="16">
        <v>1008</v>
      </c>
      <c r="U959" s="15">
        <v>1002.7</v>
      </c>
      <c r="V959" t="s">
        <v>19</v>
      </c>
      <c r="W959" t="s">
        <v>28</v>
      </c>
      <c r="X959">
        <v>170</v>
      </c>
      <c r="Y959" s="16">
        <f>VLOOKUP(Tabela1[[#This Row],[SKU]],SKU!A:D,4,0)</f>
        <v>1000</v>
      </c>
      <c r="Z959" s="18">
        <f>IFERROR((Tabela1[[#This Row],[Média]]-Tabela1[[#This Row],[Meta]])/Tabela1[[#This Row],[Meta]],"")</f>
        <v>2.7000000000000457E-3</v>
      </c>
      <c r="AA959" s="29">
        <f>Tabela1[[#This Row],[Média]]-Tabela1[[#This Row],[Meta]]</f>
        <v>2.7000000000000455</v>
      </c>
      <c r="AB959" s="6" t="str">
        <f>VLOOKUP(Tabela1[[#This Row],[SKU]],SKU!A:B,2,0)</f>
        <v>FILEZINHO PEITO CG BDJ SE</v>
      </c>
      <c r="AC959" s="6" t="str">
        <f>VLOOKUP(Tabela1[[#This Row],[SKU]],SKU!A:C,3,0)</f>
        <v>SASSAMI</v>
      </c>
    </row>
    <row r="960" spans="1:29" x14ac:dyDescent="0.3">
      <c r="A960" s="2">
        <f>INT(Tabela1[[#This Row],[Data e Hora2]])</f>
        <v>46283</v>
      </c>
      <c r="B960" s="6" t="str">
        <f>UPPER(TEXT(Tabela1[[#This Row],[Data Corrigida]],"MMM"))</f>
        <v>SET</v>
      </c>
      <c r="C960" t="s">
        <v>2076</v>
      </c>
      <c r="D960" s="2" t="s">
        <v>2077</v>
      </c>
      <c r="E960" s="1" t="s">
        <v>2064</v>
      </c>
      <c r="F960" t="s">
        <v>24</v>
      </c>
      <c r="G960" s="2" t="s">
        <v>2065</v>
      </c>
      <c r="H960" t="s">
        <v>26</v>
      </c>
      <c r="I960" t="s">
        <v>27</v>
      </c>
      <c r="J960" s="6">
        <v>15105</v>
      </c>
      <c r="K960" s="16">
        <v>1018</v>
      </c>
      <c r="L960" s="16">
        <v>1006</v>
      </c>
      <c r="M960" s="16">
        <v>1037</v>
      </c>
      <c r="N960" s="16">
        <v>987</v>
      </c>
      <c r="O960" s="16">
        <v>1047</v>
      </c>
      <c r="P960" s="16">
        <v>1024</v>
      </c>
      <c r="Q960" s="16">
        <v>1038</v>
      </c>
      <c r="R960" s="16">
        <v>986</v>
      </c>
      <c r="S960" s="16">
        <v>1006</v>
      </c>
      <c r="T960" s="16">
        <v>975</v>
      </c>
      <c r="U960" s="15">
        <v>1012.4</v>
      </c>
      <c r="V960" t="s">
        <v>19</v>
      </c>
      <c r="W960" t="s">
        <v>28</v>
      </c>
      <c r="X960">
        <v>2638</v>
      </c>
      <c r="Y960" s="16">
        <f>VLOOKUP(Tabela1[[#This Row],[SKU]],SKU!A:D,4,0)</f>
        <v>1000</v>
      </c>
      <c r="Z960" s="18">
        <f>IFERROR((Tabela1[[#This Row],[Média]]-Tabela1[[#This Row],[Meta]])/Tabela1[[#This Row],[Meta]],"")</f>
        <v>1.2399999999999977E-2</v>
      </c>
      <c r="AA960" s="29">
        <f>Tabela1[[#This Row],[Média]]-Tabela1[[#This Row],[Meta]]</f>
        <v>12.399999999999977</v>
      </c>
      <c r="AB960" s="6" t="str">
        <f>VLOOKUP(Tabela1[[#This Row],[SKU]],SKU!A:B,2,0)</f>
        <v>FILE PEITO MET CG BDJ SE</v>
      </c>
      <c r="AC960" s="6" t="str">
        <f>VLOOKUP(Tabela1[[#This Row],[SKU]],SKU!A:C,3,0)</f>
        <v>PEITO</v>
      </c>
    </row>
    <row r="961" spans="1:29" x14ac:dyDescent="0.3">
      <c r="A961" s="2">
        <f>INT(Tabela1[[#This Row],[Data e Hora2]])</f>
        <v>46283</v>
      </c>
      <c r="B961" s="6" t="str">
        <f>UPPER(TEXT(Tabela1[[#This Row],[Data Corrigida]],"MMM"))</f>
        <v>SET</v>
      </c>
      <c r="C961" t="s">
        <v>2078</v>
      </c>
      <c r="D961" s="2" t="s">
        <v>2079</v>
      </c>
      <c r="E961" s="1" t="s">
        <v>2064</v>
      </c>
      <c r="F961" t="s">
        <v>24</v>
      </c>
      <c r="G961" s="2" t="s">
        <v>2065</v>
      </c>
      <c r="H961" t="s">
        <v>26</v>
      </c>
      <c r="I961" t="s">
        <v>27</v>
      </c>
      <c r="J961" s="6">
        <v>209069</v>
      </c>
      <c r="K961" s="16">
        <v>1021</v>
      </c>
      <c r="L961" s="16">
        <v>1011</v>
      </c>
      <c r="M961" s="16">
        <v>1042</v>
      </c>
      <c r="N961" s="16">
        <v>1092</v>
      </c>
      <c r="O961" s="16">
        <v>1070</v>
      </c>
      <c r="P961" s="16">
        <v>1023</v>
      </c>
      <c r="Q961" s="16">
        <v>1029</v>
      </c>
      <c r="R961" s="16">
        <v>1019</v>
      </c>
      <c r="S961" s="16">
        <v>1059</v>
      </c>
      <c r="T961" s="16">
        <v>1017</v>
      </c>
      <c r="U961" s="15">
        <v>1038.3</v>
      </c>
      <c r="V961" t="s">
        <v>19</v>
      </c>
      <c r="W961" t="s">
        <v>28</v>
      </c>
      <c r="X961">
        <v>178</v>
      </c>
      <c r="Y961" s="16">
        <f>VLOOKUP(Tabela1[[#This Row],[SKU]],SKU!A:D,4,0)</f>
        <v>1000</v>
      </c>
      <c r="Z961" s="18">
        <f>IFERROR((Tabela1[[#This Row],[Média]]-Tabela1[[#This Row],[Meta]])/Tabela1[[#This Row],[Meta]],"")</f>
        <v>3.8299999999999952E-2</v>
      </c>
      <c r="AA961" s="29">
        <f>Tabela1[[#This Row],[Média]]-Tabela1[[#This Row],[Meta]]</f>
        <v>38.299999999999955</v>
      </c>
      <c r="AB961" s="6" t="str">
        <f>VLOOKUP(Tabela1[[#This Row],[SKU]],SKU!A:B,2,0)</f>
        <v>FILE PEITO CG IQF1KG</v>
      </c>
      <c r="AC961" s="6" t="str">
        <f>VLOOKUP(Tabela1[[#This Row],[SKU]],SKU!A:C,3,0)</f>
        <v>PEITO</v>
      </c>
    </row>
    <row r="962" spans="1:29" x14ac:dyDescent="0.3">
      <c r="A962" s="2">
        <f>INT(Tabela1[[#This Row],[Data e Hora2]])</f>
        <v>46283</v>
      </c>
      <c r="B962" s="6" t="str">
        <f>UPPER(TEXT(Tabela1[[#This Row],[Data Corrigida]],"MMM"))</f>
        <v>SET</v>
      </c>
      <c r="C962" t="s">
        <v>2080</v>
      </c>
      <c r="D962" s="2" t="s">
        <v>2081</v>
      </c>
      <c r="E962" s="1" t="s">
        <v>2064</v>
      </c>
      <c r="F962" t="s">
        <v>24</v>
      </c>
      <c r="G962" s="2" t="s">
        <v>2065</v>
      </c>
      <c r="H962" t="s">
        <v>26</v>
      </c>
      <c r="I962" t="s">
        <v>27</v>
      </c>
      <c r="J962" s="6">
        <v>42854</v>
      </c>
      <c r="K962" s="16">
        <v>2020</v>
      </c>
      <c r="L962" s="16">
        <v>2027</v>
      </c>
      <c r="M962" s="16">
        <v>2018</v>
      </c>
      <c r="N962" s="16">
        <v>2002</v>
      </c>
      <c r="O962" s="16">
        <v>2005</v>
      </c>
      <c r="P962" s="16">
        <v>2017</v>
      </c>
      <c r="Q962" s="16">
        <v>2024</v>
      </c>
      <c r="R962" s="16">
        <v>2026</v>
      </c>
      <c r="S962" s="16">
        <v>2034</v>
      </c>
      <c r="T962" s="16">
        <v>2005</v>
      </c>
      <c r="U962" s="15">
        <v>2017.8</v>
      </c>
      <c r="V962" t="s">
        <v>19</v>
      </c>
      <c r="W962" t="s">
        <v>28</v>
      </c>
      <c r="X962">
        <v>261</v>
      </c>
      <c r="Y962" s="16">
        <f>VLOOKUP(Tabela1[[#This Row],[SKU]],SKU!A:D,4,0)</f>
        <v>2080</v>
      </c>
      <c r="Z962" s="18">
        <f>IFERROR((Tabela1[[#This Row],[Média]]-Tabela1[[#This Row],[Meta]])/Tabela1[[#This Row],[Meta]],"")</f>
        <v>-2.9903846153846177E-2</v>
      </c>
      <c r="AA962" s="29">
        <f>Tabela1[[#This Row],[Média]]-Tabela1[[#This Row],[Meta]]</f>
        <v>-62.200000000000045</v>
      </c>
      <c r="AB962" s="6" t="str">
        <f>VLOOKUP(Tabela1[[#This Row],[SKU]],SKU!A:B,2,0)</f>
        <v>COXA SBCX S/O FG 260-280g PB</v>
      </c>
      <c r="AC962" s="6" t="str">
        <f>VLOOKUP(Tabela1[[#This Row],[SKU]],SKU!A:C,3,0)</f>
        <v>PERNA</v>
      </c>
    </row>
    <row r="963" spans="1:29" x14ac:dyDescent="0.3">
      <c r="A963" s="2">
        <f>INT(Tabela1[[#This Row],[Data e Hora2]])</f>
        <v>46283</v>
      </c>
      <c r="B963" s="6" t="str">
        <f>UPPER(TEXT(Tabela1[[#This Row],[Data Corrigida]],"MMM"))</f>
        <v>SET</v>
      </c>
      <c r="C963" t="s">
        <v>2082</v>
      </c>
      <c r="D963" s="2" t="s">
        <v>2083</v>
      </c>
      <c r="E963" s="1" t="s">
        <v>2064</v>
      </c>
      <c r="F963" t="s">
        <v>24</v>
      </c>
      <c r="G963" s="2" t="s">
        <v>2065</v>
      </c>
      <c r="H963" t="s">
        <v>26</v>
      </c>
      <c r="I963" t="s">
        <v>27</v>
      </c>
      <c r="J963" s="6">
        <v>42846</v>
      </c>
      <c r="K963" s="16">
        <v>2001</v>
      </c>
      <c r="L963" s="16">
        <v>1991</v>
      </c>
      <c r="M963" s="16">
        <v>2002</v>
      </c>
      <c r="N963" s="16">
        <v>2005</v>
      </c>
      <c r="O963" s="16">
        <v>2014</v>
      </c>
      <c r="P963" s="16">
        <v>2008</v>
      </c>
      <c r="Q963" s="16">
        <v>2004</v>
      </c>
      <c r="R963" s="16">
        <v>2008</v>
      </c>
      <c r="S963" s="16">
        <v>2017</v>
      </c>
      <c r="T963" s="16">
        <v>1992</v>
      </c>
      <c r="U963" s="15">
        <v>2004.2</v>
      </c>
      <c r="V963" t="s">
        <v>19</v>
      </c>
      <c r="W963" t="s">
        <v>19</v>
      </c>
      <c r="X963">
        <v>116</v>
      </c>
      <c r="Y963" s="16">
        <f>VLOOKUP(Tabela1[[#This Row],[SKU]],SKU!A:D,4,0)</f>
        <v>2000</v>
      </c>
      <c r="Z963" s="18">
        <f>IFERROR((Tabela1[[#This Row],[Média]]-Tabela1[[#This Row],[Meta]])/Tabela1[[#This Row],[Meta]],"")</f>
        <v>2.1000000000000229E-3</v>
      </c>
      <c r="AA963" s="29">
        <f>Tabela1[[#This Row],[Média]]-Tabela1[[#This Row],[Meta]]</f>
        <v>4.2000000000000455</v>
      </c>
      <c r="AB963" s="6" t="str">
        <f>VLOOKUP(Tabela1[[#This Row],[SKU]],SKU!A:B,2,0)</f>
        <v>COXA SBCX S/O FG 240-260g PB</v>
      </c>
      <c r="AC963" s="6" t="str">
        <f>VLOOKUP(Tabela1[[#This Row],[SKU]],SKU!A:C,3,0)</f>
        <v>PERNA</v>
      </c>
    </row>
    <row r="964" spans="1:29" x14ac:dyDescent="0.3">
      <c r="A964" s="2">
        <f>INT(Tabela1[[#This Row],[Data e Hora2]])</f>
        <v>46283</v>
      </c>
      <c r="B964" s="6" t="str">
        <f>UPPER(TEXT(Tabela1[[#This Row],[Data Corrigida]],"MMM"))</f>
        <v>SET</v>
      </c>
      <c r="C964" t="s">
        <v>2084</v>
      </c>
      <c r="D964" s="2" t="s">
        <v>2085</v>
      </c>
      <c r="E964" s="1" t="s">
        <v>2064</v>
      </c>
      <c r="F964" t="s">
        <v>24</v>
      </c>
      <c r="G964" s="2" t="s">
        <v>2065</v>
      </c>
      <c r="H964" t="s">
        <v>26</v>
      </c>
      <c r="I964" t="s">
        <v>27</v>
      </c>
      <c r="J964" s="6">
        <v>42820</v>
      </c>
      <c r="K964" s="16">
        <v>2080</v>
      </c>
      <c r="L964" s="16">
        <v>2093</v>
      </c>
      <c r="M964" s="16">
        <v>2046</v>
      </c>
      <c r="N964" s="16">
        <v>2064</v>
      </c>
      <c r="O964" s="16">
        <v>2011</v>
      </c>
      <c r="P964" s="16">
        <v>2045</v>
      </c>
      <c r="Q964" s="16">
        <v>2027</v>
      </c>
      <c r="R964" s="16">
        <v>2050</v>
      </c>
      <c r="S964" s="16">
        <v>2084</v>
      </c>
      <c r="T964" s="16">
        <v>2003</v>
      </c>
      <c r="U964" s="15">
        <v>2050.3000000000002</v>
      </c>
      <c r="V964" t="s">
        <v>19</v>
      </c>
      <c r="W964" t="s">
        <v>28</v>
      </c>
      <c r="X964">
        <v>115</v>
      </c>
      <c r="Y964" s="16">
        <f>VLOOKUP(Tabela1[[#This Row],[SKU]],SKU!A:D,4,0)</f>
        <v>2000</v>
      </c>
      <c r="Z964" s="18">
        <f>IFERROR((Tabela1[[#This Row],[Média]]-Tabela1[[#This Row],[Meta]])/Tabela1[[#This Row],[Meta]],"")</f>
        <v>2.5150000000000092E-2</v>
      </c>
      <c r="AA964" s="29">
        <f>Tabela1[[#This Row],[Média]]-Tabela1[[#This Row],[Meta]]</f>
        <v>50.300000000000182</v>
      </c>
      <c r="AB964" s="6" t="str">
        <f>VLOOKUP(Tabela1[[#This Row],[SKU]],SKU!A:B,2,0)</f>
        <v>COXA SBCX S/O FG 200-220g PB</v>
      </c>
      <c r="AC964" s="6" t="str">
        <f>VLOOKUP(Tabela1[[#This Row],[SKU]],SKU!A:C,3,0)</f>
        <v>PERNA</v>
      </c>
    </row>
    <row r="965" spans="1:29" x14ac:dyDescent="0.3">
      <c r="A965" s="2">
        <f>INT(Tabela1[[#This Row],[Data e Hora2]])</f>
        <v>46283</v>
      </c>
      <c r="B965" s="6" t="str">
        <f>UPPER(TEXT(Tabela1[[#This Row],[Data Corrigida]],"MMM"))</f>
        <v>SET</v>
      </c>
      <c r="C965" t="s">
        <v>2086</v>
      </c>
      <c r="D965" s="2" t="s">
        <v>2087</v>
      </c>
      <c r="E965" s="1" t="s">
        <v>2088</v>
      </c>
      <c r="F965" t="s">
        <v>24</v>
      </c>
      <c r="G965" s="2" t="s">
        <v>2065</v>
      </c>
      <c r="H965" t="s">
        <v>26</v>
      </c>
      <c r="I965" t="s">
        <v>27</v>
      </c>
      <c r="J965" s="6">
        <v>42854</v>
      </c>
      <c r="K965" s="16">
        <v>2104</v>
      </c>
      <c r="L965" s="16">
        <v>2095</v>
      </c>
      <c r="M965" s="16">
        <v>2093</v>
      </c>
      <c r="N965" s="16">
        <v>2085</v>
      </c>
      <c r="O965" s="16">
        <v>2095</v>
      </c>
      <c r="P965" s="16">
        <v>2108</v>
      </c>
      <c r="Q965" s="16">
        <v>2012</v>
      </c>
      <c r="R965" s="16">
        <v>2093</v>
      </c>
      <c r="S965" s="16">
        <v>2037</v>
      </c>
      <c r="T965" s="16">
        <v>2007</v>
      </c>
      <c r="U965" s="15">
        <v>2072.9</v>
      </c>
      <c r="V965" t="s">
        <v>19</v>
      </c>
      <c r="W965" t="s">
        <v>19</v>
      </c>
      <c r="X965">
        <v>131</v>
      </c>
      <c r="Y965" s="16">
        <f>VLOOKUP(Tabela1[[#This Row],[SKU]],SKU!A:D,4,0)</f>
        <v>2080</v>
      </c>
      <c r="Z965" s="18">
        <f>IFERROR((Tabela1[[#This Row],[Média]]-Tabela1[[#This Row],[Meta]])/Tabela1[[#This Row],[Meta]],"")</f>
        <v>-3.4134615384614946E-3</v>
      </c>
      <c r="AA965" s="29">
        <f>Tabela1[[#This Row],[Média]]-Tabela1[[#This Row],[Meta]]</f>
        <v>-7.0999999999999091</v>
      </c>
      <c r="AB965" s="6" t="str">
        <f>VLOOKUP(Tabela1[[#This Row],[SKU]],SKU!A:B,2,0)</f>
        <v>COXA SBCX S/O FG 260-280g PB</v>
      </c>
      <c r="AC965" s="6" t="str">
        <f>VLOOKUP(Tabela1[[#This Row],[SKU]],SKU!A:C,3,0)</f>
        <v>PERNA</v>
      </c>
    </row>
    <row r="966" spans="1:29" x14ac:dyDescent="0.3">
      <c r="A966" s="2">
        <f>INT(Tabela1[[#This Row],[Data e Hora2]])</f>
        <v>46283</v>
      </c>
      <c r="B966" s="6" t="str">
        <f>UPPER(TEXT(Tabela1[[#This Row],[Data Corrigida]],"MMM"))</f>
        <v>SET</v>
      </c>
      <c r="C966" t="s">
        <v>2089</v>
      </c>
      <c r="D966" s="2" t="s">
        <v>2090</v>
      </c>
      <c r="E966" s="1" t="s">
        <v>2088</v>
      </c>
      <c r="F966" t="s">
        <v>24</v>
      </c>
      <c r="G966" s="2" t="s">
        <v>2065</v>
      </c>
      <c r="H966" t="s">
        <v>26</v>
      </c>
      <c r="I966" t="s">
        <v>27</v>
      </c>
      <c r="J966" s="6">
        <v>42838</v>
      </c>
      <c r="K966" s="16">
        <v>2069</v>
      </c>
      <c r="L966" s="16">
        <v>2024</v>
      </c>
      <c r="M966" s="16">
        <v>2039</v>
      </c>
      <c r="N966" s="16">
        <v>2023</v>
      </c>
      <c r="O966" s="16">
        <v>2008</v>
      </c>
      <c r="P966" s="16">
        <v>2049</v>
      </c>
      <c r="Q966" s="16">
        <v>2045</v>
      </c>
      <c r="R966" s="16">
        <v>2045</v>
      </c>
      <c r="S966" s="16">
        <v>2036</v>
      </c>
      <c r="T966" s="16">
        <v>2061</v>
      </c>
      <c r="U966" s="15">
        <v>2039.9</v>
      </c>
      <c r="V966" t="s">
        <v>19</v>
      </c>
      <c r="W966" t="s">
        <v>28</v>
      </c>
      <c r="X966">
        <v>105</v>
      </c>
      <c r="Y966" s="16">
        <f>VLOOKUP(Tabela1[[#This Row],[SKU]],SKU!A:D,4,0)</f>
        <v>2000</v>
      </c>
      <c r="Z966" s="18">
        <f>IFERROR((Tabela1[[#This Row],[Média]]-Tabela1[[#This Row],[Meta]])/Tabela1[[#This Row],[Meta]],"")</f>
        <v>1.9950000000000044E-2</v>
      </c>
      <c r="AA966" s="29">
        <f>Tabela1[[#This Row],[Média]]-Tabela1[[#This Row],[Meta]]</f>
        <v>39.900000000000091</v>
      </c>
      <c r="AB966" s="6" t="str">
        <f>VLOOKUP(Tabela1[[#This Row],[SKU]],SKU!A:B,2,0)</f>
        <v>COXA SBCX S/O FG 220-240g PB</v>
      </c>
      <c r="AC966" s="6" t="str">
        <f>VLOOKUP(Tabela1[[#This Row],[SKU]],SKU!A:C,3,0)</f>
        <v>PERNA</v>
      </c>
    </row>
    <row r="967" spans="1:29" x14ac:dyDescent="0.3">
      <c r="A967" s="2">
        <f>INT(Tabela1[[#This Row],[Data e Hora2]])</f>
        <v>46283</v>
      </c>
      <c r="B967" s="6" t="str">
        <f>UPPER(TEXT(Tabela1[[#This Row],[Data Corrigida]],"MMM"))</f>
        <v>SET</v>
      </c>
      <c r="C967" t="s">
        <v>2091</v>
      </c>
      <c r="D967" s="2" t="s">
        <v>2092</v>
      </c>
      <c r="E967" s="1" t="s">
        <v>2088</v>
      </c>
      <c r="F967" t="s">
        <v>24</v>
      </c>
      <c r="G967" s="2" t="s">
        <v>2065</v>
      </c>
      <c r="H967" t="s">
        <v>26</v>
      </c>
      <c r="I967" t="s">
        <v>27</v>
      </c>
      <c r="J967" s="6">
        <v>40762</v>
      </c>
      <c r="K967" s="16">
        <v>10060</v>
      </c>
      <c r="L967" s="16">
        <v>10080</v>
      </c>
      <c r="M967" s="16">
        <v>10065</v>
      </c>
      <c r="N967" s="16">
        <v>10010</v>
      </c>
      <c r="O967" s="16">
        <v>10020</v>
      </c>
      <c r="P967" s="16">
        <v>10080</v>
      </c>
      <c r="Q967" s="16">
        <v>10065</v>
      </c>
      <c r="R967" s="16">
        <v>10050</v>
      </c>
      <c r="S967" s="16">
        <v>10040</v>
      </c>
      <c r="T967" s="16">
        <v>9985</v>
      </c>
      <c r="U967" s="15">
        <v>10045.5</v>
      </c>
      <c r="V967" t="s">
        <v>19</v>
      </c>
      <c r="W967" t="s">
        <v>19</v>
      </c>
      <c r="X967">
        <v>418</v>
      </c>
      <c r="Y967" s="16">
        <f>VLOOKUP(Tabela1[[#This Row],[SKU]],SKU!A:D,4,0)</f>
        <v>10000</v>
      </c>
      <c r="Z967" s="18">
        <f>IFERROR((Tabela1[[#This Row],[Média]]-Tabela1[[#This Row],[Meta]])/Tabela1[[#This Row],[Meta]],"")</f>
        <v>4.5500000000000002E-3</v>
      </c>
      <c r="AA967" s="29">
        <f>Tabela1[[#This Row],[Média]]-Tabela1[[#This Row],[Meta]]</f>
        <v>45.5</v>
      </c>
      <c r="AB967" s="6" t="str">
        <f>VLOOKUP(Tabela1[[#This Row],[SKU]],SKU!A:B,2,0)</f>
        <v>COXA SBCX LQ FG LP</v>
      </c>
      <c r="AC967" s="6" t="str">
        <f>VLOOKUP(Tabela1[[#This Row],[SKU]],SKU!A:C,3,0)</f>
        <v>PERNA</v>
      </c>
    </row>
    <row r="968" spans="1:29" x14ac:dyDescent="0.3">
      <c r="A968" s="2">
        <f>INT(Tabela1[[#This Row],[Data e Hora2]])</f>
        <v>46283</v>
      </c>
      <c r="B968" s="6" t="str">
        <f>UPPER(TEXT(Tabela1[[#This Row],[Data Corrigida]],"MMM"))</f>
        <v>SET</v>
      </c>
      <c r="C968" t="s">
        <v>2093</v>
      </c>
      <c r="D968" s="2" t="s">
        <v>2094</v>
      </c>
      <c r="E968" s="1" t="s">
        <v>2088</v>
      </c>
      <c r="F968" t="s">
        <v>24</v>
      </c>
      <c r="G968" s="2" t="s">
        <v>2065</v>
      </c>
      <c r="H968" t="s">
        <v>26</v>
      </c>
      <c r="I968" t="s">
        <v>27</v>
      </c>
      <c r="J968" s="6">
        <v>13188</v>
      </c>
      <c r="K968" s="16">
        <v>1012</v>
      </c>
      <c r="L968" s="16">
        <v>1010</v>
      </c>
      <c r="M968" s="16">
        <v>1010</v>
      </c>
      <c r="N968" s="16">
        <v>1008</v>
      </c>
      <c r="O968" s="16">
        <v>1007</v>
      </c>
      <c r="P968" s="16">
        <v>1015</v>
      </c>
      <c r="Q968" s="16">
        <v>1016</v>
      </c>
      <c r="R968" s="16">
        <v>1006</v>
      </c>
      <c r="S968" s="16">
        <v>1008</v>
      </c>
      <c r="T968" s="16">
        <v>1003</v>
      </c>
      <c r="U968" s="15">
        <v>1009.5</v>
      </c>
      <c r="V968" t="s">
        <v>19</v>
      </c>
      <c r="W968" t="s">
        <v>28</v>
      </c>
      <c r="X968">
        <v>154</v>
      </c>
      <c r="Y968" s="16">
        <f>VLOOKUP(Tabela1[[#This Row],[SKU]],SKU!A:D,4,0)</f>
        <v>1000</v>
      </c>
      <c r="Z968" s="18">
        <f>IFERROR((Tabela1[[#This Row],[Média]]-Tabela1[[#This Row],[Meta]])/Tabela1[[#This Row],[Meta]],"")</f>
        <v>9.4999999999999998E-3</v>
      </c>
      <c r="AA968" s="29">
        <f>Tabela1[[#This Row],[Média]]-Tabela1[[#This Row],[Meta]]</f>
        <v>9.5</v>
      </c>
      <c r="AB968" s="6" t="str">
        <f>VLOOKUP(Tabela1[[#This Row],[SKU]],SKU!A:B,2,0)</f>
        <v>SOBRECOXA CG BDJ SE</v>
      </c>
      <c r="AC968" s="6" t="str">
        <f>VLOOKUP(Tabela1[[#This Row],[SKU]],SKU!A:C,3,0)</f>
        <v>PERNA</v>
      </c>
    </row>
    <row r="969" spans="1:29" x14ac:dyDescent="0.3">
      <c r="A969" s="2">
        <f>INT(Tabela1[[#This Row],[Data e Hora2]])</f>
        <v>46283</v>
      </c>
      <c r="B969" s="6" t="str">
        <f>UPPER(TEXT(Tabela1[[#This Row],[Data Corrigida]],"MMM"))</f>
        <v>SET</v>
      </c>
      <c r="C969" t="s">
        <v>2095</v>
      </c>
      <c r="D969" s="2" t="s">
        <v>2096</v>
      </c>
      <c r="E969" s="1" t="s">
        <v>2088</v>
      </c>
      <c r="F969" t="s">
        <v>24</v>
      </c>
      <c r="G969" s="2" t="s">
        <v>2065</v>
      </c>
      <c r="H969" t="s">
        <v>26</v>
      </c>
      <c r="I969" t="s">
        <v>27</v>
      </c>
      <c r="J969" s="6">
        <v>15849</v>
      </c>
      <c r="K969" s="16">
        <v>1004</v>
      </c>
      <c r="L969" s="16">
        <v>1010</v>
      </c>
      <c r="M969" s="16">
        <v>1004</v>
      </c>
      <c r="N969" s="16">
        <v>1003</v>
      </c>
      <c r="O969" s="16">
        <v>1001</v>
      </c>
      <c r="P969" s="16">
        <v>997</v>
      </c>
      <c r="Q969" s="16">
        <v>999</v>
      </c>
      <c r="R969" s="16">
        <v>1013</v>
      </c>
      <c r="S969" s="16">
        <v>999</v>
      </c>
      <c r="T969" s="16">
        <v>1013</v>
      </c>
      <c r="U969" s="15">
        <v>1004.3</v>
      </c>
      <c r="V969" t="s">
        <v>19</v>
      </c>
      <c r="W969" t="s">
        <v>28</v>
      </c>
      <c r="X969">
        <v>3375</v>
      </c>
      <c r="Y969" s="16">
        <f>VLOOKUP(Tabela1[[#This Row],[SKU]],SKU!A:D,4,0)</f>
        <v>1000</v>
      </c>
      <c r="Z969" s="18">
        <f>IFERROR((Tabela1[[#This Row],[Média]]-Tabela1[[#This Row],[Meta]])/Tabela1[[#This Row],[Meta]],"")</f>
        <v>4.2999999999999549E-3</v>
      </c>
      <c r="AA969" s="29">
        <f>Tabela1[[#This Row],[Média]]-Tabela1[[#This Row],[Meta]]</f>
        <v>4.2999999999999545</v>
      </c>
      <c r="AB969" s="6" t="str">
        <f>VLOOKUP(Tabela1[[#This Row],[SKU]],SKU!A:B,2,0)</f>
        <v>FILEZINHO PEITO CG BDJ SE</v>
      </c>
      <c r="AC969" s="6" t="str">
        <f>VLOOKUP(Tabela1[[#This Row],[SKU]],SKU!A:C,3,0)</f>
        <v>SASSAMI</v>
      </c>
    </row>
    <row r="970" spans="1:29" x14ac:dyDescent="0.3">
      <c r="A970" s="2">
        <f>INT(Tabela1[[#This Row],[Data e Hora2]])</f>
        <v>46283</v>
      </c>
      <c r="B970" s="6" t="str">
        <f>UPPER(TEXT(Tabela1[[#This Row],[Data Corrigida]],"MMM"))</f>
        <v>SET</v>
      </c>
      <c r="C970" t="s">
        <v>2097</v>
      </c>
      <c r="D970" s="2" t="s">
        <v>2098</v>
      </c>
      <c r="E970" s="1" t="s">
        <v>2088</v>
      </c>
      <c r="F970" t="s">
        <v>24</v>
      </c>
      <c r="G970" s="2" t="s">
        <v>2065</v>
      </c>
      <c r="H970" t="s">
        <v>26</v>
      </c>
      <c r="I970" t="s">
        <v>27</v>
      </c>
      <c r="J970" s="6">
        <v>15105</v>
      </c>
      <c r="K970" s="16">
        <v>995</v>
      </c>
      <c r="L970" s="16">
        <v>1031</v>
      </c>
      <c r="M970" s="16">
        <v>1028</v>
      </c>
      <c r="N970" s="16">
        <v>1010</v>
      </c>
      <c r="O970" s="16">
        <v>1015</v>
      </c>
      <c r="P970" s="16">
        <v>1007</v>
      </c>
      <c r="Q970" s="16">
        <v>999</v>
      </c>
      <c r="R970" s="16">
        <v>1049</v>
      </c>
      <c r="S970" s="16">
        <v>1007</v>
      </c>
      <c r="T970" s="16">
        <v>966</v>
      </c>
      <c r="U970" s="15">
        <v>1010.7</v>
      </c>
      <c r="V970" t="s">
        <v>19</v>
      </c>
      <c r="W970" t="s">
        <v>28</v>
      </c>
      <c r="X970">
        <v>3553</v>
      </c>
      <c r="Y970" s="16">
        <f>VLOOKUP(Tabela1[[#This Row],[SKU]],SKU!A:D,4,0)</f>
        <v>1000</v>
      </c>
      <c r="Z970" s="18">
        <f>IFERROR((Tabela1[[#This Row],[Média]]-Tabela1[[#This Row],[Meta]])/Tabela1[[#This Row],[Meta]],"")</f>
        <v>1.0700000000000046E-2</v>
      </c>
      <c r="AA970" s="29">
        <f>Tabela1[[#This Row],[Média]]-Tabela1[[#This Row],[Meta]]</f>
        <v>10.700000000000045</v>
      </c>
      <c r="AB970" s="6" t="str">
        <f>VLOOKUP(Tabela1[[#This Row],[SKU]],SKU!A:B,2,0)</f>
        <v>FILE PEITO MET CG BDJ SE</v>
      </c>
      <c r="AC970" s="6" t="str">
        <f>VLOOKUP(Tabela1[[#This Row],[SKU]],SKU!A:C,3,0)</f>
        <v>PEITO</v>
      </c>
    </row>
    <row r="971" spans="1:29" x14ac:dyDescent="0.3">
      <c r="A971" s="2">
        <f>INT(Tabela1[[#This Row],[Data e Hora2]])</f>
        <v>46283</v>
      </c>
      <c r="B971" s="6" t="str">
        <f>UPPER(TEXT(Tabela1[[#This Row],[Data Corrigida]],"MMM"))</f>
        <v>SET</v>
      </c>
      <c r="C971" t="s">
        <v>2099</v>
      </c>
      <c r="D971" s="2" t="s">
        <v>2100</v>
      </c>
      <c r="E971" s="1" t="s">
        <v>2088</v>
      </c>
      <c r="F971" t="s">
        <v>24</v>
      </c>
      <c r="G971" s="2" t="s">
        <v>2065</v>
      </c>
      <c r="H971" t="s">
        <v>26</v>
      </c>
      <c r="I971" t="s">
        <v>27</v>
      </c>
      <c r="J971" s="6">
        <v>992093</v>
      </c>
      <c r="K971" s="16">
        <v>5011</v>
      </c>
      <c r="L971" s="16">
        <v>5009</v>
      </c>
      <c r="M971" s="16">
        <v>5008</v>
      </c>
      <c r="N971" s="16">
        <v>5006</v>
      </c>
      <c r="O971" s="16">
        <v>5011</v>
      </c>
      <c r="P971" s="16">
        <v>5010</v>
      </c>
      <c r="Q971" s="16">
        <v>5012</v>
      </c>
      <c r="R971" s="16">
        <v>5015</v>
      </c>
      <c r="S971" s="16">
        <v>5014</v>
      </c>
      <c r="T971" s="16">
        <v>5021</v>
      </c>
      <c r="U971" s="15">
        <v>5011.7</v>
      </c>
      <c r="V971" t="s">
        <v>19</v>
      </c>
      <c r="W971" t="s">
        <v>28</v>
      </c>
      <c r="X971">
        <v>189</v>
      </c>
      <c r="Y971" s="16">
        <f>VLOOKUP(Tabela1[[#This Row],[SKU]],SKU!A:D,4,0)</f>
        <v>5000</v>
      </c>
      <c r="Z971" s="18">
        <f>IFERROR((Tabela1[[#This Row],[Média]]-Tabela1[[#This Row],[Meta]])/Tabela1[[#This Row],[Meta]],"")</f>
        <v>2.3399999999999636E-3</v>
      </c>
      <c r="AA971" s="29">
        <f>Tabela1[[#This Row],[Média]]-Tabela1[[#This Row],[Meta]]</f>
        <v>11.699999999999818</v>
      </c>
      <c r="AB971" s="6" t="str">
        <f>VLOOKUP(Tabela1[[#This Row],[SKU]],SKU!A:B,2,0)</f>
        <v>PONTA ASA FG PB CG</v>
      </c>
      <c r="AC971" s="6" t="str">
        <f>VLOOKUP(Tabela1[[#This Row],[SKU]],SKU!A:C,3,0)</f>
        <v>ASA</v>
      </c>
    </row>
    <row r="972" spans="1:29" x14ac:dyDescent="0.3">
      <c r="A972" s="2">
        <f>INT(Tabela1[[#This Row],[Data e Hora2]])</f>
        <v>46283</v>
      </c>
      <c r="B972" s="6" t="str">
        <f>UPPER(TEXT(Tabela1[[#This Row],[Data Corrigida]],"MMM"))</f>
        <v>SET</v>
      </c>
      <c r="C972" t="s">
        <v>2101</v>
      </c>
      <c r="D972" s="2" t="s">
        <v>2102</v>
      </c>
      <c r="E972" s="1" t="s">
        <v>2103</v>
      </c>
      <c r="F972" t="s">
        <v>24</v>
      </c>
      <c r="G972" s="2" t="s">
        <v>2065</v>
      </c>
      <c r="H972" t="s">
        <v>26</v>
      </c>
      <c r="I972" t="s">
        <v>57</v>
      </c>
      <c r="J972" s="6">
        <v>42820</v>
      </c>
      <c r="K972" s="16">
        <v>2080</v>
      </c>
      <c r="L972" s="16">
        <v>2012</v>
      </c>
      <c r="M972" s="16">
        <v>2003</v>
      </c>
      <c r="N972" s="16">
        <v>2014</v>
      </c>
      <c r="O972" s="16">
        <v>1987</v>
      </c>
      <c r="P972" s="16">
        <v>1983</v>
      </c>
      <c r="Q972" s="16">
        <v>2042</v>
      </c>
      <c r="R972" s="16">
        <v>2064</v>
      </c>
      <c r="S972" s="16">
        <v>2017</v>
      </c>
      <c r="T972" s="16">
        <v>2045</v>
      </c>
      <c r="U972" s="15">
        <v>2024.7</v>
      </c>
      <c r="V972" t="s">
        <v>19</v>
      </c>
      <c r="W972" t="s">
        <v>28</v>
      </c>
      <c r="X972">
        <v>484</v>
      </c>
      <c r="Y972" s="16">
        <f>VLOOKUP(Tabela1[[#This Row],[SKU]],SKU!A:D,4,0)</f>
        <v>2000</v>
      </c>
      <c r="Z972" s="18">
        <f>IFERROR((Tabela1[[#This Row],[Média]]-Tabela1[[#This Row],[Meta]])/Tabela1[[#This Row],[Meta]],"")</f>
        <v>1.2350000000000022E-2</v>
      </c>
      <c r="AA972" s="29">
        <f>Tabela1[[#This Row],[Média]]-Tabela1[[#This Row],[Meta]]</f>
        <v>24.700000000000045</v>
      </c>
      <c r="AB972" s="6" t="str">
        <f>VLOOKUP(Tabela1[[#This Row],[SKU]],SKU!A:B,2,0)</f>
        <v>COXA SBCX S/O FG 200-220g PB</v>
      </c>
      <c r="AC972" s="6" t="str">
        <f>VLOOKUP(Tabela1[[#This Row],[SKU]],SKU!A:C,3,0)</f>
        <v>PERNA</v>
      </c>
    </row>
    <row r="973" spans="1:29" x14ac:dyDescent="0.3">
      <c r="A973" s="2">
        <f>INT(Tabela1[[#This Row],[Data e Hora2]])</f>
        <v>46283</v>
      </c>
      <c r="B973" s="6" t="str">
        <f>UPPER(TEXT(Tabela1[[#This Row],[Data Corrigida]],"MMM"))</f>
        <v>SET</v>
      </c>
      <c r="C973" t="s">
        <v>2104</v>
      </c>
      <c r="D973" s="2" t="s">
        <v>2105</v>
      </c>
      <c r="E973" s="1" t="s">
        <v>2103</v>
      </c>
      <c r="F973" t="s">
        <v>24</v>
      </c>
      <c r="G973" s="2" t="s">
        <v>2065</v>
      </c>
      <c r="H973" t="s">
        <v>26</v>
      </c>
      <c r="I973" t="s">
        <v>57</v>
      </c>
      <c r="J973" s="6">
        <v>42846</v>
      </c>
      <c r="K973" s="16">
        <v>2003</v>
      </c>
      <c r="L973" s="16">
        <v>1999</v>
      </c>
      <c r="M973" s="16">
        <v>2014</v>
      </c>
      <c r="N973" s="16">
        <v>2012</v>
      </c>
      <c r="O973" s="16">
        <v>2001</v>
      </c>
      <c r="P973" s="16">
        <v>2003</v>
      </c>
      <c r="Q973" s="16">
        <v>2000</v>
      </c>
      <c r="R973" s="16">
        <v>2007</v>
      </c>
      <c r="S973" s="16">
        <v>2012</v>
      </c>
      <c r="T973" s="16">
        <v>2025</v>
      </c>
      <c r="U973" s="15">
        <v>2007.6</v>
      </c>
      <c r="V973" t="s">
        <v>19</v>
      </c>
      <c r="W973" t="s">
        <v>28</v>
      </c>
      <c r="X973">
        <v>639</v>
      </c>
      <c r="Y973" s="16">
        <f>VLOOKUP(Tabela1[[#This Row],[SKU]],SKU!A:D,4,0)</f>
        <v>2000</v>
      </c>
      <c r="Z973" s="18">
        <f>IFERROR((Tabela1[[#This Row],[Média]]-Tabela1[[#This Row],[Meta]])/Tabela1[[#This Row],[Meta]],"")</f>
        <v>3.7999999999999545E-3</v>
      </c>
      <c r="AA973" s="29">
        <f>Tabela1[[#This Row],[Média]]-Tabela1[[#This Row],[Meta]]</f>
        <v>7.5999999999999091</v>
      </c>
      <c r="AB973" s="6" t="str">
        <f>VLOOKUP(Tabela1[[#This Row],[SKU]],SKU!A:B,2,0)</f>
        <v>COXA SBCX S/O FG 240-260g PB</v>
      </c>
      <c r="AC973" s="6" t="str">
        <f>VLOOKUP(Tabela1[[#This Row],[SKU]],SKU!A:C,3,0)</f>
        <v>PERNA</v>
      </c>
    </row>
    <row r="974" spans="1:29" x14ac:dyDescent="0.3">
      <c r="A974" s="2">
        <f>INT(Tabela1[[#This Row],[Data e Hora2]])</f>
        <v>46283</v>
      </c>
      <c r="B974" s="6" t="str">
        <f>UPPER(TEXT(Tabela1[[#This Row],[Data Corrigida]],"MMM"))</f>
        <v>SET</v>
      </c>
      <c r="C974" t="s">
        <v>2106</v>
      </c>
      <c r="D974" s="2" t="s">
        <v>2107</v>
      </c>
      <c r="E974" s="1" t="s">
        <v>2103</v>
      </c>
      <c r="F974" t="s">
        <v>24</v>
      </c>
      <c r="G974" s="2" t="s">
        <v>2065</v>
      </c>
      <c r="H974" t="s">
        <v>26</v>
      </c>
      <c r="I974" t="s">
        <v>57</v>
      </c>
      <c r="J974" s="6">
        <v>42838</v>
      </c>
      <c r="K974" s="16">
        <v>2016</v>
      </c>
      <c r="L974" s="16">
        <v>2026</v>
      </c>
      <c r="M974" s="16">
        <v>2016</v>
      </c>
      <c r="N974" s="16">
        <v>2058</v>
      </c>
      <c r="O974" s="16">
        <v>2038</v>
      </c>
      <c r="P974" s="16">
        <v>2011</v>
      </c>
      <c r="Q974" s="16">
        <v>2032</v>
      </c>
      <c r="R974" s="16">
        <v>2008</v>
      </c>
      <c r="S974" s="16">
        <v>2009</v>
      </c>
      <c r="T974" s="16">
        <v>2000</v>
      </c>
      <c r="U974" s="15">
        <v>2021.4</v>
      </c>
      <c r="V974" t="s">
        <v>19</v>
      </c>
      <c r="W974" t="s">
        <v>28</v>
      </c>
      <c r="X974">
        <v>204</v>
      </c>
      <c r="Y974" s="16">
        <f>VLOOKUP(Tabela1[[#This Row],[SKU]],SKU!A:D,4,0)</f>
        <v>2000</v>
      </c>
      <c r="Z974" s="18">
        <f>IFERROR((Tabela1[[#This Row],[Média]]-Tabela1[[#This Row],[Meta]])/Tabela1[[#This Row],[Meta]],"")</f>
        <v>1.0700000000000046E-2</v>
      </c>
      <c r="AA974" s="29">
        <f>Tabela1[[#This Row],[Média]]-Tabela1[[#This Row],[Meta]]</f>
        <v>21.400000000000091</v>
      </c>
      <c r="AB974" s="6" t="str">
        <f>VLOOKUP(Tabela1[[#This Row],[SKU]],SKU!A:B,2,0)</f>
        <v>COXA SBCX S/O FG 220-240g PB</v>
      </c>
      <c r="AC974" s="6" t="str">
        <f>VLOOKUP(Tabela1[[#This Row],[SKU]],SKU!A:C,3,0)</f>
        <v>PERNA</v>
      </c>
    </row>
    <row r="975" spans="1:29" x14ac:dyDescent="0.3">
      <c r="A975" s="2">
        <f>INT(Tabela1[[#This Row],[Data e Hora2]])</f>
        <v>46283</v>
      </c>
      <c r="B975" s="6" t="str">
        <f>UPPER(TEXT(Tabela1[[#This Row],[Data Corrigida]],"MMM"))</f>
        <v>SET</v>
      </c>
      <c r="C975" t="s">
        <v>2108</v>
      </c>
      <c r="D975" s="2" t="s">
        <v>2109</v>
      </c>
      <c r="E975" s="1" t="s">
        <v>2110</v>
      </c>
      <c r="F975" t="s">
        <v>24</v>
      </c>
      <c r="G975" s="2" t="s">
        <v>2065</v>
      </c>
      <c r="H975" t="s">
        <v>26</v>
      </c>
      <c r="I975" t="s">
        <v>57</v>
      </c>
      <c r="J975" s="6">
        <v>209069</v>
      </c>
      <c r="K975" s="16">
        <v>1013</v>
      </c>
      <c r="L975" s="16">
        <v>997</v>
      </c>
      <c r="M975" s="16">
        <v>1010</v>
      </c>
      <c r="N975" s="16">
        <v>1003</v>
      </c>
      <c r="O975" s="16">
        <v>993</v>
      </c>
      <c r="P975" s="16">
        <v>988</v>
      </c>
      <c r="Q975" s="16">
        <v>1037</v>
      </c>
      <c r="R975" s="16">
        <v>1027</v>
      </c>
      <c r="S975" s="16">
        <v>994</v>
      </c>
      <c r="T975" s="16">
        <v>1044</v>
      </c>
      <c r="U975" s="15">
        <v>1010.6</v>
      </c>
      <c r="V975" t="s">
        <v>19</v>
      </c>
      <c r="W975" t="s">
        <v>28</v>
      </c>
      <c r="X975">
        <v>229</v>
      </c>
      <c r="Y975" s="16">
        <f>VLOOKUP(Tabela1[[#This Row],[SKU]],SKU!A:D,4,0)</f>
        <v>1000</v>
      </c>
      <c r="Z975" s="18">
        <f>IFERROR((Tabela1[[#This Row],[Média]]-Tabela1[[#This Row],[Meta]])/Tabela1[[#This Row],[Meta]],"")</f>
        <v>1.0600000000000023E-2</v>
      </c>
      <c r="AA975" s="29">
        <f>Tabela1[[#This Row],[Média]]-Tabela1[[#This Row],[Meta]]</f>
        <v>10.600000000000023</v>
      </c>
      <c r="AB975" s="6" t="str">
        <f>VLOOKUP(Tabela1[[#This Row],[SKU]],SKU!A:B,2,0)</f>
        <v>FILE PEITO CG IQF1KG</v>
      </c>
      <c r="AC975" s="6" t="str">
        <f>VLOOKUP(Tabela1[[#This Row],[SKU]],SKU!A:C,3,0)</f>
        <v>PEITO</v>
      </c>
    </row>
    <row r="976" spans="1:29" x14ac:dyDescent="0.3">
      <c r="A976" s="2">
        <f>INT(Tabela1[[#This Row],[Data e Hora2]])</f>
        <v>46283</v>
      </c>
      <c r="B976" s="6" t="str">
        <f>UPPER(TEXT(Tabela1[[#This Row],[Data Corrigida]],"MMM"))</f>
        <v>SET</v>
      </c>
      <c r="C976" t="s">
        <v>2111</v>
      </c>
      <c r="D976" s="2" t="s">
        <v>2112</v>
      </c>
      <c r="E976" s="1" t="s">
        <v>2113</v>
      </c>
      <c r="F976" t="s">
        <v>24</v>
      </c>
      <c r="G976" s="2" t="s">
        <v>2065</v>
      </c>
      <c r="H976" t="s">
        <v>26</v>
      </c>
      <c r="I976" t="s">
        <v>57</v>
      </c>
      <c r="J976" s="6">
        <v>40762</v>
      </c>
      <c r="K976" s="16">
        <v>10075</v>
      </c>
      <c r="L976" s="16">
        <v>10065</v>
      </c>
      <c r="M976" s="16">
        <v>9990</v>
      </c>
      <c r="N976" s="16">
        <v>10010</v>
      </c>
      <c r="O976" s="16">
        <v>10060</v>
      </c>
      <c r="P976" s="16">
        <v>10075</v>
      </c>
      <c r="Q976" s="16">
        <v>10055</v>
      </c>
      <c r="R976" s="16">
        <v>10000</v>
      </c>
      <c r="S976" s="16">
        <v>10020</v>
      </c>
      <c r="T976" s="16">
        <v>10075</v>
      </c>
      <c r="U976" s="15">
        <v>10042.5</v>
      </c>
      <c r="V976" t="s">
        <v>19</v>
      </c>
      <c r="W976" t="s">
        <v>19</v>
      </c>
      <c r="X976">
        <v>456</v>
      </c>
      <c r="Y976" s="16">
        <f>VLOOKUP(Tabela1[[#This Row],[SKU]],SKU!A:D,4,0)</f>
        <v>10000</v>
      </c>
      <c r="Z976" s="18">
        <f>IFERROR((Tabela1[[#This Row],[Média]]-Tabela1[[#This Row],[Meta]])/Tabela1[[#This Row],[Meta]],"")</f>
        <v>4.2500000000000003E-3</v>
      </c>
      <c r="AA976" s="29">
        <f>Tabela1[[#This Row],[Média]]-Tabela1[[#This Row],[Meta]]</f>
        <v>42.5</v>
      </c>
      <c r="AB976" s="6" t="str">
        <f>VLOOKUP(Tabela1[[#This Row],[SKU]],SKU!A:B,2,0)</f>
        <v>COXA SBCX LQ FG LP</v>
      </c>
      <c r="AC976" s="6" t="str">
        <f>VLOOKUP(Tabela1[[#This Row],[SKU]],SKU!A:C,3,0)</f>
        <v>PERNA</v>
      </c>
    </row>
    <row r="977" spans="1:29" x14ac:dyDescent="0.3">
      <c r="A977" s="2">
        <f>INT(Tabela1[[#This Row],[Data e Hora2]])</f>
        <v>46283</v>
      </c>
      <c r="B977" s="6" t="str">
        <f>UPPER(TEXT(Tabela1[[#This Row],[Data Corrigida]],"MMM"))</f>
        <v>SET</v>
      </c>
      <c r="C977" t="s">
        <v>2114</v>
      </c>
      <c r="D977" s="2" t="s">
        <v>2115</v>
      </c>
      <c r="E977" s="1" t="s">
        <v>2113</v>
      </c>
      <c r="F977" t="s">
        <v>24</v>
      </c>
      <c r="G977" s="2" t="s">
        <v>2065</v>
      </c>
      <c r="H977" t="s">
        <v>26</v>
      </c>
      <c r="I977" t="s">
        <v>57</v>
      </c>
      <c r="J977" s="6">
        <v>40762</v>
      </c>
      <c r="K977" s="16">
        <v>10025</v>
      </c>
      <c r="L977" s="16">
        <v>10035</v>
      </c>
      <c r="M977" s="16">
        <v>9965</v>
      </c>
      <c r="N977" s="16">
        <v>9985</v>
      </c>
      <c r="O977" s="16">
        <v>10030</v>
      </c>
      <c r="P977" s="16">
        <v>10055</v>
      </c>
      <c r="Q977" s="16">
        <v>10040</v>
      </c>
      <c r="R977" s="16">
        <v>9995</v>
      </c>
      <c r="S977" s="16">
        <v>10040</v>
      </c>
      <c r="T977" s="16">
        <v>10025</v>
      </c>
      <c r="U977" s="15">
        <v>10019.5</v>
      </c>
      <c r="V977" t="s">
        <v>19</v>
      </c>
      <c r="W977" t="s">
        <v>19</v>
      </c>
      <c r="X977">
        <v>201</v>
      </c>
      <c r="Y977" s="16">
        <f>VLOOKUP(Tabela1[[#This Row],[SKU]],SKU!A:D,4,0)</f>
        <v>10000</v>
      </c>
      <c r="Z977" s="18">
        <f>IFERROR((Tabela1[[#This Row],[Média]]-Tabela1[[#This Row],[Meta]])/Tabela1[[#This Row],[Meta]],"")</f>
        <v>1.9499999999999999E-3</v>
      </c>
      <c r="AA977" s="29">
        <f>Tabela1[[#This Row],[Média]]-Tabela1[[#This Row],[Meta]]</f>
        <v>19.5</v>
      </c>
      <c r="AB977" s="6" t="str">
        <f>VLOOKUP(Tabela1[[#This Row],[SKU]],SKU!A:B,2,0)</f>
        <v>COXA SBCX LQ FG LP</v>
      </c>
      <c r="AC977" s="6" t="str">
        <f>VLOOKUP(Tabela1[[#This Row],[SKU]],SKU!A:C,3,0)</f>
        <v>PERNA</v>
      </c>
    </row>
    <row r="978" spans="1:29" x14ac:dyDescent="0.3">
      <c r="A978" s="2">
        <f>INT(Tabela1[[#This Row],[Data e Hora2]])</f>
        <v>46283</v>
      </c>
      <c r="B978" s="6" t="str">
        <f>UPPER(TEXT(Tabela1[[#This Row],[Data Corrigida]],"MMM"))</f>
        <v>SET</v>
      </c>
      <c r="C978" t="s">
        <v>2116</v>
      </c>
      <c r="D978" s="2" t="s">
        <v>2117</v>
      </c>
      <c r="E978" s="1" t="s">
        <v>2113</v>
      </c>
      <c r="F978" t="s">
        <v>24</v>
      </c>
      <c r="G978" s="2" t="s">
        <v>2065</v>
      </c>
      <c r="H978" t="s">
        <v>26</v>
      </c>
      <c r="I978" t="s">
        <v>57</v>
      </c>
      <c r="J978" s="6">
        <v>40762</v>
      </c>
      <c r="K978" s="16">
        <v>10040</v>
      </c>
      <c r="L978" s="16">
        <v>10015</v>
      </c>
      <c r="M978" s="16">
        <v>10085</v>
      </c>
      <c r="N978" s="16">
        <v>10025</v>
      </c>
      <c r="O978" s="16">
        <v>10005</v>
      </c>
      <c r="P978" s="16">
        <v>10010</v>
      </c>
      <c r="Q978" s="16">
        <v>10050</v>
      </c>
      <c r="R978" s="16">
        <v>10025</v>
      </c>
      <c r="S978" s="16">
        <v>10030</v>
      </c>
      <c r="T978" s="16">
        <v>9995</v>
      </c>
      <c r="U978" s="15">
        <v>10028</v>
      </c>
      <c r="V978" t="s">
        <v>19</v>
      </c>
      <c r="W978" t="s">
        <v>19</v>
      </c>
      <c r="X978">
        <v>151</v>
      </c>
      <c r="Y978" s="16">
        <f>VLOOKUP(Tabela1[[#This Row],[SKU]],SKU!A:D,4,0)</f>
        <v>10000</v>
      </c>
      <c r="Z978" s="18">
        <f>IFERROR((Tabela1[[#This Row],[Média]]-Tabela1[[#This Row],[Meta]])/Tabela1[[#This Row],[Meta]],"")</f>
        <v>2.8E-3</v>
      </c>
      <c r="AA978" s="29">
        <f>Tabela1[[#This Row],[Média]]-Tabela1[[#This Row],[Meta]]</f>
        <v>28</v>
      </c>
      <c r="AB978" s="6" t="str">
        <f>VLOOKUP(Tabela1[[#This Row],[SKU]],SKU!A:B,2,0)</f>
        <v>COXA SBCX LQ FG LP</v>
      </c>
      <c r="AC978" s="6" t="str">
        <f>VLOOKUP(Tabela1[[#This Row],[SKU]],SKU!A:C,3,0)</f>
        <v>PERNA</v>
      </c>
    </row>
    <row r="979" spans="1:29" x14ac:dyDescent="0.3">
      <c r="A979" s="2">
        <f>INT(Tabela1[[#This Row],[Data e Hora2]])</f>
        <v>46283</v>
      </c>
      <c r="B979" s="6" t="str">
        <f>UPPER(TEXT(Tabela1[[#This Row],[Data Corrigida]],"MMM"))</f>
        <v>SET</v>
      </c>
      <c r="C979" t="s">
        <v>2118</v>
      </c>
      <c r="D979" s="2" t="s">
        <v>2119</v>
      </c>
      <c r="E979" s="1" t="s">
        <v>2113</v>
      </c>
      <c r="F979" t="s">
        <v>24</v>
      </c>
      <c r="G979" s="2" t="s">
        <v>2065</v>
      </c>
      <c r="H979" t="s">
        <v>26</v>
      </c>
      <c r="I979" t="s">
        <v>57</v>
      </c>
      <c r="J979" s="6">
        <v>55552</v>
      </c>
      <c r="K979" s="16">
        <v>15005</v>
      </c>
      <c r="L979" s="16">
        <v>15010</v>
      </c>
      <c r="M979" s="16">
        <v>15020</v>
      </c>
      <c r="N979" s="16">
        <v>15015</v>
      </c>
      <c r="O979" s="16">
        <v>15005</v>
      </c>
      <c r="P979" s="16">
        <v>15015</v>
      </c>
      <c r="Q979" s="16">
        <v>15015</v>
      </c>
      <c r="R979" s="16">
        <v>15010</v>
      </c>
      <c r="S979" s="16">
        <v>15000</v>
      </c>
      <c r="T979" s="16">
        <v>15010</v>
      </c>
      <c r="U979" s="15">
        <v>15010.5</v>
      </c>
      <c r="V979" t="s">
        <v>19</v>
      </c>
      <c r="W979" t="s">
        <v>28</v>
      </c>
      <c r="X979">
        <v>452</v>
      </c>
      <c r="Y979" s="16">
        <f>VLOOKUP(Tabela1[[#This Row],[SKU]],SKU!A:D,4,0)</f>
        <v>15000</v>
      </c>
      <c r="Z979" s="18">
        <f>IFERROR((Tabela1[[#This Row],[Média]]-Tabela1[[#This Row],[Meta]])/Tabela1[[#This Row],[Meta]],"")</f>
        <v>6.9999999999999999E-4</v>
      </c>
      <c r="AA979" s="29">
        <f>Tabela1[[#This Row],[Média]]-Tabela1[[#This Row],[Meta]]</f>
        <v>10.5</v>
      </c>
      <c r="AB979" s="6" t="str">
        <f>VLOOKUP(Tabela1[[#This Row],[SKU]],SKU!A:B,2,0)</f>
        <v>COXA SBCX  S/O CG MP</v>
      </c>
      <c r="AC979" s="6" t="str">
        <f>VLOOKUP(Tabela1[[#This Row],[SKU]],SKU!A:C,3,0)</f>
        <v>PERNA</v>
      </c>
    </row>
    <row r="980" spans="1:29" x14ac:dyDescent="0.3">
      <c r="A980" s="2">
        <f>INT(Tabela1[[#This Row],[Data e Hora2]])</f>
        <v>46283</v>
      </c>
      <c r="B980" s="6" t="str">
        <f>UPPER(TEXT(Tabela1[[#This Row],[Data Corrigida]],"MMM"))</f>
        <v>SET</v>
      </c>
      <c r="C980" t="s">
        <v>2120</v>
      </c>
      <c r="D980" s="2" t="s">
        <v>2121</v>
      </c>
      <c r="E980" s="1" t="s">
        <v>2122</v>
      </c>
      <c r="F980" t="s">
        <v>24</v>
      </c>
      <c r="G980" s="2" t="s">
        <v>2065</v>
      </c>
      <c r="H980" t="s">
        <v>26</v>
      </c>
      <c r="I980" t="s">
        <v>57</v>
      </c>
      <c r="J980" s="6">
        <v>13188</v>
      </c>
      <c r="K980" s="16">
        <v>1000</v>
      </c>
      <c r="L980" s="16">
        <v>1012</v>
      </c>
      <c r="M980" s="16">
        <v>1003</v>
      </c>
      <c r="N980" s="16">
        <v>1011</v>
      </c>
      <c r="O980" s="16">
        <v>1014</v>
      </c>
      <c r="P980" s="16">
        <v>1002</v>
      </c>
      <c r="Q980" s="16">
        <v>997</v>
      </c>
      <c r="R980" s="16">
        <v>1008</v>
      </c>
      <c r="S980" s="16">
        <v>1000</v>
      </c>
      <c r="T980" s="16">
        <v>1014</v>
      </c>
      <c r="U980" s="15">
        <v>1006.1</v>
      </c>
      <c r="V980" t="s">
        <v>19</v>
      </c>
      <c r="W980" t="s">
        <v>28</v>
      </c>
      <c r="X980">
        <v>192</v>
      </c>
      <c r="Y980" s="16">
        <f>VLOOKUP(Tabela1[[#This Row],[SKU]],SKU!A:D,4,0)</f>
        <v>1000</v>
      </c>
      <c r="Z980" s="18">
        <f>IFERROR((Tabela1[[#This Row],[Média]]-Tabela1[[#This Row],[Meta]])/Tabela1[[#This Row],[Meta]],"")</f>
        <v>6.1000000000000229E-3</v>
      </c>
      <c r="AA980" s="29">
        <f>Tabela1[[#This Row],[Média]]-Tabela1[[#This Row],[Meta]]</f>
        <v>6.1000000000000227</v>
      </c>
      <c r="AB980" s="6" t="str">
        <f>VLOOKUP(Tabela1[[#This Row],[SKU]],SKU!A:B,2,0)</f>
        <v>SOBRECOXA CG BDJ SE</v>
      </c>
      <c r="AC980" s="6" t="str">
        <f>VLOOKUP(Tabela1[[#This Row],[SKU]],SKU!A:C,3,0)</f>
        <v>PERNA</v>
      </c>
    </row>
    <row r="981" spans="1:29" x14ac:dyDescent="0.3">
      <c r="A981" s="2">
        <f>INT(Tabela1[[#This Row],[Data e Hora2]])</f>
        <v>46283</v>
      </c>
      <c r="B981" s="6" t="str">
        <f>UPPER(TEXT(Tabela1[[#This Row],[Data Corrigida]],"MMM"))</f>
        <v>SET</v>
      </c>
      <c r="C981" t="s">
        <v>2123</v>
      </c>
      <c r="D981" s="2" t="s">
        <v>2124</v>
      </c>
      <c r="E981" s="1" t="s">
        <v>2122</v>
      </c>
      <c r="F981" t="s">
        <v>24</v>
      </c>
      <c r="G981" s="2" t="s">
        <v>2065</v>
      </c>
      <c r="H981" t="s">
        <v>26</v>
      </c>
      <c r="I981" t="s">
        <v>57</v>
      </c>
      <c r="J981" s="6">
        <v>13188</v>
      </c>
      <c r="K981" s="16">
        <v>1001</v>
      </c>
      <c r="L981" s="16">
        <v>1009</v>
      </c>
      <c r="M981" s="16">
        <v>1006</v>
      </c>
      <c r="N981" s="16">
        <v>1011</v>
      </c>
      <c r="O981" s="16">
        <v>1005</v>
      </c>
      <c r="P981" s="16">
        <v>996</v>
      </c>
      <c r="Q981" s="16">
        <v>1008</v>
      </c>
      <c r="R981" s="16">
        <v>1000</v>
      </c>
      <c r="S981" s="16">
        <v>999</v>
      </c>
      <c r="T981" s="16">
        <v>1002</v>
      </c>
      <c r="U981" s="15">
        <v>1003.7</v>
      </c>
      <c r="V981" t="s">
        <v>19</v>
      </c>
      <c r="W981" t="s">
        <v>28</v>
      </c>
      <c r="X981">
        <v>178</v>
      </c>
      <c r="Y981" s="16">
        <f>VLOOKUP(Tabela1[[#This Row],[SKU]],SKU!A:D,4,0)</f>
        <v>1000</v>
      </c>
      <c r="Z981" s="18">
        <f>IFERROR((Tabela1[[#This Row],[Média]]-Tabela1[[#This Row],[Meta]])/Tabela1[[#This Row],[Meta]],"")</f>
        <v>3.7000000000000453E-3</v>
      </c>
      <c r="AA981" s="29">
        <f>Tabela1[[#This Row],[Média]]-Tabela1[[#This Row],[Meta]]</f>
        <v>3.7000000000000455</v>
      </c>
      <c r="AB981" s="6" t="str">
        <f>VLOOKUP(Tabela1[[#This Row],[SKU]],SKU!A:B,2,0)</f>
        <v>SOBRECOXA CG BDJ SE</v>
      </c>
      <c r="AC981" s="6" t="str">
        <f>VLOOKUP(Tabela1[[#This Row],[SKU]],SKU!A:C,3,0)</f>
        <v>PERNA</v>
      </c>
    </row>
    <row r="982" spans="1:29" x14ac:dyDescent="0.3">
      <c r="A982" s="2">
        <f>INT(Tabela1[[#This Row],[Data e Hora2]])</f>
        <v>46283</v>
      </c>
      <c r="B982" s="6" t="str">
        <f>UPPER(TEXT(Tabela1[[#This Row],[Data Corrigida]],"MMM"))</f>
        <v>SET</v>
      </c>
      <c r="C982" t="s">
        <v>2125</v>
      </c>
      <c r="D982" s="2" t="s">
        <v>2126</v>
      </c>
      <c r="E982" s="1" t="s">
        <v>2122</v>
      </c>
      <c r="F982" t="s">
        <v>24</v>
      </c>
      <c r="G982" s="2" t="s">
        <v>2065</v>
      </c>
      <c r="H982" t="s">
        <v>26</v>
      </c>
      <c r="I982" t="s">
        <v>57</v>
      </c>
      <c r="J982" s="6">
        <v>15229</v>
      </c>
      <c r="K982" s="16">
        <v>1012</v>
      </c>
      <c r="L982" s="16">
        <v>1018</v>
      </c>
      <c r="M982" s="16">
        <v>1002</v>
      </c>
      <c r="N982" s="16">
        <v>1016</v>
      </c>
      <c r="O982" s="16">
        <v>998</v>
      </c>
      <c r="P982" s="16">
        <v>1005</v>
      </c>
      <c r="Q982" s="16">
        <v>996</v>
      </c>
      <c r="R982" s="16">
        <v>1007</v>
      </c>
      <c r="S982" s="16">
        <v>1011</v>
      </c>
      <c r="T982" s="16">
        <v>1008</v>
      </c>
      <c r="U982" s="15">
        <v>1007.3</v>
      </c>
      <c r="V982" t="s">
        <v>19</v>
      </c>
      <c r="W982" t="s">
        <v>28</v>
      </c>
      <c r="X982">
        <v>81</v>
      </c>
      <c r="Y982" s="16">
        <f>VLOOKUP(Tabela1[[#This Row],[SKU]],SKU!A:D,4,0)</f>
        <v>1000</v>
      </c>
      <c r="Z982" s="18">
        <f>IFERROR((Tabela1[[#This Row],[Média]]-Tabela1[[#This Row],[Meta]])/Tabela1[[#This Row],[Meta]],"")</f>
        <v>7.2999999999999541E-3</v>
      </c>
      <c r="AA982" s="29">
        <f>Tabela1[[#This Row],[Média]]-Tabela1[[#This Row],[Meta]]</f>
        <v>7.2999999999999545</v>
      </c>
      <c r="AB982" s="6" t="str">
        <f>VLOOKUP(Tabela1[[#This Row],[SKU]],SKU!A:B,2,0)</f>
        <v>COXA CG BDJ SE</v>
      </c>
      <c r="AC982" s="6" t="str">
        <f>VLOOKUP(Tabela1[[#This Row],[SKU]],SKU!A:C,3,0)</f>
        <v>PERNA</v>
      </c>
    </row>
    <row r="983" spans="1:29" x14ac:dyDescent="0.3">
      <c r="A983" s="2">
        <f>INT(Tabela1[[#This Row],[Data e Hora2]])</f>
        <v>46283</v>
      </c>
      <c r="B983" s="6" t="str">
        <f>UPPER(TEXT(Tabela1[[#This Row],[Data Corrigida]],"MMM"))</f>
        <v>SET</v>
      </c>
      <c r="C983" t="s">
        <v>2127</v>
      </c>
      <c r="D983" s="2" t="s">
        <v>2128</v>
      </c>
      <c r="E983" s="1" t="s">
        <v>2122</v>
      </c>
      <c r="F983" t="s">
        <v>24</v>
      </c>
      <c r="G983" s="2" t="s">
        <v>2065</v>
      </c>
      <c r="H983" t="s">
        <v>26</v>
      </c>
      <c r="I983" t="s">
        <v>57</v>
      </c>
      <c r="J983" s="6">
        <v>15229</v>
      </c>
      <c r="K983" s="16">
        <v>1006</v>
      </c>
      <c r="L983" s="16">
        <v>995</v>
      </c>
      <c r="M983" s="16">
        <v>1014</v>
      </c>
      <c r="N983" s="16">
        <v>995</v>
      </c>
      <c r="O983" s="16">
        <v>1013</v>
      </c>
      <c r="P983" s="16">
        <v>1003</v>
      </c>
      <c r="Q983" s="16">
        <v>1002</v>
      </c>
      <c r="R983" s="16">
        <v>1008</v>
      </c>
      <c r="S983" s="16">
        <v>1004</v>
      </c>
      <c r="T983" s="16">
        <v>1009</v>
      </c>
      <c r="U983" s="15">
        <v>1004.9</v>
      </c>
      <c r="V983" t="s">
        <v>19</v>
      </c>
      <c r="W983" t="s">
        <v>28</v>
      </c>
      <c r="X983">
        <v>149</v>
      </c>
      <c r="Y983" s="16">
        <f>VLOOKUP(Tabela1[[#This Row],[SKU]],SKU!A:D,4,0)</f>
        <v>1000</v>
      </c>
      <c r="Z983" s="18">
        <f>IFERROR((Tabela1[[#This Row],[Média]]-Tabela1[[#This Row],[Meta]])/Tabela1[[#This Row],[Meta]],"")</f>
        <v>4.8999999999999773E-3</v>
      </c>
      <c r="AA983" s="29">
        <f>Tabela1[[#This Row],[Média]]-Tabela1[[#This Row],[Meta]]</f>
        <v>4.8999999999999773</v>
      </c>
      <c r="AB983" s="6" t="str">
        <f>VLOOKUP(Tabela1[[#This Row],[SKU]],SKU!A:B,2,0)</f>
        <v>COXA CG BDJ SE</v>
      </c>
      <c r="AC983" s="6" t="str">
        <f>VLOOKUP(Tabela1[[#This Row],[SKU]],SKU!A:C,3,0)</f>
        <v>PERNA</v>
      </c>
    </row>
    <row r="984" spans="1:29" x14ac:dyDescent="0.3">
      <c r="A984" s="2">
        <f>INT(Tabela1[[#This Row],[Data e Hora2]])</f>
        <v>46283</v>
      </c>
      <c r="B984" s="6" t="str">
        <f>UPPER(TEXT(Tabela1[[#This Row],[Data Corrigida]],"MMM"))</f>
        <v>SET</v>
      </c>
      <c r="C984" t="s">
        <v>2129</v>
      </c>
      <c r="D984" s="2" t="s">
        <v>2130</v>
      </c>
      <c r="E984" s="1" t="s">
        <v>2122</v>
      </c>
      <c r="F984" t="s">
        <v>24</v>
      </c>
      <c r="G984" s="2" t="s">
        <v>2065</v>
      </c>
      <c r="H984" t="s">
        <v>26</v>
      </c>
      <c r="I984" t="s">
        <v>57</v>
      </c>
      <c r="J984" s="6">
        <v>15105</v>
      </c>
      <c r="K984" s="16">
        <v>1020</v>
      </c>
      <c r="L984" s="16">
        <v>1067</v>
      </c>
      <c r="M984" s="16">
        <v>999</v>
      </c>
      <c r="N984" s="16">
        <v>995</v>
      </c>
      <c r="O984" s="16">
        <v>1003</v>
      </c>
      <c r="P984" s="16">
        <v>1042</v>
      </c>
      <c r="Q984" s="16">
        <v>989</v>
      </c>
      <c r="R984" s="16">
        <v>990</v>
      </c>
      <c r="S984" s="16">
        <v>1015</v>
      </c>
      <c r="T984" s="16">
        <v>1030</v>
      </c>
      <c r="U984" s="15">
        <v>1015</v>
      </c>
      <c r="V984" t="s">
        <v>19</v>
      </c>
      <c r="W984" t="s">
        <v>28</v>
      </c>
      <c r="X984">
        <v>208</v>
      </c>
      <c r="Y984" s="16">
        <f>VLOOKUP(Tabela1[[#This Row],[SKU]],SKU!A:D,4,0)</f>
        <v>1000</v>
      </c>
      <c r="Z984" s="18">
        <f>IFERROR((Tabela1[[#This Row],[Média]]-Tabela1[[#This Row],[Meta]])/Tabela1[[#This Row],[Meta]],"")</f>
        <v>1.4999999999999999E-2</v>
      </c>
      <c r="AA984" s="29">
        <f>Tabela1[[#This Row],[Média]]-Tabela1[[#This Row],[Meta]]</f>
        <v>15</v>
      </c>
      <c r="AB984" s="6" t="str">
        <f>VLOOKUP(Tabela1[[#This Row],[SKU]],SKU!A:B,2,0)</f>
        <v>FILE PEITO MET CG BDJ SE</v>
      </c>
      <c r="AC984" s="6" t="str">
        <f>VLOOKUP(Tabela1[[#This Row],[SKU]],SKU!A:C,3,0)</f>
        <v>PEITO</v>
      </c>
    </row>
    <row r="985" spans="1:29" x14ac:dyDescent="0.3">
      <c r="A985" s="2">
        <f>INT(Tabela1[[#This Row],[Data e Hora2]])</f>
        <v>46283</v>
      </c>
      <c r="B985" s="6" t="str">
        <f>UPPER(TEXT(Tabela1[[#This Row],[Data Corrigida]],"MMM"))</f>
        <v>SET</v>
      </c>
      <c r="C985" t="s">
        <v>2131</v>
      </c>
      <c r="D985" s="2" t="s">
        <v>2132</v>
      </c>
      <c r="E985" s="1" t="s">
        <v>2133</v>
      </c>
      <c r="F985" t="s">
        <v>24</v>
      </c>
      <c r="G985" s="2" t="s">
        <v>2065</v>
      </c>
      <c r="H985" t="s">
        <v>142</v>
      </c>
      <c r="I985" t="s">
        <v>462</v>
      </c>
      <c r="J985" s="6">
        <v>209039</v>
      </c>
      <c r="K985" s="16">
        <v>1040</v>
      </c>
      <c r="L985" s="16">
        <v>1022</v>
      </c>
      <c r="M985" s="16">
        <v>1041</v>
      </c>
      <c r="N985" s="16">
        <v>1005</v>
      </c>
      <c r="O985" s="16">
        <v>1046</v>
      </c>
      <c r="P985" s="16">
        <v>1059</v>
      </c>
      <c r="Q985" s="16">
        <v>1034</v>
      </c>
      <c r="R985" s="16">
        <v>1047</v>
      </c>
      <c r="S985" s="16">
        <v>1012</v>
      </c>
      <c r="T985" s="16">
        <v>1009</v>
      </c>
      <c r="U985" s="15">
        <v>1031.5</v>
      </c>
      <c r="V985" t="s">
        <v>19</v>
      </c>
      <c r="W985" t="s">
        <v>28</v>
      </c>
      <c r="X985">
        <v>158</v>
      </c>
      <c r="Y985" s="16">
        <f>VLOOKUP(Tabela1[[#This Row],[SKU]],SKU!A:D,4,0)</f>
        <v>1000</v>
      </c>
      <c r="Z985" s="18">
        <f>IFERROR((Tabela1[[#This Row],[Média]]-Tabela1[[#This Row],[Meta]])/Tabela1[[#This Row],[Meta]],"")</f>
        <v>3.15E-2</v>
      </c>
      <c r="AA985" s="29">
        <f>Tabela1[[#This Row],[Média]]-Tabela1[[#This Row],[Meta]]</f>
        <v>31.5</v>
      </c>
      <c r="AB985" s="6" t="str">
        <f>VLOOKUP(Tabela1[[#This Row],[SKU]],SKU!A:B,2,0)</f>
        <v>COXINHA ASA IQF ALM 1KG</v>
      </c>
      <c r="AC985" s="6" t="str">
        <f>VLOOKUP(Tabela1[[#This Row],[SKU]],SKU!A:C,3,0)</f>
        <v>ASA</v>
      </c>
    </row>
    <row r="986" spans="1:29" x14ac:dyDescent="0.3">
      <c r="A986" s="2">
        <f>INT(Tabela1[[#This Row],[Data e Hora2]])</f>
        <v>46282</v>
      </c>
      <c r="B986" s="6" t="str">
        <f>UPPER(TEXT(Tabela1[[#This Row],[Data Corrigida]],"MMM"))</f>
        <v>SET</v>
      </c>
      <c r="C986" t="s">
        <v>2134</v>
      </c>
      <c r="D986" s="2" t="s">
        <v>2135</v>
      </c>
      <c r="E986" s="1" t="s">
        <v>2136</v>
      </c>
      <c r="F986" t="s">
        <v>24</v>
      </c>
      <c r="G986" s="2" t="s">
        <v>2137</v>
      </c>
      <c r="H986" t="s">
        <v>142</v>
      </c>
      <c r="I986" t="s">
        <v>462</v>
      </c>
      <c r="J986" s="6">
        <v>197734</v>
      </c>
      <c r="K986" s="16">
        <v>1003</v>
      </c>
      <c r="L986" s="16">
        <v>1000</v>
      </c>
      <c r="M986" s="16">
        <v>999</v>
      </c>
      <c r="N986" s="16">
        <v>1027</v>
      </c>
      <c r="O986" s="16">
        <v>1023</v>
      </c>
      <c r="P986" s="16">
        <v>1015</v>
      </c>
      <c r="Q986" s="16">
        <v>995</v>
      </c>
      <c r="R986" s="16">
        <v>1002</v>
      </c>
      <c r="S986" s="16">
        <v>996</v>
      </c>
      <c r="T986" s="16">
        <v>1004</v>
      </c>
      <c r="U986" s="15">
        <v>1006.4</v>
      </c>
      <c r="V986" t="s">
        <v>19</v>
      </c>
      <c r="W986" t="s">
        <v>28</v>
      </c>
      <c r="X986">
        <v>174</v>
      </c>
      <c r="Y986" s="16">
        <f>VLOOKUP(Tabela1[[#This Row],[SKU]],SKU!A:D,4,0)</f>
        <v>1000</v>
      </c>
      <c r="Z986" s="18">
        <f>IFERROR((Tabela1[[#This Row],[Média]]-Tabela1[[#This Row],[Meta]])/Tabela1[[#This Row],[Meta]],"")</f>
        <v>6.3999999999999769E-3</v>
      </c>
      <c r="AA986" s="29">
        <f>Tabela1[[#This Row],[Média]]-Tabela1[[#This Row],[Meta]]</f>
        <v>6.3999999999999773</v>
      </c>
      <c r="AB986" s="6" t="str">
        <f>VLOOKUP(Tabela1[[#This Row],[SKU]],SKU!A:B,2,0)</f>
        <v>FILEZINHO FRANGO IQF ALM SE</v>
      </c>
      <c r="AC986" s="6" t="str">
        <f>VLOOKUP(Tabela1[[#This Row],[SKU]],SKU!A:C,3,0)</f>
        <v>SASSAMI</v>
      </c>
    </row>
    <row r="987" spans="1:29" x14ac:dyDescent="0.3">
      <c r="A987" s="2">
        <f>INT(Tabela1[[#This Row],[Data e Hora2]])</f>
        <v>46283</v>
      </c>
      <c r="B987" s="6" t="str">
        <f>UPPER(TEXT(Tabela1[[#This Row],[Data Corrigida]],"MMM"))</f>
        <v>SET</v>
      </c>
      <c r="C987" t="s">
        <v>2138</v>
      </c>
      <c r="D987" s="2" t="s">
        <v>2139</v>
      </c>
      <c r="E987" s="1" t="s">
        <v>2140</v>
      </c>
      <c r="F987" t="s">
        <v>24</v>
      </c>
      <c r="G987" s="2" t="s">
        <v>2065</v>
      </c>
      <c r="H987" t="s">
        <v>26</v>
      </c>
      <c r="I987" t="s">
        <v>27</v>
      </c>
      <c r="J987" s="6">
        <v>42820</v>
      </c>
      <c r="K987" s="16">
        <v>2012</v>
      </c>
      <c r="L987" s="16">
        <v>2004</v>
      </c>
      <c r="M987" s="16">
        <v>2011</v>
      </c>
      <c r="N987" s="16">
        <v>2011</v>
      </c>
      <c r="O987" s="16">
        <v>2005</v>
      </c>
      <c r="P987" s="16">
        <v>2006</v>
      </c>
      <c r="Q987" s="16">
        <v>2000</v>
      </c>
      <c r="R987" s="16">
        <v>2012</v>
      </c>
      <c r="S987" s="16">
        <v>2004</v>
      </c>
      <c r="T987" s="16">
        <v>2047</v>
      </c>
      <c r="U987" s="15">
        <v>2011.2</v>
      </c>
      <c r="V987" t="s">
        <v>19</v>
      </c>
      <c r="W987" t="s">
        <v>28</v>
      </c>
      <c r="X987">
        <v>8825</v>
      </c>
      <c r="Y987" s="16">
        <f>VLOOKUP(Tabela1[[#This Row],[SKU]],SKU!A:D,4,0)</f>
        <v>2000</v>
      </c>
      <c r="Z987" s="18">
        <f>IFERROR((Tabela1[[#This Row],[Média]]-Tabela1[[#This Row],[Meta]])/Tabela1[[#This Row],[Meta]],"")</f>
        <v>5.6000000000000225E-3</v>
      </c>
      <c r="AA987" s="29">
        <f>Tabela1[[#This Row],[Média]]-Tabela1[[#This Row],[Meta]]</f>
        <v>11.200000000000045</v>
      </c>
      <c r="AB987" s="6" t="str">
        <f>VLOOKUP(Tabela1[[#This Row],[SKU]],SKU!A:B,2,0)</f>
        <v>COXA SBCX S/O FG 200-220g PB</v>
      </c>
      <c r="AC987" s="6" t="str">
        <f>VLOOKUP(Tabela1[[#This Row],[SKU]],SKU!A:C,3,0)</f>
        <v>PERNA</v>
      </c>
    </row>
    <row r="988" spans="1:29" x14ac:dyDescent="0.3">
      <c r="A988" s="2">
        <f>INT(Tabela1[[#This Row],[Data e Hora2]])</f>
        <v>46282</v>
      </c>
      <c r="B988" s="6" t="str">
        <f>UPPER(TEXT(Tabela1[[#This Row],[Data Corrigida]],"MMM"))</f>
        <v>SET</v>
      </c>
      <c r="C988" t="s">
        <v>2141</v>
      </c>
      <c r="D988" s="2" t="s">
        <v>2142</v>
      </c>
      <c r="E988" s="1" t="s">
        <v>2140</v>
      </c>
      <c r="F988" t="s">
        <v>24</v>
      </c>
      <c r="G988" s="2" t="s">
        <v>2137</v>
      </c>
      <c r="H988" t="s">
        <v>26</v>
      </c>
      <c r="I988" t="s">
        <v>27</v>
      </c>
      <c r="J988" s="6">
        <v>42820</v>
      </c>
      <c r="K988" s="16">
        <v>2040</v>
      </c>
      <c r="L988" s="16">
        <v>2021</v>
      </c>
      <c r="M988" s="16">
        <v>2032</v>
      </c>
      <c r="N988" s="16">
        <v>2024</v>
      </c>
      <c r="O988" s="16">
        <v>2012</v>
      </c>
      <c r="P988" s="16">
        <v>2001</v>
      </c>
      <c r="Q988" s="16">
        <v>2018</v>
      </c>
      <c r="R988" s="16">
        <v>2021</v>
      </c>
      <c r="S988" s="16">
        <v>2019</v>
      </c>
      <c r="T988" s="16">
        <v>2033</v>
      </c>
      <c r="U988" s="15">
        <v>2022.1</v>
      </c>
      <c r="V988" t="s">
        <v>19</v>
      </c>
      <c r="W988" t="s">
        <v>28</v>
      </c>
      <c r="X988">
        <v>8315</v>
      </c>
      <c r="Y988" s="16">
        <f>VLOOKUP(Tabela1[[#This Row],[SKU]],SKU!A:D,4,0)</f>
        <v>2000</v>
      </c>
      <c r="Z988" s="18">
        <f>IFERROR((Tabela1[[#This Row],[Média]]-Tabela1[[#This Row],[Meta]])/Tabela1[[#This Row],[Meta]],"")</f>
        <v>1.1049999999999954E-2</v>
      </c>
      <c r="AA988" s="29">
        <f>Tabela1[[#This Row],[Média]]-Tabela1[[#This Row],[Meta]]</f>
        <v>22.099999999999909</v>
      </c>
      <c r="AB988" s="6" t="str">
        <f>VLOOKUP(Tabela1[[#This Row],[SKU]],SKU!A:B,2,0)</f>
        <v>COXA SBCX S/O FG 200-220g PB</v>
      </c>
      <c r="AC988" s="6" t="str">
        <f>VLOOKUP(Tabela1[[#This Row],[SKU]],SKU!A:C,3,0)</f>
        <v>PERNA</v>
      </c>
    </row>
    <row r="989" spans="1:29" x14ac:dyDescent="0.3">
      <c r="A989" s="2">
        <f>INT(Tabela1[[#This Row],[Data e Hora2]])</f>
        <v>46282</v>
      </c>
      <c r="B989" s="6" t="str">
        <f>UPPER(TEXT(Tabela1[[#This Row],[Data Corrigida]],"MMM"))</f>
        <v>SET</v>
      </c>
      <c r="C989" t="s">
        <v>2143</v>
      </c>
      <c r="D989" s="2" t="s">
        <v>2144</v>
      </c>
      <c r="E989" s="1" t="s">
        <v>2140</v>
      </c>
      <c r="F989" t="s">
        <v>24</v>
      </c>
      <c r="G989" s="2" t="s">
        <v>2137</v>
      </c>
      <c r="H989" t="s">
        <v>26</v>
      </c>
      <c r="I989" t="s">
        <v>27</v>
      </c>
      <c r="J989" s="6">
        <v>42838</v>
      </c>
      <c r="K989" s="16">
        <v>2003</v>
      </c>
      <c r="L989" s="16">
        <v>2054</v>
      </c>
      <c r="M989" s="16">
        <v>2033</v>
      </c>
      <c r="N989" s="16">
        <v>2027</v>
      </c>
      <c r="O989" s="16">
        <v>2031</v>
      </c>
      <c r="P989" s="16">
        <v>2036</v>
      </c>
      <c r="Q989" s="16">
        <v>2007</v>
      </c>
      <c r="R989" s="16">
        <v>2028</v>
      </c>
      <c r="S989" s="16">
        <v>2041</v>
      </c>
      <c r="T989" s="16">
        <v>2035</v>
      </c>
      <c r="U989" s="15">
        <v>2029.5</v>
      </c>
      <c r="V989" t="s">
        <v>19</v>
      </c>
      <c r="W989" t="s">
        <v>28</v>
      </c>
      <c r="X989">
        <v>7735</v>
      </c>
      <c r="Y989" s="16">
        <f>VLOOKUP(Tabela1[[#This Row],[SKU]],SKU!A:D,4,0)</f>
        <v>2000</v>
      </c>
      <c r="Z989" s="18">
        <f>IFERROR((Tabela1[[#This Row],[Média]]-Tabela1[[#This Row],[Meta]])/Tabela1[[#This Row],[Meta]],"")</f>
        <v>1.4749999999999999E-2</v>
      </c>
      <c r="AA989" s="29">
        <f>Tabela1[[#This Row],[Média]]-Tabela1[[#This Row],[Meta]]</f>
        <v>29.5</v>
      </c>
      <c r="AB989" s="6" t="str">
        <f>VLOOKUP(Tabela1[[#This Row],[SKU]],SKU!A:B,2,0)</f>
        <v>COXA SBCX S/O FG 220-240g PB</v>
      </c>
      <c r="AC989" s="6" t="str">
        <f>VLOOKUP(Tabela1[[#This Row],[SKU]],SKU!A:C,3,0)</f>
        <v>PERNA</v>
      </c>
    </row>
    <row r="990" spans="1:29" x14ac:dyDescent="0.3">
      <c r="A990" s="2">
        <f>INT(Tabela1[[#This Row],[Data e Hora2]])</f>
        <v>46282</v>
      </c>
      <c r="B990" s="6" t="str">
        <f>UPPER(TEXT(Tabela1[[#This Row],[Data Corrigida]],"MMM"))</f>
        <v>SET</v>
      </c>
      <c r="C990" t="s">
        <v>2145</v>
      </c>
      <c r="D990" s="2" t="s">
        <v>2146</v>
      </c>
      <c r="E990" s="1" t="s">
        <v>2140</v>
      </c>
      <c r="F990" t="s">
        <v>24</v>
      </c>
      <c r="G990" s="2" t="s">
        <v>2137</v>
      </c>
      <c r="H990" t="s">
        <v>26</v>
      </c>
      <c r="I990" t="s">
        <v>27</v>
      </c>
      <c r="J990" s="6">
        <v>864048</v>
      </c>
      <c r="K990" s="16">
        <v>2011</v>
      </c>
      <c r="L990" s="16">
        <v>2012</v>
      </c>
      <c r="M990" s="16">
        <v>2007</v>
      </c>
      <c r="N990" s="16">
        <v>2013</v>
      </c>
      <c r="O990" s="16">
        <v>2055</v>
      </c>
      <c r="P990" s="16">
        <v>2048</v>
      </c>
      <c r="Q990" s="16">
        <v>2005</v>
      </c>
      <c r="R990" s="16">
        <v>2016</v>
      </c>
      <c r="S990" s="16">
        <v>1998</v>
      </c>
      <c r="T990" s="16">
        <v>2014</v>
      </c>
      <c r="U990" s="15">
        <v>2017.9</v>
      </c>
      <c r="V990" t="s">
        <v>19</v>
      </c>
      <c r="W990" t="s">
        <v>19</v>
      </c>
      <c r="X990">
        <v>100</v>
      </c>
      <c r="Y990" s="16">
        <f>VLOOKUP(Tabela1[[#This Row],[SKU]],SKU!A:D,4,0)</f>
        <v>2000</v>
      </c>
      <c r="Z990" s="18">
        <f>IFERROR((Tabela1[[#This Row],[Média]]-Tabela1[[#This Row],[Meta]])/Tabela1[[#This Row],[Meta]],"")</f>
        <v>8.9500000000000447E-3</v>
      </c>
      <c r="AA990" s="29">
        <f>Tabela1[[#This Row],[Média]]-Tabela1[[#This Row],[Meta]]</f>
        <v>17.900000000000091</v>
      </c>
      <c r="AB990" s="6" t="str">
        <f>VLOOKUP(Tabela1[[#This Row],[SKU]],SKU!A:B,2,0)</f>
        <v>COXA SBCX S/O 200g FG UP PB</v>
      </c>
      <c r="AC990" s="6" t="str">
        <f>VLOOKUP(Tabela1[[#This Row],[SKU]],SKU!A:C,3,0)</f>
        <v>PERNA</v>
      </c>
    </row>
    <row r="991" spans="1:29" x14ac:dyDescent="0.3">
      <c r="A991" s="2">
        <f>INT(Tabela1[[#This Row],[Data e Hora2]])</f>
        <v>46282</v>
      </c>
      <c r="B991" s="6" t="str">
        <f>UPPER(TEXT(Tabela1[[#This Row],[Data Corrigida]],"MMM"))</f>
        <v>SET</v>
      </c>
      <c r="C991" t="s">
        <v>2147</v>
      </c>
      <c r="D991" s="2" t="s">
        <v>2148</v>
      </c>
      <c r="E991" s="1" t="s">
        <v>2140</v>
      </c>
      <c r="F991" t="s">
        <v>24</v>
      </c>
      <c r="G991" s="2" t="s">
        <v>2137</v>
      </c>
      <c r="H991" t="s">
        <v>26</v>
      </c>
      <c r="I991" t="s">
        <v>27</v>
      </c>
      <c r="J991" s="6">
        <v>42811</v>
      </c>
      <c r="K991" s="16">
        <v>2024</v>
      </c>
      <c r="L991" s="16">
        <v>2003</v>
      </c>
      <c r="M991" s="16">
        <v>2033</v>
      </c>
      <c r="N991" s="16">
        <v>2028</v>
      </c>
      <c r="O991" s="16">
        <v>1992</v>
      </c>
      <c r="P991" s="16">
        <v>2018</v>
      </c>
      <c r="Q991" s="16">
        <v>2006</v>
      </c>
      <c r="R991" s="16">
        <v>2012</v>
      </c>
      <c r="S991" s="16">
        <v>2021</v>
      </c>
      <c r="T991" s="16">
        <v>2007</v>
      </c>
      <c r="U991" s="15">
        <v>2014.4</v>
      </c>
      <c r="V991" t="s">
        <v>19</v>
      </c>
      <c r="W991" t="s">
        <v>19</v>
      </c>
      <c r="X991">
        <v>116</v>
      </c>
      <c r="Y991" s="16">
        <f>VLOOKUP(Tabela1[[#This Row],[SKU]],SKU!A:D,4,0)</f>
        <v>2000</v>
      </c>
      <c r="Z991" s="18">
        <f>IFERROR((Tabela1[[#This Row],[Média]]-Tabela1[[#This Row],[Meta]])/Tabela1[[#This Row],[Meta]],"")</f>
        <v>7.2000000000000458E-3</v>
      </c>
      <c r="AA991" s="29">
        <f>Tabela1[[#This Row],[Média]]-Tabela1[[#This Row],[Meta]]</f>
        <v>14.400000000000091</v>
      </c>
      <c r="AB991" s="6" t="str">
        <f>VLOOKUP(Tabela1[[#This Row],[SKU]],SKU!A:B,2,0)</f>
        <v>COXA SBCX S/O FG 180-200g PB</v>
      </c>
      <c r="AC991" s="6" t="str">
        <f>VLOOKUP(Tabela1[[#This Row],[SKU]],SKU!A:C,3,0)</f>
        <v>PERNA</v>
      </c>
    </row>
    <row r="992" spans="1:29" x14ac:dyDescent="0.3">
      <c r="A992" s="2">
        <f>INT(Tabela1[[#This Row],[Data e Hora2]])</f>
        <v>46282</v>
      </c>
      <c r="B992" s="6" t="str">
        <f>UPPER(TEXT(Tabela1[[#This Row],[Data Corrigida]],"MMM"))</f>
        <v>SET</v>
      </c>
      <c r="C992" t="s">
        <v>2149</v>
      </c>
      <c r="D992" s="2" t="s">
        <v>2150</v>
      </c>
      <c r="E992" s="1" t="s">
        <v>2140</v>
      </c>
      <c r="F992" t="s">
        <v>24</v>
      </c>
      <c r="G992" s="2" t="s">
        <v>2137</v>
      </c>
      <c r="H992" t="s">
        <v>26</v>
      </c>
      <c r="I992" t="s">
        <v>27</v>
      </c>
      <c r="J992" s="6">
        <v>42862</v>
      </c>
      <c r="K992" s="16">
        <v>2033</v>
      </c>
      <c r="L992" s="16">
        <v>1997</v>
      </c>
      <c r="M992" s="16">
        <v>2025</v>
      </c>
      <c r="N992" s="16">
        <v>2019</v>
      </c>
      <c r="O992" s="16">
        <v>2000</v>
      </c>
      <c r="P992" s="16">
        <v>2017</v>
      </c>
      <c r="Q992" s="16">
        <v>2018</v>
      </c>
      <c r="R992" s="16">
        <v>2015</v>
      </c>
      <c r="S992" s="16">
        <v>2081</v>
      </c>
      <c r="T992" s="16">
        <v>2019</v>
      </c>
      <c r="U992" s="15">
        <v>2022.4</v>
      </c>
      <c r="V992" t="s">
        <v>19</v>
      </c>
      <c r="W992" t="s">
        <v>28</v>
      </c>
      <c r="X992">
        <v>281</v>
      </c>
      <c r="Y992" s="16">
        <f>VLOOKUP(Tabela1[[#This Row],[SKU]],SKU!A:D,4,0)</f>
        <v>2000</v>
      </c>
      <c r="Z992" s="18">
        <f>IFERROR((Tabela1[[#This Row],[Média]]-Tabela1[[#This Row],[Meta]])/Tabela1[[#This Row],[Meta]],"")</f>
        <v>1.1200000000000045E-2</v>
      </c>
      <c r="AA992" s="29">
        <f>Tabela1[[#This Row],[Média]]-Tabela1[[#This Row],[Meta]]</f>
        <v>22.400000000000091</v>
      </c>
      <c r="AB992" s="6" t="str">
        <f>VLOOKUP(Tabela1[[#This Row],[SKU]],SKU!A:B,2,0)</f>
        <v>COXA SBCX S/O FG 280-300g PB</v>
      </c>
      <c r="AC992" s="6" t="str">
        <f>VLOOKUP(Tabela1[[#This Row],[SKU]],SKU!A:C,3,0)</f>
        <v>PERNA</v>
      </c>
    </row>
    <row r="993" spans="1:29" x14ac:dyDescent="0.3">
      <c r="A993" s="2">
        <f>INT(Tabela1[[#This Row],[Data e Hora2]])</f>
        <v>46282</v>
      </c>
      <c r="B993" s="6" t="str">
        <f>UPPER(TEXT(Tabela1[[#This Row],[Data Corrigida]],"MMM"))</f>
        <v>SET</v>
      </c>
      <c r="C993" t="s">
        <v>2151</v>
      </c>
      <c r="D993" s="2" t="s">
        <v>2152</v>
      </c>
      <c r="E993" s="1" t="s">
        <v>2140</v>
      </c>
      <c r="F993" t="s">
        <v>24</v>
      </c>
      <c r="G993" s="2" t="s">
        <v>2137</v>
      </c>
      <c r="H993" t="s">
        <v>26</v>
      </c>
      <c r="I993" t="s">
        <v>27</v>
      </c>
      <c r="J993" s="6">
        <v>15105</v>
      </c>
      <c r="K993" s="16">
        <v>1014</v>
      </c>
      <c r="L993" s="16">
        <v>1000</v>
      </c>
      <c r="M993" s="16">
        <v>963</v>
      </c>
      <c r="N993" s="16">
        <v>1029</v>
      </c>
      <c r="O993" s="16">
        <v>1028</v>
      </c>
      <c r="P993" s="16">
        <v>1046</v>
      </c>
      <c r="Q993" s="16">
        <v>995</v>
      </c>
      <c r="R993" s="16">
        <v>1029</v>
      </c>
      <c r="S993" s="16">
        <v>1057</v>
      </c>
      <c r="T993" s="16">
        <v>1009</v>
      </c>
      <c r="U993" s="15">
        <v>1017</v>
      </c>
      <c r="V993" t="s">
        <v>19</v>
      </c>
      <c r="W993" t="s">
        <v>28</v>
      </c>
      <c r="X993">
        <v>197</v>
      </c>
      <c r="Y993" s="16">
        <f>VLOOKUP(Tabela1[[#This Row],[SKU]],SKU!A:D,4,0)</f>
        <v>1000</v>
      </c>
      <c r="Z993" s="18">
        <f>IFERROR((Tabela1[[#This Row],[Média]]-Tabela1[[#This Row],[Meta]])/Tabela1[[#This Row],[Meta]],"")</f>
        <v>1.7000000000000001E-2</v>
      </c>
      <c r="AA993" s="29">
        <f>Tabela1[[#This Row],[Média]]-Tabela1[[#This Row],[Meta]]</f>
        <v>17</v>
      </c>
      <c r="AB993" s="6" t="str">
        <f>VLOOKUP(Tabela1[[#This Row],[SKU]],SKU!A:B,2,0)</f>
        <v>FILE PEITO MET CG BDJ SE</v>
      </c>
      <c r="AC993" s="6" t="str">
        <f>VLOOKUP(Tabela1[[#This Row],[SKU]],SKU!A:C,3,0)</f>
        <v>PEITO</v>
      </c>
    </row>
    <row r="994" spans="1:29" x14ac:dyDescent="0.3">
      <c r="A994" s="2">
        <f>INT(Tabela1[[#This Row],[Data e Hora2]])</f>
        <v>46282</v>
      </c>
      <c r="B994" s="6" t="str">
        <f>UPPER(TEXT(Tabela1[[#This Row],[Data Corrigida]],"MMM"))</f>
        <v>SET</v>
      </c>
      <c r="C994" t="s">
        <v>2153</v>
      </c>
      <c r="D994" s="2" t="s">
        <v>2154</v>
      </c>
      <c r="E994" s="1" t="s">
        <v>2155</v>
      </c>
      <c r="F994" t="s">
        <v>24</v>
      </c>
      <c r="G994" s="2" t="s">
        <v>2137</v>
      </c>
      <c r="H994" t="s">
        <v>26</v>
      </c>
      <c r="I994" t="s">
        <v>27</v>
      </c>
      <c r="J994" s="6">
        <v>209069</v>
      </c>
      <c r="K994" s="16">
        <v>1050</v>
      </c>
      <c r="L994" s="16">
        <v>1081</v>
      </c>
      <c r="M994" s="16">
        <v>1055</v>
      </c>
      <c r="N994" s="16">
        <v>1018</v>
      </c>
      <c r="O994" s="16">
        <v>1002</v>
      </c>
      <c r="P994" s="16">
        <v>1000</v>
      </c>
      <c r="Q994" s="16">
        <v>1001</v>
      </c>
      <c r="R994" s="16">
        <v>1013</v>
      </c>
      <c r="S994" s="16">
        <v>1010</v>
      </c>
      <c r="T994" s="16">
        <v>1045</v>
      </c>
      <c r="U994" s="15">
        <v>1027.5</v>
      </c>
      <c r="V994" t="s">
        <v>19</v>
      </c>
      <c r="W994" t="s">
        <v>19</v>
      </c>
      <c r="X994">
        <v>114</v>
      </c>
      <c r="Y994" s="16">
        <f>VLOOKUP(Tabela1[[#This Row],[SKU]],SKU!A:D,4,0)</f>
        <v>1000</v>
      </c>
      <c r="Z994" s="18">
        <f>IFERROR((Tabela1[[#This Row],[Média]]-Tabela1[[#This Row],[Meta]])/Tabela1[[#This Row],[Meta]],"")</f>
        <v>2.75E-2</v>
      </c>
      <c r="AA994" s="29">
        <f>Tabela1[[#This Row],[Média]]-Tabela1[[#This Row],[Meta]]</f>
        <v>27.5</v>
      </c>
      <c r="AB994" s="6" t="str">
        <f>VLOOKUP(Tabela1[[#This Row],[SKU]],SKU!A:B,2,0)</f>
        <v>FILE PEITO CG IQF1KG</v>
      </c>
      <c r="AC994" s="6" t="str">
        <f>VLOOKUP(Tabela1[[#This Row],[SKU]],SKU!A:C,3,0)</f>
        <v>PEITO</v>
      </c>
    </row>
    <row r="995" spans="1:29" x14ac:dyDescent="0.3">
      <c r="A995" s="2">
        <f>INT(Tabela1[[#This Row],[Data e Hora2]])</f>
        <v>46282</v>
      </c>
      <c r="B995" s="6" t="str">
        <f>UPPER(TEXT(Tabela1[[#This Row],[Data Corrigida]],"MMM"))</f>
        <v>SET</v>
      </c>
      <c r="C995" t="s">
        <v>2156</v>
      </c>
      <c r="D995" s="2" t="s">
        <v>2157</v>
      </c>
      <c r="E995" s="1" t="s">
        <v>2155</v>
      </c>
      <c r="F995" t="s">
        <v>24</v>
      </c>
      <c r="G995" s="2" t="s">
        <v>2137</v>
      </c>
      <c r="H995" t="s">
        <v>26</v>
      </c>
      <c r="I995" t="s">
        <v>27</v>
      </c>
      <c r="J995" s="6">
        <v>15105</v>
      </c>
      <c r="K995" s="16">
        <v>960</v>
      </c>
      <c r="L995" s="16">
        <v>960</v>
      </c>
      <c r="M995" s="16">
        <v>974</v>
      </c>
      <c r="N995" s="16">
        <v>974</v>
      </c>
      <c r="O995" s="16">
        <v>988</v>
      </c>
      <c r="P995" s="16">
        <v>981</v>
      </c>
      <c r="Q995" s="16">
        <v>970</v>
      </c>
      <c r="R995" s="16">
        <v>1002</v>
      </c>
      <c r="S995" s="16">
        <v>971</v>
      </c>
      <c r="T995" s="16">
        <v>979</v>
      </c>
      <c r="U995" s="15">
        <v>975.9</v>
      </c>
      <c r="V995" t="s">
        <v>19</v>
      </c>
      <c r="W995" t="s">
        <v>28</v>
      </c>
      <c r="X995">
        <v>486</v>
      </c>
      <c r="Y995" s="16">
        <f>VLOOKUP(Tabela1[[#This Row],[SKU]],SKU!A:D,4,0)</f>
        <v>1000</v>
      </c>
      <c r="Z995" s="18">
        <f>IFERROR((Tabela1[[#This Row],[Média]]-Tabela1[[#This Row],[Meta]])/Tabela1[[#This Row],[Meta]],"")</f>
        <v>-2.4100000000000024E-2</v>
      </c>
      <c r="AA995" s="29">
        <f>Tabela1[[#This Row],[Média]]-Tabela1[[#This Row],[Meta]]</f>
        <v>-24.100000000000023</v>
      </c>
      <c r="AB995" s="6" t="str">
        <f>VLOOKUP(Tabela1[[#This Row],[SKU]],SKU!A:B,2,0)</f>
        <v>FILE PEITO MET CG BDJ SE</v>
      </c>
      <c r="AC995" s="6" t="str">
        <f>VLOOKUP(Tabela1[[#This Row],[SKU]],SKU!A:C,3,0)</f>
        <v>PEITO</v>
      </c>
    </row>
    <row r="996" spans="1:29" x14ac:dyDescent="0.3">
      <c r="A996" s="2">
        <f>INT(Tabela1[[#This Row],[Data e Hora2]])</f>
        <v>46282</v>
      </c>
      <c r="B996" s="6" t="str">
        <f>UPPER(TEXT(Tabela1[[#This Row],[Data Corrigida]],"MMM"))</f>
        <v>SET</v>
      </c>
      <c r="C996" t="s">
        <v>2158</v>
      </c>
      <c r="D996" s="2" t="s">
        <v>2159</v>
      </c>
      <c r="E996" s="1" t="s">
        <v>2155</v>
      </c>
      <c r="F996" t="s">
        <v>24</v>
      </c>
      <c r="G996" s="2" t="s">
        <v>2137</v>
      </c>
      <c r="H996" t="s">
        <v>26</v>
      </c>
      <c r="I996" t="s">
        <v>27</v>
      </c>
      <c r="J996" s="6">
        <v>42838</v>
      </c>
      <c r="K996" s="16">
        <v>2018</v>
      </c>
      <c r="L996" s="16">
        <v>2051</v>
      </c>
      <c r="M996" s="16">
        <v>2007</v>
      </c>
      <c r="N996" s="16">
        <v>2013</v>
      </c>
      <c r="O996" s="16">
        <v>2029</v>
      </c>
      <c r="P996" s="16">
        <v>2046</v>
      </c>
      <c r="Q996" s="16">
        <v>2026</v>
      </c>
      <c r="R996" s="16">
        <v>2030</v>
      </c>
      <c r="S996" s="16">
        <v>2025</v>
      </c>
      <c r="T996" s="16">
        <v>2025</v>
      </c>
      <c r="U996" s="15">
        <v>2027</v>
      </c>
      <c r="V996" t="s">
        <v>19</v>
      </c>
      <c r="W996" t="s">
        <v>28</v>
      </c>
      <c r="X996">
        <v>374</v>
      </c>
      <c r="Y996" s="16">
        <f>VLOOKUP(Tabela1[[#This Row],[SKU]],SKU!A:D,4,0)</f>
        <v>2000</v>
      </c>
      <c r="Z996" s="18">
        <f>IFERROR((Tabela1[[#This Row],[Média]]-Tabela1[[#This Row],[Meta]])/Tabela1[[#This Row],[Meta]],"")</f>
        <v>1.35E-2</v>
      </c>
      <c r="AA996" s="29">
        <f>Tabela1[[#This Row],[Média]]-Tabela1[[#This Row],[Meta]]</f>
        <v>27</v>
      </c>
      <c r="AB996" s="6" t="str">
        <f>VLOOKUP(Tabela1[[#This Row],[SKU]],SKU!A:B,2,0)</f>
        <v>COXA SBCX S/O FG 220-240g PB</v>
      </c>
      <c r="AC996" s="6" t="str">
        <f>VLOOKUP(Tabela1[[#This Row],[SKU]],SKU!A:C,3,0)</f>
        <v>PERNA</v>
      </c>
    </row>
    <row r="997" spans="1:29" x14ac:dyDescent="0.3">
      <c r="A997" s="2">
        <f>INT(Tabela1[[#This Row],[Data e Hora2]])</f>
        <v>46282</v>
      </c>
      <c r="B997" s="6" t="str">
        <f>UPPER(TEXT(Tabela1[[#This Row],[Data Corrigida]],"MMM"))</f>
        <v>SET</v>
      </c>
      <c r="C997" t="s">
        <v>2160</v>
      </c>
      <c r="D997" s="2" t="s">
        <v>2161</v>
      </c>
      <c r="E997" s="1" t="s">
        <v>2155</v>
      </c>
      <c r="F997" t="s">
        <v>24</v>
      </c>
      <c r="G997" s="2" t="s">
        <v>2137</v>
      </c>
      <c r="H997" t="s">
        <v>26</v>
      </c>
      <c r="I997" t="s">
        <v>27</v>
      </c>
      <c r="J997" s="6">
        <v>42846</v>
      </c>
      <c r="K997" s="16">
        <v>2004</v>
      </c>
      <c r="L997" s="16">
        <v>2019</v>
      </c>
      <c r="M997" s="16">
        <v>2002</v>
      </c>
      <c r="N997" s="16">
        <v>2012</v>
      </c>
      <c r="O997" s="16">
        <v>2012</v>
      </c>
      <c r="P997" s="16">
        <v>2016</v>
      </c>
      <c r="Q997" s="16">
        <v>2005</v>
      </c>
      <c r="R997" s="16">
        <v>2007</v>
      </c>
      <c r="S997" s="16">
        <v>2017</v>
      </c>
      <c r="T997" s="16">
        <v>2011</v>
      </c>
      <c r="U997" s="15">
        <v>2010.5</v>
      </c>
      <c r="V997" t="s">
        <v>19</v>
      </c>
      <c r="W997" t="s">
        <v>19</v>
      </c>
      <c r="X997">
        <v>218</v>
      </c>
      <c r="Y997" s="16">
        <f>VLOOKUP(Tabela1[[#This Row],[SKU]],SKU!A:D,4,0)</f>
        <v>2000</v>
      </c>
      <c r="Z997" s="18">
        <f>IFERROR((Tabela1[[#This Row],[Média]]-Tabela1[[#This Row],[Meta]])/Tabela1[[#This Row],[Meta]],"")</f>
        <v>5.2500000000000003E-3</v>
      </c>
      <c r="AA997" s="29">
        <f>Tabela1[[#This Row],[Média]]-Tabela1[[#This Row],[Meta]]</f>
        <v>10.5</v>
      </c>
      <c r="AB997" s="6" t="str">
        <f>VLOOKUP(Tabela1[[#This Row],[SKU]],SKU!A:B,2,0)</f>
        <v>COXA SBCX S/O FG 240-260g PB</v>
      </c>
      <c r="AC997" s="6" t="str">
        <f>VLOOKUP(Tabela1[[#This Row],[SKU]],SKU!A:C,3,0)</f>
        <v>PERNA</v>
      </c>
    </row>
    <row r="998" spans="1:29" x14ac:dyDescent="0.3">
      <c r="A998" s="2">
        <f>INT(Tabela1[[#This Row],[Data e Hora2]])</f>
        <v>46282</v>
      </c>
      <c r="B998" s="6" t="str">
        <f>UPPER(TEXT(Tabela1[[#This Row],[Data Corrigida]],"MMM"))</f>
        <v>SET</v>
      </c>
      <c r="C998" t="s">
        <v>2162</v>
      </c>
      <c r="D998" s="2" t="s">
        <v>2163</v>
      </c>
      <c r="E998" s="1" t="s">
        <v>2155</v>
      </c>
      <c r="F998" t="s">
        <v>24</v>
      </c>
      <c r="G998" s="2" t="s">
        <v>2137</v>
      </c>
      <c r="H998" t="s">
        <v>26</v>
      </c>
      <c r="I998" t="s">
        <v>27</v>
      </c>
      <c r="J998" s="6">
        <v>42862</v>
      </c>
      <c r="K998" s="16">
        <v>2001</v>
      </c>
      <c r="L998" s="16">
        <v>2017</v>
      </c>
      <c r="M998" s="16">
        <v>2002</v>
      </c>
      <c r="N998" s="16">
        <v>2017</v>
      </c>
      <c r="O998" s="16">
        <v>2015</v>
      </c>
      <c r="P998" s="16">
        <v>2019</v>
      </c>
      <c r="Q998" s="16">
        <v>2017</v>
      </c>
      <c r="R998" s="16">
        <v>2008</v>
      </c>
      <c r="S998" s="16">
        <v>2011</v>
      </c>
      <c r="T998" s="16">
        <v>2020</v>
      </c>
      <c r="U998" s="15">
        <v>2012.7</v>
      </c>
      <c r="V998" t="s">
        <v>19</v>
      </c>
      <c r="W998" t="s">
        <v>28</v>
      </c>
      <c r="X998">
        <v>157</v>
      </c>
      <c r="Y998" s="16">
        <f>VLOOKUP(Tabela1[[#This Row],[SKU]],SKU!A:D,4,0)</f>
        <v>2000</v>
      </c>
      <c r="Z998" s="18">
        <f>IFERROR((Tabela1[[#This Row],[Média]]-Tabela1[[#This Row],[Meta]])/Tabela1[[#This Row],[Meta]],"")</f>
        <v>6.3500000000000232E-3</v>
      </c>
      <c r="AA998" s="29">
        <f>Tabela1[[#This Row],[Média]]-Tabela1[[#This Row],[Meta]]</f>
        <v>12.700000000000045</v>
      </c>
      <c r="AB998" s="6" t="str">
        <f>VLOOKUP(Tabela1[[#This Row],[SKU]],SKU!A:B,2,0)</f>
        <v>COXA SBCX S/O FG 280-300g PB</v>
      </c>
      <c r="AC998" s="6" t="str">
        <f>VLOOKUP(Tabela1[[#This Row],[SKU]],SKU!A:C,3,0)</f>
        <v>PERNA</v>
      </c>
    </row>
    <row r="999" spans="1:29" x14ac:dyDescent="0.3">
      <c r="A999" s="2">
        <f>INT(Tabela1[[#This Row],[Data e Hora2]])</f>
        <v>46282</v>
      </c>
      <c r="B999" s="6" t="str">
        <f>UPPER(TEXT(Tabela1[[#This Row],[Data Corrigida]],"MMM"))</f>
        <v>SET</v>
      </c>
      <c r="C999" t="s">
        <v>2164</v>
      </c>
      <c r="D999" s="2" t="s">
        <v>2165</v>
      </c>
      <c r="E999" s="1" t="s">
        <v>2155</v>
      </c>
      <c r="F999" t="s">
        <v>24</v>
      </c>
      <c r="G999" s="2" t="s">
        <v>2137</v>
      </c>
      <c r="H999" t="s">
        <v>26</v>
      </c>
      <c r="I999" t="s">
        <v>27</v>
      </c>
      <c r="J999" s="6">
        <v>42854</v>
      </c>
      <c r="K999" s="16">
        <v>2091</v>
      </c>
      <c r="L999" s="16">
        <v>2103</v>
      </c>
      <c r="M999" s="16">
        <v>2101</v>
      </c>
      <c r="N999" s="16">
        <v>2099</v>
      </c>
      <c r="O999" s="16">
        <v>2095</v>
      </c>
      <c r="P999" s="16">
        <v>2002</v>
      </c>
      <c r="Q999" s="16">
        <v>2100</v>
      </c>
      <c r="R999" s="16">
        <v>2105</v>
      </c>
      <c r="S999" s="16">
        <v>2080</v>
      </c>
      <c r="T999" s="16">
        <v>2101</v>
      </c>
      <c r="U999" s="15">
        <v>2087.6999999999998</v>
      </c>
      <c r="V999" t="s">
        <v>19</v>
      </c>
      <c r="W999" t="s">
        <v>19</v>
      </c>
      <c r="X999">
        <v>109</v>
      </c>
      <c r="Y999" s="16">
        <f>VLOOKUP(Tabela1[[#This Row],[SKU]],SKU!A:D,4,0)</f>
        <v>2080</v>
      </c>
      <c r="Z999" s="18">
        <f>IFERROR((Tabela1[[#This Row],[Média]]-Tabela1[[#This Row],[Meta]])/Tabela1[[#This Row],[Meta]],"")</f>
        <v>3.7019230769229894E-3</v>
      </c>
      <c r="AA999" s="29">
        <f>Tabela1[[#This Row],[Média]]-Tabela1[[#This Row],[Meta]]</f>
        <v>7.6999999999998181</v>
      </c>
      <c r="AB999" s="6" t="str">
        <f>VLOOKUP(Tabela1[[#This Row],[SKU]],SKU!A:B,2,0)</f>
        <v>COXA SBCX S/O FG 260-280g PB</v>
      </c>
      <c r="AC999" s="6" t="str">
        <f>VLOOKUP(Tabela1[[#This Row],[SKU]],SKU!A:C,3,0)</f>
        <v>PERNA</v>
      </c>
    </row>
    <row r="1000" spans="1:29" x14ac:dyDescent="0.3">
      <c r="A1000" s="2">
        <f>INT(Tabela1[[#This Row],[Data e Hora2]])</f>
        <v>46282</v>
      </c>
      <c r="B1000" s="6" t="str">
        <f>UPPER(TEXT(Tabela1[[#This Row],[Data Corrigida]],"MMM"))</f>
        <v>SET</v>
      </c>
      <c r="C1000" t="s">
        <v>2166</v>
      </c>
      <c r="D1000" s="2" t="s">
        <v>2167</v>
      </c>
      <c r="E1000" s="1" t="s">
        <v>2155</v>
      </c>
      <c r="F1000" t="s">
        <v>24</v>
      </c>
      <c r="G1000" s="2" t="s">
        <v>2137</v>
      </c>
      <c r="H1000" t="s">
        <v>26</v>
      </c>
      <c r="I1000" t="s">
        <v>27</v>
      </c>
      <c r="J1000" s="6">
        <v>40762</v>
      </c>
      <c r="K1000" s="16">
        <v>10000</v>
      </c>
      <c r="L1000" s="16">
        <v>10045</v>
      </c>
      <c r="M1000" s="16">
        <v>10030</v>
      </c>
      <c r="N1000" s="16">
        <v>10020</v>
      </c>
      <c r="O1000" s="16">
        <v>10005</v>
      </c>
      <c r="P1000" s="16">
        <v>9975</v>
      </c>
      <c r="Q1000" s="16">
        <v>10055</v>
      </c>
      <c r="R1000" s="16">
        <v>10015</v>
      </c>
      <c r="S1000" s="16">
        <v>10025</v>
      </c>
      <c r="T1000" s="16">
        <v>10030</v>
      </c>
      <c r="U1000" s="15">
        <v>10020</v>
      </c>
      <c r="V1000" t="s">
        <v>19</v>
      </c>
      <c r="W1000" t="s">
        <v>28</v>
      </c>
      <c r="X1000">
        <v>340</v>
      </c>
      <c r="Y1000" s="16">
        <f>VLOOKUP(Tabela1[[#This Row],[SKU]],SKU!A:D,4,0)</f>
        <v>10000</v>
      </c>
      <c r="Z1000" s="18">
        <f>IFERROR((Tabela1[[#This Row],[Média]]-Tabela1[[#This Row],[Meta]])/Tabela1[[#This Row],[Meta]],"")</f>
        <v>2E-3</v>
      </c>
      <c r="AA1000" s="29">
        <f>Tabela1[[#This Row],[Média]]-Tabela1[[#This Row],[Meta]]</f>
        <v>20</v>
      </c>
      <c r="AB1000" s="6" t="str">
        <f>VLOOKUP(Tabela1[[#This Row],[SKU]],SKU!A:B,2,0)</f>
        <v>COXA SBCX LQ FG LP</v>
      </c>
      <c r="AC1000" s="6" t="str">
        <f>VLOOKUP(Tabela1[[#This Row],[SKU]],SKU!A:C,3,0)</f>
        <v>PERNA</v>
      </c>
    </row>
    <row r="1001" spans="1:29" x14ac:dyDescent="0.3">
      <c r="A1001" s="2">
        <f>INT(Tabela1[[#This Row],[Data e Hora2]])</f>
        <v>46282</v>
      </c>
      <c r="B1001" s="6" t="str">
        <f>UPPER(TEXT(Tabela1[[#This Row],[Data Corrigida]],"MMM"))</f>
        <v>SET</v>
      </c>
      <c r="C1001" t="s">
        <v>2168</v>
      </c>
      <c r="D1001" s="2" t="s">
        <v>2169</v>
      </c>
      <c r="E1001" s="1" t="s">
        <v>2155</v>
      </c>
      <c r="F1001" t="s">
        <v>24</v>
      </c>
      <c r="G1001" s="2" t="s">
        <v>2137</v>
      </c>
      <c r="H1001" t="s">
        <v>26</v>
      </c>
      <c r="I1001" t="s">
        <v>27</v>
      </c>
      <c r="J1001" s="6">
        <v>995638</v>
      </c>
      <c r="K1001" s="16">
        <v>15015</v>
      </c>
      <c r="L1001" s="16">
        <v>15025</v>
      </c>
      <c r="M1001" s="16">
        <v>15055</v>
      </c>
      <c r="N1001" s="16">
        <v>15065</v>
      </c>
      <c r="O1001" s="16">
        <v>15000</v>
      </c>
      <c r="P1001" s="16">
        <v>15030</v>
      </c>
      <c r="Q1001" s="16">
        <v>15030</v>
      </c>
      <c r="R1001" s="16">
        <v>15020</v>
      </c>
      <c r="S1001" s="16">
        <v>15045</v>
      </c>
      <c r="T1001" s="16">
        <v>15025</v>
      </c>
      <c r="U1001" s="15">
        <v>15031</v>
      </c>
      <c r="V1001" t="s">
        <v>19</v>
      </c>
      <c r="W1001" t="s">
        <v>28</v>
      </c>
      <c r="X1001">
        <v>351</v>
      </c>
      <c r="Y1001" s="16">
        <f>VLOOKUP(Tabela1[[#This Row],[SKU]],SKU!A:D,4,0)</f>
        <v>15000</v>
      </c>
      <c r="Z1001" s="18">
        <f>IFERROR((Tabela1[[#This Row],[Média]]-Tabela1[[#This Row],[Meta]])/Tabela1[[#This Row],[Meta]],"")</f>
        <v>2.0666666666666667E-3</v>
      </c>
      <c r="AA1001" s="29">
        <f>Tabela1[[#This Row],[Média]]-Tabela1[[#This Row],[Meta]]</f>
        <v>31</v>
      </c>
      <c r="AB1001" s="6" t="str">
        <f>VLOOKUP(Tabela1[[#This Row],[SKU]],SKU!A:B,2,0)</f>
        <v>MEIO DA ASA 40-50G LP</v>
      </c>
      <c r="AC1001" s="6" t="str">
        <f>VLOOKUP(Tabela1[[#This Row],[SKU]],SKU!A:C,3,0)</f>
        <v>ASA</v>
      </c>
    </row>
    <row r="1002" spans="1:29" x14ac:dyDescent="0.3">
      <c r="A1002" s="2">
        <f>INT(Tabela1[[#This Row],[Data e Hora2]])</f>
        <v>46282</v>
      </c>
      <c r="B1002" s="6" t="str">
        <f>UPPER(TEXT(Tabela1[[#This Row],[Data Corrigida]],"MMM"))</f>
        <v>SET</v>
      </c>
      <c r="C1002" t="s">
        <v>2170</v>
      </c>
      <c r="D1002" s="2" t="s">
        <v>2171</v>
      </c>
      <c r="E1002" s="1" t="s">
        <v>2155</v>
      </c>
      <c r="F1002" t="s">
        <v>24</v>
      </c>
      <c r="G1002" s="2" t="s">
        <v>2137</v>
      </c>
      <c r="H1002" t="s">
        <v>26</v>
      </c>
      <c r="I1002" t="s">
        <v>27</v>
      </c>
      <c r="J1002" s="6">
        <v>992093</v>
      </c>
      <c r="K1002" s="16">
        <v>5009</v>
      </c>
      <c r="L1002" s="16">
        <v>5014</v>
      </c>
      <c r="M1002" s="16">
        <v>5009</v>
      </c>
      <c r="N1002" s="16">
        <v>5000</v>
      </c>
      <c r="O1002" s="16">
        <v>5007</v>
      </c>
      <c r="P1002" s="16">
        <v>5004</v>
      </c>
      <c r="Q1002" s="16">
        <v>5003</v>
      </c>
      <c r="R1002" s="16">
        <v>5004</v>
      </c>
      <c r="S1002" s="16">
        <v>5006</v>
      </c>
      <c r="T1002" s="16">
        <v>5006</v>
      </c>
      <c r="U1002" s="15">
        <v>5006.2</v>
      </c>
      <c r="V1002" t="s">
        <v>19</v>
      </c>
      <c r="W1002" t="s">
        <v>19</v>
      </c>
      <c r="X1002">
        <v>170</v>
      </c>
      <c r="Y1002" s="16">
        <f>VLOOKUP(Tabela1[[#This Row],[SKU]],SKU!A:D,4,0)</f>
        <v>5000</v>
      </c>
      <c r="Z1002" s="18">
        <f>IFERROR((Tabela1[[#This Row],[Média]]-Tabela1[[#This Row],[Meta]])/Tabela1[[#This Row],[Meta]],"")</f>
        <v>1.2399999999999636E-3</v>
      </c>
      <c r="AA1002" s="29">
        <f>Tabela1[[#This Row],[Média]]-Tabela1[[#This Row],[Meta]]</f>
        <v>6.1999999999998181</v>
      </c>
      <c r="AB1002" s="6" t="str">
        <f>VLOOKUP(Tabela1[[#This Row],[SKU]],SKU!A:B,2,0)</f>
        <v>PONTA ASA FG PB CG</v>
      </c>
      <c r="AC1002" s="6" t="str">
        <f>VLOOKUP(Tabela1[[#This Row],[SKU]],SKU!A:C,3,0)</f>
        <v>ASA</v>
      </c>
    </row>
    <row r="1003" spans="1:29" x14ac:dyDescent="0.3">
      <c r="A1003" s="2">
        <f>INT(Tabela1[[#This Row],[Data e Hora2]])</f>
        <v>46282</v>
      </c>
      <c r="B1003" s="6" t="str">
        <f>UPPER(TEXT(Tabela1[[#This Row],[Data Corrigida]],"MMM"))</f>
        <v>SET</v>
      </c>
      <c r="C1003" t="s">
        <v>2172</v>
      </c>
      <c r="D1003" s="2" t="s">
        <v>2173</v>
      </c>
      <c r="E1003" s="1" t="s">
        <v>2155</v>
      </c>
      <c r="F1003" t="s">
        <v>24</v>
      </c>
      <c r="G1003" s="2" t="s">
        <v>2137</v>
      </c>
      <c r="H1003" t="s">
        <v>26</v>
      </c>
      <c r="I1003" t="s">
        <v>27</v>
      </c>
      <c r="J1003" s="6">
        <v>15105</v>
      </c>
      <c r="K1003" s="16">
        <v>998</v>
      </c>
      <c r="L1003" s="16">
        <v>1038</v>
      </c>
      <c r="M1003" s="16">
        <v>1058</v>
      </c>
      <c r="N1003" s="16">
        <v>998</v>
      </c>
      <c r="O1003" s="16">
        <v>1008</v>
      </c>
      <c r="P1003" s="16">
        <v>1026</v>
      </c>
      <c r="Q1003" s="16">
        <v>993</v>
      </c>
      <c r="R1003" s="16">
        <v>1050</v>
      </c>
      <c r="S1003" s="16">
        <v>1009</v>
      </c>
      <c r="T1003" s="16">
        <v>1014</v>
      </c>
      <c r="U1003" s="15">
        <v>1019.2</v>
      </c>
      <c r="V1003" t="s">
        <v>19</v>
      </c>
      <c r="W1003" t="s">
        <v>28</v>
      </c>
      <c r="X1003">
        <v>299</v>
      </c>
      <c r="Y1003" s="16">
        <f>VLOOKUP(Tabela1[[#This Row],[SKU]],SKU!A:D,4,0)</f>
        <v>1000</v>
      </c>
      <c r="Z1003" s="18">
        <f>IFERROR((Tabela1[[#This Row],[Média]]-Tabela1[[#This Row],[Meta]])/Tabela1[[#This Row],[Meta]],"")</f>
        <v>1.9200000000000047E-2</v>
      </c>
      <c r="AA1003" s="29">
        <f>Tabela1[[#This Row],[Média]]-Tabela1[[#This Row],[Meta]]</f>
        <v>19.200000000000045</v>
      </c>
      <c r="AB1003" s="6" t="str">
        <f>VLOOKUP(Tabela1[[#This Row],[SKU]],SKU!A:B,2,0)</f>
        <v>FILE PEITO MET CG BDJ SE</v>
      </c>
      <c r="AC1003" s="6" t="str">
        <f>VLOOKUP(Tabela1[[#This Row],[SKU]],SKU!A:C,3,0)</f>
        <v>PEITO</v>
      </c>
    </row>
    <row r="1004" spans="1:29" x14ac:dyDescent="0.3">
      <c r="A1004" s="2">
        <f>INT(Tabela1[[#This Row],[Data e Hora2]])</f>
        <v>46282</v>
      </c>
      <c r="B1004" s="6" t="str">
        <f>UPPER(TEXT(Tabela1[[#This Row],[Data Corrigida]],"MMM"))</f>
        <v>SET</v>
      </c>
      <c r="C1004" t="s">
        <v>2174</v>
      </c>
      <c r="D1004" s="2" t="s">
        <v>2175</v>
      </c>
      <c r="E1004" s="1" t="s">
        <v>2176</v>
      </c>
      <c r="F1004" t="s">
        <v>24</v>
      </c>
      <c r="G1004" s="2" t="s">
        <v>2137</v>
      </c>
      <c r="H1004" t="s">
        <v>26</v>
      </c>
      <c r="I1004" t="s">
        <v>57</v>
      </c>
      <c r="J1004" s="6">
        <v>40762</v>
      </c>
      <c r="K1004" s="16">
        <v>9990</v>
      </c>
      <c r="L1004" s="16">
        <v>10065</v>
      </c>
      <c r="M1004" s="16">
        <v>10070</v>
      </c>
      <c r="N1004" s="16">
        <v>10020</v>
      </c>
      <c r="O1004" s="16">
        <v>10085</v>
      </c>
      <c r="P1004" s="16">
        <v>10015</v>
      </c>
      <c r="Q1004" s="16">
        <v>10080</v>
      </c>
      <c r="R1004" s="16">
        <v>10010</v>
      </c>
      <c r="S1004" s="16">
        <v>10065</v>
      </c>
      <c r="T1004" s="16">
        <v>10070</v>
      </c>
      <c r="U1004" s="15">
        <v>10047</v>
      </c>
      <c r="V1004" t="s">
        <v>19</v>
      </c>
      <c r="W1004" t="s">
        <v>28</v>
      </c>
      <c r="X1004">
        <v>318</v>
      </c>
      <c r="Y1004" s="16">
        <f>VLOOKUP(Tabela1[[#This Row],[SKU]],SKU!A:D,4,0)</f>
        <v>10000</v>
      </c>
      <c r="Z1004" s="18">
        <f>IFERROR((Tabela1[[#This Row],[Média]]-Tabela1[[#This Row],[Meta]])/Tabela1[[#This Row],[Meta]],"")</f>
        <v>4.7000000000000002E-3</v>
      </c>
      <c r="AA1004" s="29">
        <f>Tabela1[[#This Row],[Média]]-Tabela1[[#This Row],[Meta]]</f>
        <v>47</v>
      </c>
      <c r="AB1004" s="6" t="str">
        <f>VLOOKUP(Tabela1[[#This Row],[SKU]],SKU!A:B,2,0)</f>
        <v>COXA SBCX LQ FG LP</v>
      </c>
      <c r="AC1004" s="6" t="str">
        <f>VLOOKUP(Tabela1[[#This Row],[SKU]],SKU!A:C,3,0)</f>
        <v>PERNA</v>
      </c>
    </row>
    <row r="1005" spans="1:29" x14ac:dyDescent="0.3">
      <c r="A1005" s="2">
        <f>INT(Tabela1[[#This Row],[Data e Hora2]])</f>
        <v>46282</v>
      </c>
      <c r="B1005" s="6" t="str">
        <f>UPPER(TEXT(Tabela1[[#This Row],[Data Corrigida]],"MMM"))</f>
        <v>SET</v>
      </c>
      <c r="C1005" t="s">
        <v>2177</v>
      </c>
      <c r="D1005" s="2" t="s">
        <v>2178</v>
      </c>
      <c r="E1005" s="1" t="s">
        <v>2179</v>
      </c>
      <c r="F1005" t="s">
        <v>24</v>
      </c>
      <c r="G1005" s="2" t="s">
        <v>2137</v>
      </c>
      <c r="H1005" t="s">
        <v>142</v>
      </c>
      <c r="I1005" t="s">
        <v>462</v>
      </c>
      <c r="J1005" s="6">
        <v>209299</v>
      </c>
      <c r="K1005" s="16">
        <v>1012</v>
      </c>
      <c r="L1005" s="16">
        <v>1000</v>
      </c>
      <c r="M1005" s="16">
        <v>1047</v>
      </c>
      <c r="N1005" s="16">
        <v>1000</v>
      </c>
      <c r="O1005" s="16">
        <v>1095</v>
      </c>
      <c r="P1005" s="16">
        <v>1003</v>
      </c>
      <c r="Q1005" s="16">
        <v>996</v>
      </c>
      <c r="R1005" s="16">
        <v>1005</v>
      </c>
      <c r="S1005" s="16">
        <v>1056</v>
      </c>
      <c r="T1005" s="16">
        <v>1006</v>
      </c>
      <c r="U1005" s="15">
        <v>1022</v>
      </c>
      <c r="V1005" t="s">
        <v>19</v>
      </c>
      <c r="W1005" t="s">
        <v>28</v>
      </c>
      <c r="X1005">
        <v>189</v>
      </c>
      <c r="Y1005" s="16">
        <f>VLOOKUP(Tabela1[[#This Row],[SKU]],SKU!A:D,4,0)</f>
        <v>1000</v>
      </c>
      <c r="Z1005" s="18">
        <f>IFERROR((Tabela1[[#This Row],[Média]]-Tabela1[[#This Row],[Meta]])/Tabela1[[#This Row],[Meta]],"")</f>
        <v>2.1999999999999999E-2</v>
      </c>
      <c r="AA1005" s="29">
        <f>Tabela1[[#This Row],[Média]]-Tabela1[[#This Row],[Meta]]</f>
        <v>22</v>
      </c>
      <c r="AB1005" s="6" t="str">
        <f>VLOOKUP(Tabela1[[#This Row],[SKU]],SKU!A:B,2,0)</f>
        <v>SBCOXA SEM PELE IQF 1KG</v>
      </c>
      <c r="AC1005" s="6" t="str">
        <f>VLOOKUP(Tabela1[[#This Row],[SKU]],SKU!A:C,3,0)</f>
        <v>PERNA</v>
      </c>
    </row>
    <row r="1006" spans="1:29" x14ac:dyDescent="0.3">
      <c r="A1006" s="2">
        <f>INT(Tabela1[[#This Row],[Data e Hora2]])</f>
        <v>46282</v>
      </c>
      <c r="B1006" s="6" t="str">
        <f>UPPER(TEXT(Tabela1[[#This Row],[Data Corrigida]],"MMM"))</f>
        <v>SET</v>
      </c>
      <c r="C1006" t="s">
        <v>2180</v>
      </c>
      <c r="D1006" s="2" t="s">
        <v>2181</v>
      </c>
      <c r="E1006" s="1" t="s">
        <v>2182</v>
      </c>
      <c r="F1006" t="s">
        <v>24</v>
      </c>
      <c r="G1006" s="2" t="s">
        <v>2137</v>
      </c>
      <c r="H1006" t="s">
        <v>142</v>
      </c>
      <c r="I1006" t="s">
        <v>462</v>
      </c>
      <c r="J1006" s="6">
        <v>40762</v>
      </c>
      <c r="K1006" s="16">
        <v>10250</v>
      </c>
      <c r="L1006" s="16">
        <v>10085</v>
      </c>
      <c r="M1006" s="16">
        <v>10105</v>
      </c>
      <c r="N1006" s="16">
        <v>10095</v>
      </c>
      <c r="O1006" s="16">
        <v>10090</v>
      </c>
      <c r="P1006" s="16">
        <v>10120</v>
      </c>
      <c r="Q1006" s="16">
        <v>9935</v>
      </c>
      <c r="R1006" s="16">
        <v>10040</v>
      </c>
      <c r="S1006" s="16">
        <v>9915</v>
      </c>
      <c r="T1006" s="16">
        <v>10140</v>
      </c>
      <c r="U1006" s="15">
        <v>10077.5</v>
      </c>
      <c r="V1006" t="s">
        <v>19</v>
      </c>
      <c r="W1006" t="s">
        <v>28</v>
      </c>
      <c r="X1006">
        <v>1142</v>
      </c>
      <c r="Y1006" s="16">
        <f>VLOOKUP(Tabela1[[#This Row],[SKU]],SKU!A:D,4,0)</f>
        <v>10000</v>
      </c>
      <c r="Z1006" s="18">
        <f>IFERROR((Tabela1[[#This Row],[Média]]-Tabela1[[#This Row],[Meta]])/Tabela1[[#This Row],[Meta]],"")</f>
        <v>7.7499999999999999E-3</v>
      </c>
      <c r="AA1006" s="29">
        <f>Tabela1[[#This Row],[Média]]-Tabela1[[#This Row],[Meta]]</f>
        <v>77.5</v>
      </c>
      <c r="AB1006" s="6" t="str">
        <f>VLOOKUP(Tabela1[[#This Row],[SKU]],SKU!A:B,2,0)</f>
        <v>COXA SBCX LQ FG LP</v>
      </c>
      <c r="AC1006" s="6" t="str">
        <f>VLOOKUP(Tabela1[[#This Row],[SKU]],SKU!A:C,3,0)</f>
        <v>PERNA</v>
      </c>
    </row>
    <row r="1007" spans="1:29" x14ac:dyDescent="0.3">
      <c r="A1007" s="2">
        <f>INT(Tabela1[[#This Row],[Data e Hora2]])</f>
        <v>46282</v>
      </c>
      <c r="B1007" s="6" t="str">
        <f>UPPER(TEXT(Tabela1[[#This Row],[Data Corrigida]],"MMM"))</f>
        <v>SET</v>
      </c>
      <c r="C1007" t="s">
        <v>2183</v>
      </c>
      <c r="D1007" s="2" t="s">
        <v>2184</v>
      </c>
      <c r="E1007" s="1" t="s">
        <v>2182</v>
      </c>
      <c r="F1007" t="s">
        <v>24</v>
      </c>
      <c r="G1007" s="2" t="s">
        <v>2137</v>
      </c>
      <c r="H1007" t="s">
        <v>142</v>
      </c>
      <c r="I1007" t="s">
        <v>462</v>
      </c>
      <c r="J1007" s="6">
        <v>42862</v>
      </c>
      <c r="K1007" s="16">
        <v>2016</v>
      </c>
      <c r="L1007" s="16">
        <v>2027</v>
      </c>
      <c r="M1007" s="16">
        <v>2037</v>
      </c>
      <c r="N1007" s="16">
        <v>2044</v>
      </c>
      <c r="O1007" s="16">
        <v>2048</v>
      </c>
      <c r="P1007" s="16">
        <v>2066</v>
      </c>
      <c r="Q1007" s="16">
        <v>2034</v>
      </c>
      <c r="R1007" s="16">
        <v>2076</v>
      </c>
      <c r="S1007" s="16">
        <v>2020</v>
      </c>
      <c r="T1007" s="16">
        <v>2026</v>
      </c>
      <c r="U1007" s="15">
        <v>2039.4</v>
      </c>
      <c r="V1007" t="s">
        <v>19</v>
      </c>
      <c r="W1007" t="s">
        <v>28</v>
      </c>
      <c r="X1007">
        <v>1336</v>
      </c>
      <c r="Y1007" s="16">
        <f>VLOOKUP(Tabela1[[#This Row],[SKU]],SKU!A:D,4,0)</f>
        <v>2000</v>
      </c>
      <c r="Z1007" s="18">
        <f>IFERROR((Tabela1[[#This Row],[Média]]-Tabela1[[#This Row],[Meta]])/Tabela1[[#This Row],[Meta]],"")</f>
        <v>1.9700000000000044E-2</v>
      </c>
      <c r="AA1007" s="29">
        <f>Tabela1[[#This Row],[Média]]-Tabela1[[#This Row],[Meta]]</f>
        <v>39.400000000000091</v>
      </c>
      <c r="AB1007" s="6" t="str">
        <f>VLOOKUP(Tabela1[[#This Row],[SKU]],SKU!A:B,2,0)</f>
        <v>COXA SBCX S/O FG 280-300g PB</v>
      </c>
      <c r="AC1007" s="6" t="str">
        <f>VLOOKUP(Tabela1[[#This Row],[SKU]],SKU!A:C,3,0)</f>
        <v>PERNA</v>
      </c>
    </row>
    <row r="1008" spans="1:29" x14ac:dyDescent="0.3">
      <c r="A1008" s="2">
        <f>INT(Tabela1[[#This Row],[Data e Hora2]])</f>
        <v>46282</v>
      </c>
      <c r="B1008" s="6" t="str">
        <f>UPPER(TEXT(Tabela1[[#This Row],[Data Corrigida]],"MMM"))</f>
        <v>SET</v>
      </c>
      <c r="C1008" t="s">
        <v>2185</v>
      </c>
      <c r="D1008" s="2" t="s">
        <v>2186</v>
      </c>
      <c r="E1008" s="1" t="s">
        <v>2182</v>
      </c>
      <c r="F1008" t="s">
        <v>24</v>
      </c>
      <c r="G1008" s="2" t="s">
        <v>2137</v>
      </c>
      <c r="H1008" t="s">
        <v>142</v>
      </c>
      <c r="I1008" t="s">
        <v>462</v>
      </c>
      <c r="J1008" s="6">
        <v>15105</v>
      </c>
      <c r="K1008" s="16">
        <v>1045</v>
      </c>
      <c r="L1008" s="16">
        <v>1003</v>
      </c>
      <c r="M1008" s="16">
        <v>995</v>
      </c>
      <c r="N1008" s="16">
        <v>1022</v>
      </c>
      <c r="O1008" s="16">
        <v>1009</v>
      </c>
      <c r="P1008" s="16">
        <v>1004</v>
      </c>
      <c r="Q1008" s="16">
        <v>1000</v>
      </c>
      <c r="R1008" s="16">
        <v>1028</v>
      </c>
      <c r="S1008" s="16">
        <v>1021</v>
      </c>
      <c r="T1008" s="16">
        <v>1008</v>
      </c>
      <c r="U1008" s="15">
        <v>1013.5</v>
      </c>
      <c r="V1008" t="s">
        <v>19</v>
      </c>
      <c r="W1008" t="s">
        <v>28</v>
      </c>
      <c r="X1008">
        <v>5707</v>
      </c>
      <c r="Y1008" s="16">
        <f>VLOOKUP(Tabela1[[#This Row],[SKU]],SKU!A:D,4,0)</f>
        <v>1000</v>
      </c>
      <c r="Z1008" s="18">
        <f>IFERROR((Tabela1[[#This Row],[Média]]-Tabela1[[#This Row],[Meta]])/Tabela1[[#This Row],[Meta]],"")</f>
        <v>1.35E-2</v>
      </c>
      <c r="AA1008" s="29">
        <f>Tabela1[[#This Row],[Média]]-Tabela1[[#This Row],[Meta]]</f>
        <v>13.5</v>
      </c>
      <c r="AB1008" s="6" t="str">
        <f>VLOOKUP(Tabela1[[#This Row],[SKU]],SKU!A:B,2,0)</f>
        <v>FILE PEITO MET CG BDJ SE</v>
      </c>
      <c r="AC1008" s="6" t="str">
        <f>VLOOKUP(Tabela1[[#This Row],[SKU]],SKU!A:C,3,0)</f>
        <v>PEITO</v>
      </c>
    </row>
    <row r="1009" spans="1:29" x14ac:dyDescent="0.3">
      <c r="A1009" s="2">
        <f>INT(Tabela1[[#This Row],[Data e Hora2]])</f>
        <v>46282</v>
      </c>
      <c r="B1009" s="6" t="str">
        <f>UPPER(TEXT(Tabela1[[#This Row],[Data Corrigida]],"MMM"))</f>
        <v>SET</v>
      </c>
      <c r="C1009" t="s">
        <v>2187</v>
      </c>
      <c r="D1009" s="2" t="s">
        <v>2188</v>
      </c>
      <c r="E1009" s="1" t="s">
        <v>2182</v>
      </c>
      <c r="F1009" t="s">
        <v>24</v>
      </c>
      <c r="G1009" s="2" t="s">
        <v>2137</v>
      </c>
      <c r="H1009" t="s">
        <v>142</v>
      </c>
      <c r="I1009" t="s">
        <v>462</v>
      </c>
      <c r="J1009" s="6">
        <v>43784</v>
      </c>
      <c r="K1009" s="16">
        <v>993</v>
      </c>
      <c r="L1009" s="16">
        <v>988</v>
      </c>
      <c r="M1009" s="16">
        <v>994</v>
      </c>
      <c r="N1009" s="16">
        <v>989</v>
      </c>
      <c r="O1009" s="16">
        <v>988</v>
      </c>
      <c r="P1009" s="16">
        <v>990</v>
      </c>
      <c r="Q1009" s="16">
        <v>989</v>
      </c>
      <c r="R1009" s="16">
        <v>995</v>
      </c>
      <c r="S1009" s="16">
        <v>998</v>
      </c>
      <c r="T1009" s="16">
        <v>999</v>
      </c>
      <c r="U1009" s="15">
        <v>992.3</v>
      </c>
      <c r="V1009" t="s">
        <v>19</v>
      </c>
      <c r="W1009" t="s">
        <v>28</v>
      </c>
      <c r="X1009">
        <v>6038</v>
      </c>
      <c r="Y1009" s="16">
        <f>VLOOKUP(Tabela1[[#This Row],[SKU]],SKU!A:D,4,0)</f>
        <v>1000</v>
      </c>
      <c r="Z1009" s="18">
        <f>IFERROR((Tabela1[[#This Row],[Média]]-Tabela1[[#This Row],[Meta]])/Tabela1[[#This Row],[Meta]],"")</f>
        <v>-7.7000000000000453E-3</v>
      </c>
      <c r="AA1009" s="29">
        <f>Tabela1[[#This Row],[Média]]-Tabela1[[#This Row],[Meta]]</f>
        <v>-7.7000000000000455</v>
      </c>
      <c r="AB1009" s="6" t="str">
        <f>VLOOKUP(Tabela1[[#This Row],[SKU]],SKU!A:B,2,0)</f>
        <v>CARTILAGEM PEITO FG PB</v>
      </c>
      <c r="AC1009" s="6" t="str">
        <f>VLOOKUP(Tabela1[[#This Row],[SKU]],SKU!A:C,3,0)</f>
        <v>CARTILAGEM PEITO</v>
      </c>
    </row>
    <row r="1010" spans="1:29" x14ac:dyDescent="0.3">
      <c r="A1010" s="2">
        <f>INT(Tabela1[[#This Row],[Data e Hora2]])</f>
        <v>46282</v>
      </c>
      <c r="B1010" s="6" t="str">
        <f>UPPER(TEXT(Tabela1[[#This Row],[Data Corrigida]],"MMM"))</f>
        <v>SET</v>
      </c>
      <c r="C1010" t="s">
        <v>2189</v>
      </c>
      <c r="D1010" s="2" t="s">
        <v>2190</v>
      </c>
      <c r="E1010" s="1" t="s">
        <v>2182</v>
      </c>
      <c r="F1010" t="s">
        <v>24</v>
      </c>
      <c r="G1010" s="2" t="s">
        <v>2137</v>
      </c>
      <c r="H1010" t="s">
        <v>142</v>
      </c>
      <c r="I1010" t="s">
        <v>462</v>
      </c>
      <c r="J1010" s="6">
        <v>864048</v>
      </c>
      <c r="K1010" s="16">
        <v>2071</v>
      </c>
      <c r="L1010" s="16">
        <v>2031</v>
      </c>
      <c r="M1010" s="16">
        <v>2064</v>
      </c>
      <c r="N1010" s="16">
        <v>2038</v>
      </c>
      <c r="O1010" s="16">
        <v>1999</v>
      </c>
      <c r="P1010" s="16">
        <v>1989</v>
      </c>
      <c r="Q1010" s="16">
        <v>2083</v>
      </c>
      <c r="R1010" s="16">
        <v>2031</v>
      </c>
      <c r="S1010" s="16">
        <v>2000</v>
      </c>
      <c r="T1010" s="16">
        <v>2011</v>
      </c>
      <c r="U1010" s="15">
        <v>2031.7</v>
      </c>
      <c r="V1010" t="s">
        <v>19</v>
      </c>
      <c r="W1010" t="s">
        <v>28</v>
      </c>
      <c r="X1010">
        <v>1691</v>
      </c>
      <c r="Y1010" s="16">
        <f>VLOOKUP(Tabela1[[#This Row],[SKU]],SKU!A:D,4,0)</f>
        <v>2000</v>
      </c>
      <c r="Z1010" s="18">
        <f>IFERROR((Tabela1[[#This Row],[Média]]-Tabela1[[#This Row],[Meta]])/Tabela1[[#This Row],[Meta]],"")</f>
        <v>1.5850000000000024E-2</v>
      </c>
      <c r="AA1010" s="29">
        <f>Tabela1[[#This Row],[Média]]-Tabela1[[#This Row],[Meta]]</f>
        <v>31.700000000000045</v>
      </c>
      <c r="AB1010" s="6" t="str">
        <f>VLOOKUP(Tabela1[[#This Row],[SKU]],SKU!A:B,2,0)</f>
        <v>COXA SBCX S/O 200g FG UP PB</v>
      </c>
      <c r="AC1010" s="6" t="str">
        <f>VLOOKUP(Tabela1[[#This Row],[SKU]],SKU!A:C,3,0)</f>
        <v>PERNA</v>
      </c>
    </row>
    <row r="1011" spans="1:29" x14ac:dyDescent="0.3">
      <c r="A1011" s="2">
        <f>INT(Tabela1[[#This Row],[Data e Hora2]])</f>
        <v>46282</v>
      </c>
      <c r="B1011" s="6" t="str">
        <f>UPPER(TEXT(Tabela1[[#This Row],[Data Corrigida]],"MMM"))</f>
        <v>SET</v>
      </c>
      <c r="C1011" t="s">
        <v>2191</v>
      </c>
      <c r="D1011" s="2" t="s">
        <v>2192</v>
      </c>
      <c r="E1011" s="1" t="s">
        <v>2182</v>
      </c>
      <c r="F1011" t="s">
        <v>24</v>
      </c>
      <c r="G1011" s="2" t="s">
        <v>2137</v>
      </c>
      <c r="H1011" t="s">
        <v>142</v>
      </c>
      <c r="I1011" t="s">
        <v>462</v>
      </c>
      <c r="J1011" s="6">
        <v>42854</v>
      </c>
      <c r="K1011" s="16">
        <v>2100</v>
      </c>
      <c r="L1011" s="16">
        <v>2118</v>
      </c>
      <c r="M1011" s="16">
        <v>2152</v>
      </c>
      <c r="N1011" s="16">
        <v>2063</v>
      </c>
      <c r="O1011" s="16">
        <v>2152</v>
      </c>
      <c r="P1011" s="16">
        <v>2070</v>
      </c>
      <c r="Q1011" s="16">
        <v>2146</v>
      </c>
      <c r="R1011" s="16">
        <v>2153</v>
      </c>
      <c r="S1011" s="16">
        <v>2179</v>
      </c>
      <c r="T1011" s="16">
        <v>2166</v>
      </c>
      <c r="U1011" s="15">
        <v>2129.9</v>
      </c>
      <c r="V1011" t="s">
        <v>19</v>
      </c>
      <c r="W1011" t="s">
        <v>28</v>
      </c>
      <c r="X1011">
        <v>2082</v>
      </c>
      <c r="Y1011" s="16">
        <f>VLOOKUP(Tabela1[[#This Row],[SKU]],SKU!A:D,4,0)</f>
        <v>2080</v>
      </c>
      <c r="Z1011" s="18">
        <f>IFERROR((Tabela1[[#This Row],[Média]]-Tabela1[[#This Row],[Meta]])/Tabela1[[#This Row],[Meta]],"")</f>
        <v>2.399038461538466E-2</v>
      </c>
      <c r="AA1011" s="29">
        <f>Tabela1[[#This Row],[Média]]-Tabela1[[#This Row],[Meta]]</f>
        <v>49.900000000000091</v>
      </c>
      <c r="AB1011" s="6" t="str">
        <f>VLOOKUP(Tabela1[[#This Row],[SKU]],SKU!A:B,2,0)</f>
        <v>COXA SBCX S/O FG 260-280g PB</v>
      </c>
      <c r="AC1011" s="6" t="str">
        <f>VLOOKUP(Tabela1[[#This Row],[SKU]],SKU!A:C,3,0)</f>
        <v>PERNA</v>
      </c>
    </row>
    <row r="1012" spans="1:29" x14ac:dyDescent="0.3">
      <c r="A1012" s="2">
        <f>INT(Tabela1[[#This Row],[Data e Hora2]])</f>
        <v>46282</v>
      </c>
      <c r="B1012" s="6" t="str">
        <f>UPPER(TEXT(Tabela1[[#This Row],[Data Corrigida]],"MMM"))</f>
        <v>SET</v>
      </c>
      <c r="C1012" t="s">
        <v>2193</v>
      </c>
      <c r="D1012" s="2" t="s">
        <v>2194</v>
      </c>
      <c r="E1012" s="1" t="s">
        <v>2182</v>
      </c>
      <c r="F1012" t="s">
        <v>24</v>
      </c>
      <c r="G1012" s="2" t="s">
        <v>2137</v>
      </c>
      <c r="H1012" t="s">
        <v>142</v>
      </c>
      <c r="I1012" t="s">
        <v>462</v>
      </c>
      <c r="J1012" s="6">
        <v>42838</v>
      </c>
      <c r="K1012" s="16">
        <v>2060</v>
      </c>
      <c r="L1012" s="16">
        <v>2059</v>
      </c>
      <c r="M1012" s="16">
        <v>2090</v>
      </c>
      <c r="N1012" s="16">
        <v>2053</v>
      </c>
      <c r="O1012" s="16">
        <v>2045</v>
      </c>
      <c r="P1012" s="16">
        <v>2062</v>
      </c>
      <c r="Q1012" s="16">
        <v>2079</v>
      </c>
      <c r="R1012" s="16">
        <v>2114</v>
      </c>
      <c r="S1012" s="16">
        <v>2058</v>
      </c>
      <c r="T1012" s="16">
        <v>2053</v>
      </c>
      <c r="U1012" s="15">
        <v>2067.3000000000002</v>
      </c>
      <c r="V1012" t="s">
        <v>19</v>
      </c>
      <c r="W1012" t="s">
        <v>28</v>
      </c>
      <c r="X1012">
        <v>2381</v>
      </c>
      <c r="Y1012" s="16">
        <f>VLOOKUP(Tabela1[[#This Row],[SKU]],SKU!A:D,4,0)</f>
        <v>2000</v>
      </c>
      <c r="Z1012" s="18">
        <f>IFERROR((Tabela1[[#This Row],[Média]]-Tabela1[[#This Row],[Meta]])/Tabela1[[#This Row],[Meta]],"")</f>
        <v>3.365000000000009E-2</v>
      </c>
      <c r="AA1012" s="29">
        <f>Tabela1[[#This Row],[Média]]-Tabela1[[#This Row],[Meta]]</f>
        <v>67.300000000000182</v>
      </c>
      <c r="AB1012" s="6" t="str">
        <f>VLOOKUP(Tabela1[[#This Row],[SKU]],SKU!A:B,2,0)</f>
        <v>COXA SBCX S/O FG 220-240g PB</v>
      </c>
      <c r="AC1012" s="6" t="str">
        <f>VLOOKUP(Tabela1[[#This Row],[SKU]],SKU!A:C,3,0)</f>
        <v>PERNA</v>
      </c>
    </row>
    <row r="1013" spans="1:29" x14ac:dyDescent="0.3">
      <c r="A1013" s="2">
        <f>INT(Tabela1[[#This Row],[Data e Hora2]])</f>
        <v>46282</v>
      </c>
      <c r="B1013" s="6" t="str">
        <f>UPPER(TEXT(Tabela1[[#This Row],[Data Corrigida]],"MMM"))</f>
        <v>SET</v>
      </c>
      <c r="C1013" t="s">
        <v>2195</v>
      </c>
      <c r="D1013" s="2" t="s">
        <v>2196</v>
      </c>
      <c r="E1013" s="1" t="s">
        <v>2182</v>
      </c>
      <c r="F1013" t="s">
        <v>24</v>
      </c>
      <c r="G1013" s="2" t="s">
        <v>2137</v>
      </c>
      <c r="H1013" t="s">
        <v>142</v>
      </c>
      <c r="I1013" t="s">
        <v>462</v>
      </c>
      <c r="J1013" s="6">
        <v>42846</v>
      </c>
      <c r="K1013" s="16">
        <v>2014</v>
      </c>
      <c r="L1013" s="16">
        <v>2001</v>
      </c>
      <c r="M1013" s="16">
        <v>2006</v>
      </c>
      <c r="N1013" s="16">
        <v>2026</v>
      </c>
      <c r="O1013" s="16">
        <v>2008</v>
      </c>
      <c r="P1013" s="16">
        <v>2000</v>
      </c>
      <c r="Q1013" s="16">
        <v>2021</v>
      </c>
      <c r="R1013" s="16">
        <v>2018</v>
      </c>
      <c r="S1013" s="16">
        <v>2005</v>
      </c>
      <c r="T1013" s="16">
        <v>2037</v>
      </c>
      <c r="U1013" s="15">
        <v>2013.6</v>
      </c>
      <c r="V1013" t="s">
        <v>19</v>
      </c>
      <c r="W1013" t="s">
        <v>28</v>
      </c>
      <c r="X1013">
        <v>2630</v>
      </c>
      <c r="Y1013" s="16">
        <f>VLOOKUP(Tabela1[[#This Row],[SKU]],SKU!A:D,4,0)</f>
        <v>2000</v>
      </c>
      <c r="Z1013" s="18">
        <f>IFERROR((Tabela1[[#This Row],[Média]]-Tabela1[[#This Row],[Meta]])/Tabela1[[#This Row],[Meta]],"")</f>
        <v>6.7999999999999545E-3</v>
      </c>
      <c r="AA1013" s="29">
        <f>Tabela1[[#This Row],[Média]]-Tabela1[[#This Row],[Meta]]</f>
        <v>13.599999999999909</v>
      </c>
      <c r="AB1013" s="6" t="str">
        <f>VLOOKUP(Tabela1[[#This Row],[SKU]],SKU!A:B,2,0)</f>
        <v>COXA SBCX S/O FG 240-260g PB</v>
      </c>
      <c r="AC1013" s="6" t="str">
        <f>VLOOKUP(Tabela1[[#This Row],[SKU]],SKU!A:C,3,0)</f>
        <v>PERNA</v>
      </c>
    </row>
    <row r="1014" spans="1:29" x14ac:dyDescent="0.3">
      <c r="A1014" s="2">
        <f>INT(Tabela1[[#This Row],[Data e Hora2]])</f>
        <v>46282</v>
      </c>
      <c r="B1014" s="6" t="str">
        <f>UPPER(TEXT(Tabela1[[#This Row],[Data Corrigida]],"MMM"))</f>
        <v>SET</v>
      </c>
      <c r="C1014" t="s">
        <v>2197</v>
      </c>
      <c r="D1014" s="2" t="s">
        <v>2198</v>
      </c>
      <c r="E1014" s="1" t="s">
        <v>2182</v>
      </c>
      <c r="F1014" t="s">
        <v>24</v>
      </c>
      <c r="G1014" s="2" t="s">
        <v>2137</v>
      </c>
      <c r="H1014" t="s">
        <v>142</v>
      </c>
      <c r="I1014" t="s">
        <v>462</v>
      </c>
      <c r="J1014" s="6">
        <v>15849</v>
      </c>
      <c r="K1014" s="16">
        <v>1004</v>
      </c>
      <c r="L1014" s="16">
        <v>961</v>
      </c>
      <c r="M1014" s="16">
        <v>1000</v>
      </c>
      <c r="N1014" s="16">
        <v>1010</v>
      </c>
      <c r="O1014" s="16">
        <v>999</v>
      </c>
      <c r="P1014" s="16">
        <v>1000</v>
      </c>
      <c r="Q1014" s="16">
        <v>1017</v>
      </c>
      <c r="R1014" s="16">
        <v>1012</v>
      </c>
      <c r="S1014" s="16">
        <v>1008</v>
      </c>
      <c r="T1014" s="16">
        <v>1021</v>
      </c>
      <c r="U1014" s="15">
        <v>1003.2</v>
      </c>
      <c r="V1014" t="s">
        <v>19</v>
      </c>
      <c r="W1014" t="s">
        <v>28</v>
      </c>
      <c r="X1014">
        <v>7326</v>
      </c>
      <c r="Y1014" s="16">
        <f>VLOOKUP(Tabela1[[#This Row],[SKU]],SKU!A:D,4,0)</f>
        <v>1000</v>
      </c>
      <c r="Z1014" s="18">
        <f>IFERROR((Tabela1[[#This Row],[Média]]-Tabela1[[#This Row],[Meta]])/Tabela1[[#This Row],[Meta]],"")</f>
        <v>3.2000000000000457E-3</v>
      </c>
      <c r="AA1014" s="29">
        <f>Tabela1[[#This Row],[Média]]-Tabela1[[#This Row],[Meta]]</f>
        <v>3.2000000000000455</v>
      </c>
      <c r="AB1014" s="6" t="str">
        <f>VLOOKUP(Tabela1[[#This Row],[SKU]],SKU!A:B,2,0)</f>
        <v>FILEZINHO PEITO CG BDJ SE</v>
      </c>
      <c r="AC1014" s="6" t="str">
        <f>VLOOKUP(Tabela1[[#This Row],[SKU]],SKU!A:C,3,0)</f>
        <v>SASSAMI</v>
      </c>
    </row>
    <row r="1015" spans="1:29" x14ac:dyDescent="0.3">
      <c r="A1015" s="2">
        <f>INT(Tabela1[[#This Row],[Data e Hora2]])</f>
        <v>46281</v>
      </c>
      <c r="B1015" s="6" t="str">
        <f>UPPER(TEXT(Tabela1[[#This Row],[Data Corrigida]],"MMM"))</f>
        <v>SET</v>
      </c>
      <c r="C1015" t="s">
        <v>2199</v>
      </c>
      <c r="D1015" s="2" t="s">
        <v>2200</v>
      </c>
      <c r="E1015" s="1" t="s">
        <v>2182</v>
      </c>
      <c r="F1015" t="s">
        <v>24</v>
      </c>
      <c r="G1015" s="2" t="s">
        <v>2006</v>
      </c>
      <c r="H1015" t="s">
        <v>142</v>
      </c>
      <c r="I1015" t="s">
        <v>462</v>
      </c>
      <c r="J1015" s="6">
        <v>42838</v>
      </c>
      <c r="K1015" s="16">
        <v>2084</v>
      </c>
      <c r="L1015" s="16">
        <v>1913</v>
      </c>
      <c r="M1015" s="16">
        <v>2015</v>
      </c>
      <c r="N1015" s="16">
        <v>2055</v>
      </c>
      <c r="O1015" s="16">
        <v>2143</v>
      </c>
      <c r="P1015" s="16">
        <v>2073</v>
      </c>
      <c r="Q1015" s="16">
        <v>2087</v>
      </c>
      <c r="R1015" s="16">
        <v>2057</v>
      </c>
      <c r="S1015" s="16">
        <v>1989</v>
      </c>
      <c r="T1015" s="16">
        <v>2124</v>
      </c>
      <c r="U1015" s="15">
        <v>2054</v>
      </c>
      <c r="V1015" t="s">
        <v>19</v>
      </c>
      <c r="W1015" t="s">
        <v>28</v>
      </c>
      <c r="X1015">
        <v>73773</v>
      </c>
      <c r="Y1015" s="16">
        <f>VLOOKUP(Tabela1[[#This Row],[SKU]],SKU!A:D,4,0)</f>
        <v>2000</v>
      </c>
      <c r="Z1015" s="18">
        <f>IFERROR((Tabela1[[#This Row],[Média]]-Tabela1[[#This Row],[Meta]])/Tabela1[[#This Row],[Meta]],"")</f>
        <v>2.7E-2</v>
      </c>
      <c r="AA1015" s="29">
        <f>Tabela1[[#This Row],[Média]]-Tabela1[[#This Row],[Meta]]</f>
        <v>54</v>
      </c>
      <c r="AB1015" s="6" t="str">
        <f>VLOOKUP(Tabela1[[#This Row],[SKU]],SKU!A:B,2,0)</f>
        <v>COXA SBCX S/O FG 220-240g PB</v>
      </c>
      <c r="AC1015" s="6" t="str">
        <f>VLOOKUP(Tabela1[[#This Row],[SKU]],SKU!A:C,3,0)</f>
        <v>PERNA</v>
      </c>
    </row>
    <row r="1016" spans="1:29" x14ac:dyDescent="0.3">
      <c r="A1016" s="2">
        <f>INT(Tabela1[[#This Row],[Data e Hora2]])</f>
        <v>46281</v>
      </c>
      <c r="B1016" s="6" t="str">
        <f>UPPER(TEXT(Tabela1[[#This Row],[Data Corrigida]],"MMM"))</f>
        <v>SET</v>
      </c>
      <c r="C1016" t="s">
        <v>2201</v>
      </c>
      <c r="D1016" s="2" t="s">
        <v>2202</v>
      </c>
      <c r="E1016" s="1" t="s">
        <v>2182</v>
      </c>
      <c r="F1016" t="s">
        <v>24</v>
      </c>
      <c r="G1016" s="2" t="s">
        <v>2006</v>
      </c>
      <c r="H1016" t="s">
        <v>142</v>
      </c>
      <c r="I1016" t="s">
        <v>462</v>
      </c>
      <c r="J1016" s="6">
        <v>864048</v>
      </c>
      <c r="K1016" s="16">
        <v>2066</v>
      </c>
      <c r="L1016" s="16">
        <v>2023</v>
      </c>
      <c r="M1016" s="16">
        <v>2068</v>
      </c>
      <c r="N1016" s="16">
        <v>2015</v>
      </c>
      <c r="O1016" s="16">
        <v>1989</v>
      </c>
      <c r="P1016" s="16">
        <v>2075</v>
      </c>
      <c r="Q1016" s="16">
        <v>2025</v>
      </c>
      <c r="R1016" s="16">
        <v>2003</v>
      </c>
      <c r="S1016" s="16">
        <v>1984</v>
      </c>
      <c r="T1016" s="16">
        <v>2057</v>
      </c>
      <c r="U1016" s="15">
        <v>2030.5</v>
      </c>
      <c r="V1016" t="s">
        <v>19</v>
      </c>
      <c r="W1016" t="s">
        <v>28</v>
      </c>
      <c r="X1016">
        <v>69721</v>
      </c>
      <c r="Y1016" s="16">
        <f>VLOOKUP(Tabela1[[#This Row],[SKU]],SKU!A:D,4,0)</f>
        <v>2000</v>
      </c>
      <c r="Z1016" s="18">
        <f>IFERROR((Tabela1[[#This Row],[Média]]-Tabela1[[#This Row],[Meta]])/Tabela1[[#This Row],[Meta]],"")</f>
        <v>1.525E-2</v>
      </c>
      <c r="AA1016" s="29">
        <f>Tabela1[[#This Row],[Média]]-Tabela1[[#This Row],[Meta]]</f>
        <v>30.5</v>
      </c>
      <c r="AB1016" s="6" t="str">
        <f>VLOOKUP(Tabela1[[#This Row],[SKU]],SKU!A:B,2,0)</f>
        <v>COXA SBCX S/O 200g FG UP PB</v>
      </c>
      <c r="AC1016" s="6" t="str">
        <f>VLOOKUP(Tabela1[[#This Row],[SKU]],SKU!A:C,3,0)</f>
        <v>PERNA</v>
      </c>
    </row>
    <row r="1017" spans="1:29" x14ac:dyDescent="0.3">
      <c r="A1017" s="2">
        <f>INT(Tabela1[[#This Row],[Data e Hora2]])</f>
        <v>46281</v>
      </c>
      <c r="B1017" s="6" t="str">
        <f>UPPER(TEXT(Tabela1[[#This Row],[Data Corrigida]],"MMM"))</f>
        <v>SET</v>
      </c>
      <c r="C1017" t="s">
        <v>2203</v>
      </c>
      <c r="D1017" s="2" t="s">
        <v>2204</v>
      </c>
      <c r="E1017" s="1" t="s">
        <v>2182</v>
      </c>
      <c r="F1017" t="s">
        <v>24</v>
      </c>
      <c r="G1017" s="2" t="s">
        <v>2006</v>
      </c>
      <c r="H1017" t="s">
        <v>142</v>
      </c>
      <c r="I1017" t="s">
        <v>462</v>
      </c>
      <c r="J1017" s="6">
        <v>42854</v>
      </c>
      <c r="K1017" s="16">
        <v>2164</v>
      </c>
      <c r="L1017" s="16">
        <v>2157</v>
      </c>
      <c r="M1017" s="16">
        <v>2150</v>
      </c>
      <c r="N1017" s="16">
        <v>2054</v>
      </c>
      <c r="O1017" s="16">
        <v>2157</v>
      </c>
      <c r="P1017" s="16">
        <v>2173</v>
      </c>
      <c r="Q1017" s="16">
        <v>2151</v>
      </c>
      <c r="R1017" s="16">
        <v>2130</v>
      </c>
      <c r="S1017" s="16">
        <v>2149</v>
      </c>
      <c r="T1017" s="16">
        <v>2161</v>
      </c>
      <c r="U1017" s="15">
        <v>2144.6</v>
      </c>
      <c r="V1017" t="s">
        <v>19</v>
      </c>
      <c r="W1017" t="s">
        <v>28</v>
      </c>
      <c r="X1017">
        <v>74407</v>
      </c>
      <c r="Y1017" s="16">
        <f>VLOOKUP(Tabela1[[#This Row],[SKU]],SKU!A:D,4,0)</f>
        <v>2080</v>
      </c>
      <c r="Z1017" s="18">
        <f>IFERROR((Tabela1[[#This Row],[Média]]-Tabela1[[#This Row],[Meta]])/Tabela1[[#This Row],[Meta]],"")</f>
        <v>3.1057692307692265E-2</v>
      </c>
      <c r="AA1017" s="29">
        <f>Tabela1[[#This Row],[Média]]-Tabela1[[#This Row],[Meta]]</f>
        <v>64.599999999999909</v>
      </c>
      <c r="AB1017" s="6" t="str">
        <f>VLOOKUP(Tabela1[[#This Row],[SKU]],SKU!A:B,2,0)</f>
        <v>COXA SBCX S/O FG 260-280g PB</v>
      </c>
      <c r="AC1017" s="6" t="str">
        <f>VLOOKUP(Tabela1[[#This Row],[SKU]],SKU!A:C,3,0)</f>
        <v>PERNA</v>
      </c>
    </row>
    <row r="1018" spans="1:29" x14ac:dyDescent="0.3">
      <c r="A1018" s="2">
        <f>INT(Tabela1[[#This Row],[Data e Hora2]])</f>
        <v>46281</v>
      </c>
      <c r="B1018" s="6" t="str">
        <f>UPPER(TEXT(Tabela1[[#This Row],[Data Corrigida]],"MMM"))</f>
        <v>SET</v>
      </c>
      <c r="C1018" t="s">
        <v>2205</v>
      </c>
      <c r="D1018" s="2" t="s">
        <v>2206</v>
      </c>
      <c r="E1018" s="1" t="s">
        <v>2182</v>
      </c>
      <c r="F1018" t="s">
        <v>24</v>
      </c>
      <c r="G1018" s="2" t="s">
        <v>2006</v>
      </c>
      <c r="H1018" t="s">
        <v>142</v>
      </c>
      <c r="I1018" t="s">
        <v>462</v>
      </c>
      <c r="J1018" s="6">
        <v>197734</v>
      </c>
      <c r="K1018" s="16">
        <v>1020</v>
      </c>
      <c r="L1018" s="16">
        <v>1007</v>
      </c>
      <c r="M1018" s="16">
        <v>1006</v>
      </c>
      <c r="N1018" s="16">
        <v>1011</v>
      </c>
      <c r="O1018" s="16">
        <v>1020</v>
      </c>
      <c r="P1018" s="16">
        <v>1004</v>
      </c>
      <c r="Q1018" s="16">
        <v>997</v>
      </c>
      <c r="R1018" s="16">
        <v>1006</v>
      </c>
      <c r="S1018" s="16">
        <v>1008</v>
      </c>
      <c r="T1018" s="16">
        <v>1007</v>
      </c>
      <c r="U1018" s="15">
        <v>1008.6</v>
      </c>
      <c r="V1018" t="s">
        <v>19</v>
      </c>
      <c r="W1018" t="s">
        <v>28</v>
      </c>
      <c r="X1018">
        <v>158</v>
      </c>
      <c r="Y1018" s="16">
        <f>VLOOKUP(Tabela1[[#This Row],[SKU]],SKU!A:D,4,0)</f>
        <v>1000</v>
      </c>
      <c r="Z1018" s="18">
        <f>IFERROR((Tabela1[[#This Row],[Média]]-Tabela1[[#This Row],[Meta]])/Tabela1[[#This Row],[Meta]],"")</f>
        <v>8.6000000000000226E-3</v>
      </c>
      <c r="AA1018" s="29">
        <f>Tabela1[[#This Row],[Média]]-Tabela1[[#This Row],[Meta]]</f>
        <v>8.6000000000000227</v>
      </c>
      <c r="AB1018" s="6" t="str">
        <f>VLOOKUP(Tabela1[[#This Row],[SKU]],SKU!A:B,2,0)</f>
        <v>FILEZINHO FRANGO IQF ALM SE</v>
      </c>
      <c r="AC1018" s="6" t="str">
        <f>VLOOKUP(Tabela1[[#This Row],[SKU]],SKU!A:C,3,0)</f>
        <v>SASSAMI</v>
      </c>
    </row>
    <row r="1019" spans="1:29" x14ac:dyDescent="0.3">
      <c r="A1019" s="2">
        <f>INT(Tabela1[[#This Row],[Data e Hora2]])</f>
        <v>46281</v>
      </c>
      <c r="B1019" s="6" t="str">
        <f>UPPER(TEXT(Tabela1[[#This Row],[Data Corrigida]],"MMM"))</f>
        <v>SET</v>
      </c>
      <c r="C1019" t="s">
        <v>2207</v>
      </c>
      <c r="D1019" s="2" t="s">
        <v>2208</v>
      </c>
      <c r="E1019" s="1" t="s">
        <v>2182</v>
      </c>
      <c r="F1019" t="s">
        <v>24</v>
      </c>
      <c r="G1019" s="2" t="s">
        <v>2006</v>
      </c>
      <c r="H1019" t="s">
        <v>142</v>
      </c>
      <c r="I1019" t="s">
        <v>462</v>
      </c>
      <c r="J1019" s="6">
        <v>15105</v>
      </c>
      <c r="K1019" s="16">
        <v>997</v>
      </c>
      <c r="L1019" s="16">
        <v>1016</v>
      </c>
      <c r="M1019" s="16">
        <v>1006</v>
      </c>
      <c r="N1019" s="16">
        <v>996</v>
      </c>
      <c r="O1019" s="16">
        <v>1018</v>
      </c>
      <c r="P1019" s="16">
        <v>1022</v>
      </c>
      <c r="Q1019" s="16">
        <v>996</v>
      </c>
      <c r="R1019" s="16">
        <v>1024</v>
      </c>
      <c r="S1019" s="16">
        <v>1003</v>
      </c>
      <c r="T1019" s="16">
        <v>1025</v>
      </c>
      <c r="U1019" s="15">
        <v>1010.3</v>
      </c>
      <c r="V1019" t="s">
        <v>19</v>
      </c>
      <c r="W1019" t="s">
        <v>28</v>
      </c>
      <c r="X1019">
        <v>286</v>
      </c>
      <c r="Y1019" s="16">
        <f>VLOOKUP(Tabela1[[#This Row],[SKU]],SKU!A:D,4,0)</f>
        <v>1000</v>
      </c>
      <c r="Z1019" s="18">
        <f>IFERROR((Tabela1[[#This Row],[Média]]-Tabela1[[#This Row],[Meta]])/Tabela1[[#This Row],[Meta]],"")</f>
        <v>1.0299999999999955E-2</v>
      </c>
      <c r="AA1019" s="29">
        <f>Tabela1[[#This Row],[Média]]-Tabela1[[#This Row],[Meta]]</f>
        <v>10.299999999999955</v>
      </c>
      <c r="AB1019" s="6" t="str">
        <f>VLOOKUP(Tabela1[[#This Row],[SKU]],SKU!A:B,2,0)</f>
        <v>FILE PEITO MET CG BDJ SE</v>
      </c>
      <c r="AC1019" s="6" t="str">
        <f>VLOOKUP(Tabela1[[#This Row],[SKU]],SKU!A:C,3,0)</f>
        <v>PEITO</v>
      </c>
    </row>
    <row r="1020" spans="1:29" x14ac:dyDescent="0.3">
      <c r="A1020" s="2">
        <f>INT(Tabela1[[#This Row],[Data e Hora2]])</f>
        <v>46282</v>
      </c>
      <c r="B1020" s="6" t="str">
        <f>UPPER(TEXT(Tabela1[[#This Row],[Data Corrigida]],"MMM"))</f>
        <v>SET</v>
      </c>
      <c r="C1020" t="s">
        <v>2209</v>
      </c>
      <c r="D1020" s="2" t="s">
        <v>2210</v>
      </c>
      <c r="E1020" s="1" t="s">
        <v>2211</v>
      </c>
      <c r="F1020" t="s">
        <v>24</v>
      </c>
      <c r="G1020" s="2" t="s">
        <v>2137</v>
      </c>
      <c r="H1020" t="s">
        <v>142</v>
      </c>
      <c r="I1020" t="s">
        <v>143</v>
      </c>
      <c r="J1020" s="6">
        <v>31454</v>
      </c>
      <c r="K1020" s="16">
        <v>2514</v>
      </c>
      <c r="L1020" s="16">
        <v>2497</v>
      </c>
      <c r="M1020" s="16">
        <v>2522</v>
      </c>
      <c r="N1020" s="16">
        <v>2459</v>
      </c>
      <c r="O1020" s="16">
        <v>2524</v>
      </c>
      <c r="P1020" s="16">
        <v>2500</v>
      </c>
      <c r="Q1020" s="16">
        <v>2494</v>
      </c>
      <c r="R1020" s="16">
        <v>2497</v>
      </c>
      <c r="S1020" s="16">
        <v>2546</v>
      </c>
      <c r="T1020" s="16">
        <v>2492</v>
      </c>
      <c r="U1020" s="15">
        <v>2504.5</v>
      </c>
      <c r="V1020" t="s">
        <v>19</v>
      </c>
      <c r="W1020" t="s">
        <v>28</v>
      </c>
      <c r="X1020">
        <v>152</v>
      </c>
      <c r="Y1020" s="16">
        <f>VLOOKUP(Tabela1[[#This Row],[SKU]],SKU!A:D,4,0)</f>
        <v>2500</v>
      </c>
      <c r="Z1020" s="18">
        <f>IFERROR((Tabela1[[#This Row],[Média]]-Tabela1[[#This Row],[Meta]])/Tabela1[[#This Row],[Meta]],"")</f>
        <v>1.8E-3</v>
      </c>
      <c r="AA1020" s="29">
        <f>Tabela1[[#This Row],[Média]]-Tabela1[[#This Row],[Meta]]</f>
        <v>4.5</v>
      </c>
      <c r="AB1020" s="6" t="str">
        <f>VLOOKUP(Tabela1[[#This Row],[SKU]],SKU!A:B,2,0)</f>
        <v>MEIO DE ASA 2,5KG  IQF</v>
      </c>
      <c r="AC1020" s="6" t="str">
        <f>VLOOKUP(Tabela1[[#This Row],[SKU]],SKU!A:C,3,0)</f>
        <v>ASA</v>
      </c>
    </row>
    <row r="1021" spans="1:29" x14ac:dyDescent="0.3">
      <c r="A1021" s="2">
        <f>INT(Tabela1[[#This Row],[Data e Hora2]])</f>
        <v>46282</v>
      </c>
      <c r="B1021" s="6" t="str">
        <f>UPPER(TEXT(Tabela1[[#This Row],[Data Corrigida]],"MMM"))</f>
        <v>SET</v>
      </c>
      <c r="C1021" t="s">
        <v>2212</v>
      </c>
      <c r="D1021" s="2" t="s">
        <v>2213</v>
      </c>
      <c r="E1021" s="1" t="s">
        <v>2211</v>
      </c>
      <c r="F1021" t="s">
        <v>24</v>
      </c>
      <c r="G1021" s="2" t="s">
        <v>2137</v>
      </c>
      <c r="H1021" t="s">
        <v>142</v>
      </c>
      <c r="I1021" t="s">
        <v>143</v>
      </c>
      <c r="J1021" s="6">
        <v>42862</v>
      </c>
      <c r="K1021" s="16">
        <v>2037</v>
      </c>
      <c r="L1021" s="16">
        <v>2054</v>
      </c>
      <c r="M1021" s="16">
        <v>2035</v>
      </c>
      <c r="N1021" s="16">
        <v>1985</v>
      </c>
      <c r="O1021" s="16">
        <v>2052</v>
      </c>
      <c r="P1021" s="16">
        <v>2007</v>
      </c>
      <c r="Q1021" s="16">
        <v>2070</v>
      </c>
      <c r="R1021" s="16">
        <v>2005</v>
      </c>
      <c r="S1021" s="16">
        <v>2024</v>
      </c>
      <c r="T1021" s="16">
        <v>2002</v>
      </c>
      <c r="U1021" s="15">
        <v>2027.1</v>
      </c>
      <c r="V1021" t="s">
        <v>19</v>
      </c>
      <c r="W1021" t="s">
        <v>28</v>
      </c>
      <c r="X1021">
        <v>342</v>
      </c>
      <c r="Y1021" s="16">
        <f>VLOOKUP(Tabela1[[#This Row],[SKU]],SKU!A:D,4,0)</f>
        <v>2000</v>
      </c>
      <c r="Z1021" s="18">
        <f>IFERROR((Tabela1[[#This Row],[Média]]-Tabela1[[#This Row],[Meta]])/Tabela1[[#This Row],[Meta]],"")</f>
        <v>1.3549999999999954E-2</v>
      </c>
      <c r="AA1021" s="29">
        <f>Tabela1[[#This Row],[Média]]-Tabela1[[#This Row],[Meta]]</f>
        <v>27.099999999999909</v>
      </c>
      <c r="AB1021" s="6" t="str">
        <f>VLOOKUP(Tabela1[[#This Row],[SKU]],SKU!A:B,2,0)</f>
        <v>COXA SBCX S/O FG 280-300g PB</v>
      </c>
      <c r="AC1021" s="6" t="str">
        <f>VLOOKUP(Tabela1[[#This Row],[SKU]],SKU!A:C,3,0)</f>
        <v>PERNA</v>
      </c>
    </row>
    <row r="1022" spans="1:29" x14ac:dyDescent="0.3">
      <c r="A1022" s="2">
        <f>INT(Tabela1[[#This Row],[Data e Hora2]])</f>
        <v>46282</v>
      </c>
      <c r="B1022" s="6" t="str">
        <f>UPPER(TEXT(Tabela1[[#This Row],[Data Corrigida]],"MMM"))</f>
        <v>SET</v>
      </c>
      <c r="C1022" t="s">
        <v>2214</v>
      </c>
      <c r="D1022" s="2" t="s">
        <v>2215</v>
      </c>
      <c r="E1022" s="1" t="s">
        <v>2211</v>
      </c>
      <c r="F1022" t="s">
        <v>24</v>
      </c>
      <c r="G1022" s="2" t="s">
        <v>2137</v>
      </c>
      <c r="H1022" t="s">
        <v>142</v>
      </c>
      <c r="I1022" t="s">
        <v>143</v>
      </c>
      <c r="J1022" s="6">
        <v>42846</v>
      </c>
      <c r="K1022" s="16">
        <v>2044</v>
      </c>
      <c r="L1022" s="16">
        <v>1996</v>
      </c>
      <c r="M1022" s="16">
        <v>1986</v>
      </c>
      <c r="N1022" s="16">
        <v>2000</v>
      </c>
      <c r="O1022" s="16">
        <v>2040</v>
      </c>
      <c r="P1022" s="16">
        <v>2004</v>
      </c>
      <c r="Q1022" s="16">
        <v>1993</v>
      </c>
      <c r="R1022" s="16">
        <v>2028</v>
      </c>
      <c r="S1022" s="16">
        <v>2005</v>
      </c>
      <c r="T1022" s="16">
        <v>2009</v>
      </c>
      <c r="U1022" s="15">
        <v>2010.5</v>
      </c>
      <c r="V1022" t="s">
        <v>19</v>
      </c>
      <c r="W1022" t="s">
        <v>28</v>
      </c>
      <c r="X1022">
        <v>151</v>
      </c>
      <c r="Y1022" s="16">
        <f>VLOOKUP(Tabela1[[#This Row],[SKU]],SKU!A:D,4,0)</f>
        <v>2000</v>
      </c>
      <c r="Z1022" s="18">
        <f>IFERROR((Tabela1[[#This Row],[Média]]-Tabela1[[#This Row],[Meta]])/Tabela1[[#This Row],[Meta]],"")</f>
        <v>5.2500000000000003E-3</v>
      </c>
      <c r="AA1022" s="29">
        <f>Tabela1[[#This Row],[Média]]-Tabela1[[#This Row],[Meta]]</f>
        <v>10.5</v>
      </c>
      <c r="AB1022" s="6" t="str">
        <f>VLOOKUP(Tabela1[[#This Row],[SKU]],SKU!A:B,2,0)</f>
        <v>COXA SBCX S/O FG 240-260g PB</v>
      </c>
      <c r="AC1022" s="6" t="str">
        <f>VLOOKUP(Tabela1[[#This Row],[SKU]],SKU!A:C,3,0)</f>
        <v>PERNA</v>
      </c>
    </row>
    <row r="1023" spans="1:29" x14ac:dyDescent="0.3">
      <c r="A1023" s="2">
        <f>INT(Tabela1[[#This Row],[Data e Hora2]])</f>
        <v>46282</v>
      </c>
      <c r="B1023" s="6" t="str">
        <f>UPPER(TEXT(Tabela1[[#This Row],[Data Corrigida]],"MMM"))</f>
        <v>SET</v>
      </c>
      <c r="C1023" t="s">
        <v>2216</v>
      </c>
      <c r="D1023" s="2" t="s">
        <v>2217</v>
      </c>
      <c r="E1023" s="1" t="s">
        <v>2211</v>
      </c>
      <c r="F1023" t="s">
        <v>24</v>
      </c>
      <c r="G1023" s="2" t="s">
        <v>2137</v>
      </c>
      <c r="H1023" t="s">
        <v>142</v>
      </c>
      <c r="I1023" t="s">
        <v>143</v>
      </c>
      <c r="J1023" s="6">
        <v>15105</v>
      </c>
      <c r="K1023" s="16">
        <v>987</v>
      </c>
      <c r="L1023" s="16">
        <v>995</v>
      </c>
      <c r="M1023" s="16">
        <v>1038</v>
      </c>
      <c r="N1023" s="16">
        <v>1014</v>
      </c>
      <c r="O1023" s="16">
        <v>1015</v>
      </c>
      <c r="P1023" s="16">
        <v>1008</v>
      </c>
      <c r="Q1023" s="16">
        <v>994</v>
      </c>
      <c r="R1023" s="16">
        <v>1002</v>
      </c>
      <c r="S1023" s="16">
        <v>1013</v>
      </c>
      <c r="T1023" s="16">
        <v>1056</v>
      </c>
      <c r="U1023" s="15">
        <v>1012.2</v>
      </c>
      <c r="V1023" t="s">
        <v>19</v>
      </c>
      <c r="W1023" t="s">
        <v>28</v>
      </c>
      <c r="X1023">
        <v>141</v>
      </c>
      <c r="Y1023" s="16">
        <f>VLOOKUP(Tabela1[[#This Row],[SKU]],SKU!A:D,4,0)</f>
        <v>1000</v>
      </c>
      <c r="Z1023" s="18">
        <f>IFERROR((Tabela1[[#This Row],[Média]]-Tabela1[[#This Row],[Meta]])/Tabela1[[#This Row],[Meta]],"")</f>
        <v>1.2200000000000046E-2</v>
      </c>
      <c r="AA1023" s="29">
        <f>Tabela1[[#This Row],[Média]]-Tabela1[[#This Row],[Meta]]</f>
        <v>12.200000000000045</v>
      </c>
      <c r="AB1023" s="6" t="str">
        <f>VLOOKUP(Tabela1[[#This Row],[SKU]],SKU!A:B,2,0)</f>
        <v>FILE PEITO MET CG BDJ SE</v>
      </c>
      <c r="AC1023" s="6" t="str">
        <f>VLOOKUP(Tabela1[[#This Row],[SKU]],SKU!A:C,3,0)</f>
        <v>PEITO</v>
      </c>
    </row>
    <row r="1024" spans="1:29" x14ac:dyDescent="0.3">
      <c r="A1024" s="2">
        <f>INT(Tabela1[[#This Row],[Data e Hora2]])</f>
        <v>46281</v>
      </c>
      <c r="B1024" s="6" t="str">
        <f>UPPER(TEXT(Tabela1[[#This Row],[Data Corrigida]],"MMM"))</f>
        <v>SET</v>
      </c>
      <c r="C1024" t="s">
        <v>2003</v>
      </c>
      <c r="D1024" s="2" t="s">
        <v>2004</v>
      </c>
      <c r="E1024" s="1" t="s">
        <v>2005</v>
      </c>
      <c r="F1024" t="s">
        <v>24</v>
      </c>
      <c r="G1024" s="2" t="s">
        <v>2006</v>
      </c>
      <c r="H1024" t="s">
        <v>26</v>
      </c>
      <c r="I1024" t="s">
        <v>27</v>
      </c>
      <c r="J1024" s="6">
        <v>42820</v>
      </c>
      <c r="K1024" s="16">
        <v>2013</v>
      </c>
      <c r="L1024" s="16">
        <v>2041</v>
      </c>
      <c r="M1024" s="16">
        <v>2023</v>
      </c>
      <c r="N1024" s="16">
        <v>2062</v>
      </c>
      <c r="O1024" s="16">
        <v>2020</v>
      </c>
      <c r="P1024" s="16">
        <v>2038</v>
      </c>
      <c r="Q1024" s="16">
        <v>2038</v>
      </c>
      <c r="R1024" s="16">
        <v>2042</v>
      </c>
      <c r="S1024" s="16">
        <v>2051</v>
      </c>
      <c r="T1024" s="16">
        <v>2041</v>
      </c>
      <c r="U1024" s="15">
        <v>2036.9</v>
      </c>
      <c r="V1024" t="s">
        <v>19</v>
      </c>
      <c r="W1024" t="s">
        <v>28</v>
      </c>
      <c r="X1024">
        <v>1312</v>
      </c>
      <c r="Y1024" s="16">
        <f>VLOOKUP(Tabela1[[#This Row],[SKU]],SKU!A:D,4,0)</f>
        <v>2000</v>
      </c>
      <c r="Z1024" s="18">
        <f>IFERROR((Tabela1[[#This Row],[Média]]-Tabela1[[#This Row],[Meta]])/Tabela1[[#This Row],[Meta]],"")</f>
        <v>1.8450000000000046E-2</v>
      </c>
      <c r="AA1024" s="29">
        <f>Tabela1[[#This Row],[Média]]-Tabela1[[#This Row],[Meta]]</f>
        <v>36.900000000000091</v>
      </c>
      <c r="AB1024" s="6" t="str">
        <f>VLOOKUP(Tabela1[[#This Row],[SKU]],SKU!A:B,2,0)</f>
        <v>COXA SBCX S/O FG 200-220g PB</v>
      </c>
      <c r="AC1024" s="6" t="str">
        <f>VLOOKUP(Tabela1[[#This Row],[SKU]],SKU!A:C,3,0)</f>
        <v>PERNA</v>
      </c>
    </row>
    <row r="1025" spans="1:29" x14ac:dyDescent="0.3">
      <c r="A1025" s="2">
        <f>INT(Tabela1[[#This Row],[Data e Hora2]])</f>
        <v>46281</v>
      </c>
      <c r="B1025" s="6" t="str">
        <f>UPPER(TEXT(Tabela1[[#This Row],[Data Corrigida]],"MMM"))</f>
        <v>SET</v>
      </c>
      <c r="C1025" t="s">
        <v>2007</v>
      </c>
      <c r="D1025" s="2" t="s">
        <v>2008</v>
      </c>
      <c r="E1025" s="1" t="s">
        <v>2005</v>
      </c>
      <c r="F1025" t="s">
        <v>24</v>
      </c>
      <c r="G1025" s="2" t="s">
        <v>2006</v>
      </c>
      <c r="H1025" t="s">
        <v>26</v>
      </c>
      <c r="I1025" t="s">
        <v>27</v>
      </c>
      <c r="J1025" s="6">
        <v>42838</v>
      </c>
      <c r="K1025" s="16">
        <v>2020</v>
      </c>
      <c r="L1025" s="16">
        <v>2020</v>
      </c>
      <c r="M1025" s="16">
        <v>2051</v>
      </c>
      <c r="N1025" s="16">
        <v>2030</v>
      </c>
      <c r="O1025" s="16">
        <v>2025</v>
      </c>
      <c r="P1025" s="16">
        <v>2025</v>
      </c>
      <c r="Q1025" s="16">
        <v>2022</v>
      </c>
      <c r="R1025" s="16">
        <v>2030</v>
      </c>
      <c r="S1025" s="16">
        <v>2028</v>
      </c>
      <c r="T1025" s="16">
        <v>2039</v>
      </c>
      <c r="U1025" s="15">
        <v>2029</v>
      </c>
      <c r="V1025" t="s">
        <v>19</v>
      </c>
      <c r="W1025" t="s">
        <v>28</v>
      </c>
      <c r="X1025">
        <v>8499</v>
      </c>
      <c r="Y1025" s="16">
        <f>VLOOKUP(Tabela1[[#This Row],[SKU]],SKU!A:D,4,0)</f>
        <v>2000</v>
      </c>
      <c r="Z1025" s="18">
        <f>IFERROR((Tabela1[[#This Row],[Média]]-Tabela1[[#This Row],[Meta]])/Tabela1[[#This Row],[Meta]],"")</f>
        <v>1.4500000000000001E-2</v>
      </c>
      <c r="AA1025" s="29">
        <f>Tabela1[[#This Row],[Média]]-Tabela1[[#This Row],[Meta]]</f>
        <v>29</v>
      </c>
      <c r="AB1025" s="6" t="str">
        <f>VLOOKUP(Tabela1[[#This Row],[SKU]],SKU!A:B,2,0)</f>
        <v>COXA SBCX S/O FG 220-240g PB</v>
      </c>
      <c r="AC1025" s="6" t="str">
        <f>VLOOKUP(Tabela1[[#This Row],[SKU]],SKU!A:C,3,0)</f>
        <v>PERNA</v>
      </c>
    </row>
    <row r="1026" spans="1:29" x14ac:dyDescent="0.3">
      <c r="A1026" s="2">
        <f>INT(Tabela1[[#This Row],[Data e Hora2]])</f>
        <v>46281</v>
      </c>
      <c r="B1026" s="6" t="str">
        <f>UPPER(TEXT(Tabela1[[#This Row],[Data Corrigida]],"MMM"))</f>
        <v>SET</v>
      </c>
      <c r="C1026" t="s">
        <v>2009</v>
      </c>
      <c r="D1026" s="2" t="s">
        <v>2010</v>
      </c>
      <c r="E1026" s="1" t="s">
        <v>2005</v>
      </c>
      <c r="F1026" t="s">
        <v>24</v>
      </c>
      <c r="G1026" s="2" t="s">
        <v>2006</v>
      </c>
      <c r="H1026" t="s">
        <v>26</v>
      </c>
      <c r="I1026" t="s">
        <v>27</v>
      </c>
      <c r="J1026" s="6">
        <v>864048</v>
      </c>
      <c r="K1026" s="16">
        <v>2017</v>
      </c>
      <c r="L1026" s="16">
        <v>2025</v>
      </c>
      <c r="M1026" s="16">
        <v>2072</v>
      </c>
      <c r="N1026" s="16">
        <v>2015</v>
      </c>
      <c r="O1026" s="16">
        <v>2020</v>
      </c>
      <c r="P1026" s="16">
        <v>2017</v>
      </c>
      <c r="Q1026" s="16">
        <v>2003</v>
      </c>
      <c r="R1026" s="16">
        <v>2007</v>
      </c>
      <c r="S1026" s="16">
        <v>2015</v>
      </c>
      <c r="T1026" s="16">
        <v>2000</v>
      </c>
      <c r="U1026" s="15">
        <v>2019.1</v>
      </c>
      <c r="V1026" t="s">
        <v>19</v>
      </c>
      <c r="W1026" t="s">
        <v>28</v>
      </c>
      <c r="X1026">
        <v>496</v>
      </c>
      <c r="Y1026" s="16">
        <f>VLOOKUP(Tabela1[[#This Row],[SKU]],SKU!A:D,4,0)</f>
        <v>2000</v>
      </c>
      <c r="Z1026" s="18">
        <f>IFERROR((Tabela1[[#This Row],[Média]]-Tabela1[[#This Row],[Meta]])/Tabela1[[#This Row],[Meta]],"")</f>
        <v>9.5499999999999544E-3</v>
      </c>
      <c r="AA1026" s="29">
        <f>Tabela1[[#This Row],[Média]]-Tabela1[[#This Row],[Meta]]</f>
        <v>19.099999999999909</v>
      </c>
      <c r="AB1026" s="6" t="str">
        <f>VLOOKUP(Tabela1[[#This Row],[SKU]],SKU!A:B,2,0)</f>
        <v>COXA SBCX S/O 200g FG UP PB</v>
      </c>
      <c r="AC1026" s="6" t="str">
        <f>VLOOKUP(Tabela1[[#This Row],[SKU]],SKU!A:C,3,0)</f>
        <v>PERNA</v>
      </c>
    </row>
    <row r="1027" spans="1:29" x14ac:dyDescent="0.3">
      <c r="A1027" s="2">
        <f>INT(Tabela1[[#This Row],[Data e Hora2]])</f>
        <v>46281</v>
      </c>
      <c r="B1027" s="6" t="str">
        <f>UPPER(TEXT(Tabela1[[#This Row],[Data Corrigida]],"MMM"))</f>
        <v>SET</v>
      </c>
      <c r="C1027" t="s">
        <v>2011</v>
      </c>
      <c r="D1027" s="2" t="s">
        <v>2012</v>
      </c>
      <c r="E1027" s="1" t="s">
        <v>2005</v>
      </c>
      <c r="F1027" t="s">
        <v>24</v>
      </c>
      <c r="G1027" s="2" t="s">
        <v>2006</v>
      </c>
      <c r="H1027" t="s">
        <v>26</v>
      </c>
      <c r="I1027" t="s">
        <v>27</v>
      </c>
      <c r="J1027" s="6">
        <v>992014</v>
      </c>
      <c r="K1027" s="16">
        <v>702</v>
      </c>
      <c r="L1027" s="16">
        <v>704</v>
      </c>
      <c r="M1027" s="16">
        <v>703</v>
      </c>
      <c r="N1027" s="16">
        <v>709</v>
      </c>
      <c r="O1027" s="16">
        <v>703</v>
      </c>
      <c r="P1027" s="16">
        <v>702</v>
      </c>
      <c r="Q1027" s="16">
        <v>702</v>
      </c>
      <c r="R1027" s="16">
        <v>700</v>
      </c>
      <c r="S1027" s="16">
        <v>712</v>
      </c>
      <c r="T1027" s="16">
        <v>701</v>
      </c>
      <c r="U1027" s="15">
        <v>703.8</v>
      </c>
      <c r="V1027" t="s">
        <v>19</v>
      </c>
      <c r="W1027" t="s">
        <v>28</v>
      </c>
      <c r="X1027">
        <v>8025</v>
      </c>
      <c r="Y1027" s="16">
        <f>VLOOKUP(Tabela1[[#This Row],[SKU]],SKU!A:D,4,0)</f>
        <v>700</v>
      </c>
      <c r="Z1027" s="18">
        <f>IFERROR((Tabela1[[#This Row],[Média]]-Tabela1[[#This Row],[Meta]])/Tabela1[[#This Row],[Meta]],"")</f>
        <v>5.4285714285713634E-3</v>
      </c>
      <c r="AA1027" s="29">
        <f>Tabela1[[#This Row],[Média]]-Tabela1[[#This Row],[Meta]]</f>
        <v>3.7999999999999545</v>
      </c>
      <c r="AB1027" s="6" t="str">
        <f>VLOOKUP(Tabela1[[#This Row],[SKU]],SKU!A:B,2,0)</f>
        <v>OSTRINHA CG PCT 700G SWIFT</v>
      </c>
      <c r="AC1027" s="6" t="str">
        <f>VLOOKUP(Tabela1[[#This Row],[SKU]],SKU!A:C,3,0)</f>
        <v>PERNA</v>
      </c>
    </row>
    <row r="1028" spans="1:29" x14ac:dyDescent="0.3">
      <c r="A1028" s="2">
        <f>INT(Tabela1[[#This Row],[Data e Hora2]])</f>
        <v>46281</v>
      </c>
      <c r="B1028" s="6" t="str">
        <f>UPPER(TEXT(Tabela1[[#This Row],[Data Corrigida]],"MMM"))</f>
        <v>SET</v>
      </c>
      <c r="C1028" t="s">
        <v>2013</v>
      </c>
      <c r="D1028" s="2" t="s">
        <v>2014</v>
      </c>
      <c r="E1028" s="1" t="s">
        <v>2015</v>
      </c>
      <c r="F1028" t="s">
        <v>24</v>
      </c>
      <c r="G1028" s="2" t="s">
        <v>2006</v>
      </c>
      <c r="H1028" t="s">
        <v>26</v>
      </c>
      <c r="I1028" t="s">
        <v>27</v>
      </c>
      <c r="J1028" s="6">
        <v>995638</v>
      </c>
      <c r="K1028" s="16">
        <v>15065</v>
      </c>
      <c r="L1028" s="16">
        <v>15055</v>
      </c>
      <c r="M1028" s="16">
        <v>15050</v>
      </c>
      <c r="N1028" s="16">
        <v>15075</v>
      </c>
      <c r="O1028" s="16">
        <v>15090</v>
      </c>
      <c r="P1028" s="16">
        <v>15040</v>
      </c>
      <c r="Q1028" s="16">
        <v>15020</v>
      </c>
      <c r="R1028" s="16">
        <v>15020</v>
      </c>
      <c r="S1028" s="16">
        <v>15035</v>
      </c>
      <c r="T1028" s="16">
        <v>15015</v>
      </c>
      <c r="U1028" s="15">
        <v>15046.5</v>
      </c>
      <c r="V1028" t="s">
        <v>19</v>
      </c>
      <c r="W1028" t="s">
        <v>28</v>
      </c>
      <c r="X1028">
        <v>918</v>
      </c>
      <c r="Y1028" s="16">
        <f>VLOOKUP(Tabela1[[#This Row],[SKU]],SKU!A:D,4,0)</f>
        <v>15000</v>
      </c>
      <c r="Z1028" s="18">
        <f>IFERROR((Tabela1[[#This Row],[Média]]-Tabela1[[#This Row],[Meta]])/Tabela1[[#This Row],[Meta]],"")</f>
        <v>3.0999999999999999E-3</v>
      </c>
      <c r="AA1028" s="29">
        <f>Tabela1[[#This Row],[Média]]-Tabela1[[#This Row],[Meta]]</f>
        <v>46.5</v>
      </c>
      <c r="AB1028" s="6" t="str">
        <f>VLOOKUP(Tabela1[[#This Row],[SKU]],SKU!A:B,2,0)</f>
        <v>MEIO DA ASA 40-50G LP</v>
      </c>
      <c r="AC1028" s="6" t="str">
        <f>VLOOKUP(Tabela1[[#This Row],[SKU]],SKU!A:C,3,0)</f>
        <v>ASA</v>
      </c>
    </row>
    <row r="1029" spans="1:29" x14ac:dyDescent="0.3">
      <c r="A1029" s="2">
        <f>INT(Tabela1[[#This Row],[Data e Hora2]])</f>
        <v>46281</v>
      </c>
      <c r="B1029" s="6" t="str">
        <f>UPPER(TEXT(Tabela1[[#This Row],[Data Corrigida]],"MMM"))</f>
        <v>SET</v>
      </c>
      <c r="C1029" t="s">
        <v>2016</v>
      </c>
      <c r="D1029" s="2" t="s">
        <v>2017</v>
      </c>
      <c r="E1029" s="1" t="s">
        <v>2015</v>
      </c>
      <c r="F1029" t="s">
        <v>24</v>
      </c>
      <c r="G1029" s="2" t="s">
        <v>2006</v>
      </c>
      <c r="H1029" t="s">
        <v>26</v>
      </c>
      <c r="I1029" t="s">
        <v>27</v>
      </c>
      <c r="J1029" s="6">
        <v>40762</v>
      </c>
      <c r="K1029" s="16">
        <v>9980</v>
      </c>
      <c r="L1029" s="16">
        <v>10060</v>
      </c>
      <c r="M1029" s="16">
        <v>9920</v>
      </c>
      <c r="N1029" s="16">
        <v>10075</v>
      </c>
      <c r="O1029" s="16">
        <v>10230</v>
      </c>
      <c r="P1029" s="16">
        <v>9960</v>
      </c>
      <c r="Q1029" s="16">
        <v>10190</v>
      </c>
      <c r="R1029" s="16">
        <v>9970</v>
      </c>
      <c r="S1029" s="16">
        <v>10155</v>
      </c>
      <c r="T1029" s="16">
        <v>10120</v>
      </c>
      <c r="U1029" s="15">
        <v>10066</v>
      </c>
      <c r="V1029" t="s">
        <v>19</v>
      </c>
      <c r="W1029" t="s">
        <v>28</v>
      </c>
      <c r="X1029">
        <v>749</v>
      </c>
      <c r="Y1029" s="16">
        <f>VLOOKUP(Tabela1[[#This Row],[SKU]],SKU!A:D,4,0)</f>
        <v>10000</v>
      </c>
      <c r="Z1029" s="18">
        <f>IFERROR((Tabela1[[#This Row],[Média]]-Tabela1[[#This Row],[Meta]])/Tabela1[[#This Row],[Meta]],"")</f>
        <v>6.6E-3</v>
      </c>
      <c r="AA1029" s="29">
        <f>Tabela1[[#This Row],[Média]]-Tabela1[[#This Row],[Meta]]</f>
        <v>66</v>
      </c>
      <c r="AB1029" s="6" t="str">
        <f>VLOOKUP(Tabela1[[#This Row],[SKU]],SKU!A:B,2,0)</f>
        <v>COXA SBCX LQ FG LP</v>
      </c>
      <c r="AC1029" s="6" t="str">
        <f>VLOOKUP(Tabela1[[#This Row],[SKU]],SKU!A:C,3,0)</f>
        <v>PERNA</v>
      </c>
    </row>
    <row r="1030" spans="1:29" x14ac:dyDescent="0.3">
      <c r="A1030" s="2">
        <f>INT(Tabela1[[#This Row],[Data e Hora2]])</f>
        <v>46281</v>
      </c>
      <c r="B1030" s="6" t="str">
        <f>UPPER(TEXT(Tabela1[[#This Row],[Data Corrigida]],"MMM"))</f>
        <v>SET</v>
      </c>
      <c r="C1030" t="s">
        <v>2018</v>
      </c>
      <c r="D1030" s="2" t="s">
        <v>2019</v>
      </c>
      <c r="E1030" s="1" t="s">
        <v>2015</v>
      </c>
      <c r="F1030" t="s">
        <v>24</v>
      </c>
      <c r="G1030" s="2" t="s">
        <v>2006</v>
      </c>
      <c r="H1030" t="s">
        <v>26</v>
      </c>
      <c r="I1030" t="s">
        <v>27</v>
      </c>
      <c r="J1030" s="6">
        <v>15105</v>
      </c>
      <c r="K1030" s="16">
        <v>1028</v>
      </c>
      <c r="L1030" s="16">
        <v>1039</v>
      </c>
      <c r="M1030" s="16">
        <v>1005</v>
      </c>
      <c r="N1030" s="16">
        <v>1027</v>
      </c>
      <c r="O1030" s="16">
        <v>1042</v>
      </c>
      <c r="P1030" s="16">
        <v>1010</v>
      </c>
      <c r="Q1030" s="16">
        <v>1006</v>
      </c>
      <c r="R1030" s="16">
        <v>996</v>
      </c>
      <c r="S1030" s="16">
        <v>1019</v>
      </c>
      <c r="T1030" s="16">
        <v>1056</v>
      </c>
      <c r="U1030" s="15">
        <v>1022.8</v>
      </c>
      <c r="V1030" t="s">
        <v>19</v>
      </c>
      <c r="W1030" t="s">
        <v>28</v>
      </c>
      <c r="X1030">
        <v>253</v>
      </c>
      <c r="Y1030" s="16">
        <f>VLOOKUP(Tabela1[[#This Row],[SKU]],SKU!A:D,4,0)</f>
        <v>1000</v>
      </c>
      <c r="Z1030" s="18">
        <f>IFERROR((Tabela1[[#This Row],[Média]]-Tabela1[[#This Row],[Meta]])/Tabela1[[#This Row],[Meta]],"")</f>
        <v>2.2799999999999956E-2</v>
      </c>
      <c r="AA1030" s="29">
        <f>Tabela1[[#This Row],[Média]]-Tabela1[[#This Row],[Meta]]</f>
        <v>22.799999999999955</v>
      </c>
      <c r="AB1030" s="6" t="str">
        <f>VLOOKUP(Tabela1[[#This Row],[SKU]],SKU!A:B,2,0)</f>
        <v>FILE PEITO MET CG BDJ SE</v>
      </c>
      <c r="AC1030" s="6" t="str">
        <f>VLOOKUP(Tabela1[[#This Row],[SKU]],SKU!A:C,3,0)</f>
        <v>PEITO</v>
      </c>
    </row>
    <row r="1031" spans="1:29" x14ac:dyDescent="0.3">
      <c r="A1031" s="2">
        <f>INT(Tabela1[[#This Row],[Data e Hora2]])</f>
        <v>46281</v>
      </c>
      <c r="B1031" s="6" t="str">
        <f>UPPER(TEXT(Tabela1[[#This Row],[Data Corrigida]],"MMM"))</f>
        <v>SET</v>
      </c>
      <c r="C1031" t="s">
        <v>2020</v>
      </c>
      <c r="D1031" s="2" t="s">
        <v>2021</v>
      </c>
      <c r="E1031" s="1" t="s">
        <v>2015</v>
      </c>
      <c r="F1031" t="s">
        <v>24</v>
      </c>
      <c r="G1031" s="2" t="s">
        <v>2006</v>
      </c>
      <c r="H1031" t="s">
        <v>26</v>
      </c>
      <c r="I1031" t="s">
        <v>27</v>
      </c>
      <c r="J1031" s="6">
        <v>209099</v>
      </c>
      <c r="K1031" s="16">
        <v>1035</v>
      </c>
      <c r="L1031" s="16">
        <v>1022</v>
      </c>
      <c r="M1031" s="16">
        <v>999</v>
      </c>
      <c r="N1031" s="16">
        <v>994</v>
      </c>
      <c r="O1031" s="16">
        <v>1006</v>
      </c>
      <c r="P1031" s="16">
        <v>995</v>
      </c>
      <c r="Q1031" s="16">
        <v>990</v>
      </c>
      <c r="R1031" s="16">
        <v>1049</v>
      </c>
      <c r="S1031" s="16">
        <v>1000</v>
      </c>
      <c r="T1031" s="16">
        <v>1027</v>
      </c>
      <c r="U1031" s="15">
        <v>1011.7</v>
      </c>
      <c r="V1031" t="s">
        <v>19</v>
      </c>
      <c r="W1031" t="s">
        <v>28</v>
      </c>
      <c r="X1031">
        <v>167</v>
      </c>
      <c r="Y1031" s="16">
        <f>VLOOKUP(Tabela1[[#This Row],[SKU]],SKU!A:D,4,0)</f>
        <v>1000</v>
      </c>
      <c r="Z1031" s="18">
        <f>IFERROR((Tabela1[[#This Row],[Média]]-Tabela1[[#This Row],[Meta]])/Tabela1[[#This Row],[Meta]],"")</f>
        <v>1.1700000000000045E-2</v>
      </c>
      <c r="AA1031" s="29">
        <f>Tabela1[[#This Row],[Média]]-Tabela1[[#This Row],[Meta]]</f>
        <v>11.700000000000045</v>
      </c>
      <c r="AB1031" s="6" t="str">
        <f>VLOOKUP(Tabela1[[#This Row],[SKU]],SKU!A:B,2,0)</f>
        <v>FILE DE SOBRECOXA IQF</v>
      </c>
      <c r="AC1031" s="6" t="str">
        <f>VLOOKUP(Tabela1[[#This Row],[SKU]],SKU!A:C,3,0)</f>
        <v>PERNA</v>
      </c>
    </row>
    <row r="1032" spans="1:29" x14ac:dyDescent="0.3">
      <c r="A1032" s="2">
        <f>INT(Tabela1[[#This Row],[Data e Hora2]])</f>
        <v>46281</v>
      </c>
      <c r="B1032" s="6" t="str">
        <f>UPPER(TEXT(Tabela1[[#This Row],[Data Corrigida]],"MMM"))</f>
        <v>SET</v>
      </c>
      <c r="C1032" t="s">
        <v>2022</v>
      </c>
      <c r="D1032" s="2" t="s">
        <v>2023</v>
      </c>
      <c r="E1032" s="1" t="s">
        <v>2015</v>
      </c>
      <c r="F1032" t="s">
        <v>24</v>
      </c>
      <c r="G1032" s="2" t="s">
        <v>2006</v>
      </c>
      <c r="H1032" t="s">
        <v>26</v>
      </c>
      <c r="I1032" t="s">
        <v>27</v>
      </c>
      <c r="J1032" s="6">
        <v>40762</v>
      </c>
      <c r="K1032" s="16">
        <v>9980</v>
      </c>
      <c r="L1032" s="16">
        <v>10040</v>
      </c>
      <c r="M1032" s="16">
        <v>10200</v>
      </c>
      <c r="N1032" s="16">
        <v>10030</v>
      </c>
      <c r="O1032" s="16">
        <v>10000</v>
      </c>
      <c r="P1032" s="16">
        <v>9995</v>
      </c>
      <c r="Q1032" s="16">
        <v>10040</v>
      </c>
      <c r="R1032" s="16">
        <v>10225</v>
      </c>
      <c r="S1032" s="16">
        <v>10025</v>
      </c>
      <c r="T1032" s="16">
        <v>10000</v>
      </c>
      <c r="U1032" s="15">
        <v>10053.5</v>
      </c>
      <c r="V1032" t="s">
        <v>19</v>
      </c>
      <c r="W1032" t="s">
        <v>28</v>
      </c>
      <c r="X1032">
        <v>2449</v>
      </c>
      <c r="Y1032" s="16">
        <f>VLOOKUP(Tabela1[[#This Row],[SKU]],SKU!A:D,4,0)</f>
        <v>10000</v>
      </c>
      <c r="Z1032" s="18">
        <f>IFERROR((Tabela1[[#This Row],[Média]]-Tabela1[[#This Row],[Meta]])/Tabela1[[#This Row],[Meta]],"")</f>
        <v>5.3499999999999997E-3</v>
      </c>
      <c r="AA1032" s="29">
        <f>Tabela1[[#This Row],[Média]]-Tabela1[[#This Row],[Meta]]</f>
        <v>53.5</v>
      </c>
      <c r="AB1032" s="6" t="str">
        <f>VLOOKUP(Tabela1[[#This Row],[SKU]],SKU!A:B,2,0)</f>
        <v>COXA SBCX LQ FG LP</v>
      </c>
      <c r="AC1032" s="6" t="str">
        <f>VLOOKUP(Tabela1[[#This Row],[SKU]],SKU!A:C,3,0)</f>
        <v>PERNA</v>
      </c>
    </row>
    <row r="1033" spans="1:29" x14ac:dyDescent="0.3">
      <c r="A1033" s="2">
        <f>INT(Tabela1[[#This Row],[Data e Hora2]])</f>
        <v>46281</v>
      </c>
      <c r="B1033" s="6" t="str">
        <f>UPPER(TEXT(Tabela1[[#This Row],[Data Corrigida]],"MMM"))</f>
        <v>SET</v>
      </c>
      <c r="C1033" t="s">
        <v>2024</v>
      </c>
      <c r="D1033" s="2" t="s">
        <v>2025</v>
      </c>
      <c r="E1033" s="1" t="s">
        <v>2015</v>
      </c>
      <c r="F1033" t="s">
        <v>24</v>
      </c>
      <c r="G1033" s="2" t="s">
        <v>2006</v>
      </c>
      <c r="H1033" t="s">
        <v>26</v>
      </c>
      <c r="I1033" t="s">
        <v>27</v>
      </c>
      <c r="J1033" s="6">
        <v>42854</v>
      </c>
      <c r="K1033" s="16">
        <v>2180</v>
      </c>
      <c r="L1033" s="16">
        <v>2111</v>
      </c>
      <c r="M1033" s="16">
        <v>2097</v>
      </c>
      <c r="N1033" s="16">
        <v>2177</v>
      </c>
      <c r="O1033" s="16">
        <v>2105</v>
      </c>
      <c r="P1033" s="16">
        <v>2103</v>
      </c>
      <c r="Q1033" s="16">
        <v>2117</v>
      </c>
      <c r="R1033" s="16">
        <v>2107</v>
      </c>
      <c r="S1033" s="16">
        <v>2105</v>
      </c>
      <c r="T1033" s="16">
        <v>2088</v>
      </c>
      <c r="U1033" s="15">
        <v>2119</v>
      </c>
      <c r="V1033" t="s">
        <v>19</v>
      </c>
      <c r="W1033" t="s">
        <v>19</v>
      </c>
      <c r="X1033">
        <v>307</v>
      </c>
      <c r="Y1033" s="16">
        <f>VLOOKUP(Tabela1[[#This Row],[SKU]],SKU!A:D,4,0)</f>
        <v>2080</v>
      </c>
      <c r="Z1033" s="18">
        <f>IFERROR((Tabela1[[#This Row],[Média]]-Tabela1[[#This Row],[Meta]])/Tabela1[[#This Row],[Meta]],"")</f>
        <v>1.8749999999999999E-2</v>
      </c>
      <c r="AA1033" s="29">
        <f>Tabela1[[#This Row],[Média]]-Tabela1[[#This Row],[Meta]]</f>
        <v>39</v>
      </c>
      <c r="AB1033" s="6" t="str">
        <f>VLOOKUP(Tabela1[[#This Row],[SKU]],SKU!A:B,2,0)</f>
        <v>COXA SBCX S/O FG 260-280g PB</v>
      </c>
      <c r="AC1033" s="6" t="str">
        <f>VLOOKUP(Tabela1[[#This Row],[SKU]],SKU!A:C,3,0)</f>
        <v>PERNA</v>
      </c>
    </row>
    <row r="1034" spans="1:29" x14ac:dyDescent="0.3">
      <c r="A1034" s="2">
        <f>INT(Tabela1[[#This Row],[Data e Hora2]])</f>
        <v>46281</v>
      </c>
      <c r="B1034" s="6" t="str">
        <f>UPPER(TEXT(Tabela1[[#This Row],[Data Corrigida]],"MMM"))</f>
        <v>SET</v>
      </c>
      <c r="C1034" t="s">
        <v>2026</v>
      </c>
      <c r="D1034" s="2" t="s">
        <v>2027</v>
      </c>
      <c r="E1034" s="1" t="s">
        <v>2015</v>
      </c>
      <c r="F1034" t="s">
        <v>24</v>
      </c>
      <c r="G1034" s="2" t="s">
        <v>2006</v>
      </c>
      <c r="H1034" t="s">
        <v>26</v>
      </c>
      <c r="I1034" t="s">
        <v>27</v>
      </c>
      <c r="J1034" s="6">
        <v>42846</v>
      </c>
      <c r="K1034" s="16">
        <v>2015</v>
      </c>
      <c r="L1034" s="16">
        <v>2028</v>
      </c>
      <c r="M1034" s="16">
        <v>2021</v>
      </c>
      <c r="N1034" s="16">
        <v>2014</v>
      </c>
      <c r="O1034" s="16">
        <v>2013</v>
      </c>
      <c r="P1034" s="16">
        <v>2008</v>
      </c>
      <c r="Q1034" s="16">
        <v>2013</v>
      </c>
      <c r="R1034" s="16">
        <v>2011</v>
      </c>
      <c r="S1034" s="16">
        <v>2021</v>
      </c>
      <c r="T1034" s="16">
        <v>2019</v>
      </c>
      <c r="U1034" s="15">
        <v>2016.3</v>
      </c>
      <c r="V1034" t="s">
        <v>19</v>
      </c>
      <c r="W1034" t="s">
        <v>28</v>
      </c>
      <c r="X1034">
        <v>258</v>
      </c>
      <c r="Y1034" s="16">
        <f>VLOOKUP(Tabela1[[#This Row],[SKU]],SKU!A:D,4,0)</f>
        <v>2000</v>
      </c>
      <c r="Z1034" s="18">
        <f>IFERROR((Tabela1[[#This Row],[Média]]-Tabela1[[#This Row],[Meta]])/Tabela1[[#This Row],[Meta]],"")</f>
        <v>8.1499999999999767E-3</v>
      </c>
      <c r="AA1034" s="29">
        <f>Tabela1[[#This Row],[Média]]-Tabela1[[#This Row],[Meta]]</f>
        <v>16.299999999999955</v>
      </c>
      <c r="AB1034" s="6" t="str">
        <f>VLOOKUP(Tabela1[[#This Row],[SKU]],SKU!A:B,2,0)</f>
        <v>COXA SBCX S/O FG 240-260g PB</v>
      </c>
      <c r="AC1034" s="6" t="str">
        <f>VLOOKUP(Tabela1[[#This Row],[SKU]],SKU!A:C,3,0)</f>
        <v>PERNA</v>
      </c>
    </row>
    <row r="1035" spans="1:29" x14ac:dyDescent="0.3">
      <c r="A1035" s="2">
        <f>INT(Tabela1[[#This Row],[Data e Hora2]])</f>
        <v>46281</v>
      </c>
      <c r="B1035" s="6" t="str">
        <f>UPPER(TEXT(Tabela1[[#This Row],[Data Corrigida]],"MMM"))</f>
        <v>SET</v>
      </c>
      <c r="C1035" t="s">
        <v>2028</v>
      </c>
      <c r="D1035" s="2" t="s">
        <v>2029</v>
      </c>
      <c r="E1035" s="1" t="s">
        <v>2015</v>
      </c>
      <c r="F1035" t="s">
        <v>24</v>
      </c>
      <c r="G1035" s="2" t="s">
        <v>2006</v>
      </c>
      <c r="H1035" t="s">
        <v>26</v>
      </c>
      <c r="I1035" t="s">
        <v>27</v>
      </c>
      <c r="J1035" s="6">
        <v>42838</v>
      </c>
      <c r="K1035" s="16">
        <v>2028</v>
      </c>
      <c r="L1035" s="16">
        <v>2057</v>
      </c>
      <c r="M1035" s="16">
        <v>2053</v>
      </c>
      <c r="N1035" s="16">
        <v>2052</v>
      </c>
      <c r="O1035" s="16">
        <v>2002</v>
      </c>
      <c r="P1035" s="16">
        <v>1991</v>
      </c>
      <c r="Q1035" s="16">
        <v>2009</v>
      </c>
      <c r="R1035" s="16">
        <v>2007</v>
      </c>
      <c r="S1035" s="16">
        <v>2016</v>
      </c>
      <c r="T1035" s="16">
        <v>2046</v>
      </c>
      <c r="U1035" s="15">
        <v>2026.1</v>
      </c>
      <c r="V1035" t="s">
        <v>19</v>
      </c>
      <c r="W1035" t="s">
        <v>19</v>
      </c>
      <c r="X1035">
        <v>91</v>
      </c>
      <c r="Y1035" s="16">
        <f>VLOOKUP(Tabela1[[#This Row],[SKU]],SKU!A:D,4,0)</f>
        <v>2000</v>
      </c>
      <c r="Z1035" s="18">
        <f>IFERROR((Tabela1[[#This Row],[Média]]-Tabela1[[#This Row],[Meta]])/Tabela1[[#This Row],[Meta]],"")</f>
        <v>1.3049999999999954E-2</v>
      </c>
      <c r="AA1035" s="29">
        <f>Tabela1[[#This Row],[Média]]-Tabela1[[#This Row],[Meta]]</f>
        <v>26.099999999999909</v>
      </c>
      <c r="AB1035" s="6" t="str">
        <f>VLOOKUP(Tabela1[[#This Row],[SKU]],SKU!A:B,2,0)</f>
        <v>COXA SBCX S/O FG 220-240g PB</v>
      </c>
      <c r="AC1035" s="6" t="str">
        <f>VLOOKUP(Tabela1[[#This Row],[SKU]],SKU!A:C,3,0)</f>
        <v>PERNA</v>
      </c>
    </row>
    <row r="1036" spans="1:29" x14ac:dyDescent="0.3">
      <c r="A1036" s="2">
        <f>INT(Tabela1[[#This Row],[Data e Hora2]])</f>
        <v>46281</v>
      </c>
      <c r="B1036" s="6" t="str">
        <f>UPPER(TEXT(Tabela1[[#This Row],[Data Corrigida]],"MMM"))</f>
        <v>SET</v>
      </c>
      <c r="C1036" t="s">
        <v>2030</v>
      </c>
      <c r="D1036" s="2" t="s">
        <v>2031</v>
      </c>
      <c r="E1036" s="1" t="s">
        <v>2015</v>
      </c>
      <c r="F1036" t="s">
        <v>24</v>
      </c>
      <c r="G1036" s="2" t="s">
        <v>2006</v>
      </c>
      <c r="H1036" t="s">
        <v>26</v>
      </c>
      <c r="I1036" t="s">
        <v>27</v>
      </c>
      <c r="J1036" s="6">
        <v>42862</v>
      </c>
      <c r="K1036" s="16">
        <v>2024</v>
      </c>
      <c r="L1036" s="16">
        <v>2029</v>
      </c>
      <c r="M1036" s="16">
        <v>2002</v>
      </c>
      <c r="N1036" s="16">
        <v>2022</v>
      </c>
      <c r="O1036" s="16">
        <v>2027</v>
      </c>
      <c r="P1036" s="16">
        <v>2034</v>
      </c>
      <c r="Q1036" s="16">
        <v>2006</v>
      </c>
      <c r="R1036" s="16">
        <v>2019</v>
      </c>
      <c r="S1036" s="16">
        <v>2036</v>
      </c>
      <c r="T1036" s="16">
        <v>2028</v>
      </c>
      <c r="U1036" s="15">
        <v>2022.7</v>
      </c>
      <c r="V1036" t="s">
        <v>19</v>
      </c>
      <c r="W1036" t="s">
        <v>28</v>
      </c>
      <c r="X1036">
        <v>244</v>
      </c>
      <c r="Y1036" s="16">
        <f>VLOOKUP(Tabela1[[#This Row],[SKU]],SKU!A:D,4,0)</f>
        <v>2000</v>
      </c>
      <c r="Z1036" s="18">
        <f>IFERROR((Tabela1[[#This Row],[Média]]-Tabela1[[#This Row],[Meta]])/Tabela1[[#This Row],[Meta]],"")</f>
        <v>1.1350000000000023E-2</v>
      </c>
      <c r="AA1036" s="29">
        <f>Tabela1[[#This Row],[Média]]-Tabela1[[#This Row],[Meta]]</f>
        <v>22.700000000000045</v>
      </c>
      <c r="AB1036" s="6" t="str">
        <f>VLOOKUP(Tabela1[[#This Row],[SKU]],SKU!A:B,2,0)</f>
        <v>COXA SBCX S/O FG 280-300g PB</v>
      </c>
      <c r="AC1036" s="6" t="str">
        <f>VLOOKUP(Tabela1[[#This Row],[SKU]],SKU!A:C,3,0)</f>
        <v>PERNA</v>
      </c>
    </row>
    <row r="1037" spans="1:29" x14ac:dyDescent="0.3">
      <c r="A1037" s="2">
        <f>INT(Tabela1[[#This Row],[Data e Hora2]])</f>
        <v>46281</v>
      </c>
      <c r="B1037" s="6" t="str">
        <f>UPPER(TEXT(Tabela1[[#This Row],[Data Corrigida]],"MMM"))</f>
        <v>SET</v>
      </c>
      <c r="C1037" t="s">
        <v>2032</v>
      </c>
      <c r="D1037" s="2" t="s">
        <v>2033</v>
      </c>
      <c r="E1037" s="1" t="s">
        <v>2015</v>
      </c>
      <c r="F1037" t="s">
        <v>24</v>
      </c>
      <c r="G1037" s="2" t="s">
        <v>2006</v>
      </c>
      <c r="H1037" t="s">
        <v>26</v>
      </c>
      <c r="I1037" t="s">
        <v>27</v>
      </c>
      <c r="J1037" s="6">
        <v>792799</v>
      </c>
      <c r="K1037" s="16">
        <v>15025</v>
      </c>
      <c r="L1037" s="16">
        <v>15040</v>
      </c>
      <c r="M1037" s="16">
        <v>15055</v>
      </c>
      <c r="N1037" s="16">
        <v>15025</v>
      </c>
      <c r="O1037" s="16">
        <v>15000</v>
      </c>
      <c r="P1037" s="16">
        <v>14990</v>
      </c>
      <c r="Q1037" s="16">
        <v>15025</v>
      </c>
      <c r="R1037" s="16">
        <v>15045</v>
      </c>
      <c r="S1037" s="16">
        <v>15035</v>
      </c>
      <c r="T1037" s="16">
        <v>15050</v>
      </c>
      <c r="U1037" s="15">
        <v>15029</v>
      </c>
      <c r="V1037" t="s">
        <v>19</v>
      </c>
      <c r="W1037" t="s">
        <v>28</v>
      </c>
      <c r="X1037">
        <v>300</v>
      </c>
      <c r="Y1037" s="16">
        <f>VLOOKUP(Tabela1[[#This Row],[SKU]],SKU!A:D,4,0)</f>
        <v>15000</v>
      </c>
      <c r="Z1037" s="18">
        <f>IFERROR((Tabela1[[#This Row],[Média]]-Tabela1[[#This Row],[Meta]])/Tabela1[[#This Row],[Meta]],"")</f>
        <v>1.9333333333333333E-3</v>
      </c>
      <c r="AA1037" s="29">
        <f>Tabela1[[#This Row],[Média]]-Tabela1[[#This Row],[Meta]]</f>
        <v>29</v>
      </c>
      <c r="AB1037" s="6" t="str">
        <f>VLOOKUP(Tabela1[[#This Row],[SKU]],SKU!A:B,2,0)</f>
        <v>ASAS FG 100g UP LP</v>
      </c>
      <c r="AC1037" s="6" t="str">
        <f>VLOOKUP(Tabela1[[#This Row],[SKU]],SKU!A:C,3,0)</f>
        <v>ASA</v>
      </c>
    </row>
    <row r="1038" spans="1:29" x14ac:dyDescent="0.3">
      <c r="A1038" s="2">
        <f>INT(Tabela1[[#This Row],[Data e Hora2]])</f>
        <v>46281</v>
      </c>
      <c r="B1038" s="6" t="str">
        <f>UPPER(TEXT(Tabela1[[#This Row],[Data Corrigida]],"MMM"))</f>
        <v>SET</v>
      </c>
      <c r="C1038" t="s">
        <v>2034</v>
      </c>
      <c r="D1038" s="2" t="s">
        <v>2035</v>
      </c>
      <c r="E1038" s="1" t="s">
        <v>2015</v>
      </c>
      <c r="F1038" t="s">
        <v>24</v>
      </c>
      <c r="G1038" s="2" t="s">
        <v>2006</v>
      </c>
      <c r="H1038" t="s">
        <v>26</v>
      </c>
      <c r="I1038" t="s">
        <v>27</v>
      </c>
      <c r="J1038" s="6">
        <v>15105</v>
      </c>
      <c r="K1038" s="16">
        <v>1052</v>
      </c>
      <c r="L1038" s="16">
        <v>1008</v>
      </c>
      <c r="M1038" s="16">
        <v>1042</v>
      </c>
      <c r="N1038" s="16">
        <v>1017</v>
      </c>
      <c r="O1038" s="16">
        <v>1003</v>
      </c>
      <c r="P1038" s="16">
        <v>1053</v>
      </c>
      <c r="Q1038" s="16">
        <v>1013</v>
      </c>
      <c r="R1038" s="16">
        <v>1035</v>
      </c>
      <c r="S1038" s="16">
        <v>1013</v>
      </c>
      <c r="T1038" s="16">
        <v>988</v>
      </c>
      <c r="U1038" s="15">
        <v>1022.4</v>
      </c>
      <c r="V1038" t="s">
        <v>19</v>
      </c>
      <c r="W1038" t="s">
        <v>28</v>
      </c>
      <c r="X1038">
        <v>161</v>
      </c>
      <c r="Y1038" s="16">
        <f>VLOOKUP(Tabela1[[#This Row],[SKU]],SKU!A:D,4,0)</f>
        <v>1000</v>
      </c>
      <c r="Z1038" s="18">
        <f>IFERROR((Tabela1[[#This Row],[Média]]-Tabela1[[#This Row],[Meta]])/Tabela1[[#This Row],[Meta]],"")</f>
        <v>2.2399999999999979E-2</v>
      </c>
      <c r="AA1038" s="29">
        <f>Tabela1[[#This Row],[Média]]-Tabela1[[#This Row],[Meta]]</f>
        <v>22.399999999999977</v>
      </c>
      <c r="AB1038" s="6" t="str">
        <f>VLOOKUP(Tabela1[[#This Row],[SKU]],SKU!A:B,2,0)</f>
        <v>FILE PEITO MET CG BDJ SE</v>
      </c>
      <c r="AC1038" s="6" t="str">
        <f>VLOOKUP(Tabela1[[#This Row],[SKU]],SKU!A:C,3,0)</f>
        <v>PEITO</v>
      </c>
    </row>
    <row r="1039" spans="1:29" x14ac:dyDescent="0.3">
      <c r="A1039" s="2">
        <f>INT(Tabela1[[#This Row],[Data e Hora2]])</f>
        <v>46281</v>
      </c>
      <c r="B1039" s="6" t="str">
        <f>UPPER(TEXT(Tabela1[[#This Row],[Data Corrigida]],"MMM"))</f>
        <v>SET</v>
      </c>
      <c r="C1039" t="s">
        <v>2036</v>
      </c>
      <c r="D1039" s="2" t="s">
        <v>2037</v>
      </c>
      <c r="E1039" s="1" t="s">
        <v>2015</v>
      </c>
      <c r="F1039" t="s">
        <v>24</v>
      </c>
      <c r="G1039" s="2" t="s">
        <v>2006</v>
      </c>
      <c r="H1039" t="s">
        <v>26</v>
      </c>
      <c r="I1039" t="s">
        <v>27</v>
      </c>
      <c r="J1039" s="6">
        <v>992093</v>
      </c>
      <c r="K1039" s="16">
        <v>5007</v>
      </c>
      <c r="L1039" s="16">
        <v>5003</v>
      </c>
      <c r="M1039" s="16">
        <v>5015</v>
      </c>
      <c r="N1039" s="16">
        <v>5012</v>
      </c>
      <c r="O1039" s="16">
        <v>5009</v>
      </c>
      <c r="P1039" s="16">
        <v>5016</v>
      </c>
      <c r="Q1039" s="16">
        <v>5008</v>
      </c>
      <c r="R1039" s="16">
        <v>5016</v>
      </c>
      <c r="S1039" s="16">
        <v>5003</v>
      </c>
      <c r="T1039" s="16">
        <v>5015</v>
      </c>
      <c r="U1039" s="15">
        <v>5010.3999999999996</v>
      </c>
      <c r="V1039" t="s">
        <v>19</v>
      </c>
      <c r="W1039" t="s">
        <v>28</v>
      </c>
      <c r="X1039">
        <v>211</v>
      </c>
      <c r="Y1039" s="16">
        <f>VLOOKUP(Tabela1[[#This Row],[SKU]],SKU!A:D,4,0)</f>
        <v>5000</v>
      </c>
      <c r="Z1039" s="18">
        <f>IFERROR((Tabela1[[#This Row],[Média]]-Tabela1[[#This Row],[Meta]])/Tabela1[[#This Row],[Meta]],"")</f>
        <v>2.0799999999999274E-3</v>
      </c>
      <c r="AA1039" s="29">
        <f>Tabela1[[#This Row],[Média]]-Tabela1[[#This Row],[Meta]]</f>
        <v>10.399999999999636</v>
      </c>
      <c r="AB1039" s="6" t="str">
        <f>VLOOKUP(Tabela1[[#This Row],[SKU]],SKU!A:B,2,0)</f>
        <v>PONTA ASA FG PB CG</v>
      </c>
      <c r="AC1039" s="6" t="str">
        <f>VLOOKUP(Tabela1[[#This Row],[SKU]],SKU!A:C,3,0)</f>
        <v>ASA</v>
      </c>
    </row>
    <row r="1040" spans="1:29" x14ac:dyDescent="0.3">
      <c r="A1040" s="2">
        <f>INT(Tabela1[[#This Row],[Data e Hora2]])</f>
        <v>46281</v>
      </c>
      <c r="B1040" s="6" t="str">
        <f>UPPER(TEXT(Tabela1[[#This Row],[Data Corrigida]],"MMM"))</f>
        <v>SET</v>
      </c>
      <c r="C1040" t="s">
        <v>2038</v>
      </c>
      <c r="D1040" s="2" t="s">
        <v>2039</v>
      </c>
      <c r="E1040" s="1" t="s">
        <v>2040</v>
      </c>
      <c r="F1040" t="s">
        <v>24</v>
      </c>
      <c r="G1040" s="2" t="s">
        <v>2006</v>
      </c>
      <c r="H1040" t="s">
        <v>26</v>
      </c>
      <c r="I1040" t="s">
        <v>57</v>
      </c>
      <c r="J1040" s="6">
        <v>42846</v>
      </c>
      <c r="K1040" s="16">
        <v>1997</v>
      </c>
      <c r="L1040" s="16">
        <v>2002</v>
      </c>
      <c r="M1040" s="16">
        <v>2007</v>
      </c>
      <c r="N1040" s="16">
        <v>2024</v>
      </c>
      <c r="O1040" s="16">
        <v>2017</v>
      </c>
      <c r="P1040" s="16">
        <v>2008</v>
      </c>
      <c r="Q1040" s="16">
        <v>2024</v>
      </c>
      <c r="R1040" s="16">
        <v>1739</v>
      </c>
      <c r="S1040" s="16">
        <v>2002</v>
      </c>
      <c r="T1040" s="16">
        <v>2018</v>
      </c>
      <c r="U1040" s="15">
        <v>1983.8</v>
      </c>
      <c r="V1040" t="s">
        <v>19</v>
      </c>
      <c r="W1040" t="s">
        <v>28</v>
      </c>
      <c r="X1040">
        <v>311</v>
      </c>
      <c r="Y1040" s="16">
        <f>VLOOKUP(Tabela1[[#This Row],[SKU]],SKU!A:D,4,0)</f>
        <v>2000</v>
      </c>
      <c r="Z1040" s="18">
        <f>IFERROR((Tabela1[[#This Row],[Média]]-Tabela1[[#This Row],[Meta]])/Tabela1[[#This Row],[Meta]],"")</f>
        <v>-8.1000000000000221E-3</v>
      </c>
      <c r="AA1040" s="29">
        <f>Tabela1[[#This Row],[Média]]-Tabela1[[#This Row],[Meta]]</f>
        <v>-16.200000000000045</v>
      </c>
      <c r="AB1040" s="6" t="str">
        <f>VLOOKUP(Tabela1[[#This Row],[SKU]],SKU!A:B,2,0)</f>
        <v>COXA SBCX S/O FG 240-260g PB</v>
      </c>
      <c r="AC1040" s="6" t="str">
        <f>VLOOKUP(Tabela1[[#This Row],[SKU]],SKU!A:C,3,0)</f>
        <v>PERNA</v>
      </c>
    </row>
    <row r="1041" spans="1:29" x14ac:dyDescent="0.3">
      <c r="A1041" s="2">
        <f>INT(Tabela1[[#This Row],[Data e Hora2]])</f>
        <v>46281</v>
      </c>
      <c r="B1041" s="6" t="str">
        <f>UPPER(TEXT(Tabela1[[#This Row],[Data Corrigida]],"MMM"))</f>
        <v>SET</v>
      </c>
      <c r="C1041" t="s">
        <v>2041</v>
      </c>
      <c r="D1041" s="2" t="s">
        <v>2042</v>
      </c>
      <c r="E1041" s="1" t="s">
        <v>2043</v>
      </c>
      <c r="F1041" t="s">
        <v>24</v>
      </c>
      <c r="G1041" s="2" t="s">
        <v>2006</v>
      </c>
      <c r="H1041" t="s">
        <v>26</v>
      </c>
      <c r="I1041" t="s">
        <v>57</v>
      </c>
      <c r="J1041" s="6">
        <v>42854</v>
      </c>
      <c r="K1041" s="16">
        <v>2099</v>
      </c>
      <c r="L1041" s="16">
        <v>2050</v>
      </c>
      <c r="M1041" s="16">
        <v>2093</v>
      </c>
      <c r="N1041" s="16">
        <v>2106</v>
      </c>
      <c r="O1041" s="16">
        <v>2031</v>
      </c>
      <c r="P1041" s="16">
        <v>2088</v>
      </c>
      <c r="Q1041" s="16">
        <v>2060</v>
      </c>
      <c r="R1041" s="16">
        <v>2078</v>
      </c>
      <c r="S1041" s="16">
        <v>2092</v>
      </c>
      <c r="T1041" s="16">
        <v>2085</v>
      </c>
      <c r="U1041" s="15">
        <v>2078.1999999999998</v>
      </c>
      <c r="V1041" t="s">
        <v>19</v>
      </c>
      <c r="W1041" t="s">
        <v>28</v>
      </c>
      <c r="X1041">
        <v>337</v>
      </c>
      <c r="Y1041" s="16">
        <f>VLOOKUP(Tabela1[[#This Row],[SKU]],SKU!A:D,4,0)</f>
        <v>2080</v>
      </c>
      <c r="Z1041" s="18">
        <f>IFERROR((Tabela1[[#This Row],[Média]]-Tabela1[[#This Row],[Meta]])/Tabela1[[#This Row],[Meta]],"")</f>
        <v>-8.653846153847028E-4</v>
      </c>
      <c r="AA1041" s="29">
        <f>Tabela1[[#This Row],[Média]]-Tabela1[[#This Row],[Meta]]</f>
        <v>-1.8000000000001819</v>
      </c>
      <c r="AB1041" s="6" t="str">
        <f>VLOOKUP(Tabela1[[#This Row],[SKU]],SKU!A:B,2,0)</f>
        <v>COXA SBCX S/O FG 260-280g PB</v>
      </c>
      <c r="AC1041" s="6" t="str">
        <f>VLOOKUP(Tabela1[[#This Row],[SKU]],SKU!A:C,3,0)</f>
        <v>PERNA</v>
      </c>
    </row>
    <row r="1042" spans="1:29" x14ac:dyDescent="0.3">
      <c r="A1042" s="2">
        <f>INT(Tabela1[[#This Row],[Data e Hora2]])</f>
        <v>46281</v>
      </c>
      <c r="B1042" s="6" t="str">
        <f>UPPER(TEXT(Tabela1[[#This Row],[Data Corrigida]],"MMM"))</f>
        <v>SET</v>
      </c>
      <c r="C1042" t="s">
        <v>2044</v>
      </c>
      <c r="D1042" s="2" t="s">
        <v>2045</v>
      </c>
      <c r="E1042" s="1" t="s">
        <v>2043</v>
      </c>
      <c r="F1042" t="s">
        <v>24</v>
      </c>
      <c r="G1042" s="2" t="s">
        <v>2006</v>
      </c>
      <c r="H1042" t="s">
        <v>26</v>
      </c>
      <c r="I1042" t="s">
        <v>57</v>
      </c>
      <c r="J1042" s="6">
        <v>42811</v>
      </c>
      <c r="K1042" s="16">
        <v>2019</v>
      </c>
      <c r="L1042" s="16">
        <v>2000</v>
      </c>
      <c r="M1042" s="16">
        <v>2018</v>
      </c>
      <c r="N1042" s="16">
        <v>1807</v>
      </c>
      <c r="O1042" s="16">
        <v>2002</v>
      </c>
      <c r="P1042" s="16">
        <v>2068</v>
      </c>
      <c r="Q1042" s="16">
        <v>2072</v>
      </c>
      <c r="R1042" s="16">
        <v>2079</v>
      </c>
      <c r="S1042" s="16">
        <v>2084</v>
      </c>
      <c r="T1042" s="16">
        <v>2099</v>
      </c>
      <c r="U1042" s="15">
        <v>2024.8</v>
      </c>
      <c r="V1042" t="s">
        <v>19</v>
      </c>
      <c r="W1042" t="s">
        <v>28</v>
      </c>
      <c r="X1042">
        <v>385</v>
      </c>
      <c r="Y1042" s="16">
        <f>VLOOKUP(Tabela1[[#This Row],[SKU]],SKU!A:D,4,0)</f>
        <v>2000</v>
      </c>
      <c r="Z1042" s="18">
        <f>IFERROR((Tabela1[[#This Row],[Média]]-Tabela1[[#This Row],[Meta]])/Tabela1[[#This Row],[Meta]],"")</f>
        <v>1.2399999999999977E-2</v>
      </c>
      <c r="AA1042" s="29">
        <f>Tabela1[[#This Row],[Média]]-Tabela1[[#This Row],[Meta]]</f>
        <v>24.799999999999955</v>
      </c>
      <c r="AB1042" s="6" t="str">
        <f>VLOOKUP(Tabela1[[#This Row],[SKU]],SKU!A:B,2,0)</f>
        <v>COXA SBCX S/O FG 180-200g PB</v>
      </c>
      <c r="AC1042" s="6" t="str">
        <f>VLOOKUP(Tabela1[[#This Row],[SKU]],SKU!A:C,3,0)</f>
        <v>PERNA</v>
      </c>
    </row>
    <row r="1043" spans="1:29" x14ac:dyDescent="0.3">
      <c r="A1043" s="2">
        <f>INT(Tabela1[[#This Row],[Data e Hora2]])</f>
        <v>46281</v>
      </c>
      <c r="B1043" s="6" t="str">
        <f>UPPER(TEXT(Tabela1[[#This Row],[Data Corrigida]],"MMM"))</f>
        <v>SET</v>
      </c>
      <c r="C1043" t="s">
        <v>2046</v>
      </c>
      <c r="D1043" s="2" t="s">
        <v>2047</v>
      </c>
      <c r="E1043" s="1" t="s">
        <v>2043</v>
      </c>
      <c r="F1043" t="s">
        <v>24</v>
      </c>
      <c r="G1043" s="2" t="s">
        <v>2006</v>
      </c>
      <c r="H1043" t="s">
        <v>26</v>
      </c>
      <c r="I1043" t="s">
        <v>57</v>
      </c>
      <c r="J1043" s="6">
        <v>864048</v>
      </c>
      <c r="K1043" s="16">
        <v>2002</v>
      </c>
      <c r="L1043" s="16">
        <v>2020</v>
      </c>
      <c r="M1043" s="16">
        <v>1998</v>
      </c>
      <c r="N1043" s="16">
        <v>2019</v>
      </c>
      <c r="O1043" s="16">
        <v>2103</v>
      </c>
      <c r="P1043" s="16">
        <v>1983</v>
      </c>
      <c r="Q1043" s="16">
        <v>1998</v>
      </c>
      <c r="R1043" s="16">
        <v>2091</v>
      </c>
      <c r="S1043" s="16">
        <v>1969</v>
      </c>
      <c r="T1043" s="16">
        <v>2112</v>
      </c>
      <c r="U1043" s="15">
        <v>2029.5</v>
      </c>
      <c r="V1043" t="s">
        <v>19</v>
      </c>
      <c r="W1043" t="s">
        <v>28</v>
      </c>
      <c r="X1043">
        <v>724</v>
      </c>
      <c r="Y1043" s="16">
        <f>VLOOKUP(Tabela1[[#This Row],[SKU]],SKU!A:D,4,0)</f>
        <v>2000</v>
      </c>
      <c r="Z1043" s="18">
        <f>IFERROR((Tabela1[[#This Row],[Média]]-Tabela1[[#This Row],[Meta]])/Tabela1[[#This Row],[Meta]],"")</f>
        <v>1.4749999999999999E-2</v>
      </c>
      <c r="AA1043" s="29">
        <f>Tabela1[[#This Row],[Média]]-Tabela1[[#This Row],[Meta]]</f>
        <v>29.5</v>
      </c>
      <c r="AB1043" s="6" t="str">
        <f>VLOOKUP(Tabela1[[#This Row],[SKU]],SKU!A:B,2,0)</f>
        <v>COXA SBCX S/O 200g FG UP PB</v>
      </c>
      <c r="AC1043" s="6" t="str">
        <f>VLOOKUP(Tabela1[[#This Row],[SKU]],SKU!A:C,3,0)</f>
        <v>PERNA</v>
      </c>
    </row>
    <row r="1044" spans="1:29" x14ac:dyDescent="0.3">
      <c r="A1044" s="2">
        <f>INT(Tabela1[[#This Row],[Data e Hora2]])</f>
        <v>46281</v>
      </c>
      <c r="B1044" s="6" t="str">
        <f>UPPER(TEXT(Tabela1[[#This Row],[Data Corrigida]],"MMM"))</f>
        <v>SET</v>
      </c>
      <c r="C1044" t="s">
        <v>2048</v>
      </c>
      <c r="D1044" s="2" t="s">
        <v>2049</v>
      </c>
      <c r="E1044" s="1" t="s">
        <v>2050</v>
      </c>
      <c r="F1044" t="s">
        <v>24</v>
      </c>
      <c r="G1044" s="2" t="s">
        <v>2006</v>
      </c>
      <c r="H1044" t="s">
        <v>26</v>
      </c>
      <c r="I1044" t="s">
        <v>57</v>
      </c>
      <c r="J1044" s="6">
        <v>15105</v>
      </c>
      <c r="K1044" s="16">
        <v>1011</v>
      </c>
      <c r="L1044" s="16">
        <v>1020</v>
      </c>
      <c r="M1044" s="16">
        <v>1012</v>
      </c>
      <c r="N1044" s="16">
        <v>872</v>
      </c>
      <c r="O1044" s="16">
        <v>1000</v>
      </c>
      <c r="P1044" s="16">
        <v>1009</v>
      </c>
      <c r="Q1044" s="16">
        <v>1019</v>
      </c>
      <c r="R1044" s="16">
        <v>1030</v>
      </c>
      <c r="S1044" s="16">
        <v>996</v>
      </c>
      <c r="T1044" s="16">
        <v>970</v>
      </c>
      <c r="U1044" s="15">
        <v>993.9</v>
      </c>
      <c r="V1044" t="s">
        <v>19</v>
      </c>
      <c r="W1044" t="s">
        <v>28</v>
      </c>
      <c r="X1044">
        <v>235</v>
      </c>
      <c r="Y1044" s="16">
        <f>VLOOKUP(Tabela1[[#This Row],[SKU]],SKU!A:D,4,0)</f>
        <v>1000</v>
      </c>
      <c r="Z1044" s="18">
        <f>IFERROR((Tabela1[[#This Row],[Média]]-Tabela1[[#This Row],[Meta]])/Tabela1[[#This Row],[Meta]],"")</f>
        <v>-6.1000000000000229E-3</v>
      </c>
      <c r="AA1044" s="29">
        <f>Tabela1[[#This Row],[Média]]-Tabela1[[#This Row],[Meta]]</f>
        <v>-6.1000000000000227</v>
      </c>
      <c r="AB1044" s="6" t="str">
        <f>VLOOKUP(Tabela1[[#This Row],[SKU]],SKU!A:B,2,0)</f>
        <v>FILE PEITO MET CG BDJ SE</v>
      </c>
      <c r="AC1044" s="6" t="str">
        <f>VLOOKUP(Tabela1[[#This Row],[SKU]],SKU!A:C,3,0)</f>
        <v>PEITO</v>
      </c>
    </row>
    <row r="1045" spans="1:29" x14ac:dyDescent="0.3">
      <c r="A1045" s="2">
        <f>INT(Tabela1[[#This Row],[Data e Hora2]])</f>
        <v>46281</v>
      </c>
      <c r="B1045" s="6" t="str">
        <f>UPPER(TEXT(Tabela1[[#This Row],[Data Corrigida]],"MMM"))</f>
        <v>SET</v>
      </c>
      <c r="C1045" t="s">
        <v>2051</v>
      </c>
      <c r="D1045" s="2" t="s">
        <v>2052</v>
      </c>
      <c r="E1045" s="1" t="s">
        <v>2050</v>
      </c>
      <c r="F1045" t="s">
        <v>24</v>
      </c>
      <c r="G1045" s="2" t="s">
        <v>2006</v>
      </c>
      <c r="H1045" t="s">
        <v>26</v>
      </c>
      <c r="I1045" t="s">
        <v>57</v>
      </c>
      <c r="J1045" s="6">
        <v>40762</v>
      </c>
      <c r="K1045" s="16">
        <v>10025</v>
      </c>
      <c r="L1045" s="16">
        <v>10130</v>
      </c>
      <c r="M1045" s="16">
        <v>10085</v>
      </c>
      <c r="N1045" s="16">
        <v>10050</v>
      </c>
      <c r="O1045" s="16">
        <v>10035</v>
      </c>
      <c r="P1045" s="16">
        <v>10010</v>
      </c>
      <c r="Q1045" s="16">
        <v>10000</v>
      </c>
      <c r="R1045" s="16">
        <v>10035</v>
      </c>
      <c r="S1045" s="16">
        <v>9995</v>
      </c>
      <c r="T1045" s="16">
        <v>10040</v>
      </c>
      <c r="U1045" s="15">
        <v>10040.5</v>
      </c>
      <c r="V1045" t="s">
        <v>19</v>
      </c>
      <c r="W1045" t="s">
        <v>28</v>
      </c>
      <c r="X1045">
        <v>4071</v>
      </c>
      <c r="Y1045" s="16">
        <f>VLOOKUP(Tabela1[[#This Row],[SKU]],SKU!A:D,4,0)</f>
        <v>10000</v>
      </c>
      <c r="Z1045" s="18">
        <f>IFERROR((Tabela1[[#This Row],[Média]]-Tabela1[[#This Row],[Meta]])/Tabela1[[#This Row],[Meta]],"")</f>
        <v>4.0499999999999998E-3</v>
      </c>
      <c r="AA1045" s="29">
        <f>Tabela1[[#This Row],[Média]]-Tabela1[[#This Row],[Meta]]</f>
        <v>40.5</v>
      </c>
      <c r="AB1045" s="6" t="str">
        <f>VLOOKUP(Tabela1[[#This Row],[SKU]],SKU!A:B,2,0)</f>
        <v>COXA SBCX LQ FG LP</v>
      </c>
      <c r="AC1045" s="6" t="str">
        <f>VLOOKUP(Tabela1[[#This Row],[SKU]],SKU!A:C,3,0)</f>
        <v>PERNA</v>
      </c>
    </row>
    <row r="1046" spans="1:29" x14ac:dyDescent="0.3">
      <c r="A1046" s="2">
        <f>INT(Tabela1[[#This Row],[Data e Hora2]])</f>
        <v>46280</v>
      </c>
      <c r="B1046" s="6" t="str">
        <f>UPPER(TEXT(Tabela1[[#This Row],[Data Corrigida]],"MMM"))</f>
        <v>SET</v>
      </c>
      <c r="C1046" t="s">
        <v>2053</v>
      </c>
      <c r="D1046" s="2" t="s">
        <v>2054</v>
      </c>
      <c r="E1046" s="1" t="s">
        <v>2050</v>
      </c>
      <c r="F1046" t="s">
        <v>24</v>
      </c>
      <c r="G1046" s="2" t="s">
        <v>1904</v>
      </c>
      <c r="H1046" t="s">
        <v>26</v>
      </c>
      <c r="I1046" t="s">
        <v>57</v>
      </c>
      <c r="J1046" s="6">
        <v>15105</v>
      </c>
      <c r="K1046" s="16">
        <v>1009</v>
      </c>
      <c r="L1046" s="16">
        <v>998</v>
      </c>
      <c r="M1046" s="16">
        <v>1009</v>
      </c>
      <c r="N1046" s="16">
        <v>1005</v>
      </c>
      <c r="O1046" s="16">
        <v>1000</v>
      </c>
      <c r="P1046" s="16">
        <v>1012</v>
      </c>
      <c r="Q1046" s="16">
        <v>1039</v>
      </c>
      <c r="R1046" s="16">
        <v>990</v>
      </c>
      <c r="S1046" s="16">
        <v>995</v>
      </c>
      <c r="T1046" s="16">
        <v>1005</v>
      </c>
      <c r="U1046" s="15">
        <v>1006.2</v>
      </c>
      <c r="V1046" t="s">
        <v>19</v>
      </c>
      <c r="W1046" t="s">
        <v>28</v>
      </c>
      <c r="X1046">
        <v>145</v>
      </c>
      <c r="Y1046" s="16">
        <f>VLOOKUP(Tabela1[[#This Row],[SKU]],SKU!A:D,4,0)</f>
        <v>1000</v>
      </c>
      <c r="Z1046" s="18">
        <f>IFERROR((Tabela1[[#This Row],[Média]]-Tabela1[[#This Row],[Meta]])/Tabela1[[#This Row],[Meta]],"")</f>
        <v>6.2000000000000458E-3</v>
      </c>
      <c r="AA1046" s="29">
        <f>Tabela1[[#This Row],[Média]]-Tabela1[[#This Row],[Meta]]</f>
        <v>6.2000000000000455</v>
      </c>
      <c r="AB1046" s="6" t="str">
        <f>VLOOKUP(Tabela1[[#This Row],[SKU]],SKU!A:B,2,0)</f>
        <v>FILE PEITO MET CG BDJ SE</v>
      </c>
      <c r="AC1046" s="6" t="str">
        <f>VLOOKUP(Tabela1[[#This Row],[SKU]],SKU!A:C,3,0)</f>
        <v>PEITO</v>
      </c>
    </row>
    <row r="1047" spans="1:29" x14ac:dyDescent="0.3">
      <c r="A1047" s="2">
        <f>INT(Tabela1[[#This Row],[Data e Hora2]])</f>
        <v>46281</v>
      </c>
      <c r="B1047" s="6" t="str">
        <f>UPPER(TEXT(Tabela1[[#This Row],[Data Corrigida]],"MMM"))</f>
        <v>SET</v>
      </c>
      <c r="C1047" t="s">
        <v>2055</v>
      </c>
      <c r="D1047" s="2" t="s">
        <v>2056</v>
      </c>
      <c r="E1047" s="1" t="s">
        <v>2057</v>
      </c>
      <c r="F1047" t="s">
        <v>24</v>
      </c>
      <c r="G1047" s="2" t="s">
        <v>2006</v>
      </c>
      <c r="H1047" t="s">
        <v>142</v>
      </c>
      <c r="I1047" t="s">
        <v>143</v>
      </c>
      <c r="J1047" s="6">
        <v>197734</v>
      </c>
      <c r="K1047" s="16">
        <v>1022</v>
      </c>
      <c r="L1047" s="16">
        <v>1003</v>
      </c>
      <c r="M1047" s="16">
        <v>1039</v>
      </c>
      <c r="N1047" s="16">
        <v>1006</v>
      </c>
      <c r="O1047" s="16">
        <v>1015</v>
      </c>
      <c r="P1047" s="16">
        <v>1006</v>
      </c>
      <c r="Q1047" s="16">
        <v>1011</v>
      </c>
      <c r="R1047" s="16">
        <v>1007</v>
      </c>
      <c r="S1047" s="16">
        <v>1009</v>
      </c>
      <c r="T1047" s="16">
        <v>1011</v>
      </c>
      <c r="U1047" s="15">
        <v>1012.9</v>
      </c>
      <c r="V1047" t="s">
        <v>19</v>
      </c>
      <c r="W1047" t="s">
        <v>28</v>
      </c>
      <c r="X1047">
        <v>127</v>
      </c>
      <c r="Y1047" s="16">
        <f>VLOOKUP(Tabela1[[#This Row],[SKU]],SKU!A:D,4,0)</f>
        <v>1000</v>
      </c>
      <c r="Z1047" s="18">
        <f>IFERROR((Tabela1[[#This Row],[Média]]-Tabela1[[#This Row],[Meta]])/Tabela1[[#This Row],[Meta]],"")</f>
        <v>1.2899999999999977E-2</v>
      </c>
      <c r="AA1047" s="29">
        <f>Tabela1[[#This Row],[Média]]-Tabela1[[#This Row],[Meta]]</f>
        <v>12.899999999999977</v>
      </c>
      <c r="AB1047" s="6" t="str">
        <f>VLOOKUP(Tabela1[[#This Row],[SKU]],SKU!A:B,2,0)</f>
        <v>FILEZINHO FRANGO IQF ALM SE</v>
      </c>
      <c r="AC1047" s="6" t="str">
        <f>VLOOKUP(Tabela1[[#This Row],[SKU]],SKU!A:C,3,0)</f>
        <v>SASSAMI</v>
      </c>
    </row>
    <row r="1048" spans="1:29" x14ac:dyDescent="0.3">
      <c r="A1048" s="2">
        <f>INT(Tabela1[[#This Row],[Data e Hora2]])</f>
        <v>46281</v>
      </c>
      <c r="B1048" s="6" t="str">
        <f>UPPER(TEXT(Tabela1[[#This Row],[Data Corrigida]],"MMM"))</f>
        <v>SET</v>
      </c>
      <c r="C1048" t="s">
        <v>2058</v>
      </c>
      <c r="D1048" s="2" t="s">
        <v>2059</v>
      </c>
      <c r="E1048" s="1" t="s">
        <v>2057</v>
      </c>
      <c r="F1048" t="s">
        <v>24</v>
      </c>
      <c r="G1048" s="2" t="s">
        <v>2006</v>
      </c>
      <c r="H1048" t="s">
        <v>142</v>
      </c>
      <c r="I1048" t="s">
        <v>143</v>
      </c>
      <c r="J1048" s="6">
        <v>15105</v>
      </c>
      <c r="K1048" s="16">
        <v>996</v>
      </c>
      <c r="L1048" s="16">
        <v>1017</v>
      </c>
      <c r="M1048" s="16">
        <v>1021</v>
      </c>
      <c r="N1048" s="16">
        <v>1025</v>
      </c>
      <c r="O1048" s="16">
        <v>1018</v>
      </c>
      <c r="P1048" s="16">
        <v>1023</v>
      </c>
      <c r="Q1048" s="16">
        <v>1023</v>
      </c>
      <c r="R1048" s="16">
        <v>982</v>
      </c>
      <c r="S1048" s="16">
        <v>1018</v>
      </c>
      <c r="T1048" s="16">
        <v>1023</v>
      </c>
      <c r="U1048" s="15">
        <v>1014.6</v>
      </c>
      <c r="V1048" t="s">
        <v>19</v>
      </c>
      <c r="W1048" t="s">
        <v>28</v>
      </c>
      <c r="X1048">
        <v>194</v>
      </c>
      <c r="Y1048" s="16">
        <f>VLOOKUP(Tabela1[[#This Row],[SKU]],SKU!A:D,4,0)</f>
        <v>1000</v>
      </c>
      <c r="Z1048" s="18">
        <f>IFERROR((Tabela1[[#This Row],[Média]]-Tabela1[[#This Row],[Meta]])/Tabela1[[#This Row],[Meta]],"")</f>
        <v>1.4600000000000023E-2</v>
      </c>
      <c r="AA1048" s="29">
        <f>Tabela1[[#This Row],[Média]]-Tabela1[[#This Row],[Meta]]</f>
        <v>14.600000000000023</v>
      </c>
      <c r="AB1048" s="6" t="str">
        <f>VLOOKUP(Tabela1[[#This Row],[SKU]],SKU!A:B,2,0)</f>
        <v>FILE PEITO MET CG BDJ SE</v>
      </c>
      <c r="AC1048" s="6" t="str">
        <f>VLOOKUP(Tabela1[[#This Row],[SKU]],SKU!A:C,3,0)</f>
        <v>PEITO</v>
      </c>
    </row>
    <row r="1049" spans="1:29" x14ac:dyDescent="0.3">
      <c r="A1049" s="2">
        <f>INT(Tabela1[[#This Row],[Data e Hora2]])</f>
        <v>46281</v>
      </c>
      <c r="B1049" s="6" t="str">
        <f>UPPER(TEXT(Tabela1[[#This Row],[Data Corrigida]],"MMM"))</f>
        <v>SET</v>
      </c>
      <c r="C1049" t="s">
        <v>2060</v>
      </c>
      <c r="D1049" s="2" t="s">
        <v>2061</v>
      </c>
      <c r="E1049" s="1" t="s">
        <v>2057</v>
      </c>
      <c r="F1049" t="s">
        <v>24</v>
      </c>
      <c r="G1049" s="2" t="s">
        <v>2006</v>
      </c>
      <c r="H1049" t="s">
        <v>142</v>
      </c>
      <c r="I1049" t="s">
        <v>143</v>
      </c>
      <c r="J1049" s="6">
        <v>864048</v>
      </c>
      <c r="K1049" s="16">
        <v>2045</v>
      </c>
      <c r="L1049" s="16">
        <v>2040</v>
      </c>
      <c r="M1049" s="16">
        <v>1990</v>
      </c>
      <c r="N1049" s="16">
        <v>2041</v>
      </c>
      <c r="O1049" s="16">
        <v>1991</v>
      </c>
      <c r="P1049" s="16">
        <v>2029</v>
      </c>
      <c r="Q1049" s="16">
        <v>2049</v>
      </c>
      <c r="R1049" s="16">
        <v>1981</v>
      </c>
      <c r="S1049" s="16">
        <v>1979</v>
      </c>
      <c r="T1049" s="16">
        <v>2018</v>
      </c>
      <c r="U1049" s="15">
        <v>2016.3</v>
      </c>
      <c r="V1049" t="s">
        <v>19</v>
      </c>
      <c r="W1049" t="s">
        <v>28</v>
      </c>
      <c r="X1049">
        <v>370</v>
      </c>
      <c r="Y1049" s="16">
        <f>VLOOKUP(Tabela1[[#This Row],[SKU]],SKU!A:D,4,0)</f>
        <v>2000</v>
      </c>
      <c r="Z1049" s="18">
        <f>IFERROR((Tabela1[[#This Row],[Média]]-Tabela1[[#This Row],[Meta]])/Tabela1[[#This Row],[Meta]],"")</f>
        <v>8.1499999999999767E-3</v>
      </c>
      <c r="AA1049" s="29">
        <f>Tabela1[[#This Row],[Média]]-Tabela1[[#This Row],[Meta]]</f>
        <v>16.299999999999955</v>
      </c>
      <c r="AB1049" s="6" t="str">
        <f>VLOOKUP(Tabela1[[#This Row],[SKU]],SKU!A:B,2,0)</f>
        <v>COXA SBCX S/O 200g FG UP PB</v>
      </c>
      <c r="AC1049" s="6" t="str">
        <f>VLOOKUP(Tabela1[[#This Row],[SKU]],SKU!A:C,3,0)</f>
        <v>PERNA</v>
      </c>
    </row>
    <row r="1050" spans="1:29" x14ac:dyDescent="0.3">
      <c r="A1050" s="2">
        <f>INT(Tabela1[[#This Row],[Data e Hora2]])</f>
        <v>46288</v>
      </c>
      <c r="B1050" s="6" t="str">
        <f>UPPER(TEXT(Tabela1[[#This Row],[Data Corrigida]],"MMM"))</f>
        <v>SET</v>
      </c>
      <c r="C1050" s="26" t="s">
        <v>2310</v>
      </c>
      <c r="D1050" s="2" t="s">
        <v>2311</v>
      </c>
      <c r="E1050" s="1" t="s">
        <v>2312</v>
      </c>
      <c r="F1050" t="s">
        <v>24</v>
      </c>
      <c r="G1050" s="2" t="s">
        <v>2313</v>
      </c>
      <c r="H1050" t="s">
        <v>26</v>
      </c>
      <c r="I1050" t="s">
        <v>27</v>
      </c>
      <c r="J1050" s="6">
        <v>15229</v>
      </c>
      <c r="K1050" s="16">
        <v>1008</v>
      </c>
      <c r="L1050" s="16">
        <v>1005</v>
      </c>
      <c r="M1050" s="16">
        <v>1004</v>
      </c>
      <c r="N1050" s="16">
        <v>1005</v>
      </c>
      <c r="O1050" s="16">
        <v>998</v>
      </c>
      <c r="P1050" s="16">
        <v>1011</v>
      </c>
      <c r="Q1050" s="16">
        <v>1020</v>
      </c>
      <c r="R1050" s="16">
        <v>1011</v>
      </c>
      <c r="S1050" s="16">
        <v>1022</v>
      </c>
      <c r="T1050" s="16">
        <v>1020</v>
      </c>
      <c r="U1050" s="15">
        <v>1010.4</v>
      </c>
      <c r="V1050" t="s">
        <v>19</v>
      </c>
      <c r="W1050" t="s">
        <v>28</v>
      </c>
      <c r="X1050">
        <v>5923</v>
      </c>
      <c r="Y1050" s="16">
        <f>VLOOKUP(Tabela1[[#This Row],[SKU]],SKU!A:D,4,0)</f>
        <v>1000</v>
      </c>
      <c r="Z1050" s="18">
        <f>IFERROR((Tabela1[[#This Row],[Média]]-Tabela1[[#This Row],[Meta]])/Tabela1[[#This Row],[Meta]],"")</f>
        <v>1.0399999999999977E-2</v>
      </c>
      <c r="AA1050" s="31">
        <f>Tabela1[[#This Row],[Média]]-Tabela1[[#This Row],[Meta]]</f>
        <v>10.399999999999977</v>
      </c>
      <c r="AB1050" s="6" t="str">
        <f>VLOOKUP(Tabela1[[#This Row],[SKU]],SKU!A:B,2,0)</f>
        <v>COXA CG BDJ SE</v>
      </c>
      <c r="AC1050" s="6" t="str">
        <f>VLOOKUP(Tabela1[[#This Row],[SKU]],SKU!A:C,3,0)</f>
        <v>PERNA</v>
      </c>
    </row>
    <row r="1051" spans="1:29" x14ac:dyDescent="0.3">
      <c r="A1051" s="2">
        <f>INT(Tabela1[[#This Row],[Data e Hora2]])</f>
        <v>46288</v>
      </c>
      <c r="B1051" s="6" t="str">
        <f>UPPER(TEXT(Tabela1[[#This Row],[Data Corrigida]],"MMM"))</f>
        <v>SET</v>
      </c>
      <c r="C1051" t="s">
        <v>2314</v>
      </c>
      <c r="D1051" s="2" t="s">
        <v>2315</v>
      </c>
      <c r="E1051" s="1" t="s">
        <v>2312</v>
      </c>
      <c r="F1051" t="s">
        <v>24</v>
      </c>
      <c r="G1051" s="2" t="s">
        <v>2313</v>
      </c>
      <c r="H1051" t="s">
        <v>26</v>
      </c>
      <c r="I1051" t="s">
        <v>27</v>
      </c>
      <c r="J1051" s="6">
        <v>15849</v>
      </c>
      <c r="K1051" s="16">
        <v>1005</v>
      </c>
      <c r="L1051" s="16">
        <v>1009</v>
      </c>
      <c r="M1051" s="16">
        <v>1006</v>
      </c>
      <c r="N1051" s="16">
        <v>999</v>
      </c>
      <c r="O1051" s="16">
        <v>1008</v>
      </c>
      <c r="P1051" s="16">
        <v>1011</v>
      </c>
      <c r="Q1051" s="16">
        <v>1001</v>
      </c>
      <c r="R1051" s="16">
        <v>1007</v>
      </c>
      <c r="S1051" s="16">
        <v>1006</v>
      </c>
      <c r="T1051" s="16">
        <v>1022</v>
      </c>
      <c r="U1051" s="15">
        <v>1007.4</v>
      </c>
      <c r="V1051" t="s">
        <v>19</v>
      </c>
      <c r="W1051" t="s">
        <v>28</v>
      </c>
      <c r="X1051">
        <v>9682</v>
      </c>
      <c r="Y1051" s="16">
        <f>VLOOKUP(Tabela1[[#This Row],[SKU]],SKU!A:D,4,0)</f>
        <v>1000</v>
      </c>
      <c r="Z1051" s="18">
        <f>IFERROR((Tabela1[[#This Row],[Média]]-Tabela1[[#This Row],[Meta]])/Tabela1[[#This Row],[Meta]],"")</f>
        <v>7.3999999999999769E-3</v>
      </c>
      <c r="AA1051" s="31">
        <f>Tabela1[[#This Row],[Média]]-Tabela1[[#This Row],[Meta]]</f>
        <v>7.3999999999999773</v>
      </c>
      <c r="AB1051" s="6" t="str">
        <f>VLOOKUP(Tabela1[[#This Row],[SKU]],SKU!A:B,2,0)</f>
        <v>FILEZINHO PEITO CG BDJ SE</v>
      </c>
      <c r="AC1051" s="6" t="str">
        <f>VLOOKUP(Tabela1[[#This Row],[SKU]],SKU!A:C,3,0)</f>
        <v>SASSAMI</v>
      </c>
    </row>
    <row r="1052" spans="1:29" x14ac:dyDescent="0.3">
      <c r="A1052" s="2">
        <f>INT(Tabela1[[#This Row],[Data e Hora2]])</f>
        <v>46288</v>
      </c>
      <c r="B1052" s="6" t="str">
        <f>UPPER(TEXT(Tabela1[[#This Row],[Data Corrigida]],"MMM"))</f>
        <v>SET</v>
      </c>
      <c r="C1052" t="s">
        <v>2316</v>
      </c>
      <c r="D1052" s="2" t="s">
        <v>2317</v>
      </c>
      <c r="E1052" s="1" t="s">
        <v>2312</v>
      </c>
      <c r="F1052" t="s">
        <v>24</v>
      </c>
      <c r="G1052" s="2" t="s">
        <v>2313</v>
      </c>
      <c r="H1052" t="s">
        <v>26</v>
      </c>
      <c r="I1052" t="s">
        <v>27</v>
      </c>
      <c r="J1052" s="6">
        <v>15105</v>
      </c>
      <c r="K1052" s="16">
        <v>1004</v>
      </c>
      <c r="L1052" s="16">
        <v>1023</v>
      </c>
      <c r="M1052" s="16">
        <v>980</v>
      </c>
      <c r="N1052" s="16">
        <v>1002</v>
      </c>
      <c r="O1052" s="16">
        <v>1035</v>
      </c>
      <c r="P1052" s="16">
        <v>1041</v>
      </c>
      <c r="Q1052" s="16">
        <v>1029</v>
      </c>
      <c r="R1052" s="16">
        <v>1019</v>
      </c>
      <c r="S1052" s="16">
        <v>1022</v>
      </c>
      <c r="T1052" s="16">
        <v>1029</v>
      </c>
      <c r="U1052" s="15">
        <v>1018.4</v>
      </c>
      <c r="V1052" t="s">
        <v>19</v>
      </c>
      <c r="W1052" t="s">
        <v>28</v>
      </c>
      <c r="X1052">
        <v>8836</v>
      </c>
      <c r="Y1052" s="16">
        <f>VLOOKUP(Tabela1[[#This Row],[SKU]],SKU!A:D,4,0)</f>
        <v>1000</v>
      </c>
      <c r="Z1052" s="18">
        <f>IFERROR((Tabela1[[#This Row],[Média]]-Tabela1[[#This Row],[Meta]])/Tabela1[[#This Row],[Meta]],"")</f>
        <v>1.8399999999999979E-2</v>
      </c>
      <c r="AA1052" s="31">
        <f>Tabela1[[#This Row],[Média]]-Tabela1[[#This Row],[Meta]]</f>
        <v>18.399999999999977</v>
      </c>
      <c r="AB1052" s="6" t="str">
        <f>VLOOKUP(Tabela1[[#This Row],[SKU]],SKU!A:B,2,0)</f>
        <v>FILE PEITO MET CG BDJ SE</v>
      </c>
      <c r="AC1052" s="6" t="str">
        <f>VLOOKUP(Tabela1[[#This Row],[SKU]],SKU!A:C,3,0)</f>
        <v>PEITO</v>
      </c>
    </row>
    <row r="1053" spans="1:29" x14ac:dyDescent="0.3">
      <c r="A1053" s="2">
        <f>INT(Tabela1[[#This Row],[Data e Hora2]])</f>
        <v>46288</v>
      </c>
      <c r="B1053" s="6" t="str">
        <f>UPPER(TEXT(Tabela1[[#This Row],[Data Corrigida]],"MMM"))</f>
        <v>SET</v>
      </c>
      <c r="C1053" t="s">
        <v>2318</v>
      </c>
      <c r="D1053" s="2" t="s">
        <v>2319</v>
      </c>
      <c r="E1053" s="1" t="s">
        <v>2312</v>
      </c>
      <c r="F1053" t="s">
        <v>24</v>
      </c>
      <c r="G1053" s="2" t="s">
        <v>2313</v>
      </c>
      <c r="H1053" t="s">
        <v>26</v>
      </c>
      <c r="I1053" t="s">
        <v>27</v>
      </c>
      <c r="J1053" s="6">
        <v>992093</v>
      </c>
      <c r="K1053" s="16">
        <v>5000</v>
      </c>
      <c r="L1053" s="16">
        <v>5008</v>
      </c>
      <c r="M1053" s="16">
        <v>5009</v>
      </c>
      <c r="N1053" s="16">
        <v>5018</v>
      </c>
      <c r="O1053" s="16">
        <v>5009</v>
      </c>
      <c r="P1053" s="16">
        <v>5008</v>
      </c>
      <c r="Q1053" s="16">
        <v>5012</v>
      </c>
      <c r="R1053" s="16">
        <v>5002</v>
      </c>
      <c r="S1053" s="16">
        <v>5006</v>
      </c>
      <c r="T1053" s="16">
        <v>5009</v>
      </c>
      <c r="U1053" s="15">
        <v>5008.1000000000004</v>
      </c>
      <c r="V1053" t="s">
        <v>19</v>
      </c>
      <c r="W1053" t="s">
        <v>28</v>
      </c>
      <c r="X1053">
        <v>6836</v>
      </c>
      <c r="Y1053" s="16">
        <f>VLOOKUP(Tabela1[[#This Row],[SKU]],SKU!A:D,4,0)</f>
        <v>5000</v>
      </c>
      <c r="Z1053" s="18">
        <f>IFERROR((Tabela1[[#This Row],[Média]]-Tabela1[[#This Row],[Meta]])/Tabela1[[#This Row],[Meta]],"")</f>
        <v>1.6200000000000728E-3</v>
      </c>
      <c r="AA1053" s="31">
        <f>Tabela1[[#This Row],[Média]]-Tabela1[[#This Row],[Meta]]</f>
        <v>8.1000000000003638</v>
      </c>
      <c r="AB1053" s="6" t="str">
        <f>VLOOKUP(Tabela1[[#This Row],[SKU]],SKU!A:B,2,0)</f>
        <v>PONTA ASA FG PB CG</v>
      </c>
      <c r="AC1053" s="6" t="str">
        <f>VLOOKUP(Tabela1[[#This Row],[SKU]],SKU!A:C,3,0)</f>
        <v>ASA</v>
      </c>
    </row>
    <row r="1054" spans="1:29" x14ac:dyDescent="0.3">
      <c r="A1054" s="2">
        <f>INT(Tabela1[[#This Row],[Data e Hora2]])</f>
        <v>46288</v>
      </c>
      <c r="B1054" s="6" t="str">
        <f>UPPER(TEXT(Tabela1[[#This Row],[Data Corrigida]],"MMM"))</f>
        <v>SET</v>
      </c>
      <c r="C1054" t="s">
        <v>2320</v>
      </c>
      <c r="D1054" s="2" t="s">
        <v>2321</v>
      </c>
      <c r="E1054" s="1" t="s">
        <v>2312</v>
      </c>
      <c r="F1054" t="s">
        <v>24</v>
      </c>
      <c r="G1054" s="2" t="s">
        <v>2313</v>
      </c>
      <c r="H1054" t="s">
        <v>26</v>
      </c>
      <c r="I1054" t="s">
        <v>27</v>
      </c>
      <c r="J1054" s="6">
        <v>40762</v>
      </c>
      <c r="K1054" s="16">
        <v>9975</v>
      </c>
      <c r="L1054" s="16">
        <v>10010</v>
      </c>
      <c r="M1054" s="16">
        <v>10005</v>
      </c>
      <c r="N1054" s="16">
        <v>9980</v>
      </c>
      <c r="O1054" s="16">
        <v>9990</v>
      </c>
      <c r="P1054" s="16">
        <v>10045</v>
      </c>
      <c r="Q1054" s="16">
        <v>10000</v>
      </c>
      <c r="R1054" s="16">
        <v>10030</v>
      </c>
      <c r="S1054" s="16">
        <v>9985</v>
      </c>
      <c r="T1054" s="16">
        <v>10005</v>
      </c>
      <c r="U1054" s="15">
        <v>10002.5</v>
      </c>
      <c r="V1054" t="s">
        <v>19</v>
      </c>
      <c r="W1054" t="s">
        <v>28</v>
      </c>
      <c r="X1054">
        <v>261</v>
      </c>
      <c r="Y1054" s="16">
        <f>VLOOKUP(Tabela1[[#This Row],[SKU]],SKU!A:D,4,0)</f>
        <v>10000</v>
      </c>
      <c r="Z1054" s="18">
        <f>IFERROR((Tabela1[[#This Row],[Média]]-Tabela1[[#This Row],[Meta]])/Tabela1[[#This Row],[Meta]],"")</f>
        <v>2.5000000000000001E-4</v>
      </c>
      <c r="AA1054" s="31">
        <f>Tabela1[[#This Row],[Média]]-Tabela1[[#This Row],[Meta]]</f>
        <v>2.5</v>
      </c>
      <c r="AB1054" s="6" t="str">
        <f>VLOOKUP(Tabela1[[#This Row],[SKU]],SKU!A:B,2,0)</f>
        <v>COXA SBCX LQ FG LP</v>
      </c>
      <c r="AC1054" s="6" t="str">
        <f>VLOOKUP(Tabela1[[#This Row],[SKU]],SKU!A:C,3,0)</f>
        <v>PERNA</v>
      </c>
    </row>
    <row r="1055" spans="1:29" x14ac:dyDescent="0.3">
      <c r="A1055" s="2">
        <f>INT(Tabela1[[#This Row],[Data e Hora2]])</f>
        <v>46288</v>
      </c>
      <c r="B1055" s="6" t="str">
        <f>UPPER(TEXT(Tabela1[[#This Row],[Data Corrigida]],"MMM"))</f>
        <v>SET</v>
      </c>
      <c r="C1055" t="s">
        <v>2322</v>
      </c>
      <c r="D1055" s="2" t="s">
        <v>2323</v>
      </c>
      <c r="E1055" s="1" t="s">
        <v>2312</v>
      </c>
      <c r="F1055" t="s">
        <v>24</v>
      </c>
      <c r="G1055" s="2" t="s">
        <v>2313</v>
      </c>
      <c r="H1055" t="s">
        <v>26</v>
      </c>
      <c r="I1055" t="s">
        <v>27</v>
      </c>
      <c r="J1055" s="6">
        <v>42811</v>
      </c>
      <c r="K1055" s="16">
        <v>2025</v>
      </c>
      <c r="L1055" s="16">
        <v>2043</v>
      </c>
      <c r="M1055" s="16">
        <v>2035</v>
      </c>
      <c r="N1055" s="16">
        <v>2035</v>
      </c>
      <c r="O1055" s="16">
        <v>2023</v>
      </c>
      <c r="P1055" s="16">
        <v>2021</v>
      </c>
      <c r="Q1055" s="16">
        <v>2037</v>
      </c>
      <c r="R1055" s="16">
        <v>2025</v>
      </c>
      <c r="S1055" s="16">
        <v>2023</v>
      </c>
      <c r="T1055" s="16">
        <v>2039</v>
      </c>
      <c r="U1055" s="15">
        <v>2030.6</v>
      </c>
      <c r="V1055" t="s">
        <v>19</v>
      </c>
      <c r="W1055" t="s">
        <v>19</v>
      </c>
      <c r="X1055">
        <v>231</v>
      </c>
      <c r="Y1055" s="16">
        <f>VLOOKUP(Tabela1[[#This Row],[SKU]],SKU!A:D,4,0)</f>
        <v>2000</v>
      </c>
      <c r="Z1055" s="18">
        <f>IFERROR((Tabela1[[#This Row],[Média]]-Tabela1[[#This Row],[Meta]])/Tabela1[[#This Row],[Meta]],"")</f>
        <v>1.5299999999999954E-2</v>
      </c>
      <c r="AA1055" s="31">
        <f>Tabela1[[#This Row],[Média]]-Tabela1[[#This Row],[Meta]]</f>
        <v>30.599999999999909</v>
      </c>
      <c r="AB1055" s="6" t="str">
        <f>VLOOKUP(Tabela1[[#This Row],[SKU]],SKU!A:B,2,0)</f>
        <v>COXA SBCX S/O FG 180-200g PB</v>
      </c>
      <c r="AC1055" s="6" t="str">
        <f>VLOOKUP(Tabela1[[#This Row],[SKU]],SKU!A:C,3,0)</f>
        <v>PERNA</v>
      </c>
    </row>
    <row r="1056" spans="1:29" x14ac:dyDescent="0.3">
      <c r="A1056" s="2">
        <f>INT(Tabela1[[#This Row],[Data e Hora2]])</f>
        <v>46288</v>
      </c>
      <c r="B1056" s="6" t="str">
        <f>UPPER(TEXT(Tabela1[[#This Row],[Data Corrigida]],"MMM"))</f>
        <v>SET</v>
      </c>
      <c r="C1056" t="s">
        <v>2324</v>
      </c>
      <c r="D1056" s="2" t="s">
        <v>2325</v>
      </c>
      <c r="E1056" s="1" t="s">
        <v>2312</v>
      </c>
      <c r="F1056" t="s">
        <v>24</v>
      </c>
      <c r="G1056" s="2" t="s">
        <v>2313</v>
      </c>
      <c r="H1056" t="s">
        <v>26</v>
      </c>
      <c r="I1056" t="s">
        <v>27</v>
      </c>
      <c r="J1056" s="6">
        <v>42820</v>
      </c>
      <c r="K1056" s="16">
        <v>2032</v>
      </c>
      <c r="L1056" s="16">
        <v>2036</v>
      </c>
      <c r="M1056" s="16">
        <v>2031</v>
      </c>
      <c r="N1056" s="16">
        <v>2039</v>
      </c>
      <c r="O1056" s="16">
        <v>2049</v>
      </c>
      <c r="P1056" s="16">
        <v>2010</v>
      </c>
      <c r="Q1056" s="16">
        <v>1995</v>
      </c>
      <c r="R1056" s="16">
        <v>2039</v>
      </c>
      <c r="S1056" s="16">
        <v>2009</v>
      </c>
      <c r="T1056" s="16">
        <v>2050</v>
      </c>
      <c r="U1056" s="15">
        <v>2029</v>
      </c>
      <c r="V1056" t="s">
        <v>19</v>
      </c>
      <c r="W1056" t="s">
        <v>28</v>
      </c>
      <c r="X1056">
        <v>203</v>
      </c>
      <c r="Y1056" s="16">
        <f>VLOOKUP(Tabela1[[#This Row],[SKU]],SKU!A:D,4,0)</f>
        <v>2000</v>
      </c>
      <c r="Z1056" s="18">
        <f>IFERROR((Tabela1[[#This Row],[Média]]-Tabela1[[#This Row],[Meta]])/Tabela1[[#This Row],[Meta]],"")</f>
        <v>1.4500000000000001E-2</v>
      </c>
      <c r="AA1056" s="31">
        <f>Tabela1[[#This Row],[Média]]-Tabela1[[#This Row],[Meta]]</f>
        <v>29</v>
      </c>
      <c r="AB1056" s="6" t="str">
        <f>VLOOKUP(Tabela1[[#This Row],[SKU]],SKU!A:B,2,0)</f>
        <v>COXA SBCX S/O FG 200-220g PB</v>
      </c>
      <c r="AC1056" s="6" t="str">
        <f>VLOOKUP(Tabela1[[#This Row],[SKU]],SKU!A:C,3,0)</f>
        <v>PERNA</v>
      </c>
    </row>
    <row r="1057" spans="1:29" x14ac:dyDescent="0.3">
      <c r="A1057" s="2">
        <f>INT(Tabela1[[#This Row],[Data e Hora2]])</f>
        <v>46288</v>
      </c>
      <c r="B1057" s="6" t="str">
        <f>UPPER(TEXT(Tabela1[[#This Row],[Data Corrigida]],"MMM"))</f>
        <v>SET</v>
      </c>
      <c r="C1057" t="s">
        <v>2326</v>
      </c>
      <c r="D1057" s="2" t="s">
        <v>2327</v>
      </c>
      <c r="E1057" s="1" t="s">
        <v>2312</v>
      </c>
      <c r="F1057" t="s">
        <v>24</v>
      </c>
      <c r="G1057" s="2" t="s">
        <v>2313</v>
      </c>
      <c r="H1057" t="s">
        <v>26</v>
      </c>
      <c r="I1057" t="s">
        <v>27</v>
      </c>
      <c r="J1057" s="6">
        <v>42838</v>
      </c>
      <c r="K1057" s="16">
        <v>2036</v>
      </c>
      <c r="L1057" s="16">
        <v>2022</v>
      </c>
      <c r="M1057" s="16">
        <v>2017</v>
      </c>
      <c r="N1057" s="16">
        <v>2012</v>
      </c>
      <c r="O1057" s="16">
        <v>2014</v>
      </c>
      <c r="P1057" s="16">
        <v>2026</v>
      </c>
      <c r="Q1057" s="16">
        <v>2024</v>
      </c>
      <c r="R1057" s="16">
        <v>2026</v>
      </c>
      <c r="S1057" s="16">
        <v>2020</v>
      </c>
      <c r="T1057" s="16">
        <v>2028</v>
      </c>
      <c r="U1057" s="15">
        <v>2022.5</v>
      </c>
      <c r="V1057" t="s">
        <v>19</v>
      </c>
      <c r="W1057" t="s">
        <v>19</v>
      </c>
      <c r="X1057">
        <v>207</v>
      </c>
      <c r="Y1057" s="16">
        <f>VLOOKUP(Tabela1[[#This Row],[SKU]],SKU!A:D,4,0)</f>
        <v>2000</v>
      </c>
      <c r="Z1057" s="18">
        <f>IFERROR((Tabela1[[#This Row],[Média]]-Tabela1[[#This Row],[Meta]])/Tabela1[[#This Row],[Meta]],"")</f>
        <v>1.125E-2</v>
      </c>
      <c r="AA1057" s="31">
        <f>Tabela1[[#This Row],[Média]]-Tabela1[[#This Row],[Meta]]</f>
        <v>22.5</v>
      </c>
      <c r="AB1057" s="6" t="str">
        <f>VLOOKUP(Tabela1[[#This Row],[SKU]],SKU!A:B,2,0)</f>
        <v>COXA SBCX S/O FG 220-240g PB</v>
      </c>
      <c r="AC1057" s="6" t="str">
        <f>VLOOKUP(Tabela1[[#This Row],[SKU]],SKU!A:C,3,0)</f>
        <v>PERNA</v>
      </c>
    </row>
    <row r="1058" spans="1:29" x14ac:dyDescent="0.3">
      <c r="A1058" s="2">
        <f>INT(Tabela1[[#This Row],[Data e Hora2]])</f>
        <v>46288</v>
      </c>
      <c r="B1058" s="6" t="str">
        <f>UPPER(TEXT(Tabela1[[#This Row],[Data Corrigida]],"MMM"))</f>
        <v>SET</v>
      </c>
      <c r="C1058" t="s">
        <v>2328</v>
      </c>
      <c r="D1058" s="2" t="s">
        <v>2329</v>
      </c>
      <c r="E1058" s="1" t="s">
        <v>2330</v>
      </c>
      <c r="F1058" t="s">
        <v>24</v>
      </c>
      <c r="G1058" s="2" t="s">
        <v>2313</v>
      </c>
      <c r="H1058" t="s">
        <v>26</v>
      </c>
      <c r="I1058" t="s">
        <v>27</v>
      </c>
      <c r="J1058" s="6">
        <v>42862</v>
      </c>
      <c r="K1058" s="16">
        <v>2062</v>
      </c>
      <c r="L1058" s="16">
        <v>2008</v>
      </c>
      <c r="M1058" s="16">
        <v>2015</v>
      </c>
      <c r="N1058" s="16">
        <v>2014</v>
      </c>
      <c r="O1058" s="16">
        <v>2008</v>
      </c>
      <c r="P1058" s="16">
        <v>2057</v>
      </c>
      <c r="Q1058" s="16">
        <v>2003</v>
      </c>
      <c r="R1058" s="16">
        <v>2007</v>
      </c>
      <c r="S1058" s="16">
        <v>1991</v>
      </c>
      <c r="T1058" s="16">
        <v>2015</v>
      </c>
      <c r="U1058" s="15">
        <v>2018</v>
      </c>
      <c r="V1058" t="s">
        <v>19</v>
      </c>
      <c r="W1058" t="s">
        <v>28</v>
      </c>
      <c r="X1058">
        <v>193</v>
      </c>
      <c r="Y1058" s="16">
        <f>VLOOKUP(Tabela1[[#This Row],[SKU]],SKU!A:D,4,0)</f>
        <v>2000</v>
      </c>
      <c r="Z1058" s="18">
        <f>IFERROR((Tabela1[[#This Row],[Média]]-Tabela1[[#This Row],[Meta]])/Tabela1[[#This Row],[Meta]],"")</f>
        <v>8.9999999999999993E-3</v>
      </c>
      <c r="AA1058" s="31">
        <f>Tabela1[[#This Row],[Média]]-Tabela1[[#This Row],[Meta]]</f>
        <v>18</v>
      </c>
      <c r="AB1058" s="6" t="str">
        <f>VLOOKUP(Tabela1[[#This Row],[SKU]],SKU!A:B,2,0)</f>
        <v>COXA SBCX S/O FG 280-300g PB</v>
      </c>
      <c r="AC1058" s="6" t="str">
        <f>VLOOKUP(Tabela1[[#This Row],[SKU]],SKU!A:C,3,0)</f>
        <v>PERNA</v>
      </c>
    </row>
    <row r="1059" spans="1:29" x14ac:dyDescent="0.3">
      <c r="A1059" s="2">
        <f>INT(Tabela1[[#This Row],[Data e Hora2]])</f>
        <v>46288</v>
      </c>
      <c r="B1059" s="6" t="str">
        <f>UPPER(TEXT(Tabela1[[#This Row],[Data Corrigida]],"MMM"))</f>
        <v>SET</v>
      </c>
      <c r="C1059" t="s">
        <v>2331</v>
      </c>
      <c r="D1059" s="2" t="s">
        <v>2332</v>
      </c>
      <c r="E1059" s="1" t="s">
        <v>2330</v>
      </c>
      <c r="F1059" t="s">
        <v>24</v>
      </c>
      <c r="G1059" s="2" t="s">
        <v>2313</v>
      </c>
      <c r="H1059" t="s">
        <v>26</v>
      </c>
      <c r="I1059" t="s">
        <v>27</v>
      </c>
      <c r="J1059" s="6">
        <v>42854</v>
      </c>
      <c r="K1059" s="16">
        <v>2090</v>
      </c>
      <c r="L1059" s="16">
        <v>2080</v>
      </c>
      <c r="M1059" s="16">
        <v>2115</v>
      </c>
      <c r="N1059" s="16">
        <v>2109</v>
      </c>
      <c r="O1059" s="16">
        <v>2114</v>
      </c>
      <c r="P1059" s="16">
        <v>2102</v>
      </c>
      <c r="Q1059" s="16">
        <v>2071</v>
      </c>
      <c r="R1059" s="16">
        <v>2092</v>
      </c>
      <c r="S1059" s="16">
        <v>2085</v>
      </c>
      <c r="T1059" s="16">
        <v>2079</v>
      </c>
      <c r="U1059" s="15">
        <v>2093.6999999999998</v>
      </c>
      <c r="V1059" t="s">
        <v>19</v>
      </c>
      <c r="W1059" t="s">
        <v>19</v>
      </c>
      <c r="X1059">
        <v>226</v>
      </c>
      <c r="Y1059" s="16">
        <f>VLOOKUP(Tabela1[[#This Row],[SKU]],SKU!A:D,4,0)</f>
        <v>2080</v>
      </c>
      <c r="Z1059" s="18">
        <f>IFERROR((Tabela1[[#This Row],[Média]]-Tabela1[[#This Row],[Meta]])/Tabela1[[#This Row],[Meta]],"")</f>
        <v>6.5865384615383738E-3</v>
      </c>
      <c r="AA1059" s="31">
        <f>Tabela1[[#This Row],[Média]]-Tabela1[[#This Row],[Meta]]</f>
        <v>13.699999999999818</v>
      </c>
      <c r="AB1059" s="6" t="str">
        <f>VLOOKUP(Tabela1[[#This Row],[SKU]],SKU!A:B,2,0)</f>
        <v>COXA SBCX S/O FG 260-280g PB</v>
      </c>
      <c r="AC1059" s="6" t="str">
        <f>VLOOKUP(Tabela1[[#This Row],[SKU]],SKU!A:C,3,0)</f>
        <v>PERNA</v>
      </c>
    </row>
    <row r="1060" spans="1:29" x14ac:dyDescent="0.3">
      <c r="A1060" s="2">
        <f>INT(Tabela1[[#This Row],[Data e Hora2]])</f>
        <v>46288</v>
      </c>
      <c r="B1060" s="6" t="str">
        <f>UPPER(TEXT(Tabela1[[#This Row],[Data Corrigida]],"MMM"))</f>
        <v>SET</v>
      </c>
      <c r="C1060" t="s">
        <v>2333</v>
      </c>
      <c r="D1060" s="2" t="s">
        <v>2334</v>
      </c>
      <c r="E1060" s="1" t="s">
        <v>2330</v>
      </c>
      <c r="F1060" t="s">
        <v>24</v>
      </c>
      <c r="G1060" s="2" t="s">
        <v>2313</v>
      </c>
      <c r="H1060" t="s">
        <v>26</v>
      </c>
      <c r="I1060" t="s">
        <v>27</v>
      </c>
      <c r="J1060" s="6">
        <v>42846</v>
      </c>
      <c r="K1060" s="16">
        <v>1991</v>
      </c>
      <c r="L1060" s="16">
        <v>2006</v>
      </c>
      <c r="M1060" s="16">
        <v>2031</v>
      </c>
      <c r="N1060" s="16">
        <v>1973</v>
      </c>
      <c r="O1060" s="16">
        <v>2011</v>
      </c>
      <c r="P1060" s="16">
        <v>2011</v>
      </c>
      <c r="Q1060" s="16">
        <v>2010</v>
      </c>
      <c r="R1060" s="16">
        <v>1990</v>
      </c>
      <c r="S1060" s="16">
        <v>2007</v>
      </c>
      <c r="T1060" s="16">
        <v>2015</v>
      </c>
      <c r="U1060" s="15">
        <v>2004.5</v>
      </c>
      <c r="V1060" t="s">
        <v>19</v>
      </c>
      <c r="W1060" t="s">
        <v>28</v>
      </c>
      <c r="X1060">
        <v>119</v>
      </c>
      <c r="Y1060" s="16">
        <f>VLOOKUP(Tabela1[[#This Row],[SKU]],SKU!A:D,4,0)</f>
        <v>2000</v>
      </c>
      <c r="Z1060" s="18">
        <f>IFERROR((Tabela1[[#This Row],[Média]]-Tabela1[[#This Row],[Meta]])/Tabela1[[#This Row],[Meta]],"")</f>
        <v>2.2499999999999998E-3</v>
      </c>
      <c r="AA1060" s="31">
        <f>Tabela1[[#This Row],[Média]]-Tabela1[[#This Row],[Meta]]</f>
        <v>4.5</v>
      </c>
      <c r="AB1060" s="6" t="str">
        <f>VLOOKUP(Tabela1[[#This Row],[SKU]],SKU!A:B,2,0)</f>
        <v>COXA SBCX S/O FG 240-260g PB</v>
      </c>
      <c r="AC1060" s="6" t="str">
        <f>VLOOKUP(Tabela1[[#This Row],[SKU]],SKU!A:C,3,0)</f>
        <v>PERNA</v>
      </c>
    </row>
    <row r="1061" spans="1:29" x14ac:dyDescent="0.3">
      <c r="A1061" s="2">
        <f>INT(Tabela1[[#This Row],[Data e Hora2]])</f>
        <v>46288</v>
      </c>
      <c r="B1061" s="6" t="str">
        <f>UPPER(TEXT(Tabela1[[#This Row],[Data Corrigida]],"MMM"))</f>
        <v>SET</v>
      </c>
      <c r="C1061" t="s">
        <v>2335</v>
      </c>
      <c r="D1061" s="2" t="s">
        <v>2336</v>
      </c>
      <c r="E1061" s="1" t="s">
        <v>2330</v>
      </c>
      <c r="F1061" t="s">
        <v>24</v>
      </c>
      <c r="G1061" s="2" t="s">
        <v>2313</v>
      </c>
      <c r="H1061" t="s">
        <v>26</v>
      </c>
      <c r="I1061" t="s">
        <v>27</v>
      </c>
      <c r="J1061" s="6">
        <v>13188</v>
      </c>
      <c r="K1061" s="16">
        <v>1003</v>
      </c>
      <c r="L1061" s="16">
        <v>1010</v>
      </c>
      <c r="M1061" s="16">
        <v>1002</v>
      </c>
      <c r="N1061" s="16">
        <v>993</v>
      </c>
      <c r="O1061" s="16">
        <v>997</v>
      </c>
      <c r="P1061" s="16">
        <v>995</v>
      </c>
      <c r="Q1061" s="16">
        <v>1006</v>
      </c>
      <c r="R1061" s="16">
        <v>1002</v>
      </c>
      <c r="S1061" s="16">
        <v>999</v>
      </c>
      <c r="T1061" s="16">
        <v>996</v>
      </c>
      <c r="U1061" s="15">
        <v>1000.3</v>
      </c>
      <c r="V1061" t="s">
        <v>19</v>
      </c>
      <c r="W1061" t="s">
        <v>19</v>
      </c>
      <c r="X1061">
        <v>862</v>
      </c>
      <c r="Y1061" s="16">
        <f>VLOOKUP(Tabela1[[#This Row],[SKU]],SKU!A:D,4,0)</f>
        <v>1000</v>
      </c>
      <c r="Z1061" s="18">
        <f>IFERROR((Tabela1[[#This Row],[Média]]-Tabela1[[#This Row],[Meta]])/Tabela1[[#This Row],[Meta]],"")</f>
        <v>2.9999999999995455E-4</v>
      </c>
      <c r="AA1061" s="31">
        <f>Tabela1[[#This Row],[Média]]-Tabela1[[#This Row],[Meta]]</f>
        <v>0.29999999999995453</v>
      </c>
      <c r="AB1061" s="6" t="str">
        <f>VLOOKUP(Tabela1[[#This Row],[SKU]],SKU!A:B,2,0)</f>
        <v>SOBRECOXA CG BDJ SE</v>
      </c>
      <c r="AC1061" s="6" t="str">
        <f>VLOOKUP(Tabela1[[#This Row],[SKU]],SKU!A:C,3,0)</f>
        <v>PERNA</v>
      </c>
    </row>
    <row r="1062" spans="1:29" x14ac:dyDescent="0.3">
      <c r="A1062" s="2">
        <f>INT(Tabela1[[#This Row],[Data e Hora2]])</f>
        <v>46288</v>
      </c>
      <c r="B1062" s="6" t="str">
        <f>UPPER(TEXT(Tabela1[[#This Row],[Data Corrigida]],"MMM"))</f>
        <v>SET</v>
      </c>
      <c r="C1062" t="s">
        <v>2337</v>
      </c>
      <c r="D1062" s="2" t="s">
        <v>2338</v>
      </c>
      <c r="E1062" s="1" t="s">
        <v>2330</v>
      </c>
      <c r="F1062" t="s">
        <v>24</v>
      </c>
      <c r="G1062" s="2" t="s">
        <v>2313</v>
      </c>
      <c r="H1062" t="s">
        <v>26</v>
      </c>
      <c r="I1062" t="s">
        <v>27</v>
      </c>
      <c r="J1062" s="6">
        <v>15105</v>
      </c>
      <c r="K1062" s="16">
        <v>1047</v>
      </c>
      <c r="L1062" s="16">
        <v>1045</v>
      </c>
      <c r="M1062" s="16">
        <v>993</v>
      </c>
      <c r="N1062" s="16">
        <v>1022</v>
      </c>
      <c r="O1062" s="16">
        <v>1005</v>
      </c>
      <c r="P1062" s="16">
        <v>999</v>
      </c>
      <c r="Q1062" s="16">
        <v>1022</v>
      </c>
      <c r="R1062" s="16">
        <v>1032</v>
      </c>
      <c r="S1062" s="16">
        <v>1036</v>
      </c>
      <c r="T1062" s="16">
        <v>1057</v>
      </c>
      <c r="U1062" s="15">
        <v>1025.8</v>
      </c>
      <c r="V1062" t="s">
        <v>19</v>
      </c>
      <c r="W1062" t="s">
        <v>28</v>
      </c>
      <c r="X1062">
        <v>135</v>
      </c>
      <c r="Y1062" s="16">
        <f>VLOOKUP(Tabela1[[#This Row],[SKU]],SKU!A:D,4,0)</f>
        <v>1000</v>
      </c>
      <c r="Z1062" s="18">
        <f>IFERROR((Tabela1[[#This Row],[Média]]-Tabela1[[#This Row],[Meta]])/Tabela1[[#This Row],[Meta]],"")</f>
        <v>2.5799999999999955E-2</v>
      </c>
      <c r="AA1062" s="31">
        <f>Tabela1[[#This Row],[Média]]-Tabela1[[#This Row],[Meta]]</f>
        <v>25.799999999999955</v>
      </c>
      <c r="AB1062" s="6" t="str">
        <f>VLOOKUP(Tabela1[[#This Row],[SKU]],SKU!A:B,2,0)</f>
        <v>FILE PEITO MET CG BDJ SE</v>
      </c>
      <c r="AC1062" s="6" t="str">
        <f>VLOOKUP(Tabela1[[#This Row],[SKU]],SKU!A:C,3,0)</f>
        <v>PEITO</v>
      </c>
    </row>
    <row r="1063" spans="1:29" x14ac:dyDescent="0.3">
      <c r="A1063" s="2">
        <f>INT(Tabela1[[#This Row],[Data e Hora2]])</f>
        <v>46288</v>
      </c>
      <c r="B1063" s="6" t="str">
        <f>UPPER(TEXT(Tabela1[[#This Row],[Data Corrigida]],"MMM"))</f>
        <v>SET</v>
      </c>
      <c r="C1063" t="s">
        <v>2339</v>
      </c>
      <c r="D1063" s="2" t="s">
        <v>2340</v>
      </c>
      <c r="E1063" s="1" t="s">
        <v>2330</v>
      </c>
      <c r="F1063" t="s">
        <v>24</v>
      </c>
      <c r="G1063" s="2" t="s">
        <v>2313</v>
      </c>
      <c r="H1063" t="s">
        <v>26</v>
      </c>
      <c r="I1063" t="s">
        <v>27</v>
      </c>
      <c r="J1063" s="6">
        <v>13188</v>
      </c>
      <c r="K1063" s="16">
        <v>995</v>
      </c>
      <c r="L1063" s="16">
        <v>1008</v>
      </c>
      <c r="M1063" s="16">
        <v>1005</v>
      </c>
      <c r="N1063" s="16">
        <v>996</v>
      </c>
      <c r="O1063" s="16">
        <v>1003</v>
      </c>
      <c r="P1063" s="16">
        <v>1005</v>
      </c>
      <c r="Q1063" s="16">
        <v>1015</v>
      </c>
      <c r="R1063" s="16">
        <v>1012</v>
      </c>
      <c r="S1063" s="16">
        <v>1008</v>
      </c>
      <c r="T1063" s="16">
        <v>990</v>
      </c>
      <c r="U1063" s="15">
        <v>1003.7</v>
      </c>
      <c r="V1063" t="s">
        <v>19</v>
      </c>
      <c r="W1063" t="s">
        <v>19</v>
      </c>
      <c r="X1063">
        <v>117</v>
      </c>
      <c r="Y1063" s="16">
        <f>VLOOKUP(Tabela1[[#This Row],[SKU]],SKU!A:D,4,0)</f>
        <v>1000</v>
      </c>
      <c r="Z1063" s="18">
        <f>IFERROR((Tabela1[[#This Row],[Média]]-Tabela1[[#This Row],[Meta]])/Tabela1[[#This Row],[Meta]],"")</f>
        <v>3.7000000000000453E-3</v>
      </c>
      <c r="AA1063" s="31">
        <f>Tabela1[[#This Row],[Média]]-Tabela1[[#This Row],[Meta]]</f>
        <v>3.7000000000000455</v>
      </c>
      <c r="AB1063" s="6" t="str">
        <f>VLOOKUP(Tabela1[[#This Row],[SKU]],SKU!A:B,2,0)</f>
        <v>SOBRECOXA CG BDJ SE</v>
      </c>
      <c r="AC1063" s="6" t="str">
        <f>VLOOKUP(Tabela1[[#This Row],[SKU]],SKU!A:C,3,0)</f>
        <v>PERNA</v>
      </c>
    </row>
    <row r="1064" spans="1:29" x14ac:dyDescent="0.3">
      <c r="A1064" s="2">
        <f>INT(Tabela1[[#This Row],[Data e Hora2]])</f>
        <v>46288</v>
      </c>
      <c r="B1064" s="6" t="str">
        <f>UPPER(TEXT(Tabela1[[#This Row],[Data Corrigida]],"MMM"))</f>
        <v>SET</v>
      </c>
      <c r="C1064" t="s">
        <v>2341</v>
      </c>
      <c r="D1064" s="2" t="s">
        <v>2342</v>
      </c>
      <c r="E1064" s="1" t="s">
        <v>2330</v>
      </c>
      <c r="F1064" t="s">
        <v>24</v>
      </c>
      <c r="G1064" s="2" t="s">
        <v>2313</v>
      </c>
      <c r="H1064" t="s">
        <v>26</v>
      </c>
      <c r="I1064" t="s">
        <v>27</v>
      </c>
      <c r="J1064" s="6">
        <v>15229</v>
      </c>
      <c r="K1064" s="16">
        <v>1013</v>
      </c>
      <c r="L1064" s="16">
        <v>1004</v>
      </c>
      <c r="M1064" s="16">
        <v>1012</v>
      </c>
      <c r="N1064" s="16">
        <v>1000</v>
      </c>
      <c r="O1064" s="16">
        <v>1012</v>
      </c>
      <c r="P1064" s="16">
        <v>1006</v>
      </c>
      <c r="Q1064" s="16">
        <v>998</v>
      </c>
      <c r="R1064" s="16">
        <v>1000</v>
      </c>
      <c r="S1064" s="16">
        <v>1010</v>
      </c>
      <c r="T1064" s="16">
        <v>1011</v>
      </c>
      <c r="U1064" s="15">
        <v>1006.6</v>
      </c>
      <c r="V1064" t="s">
        <v>19</v>
      </c>
      <c r="W1064" t="s">
        <v>28</v>
      </c>
      <c r="X1064">
        <v>146</v>
      </c>
      <c r="Y1064" s="16">
        <f>VLOOKUP(Tabela1[[#This Row],[SKU]],SKU!A:D,4,0)</f>
        <v>1000</v>
      </c>
      <c r="Z1064" s="18">
        <f>IFERROR((Tabela1[[#This Row],[Média]]-Tabela1[[#This Row],[Meta]])/Tabela1[[#This Row],[Meta]],"")</f>
        <v>6.6000000000000225E-3</v>
      </c>
      <c r="AA1064" s="31">
        <f>Tabela1[[#This Row],[Média]]-Tabela1[[#This Row],[Meta]]</f>
        <v>6.6000000000000227</v>
      </c>
      <c r="AB1064" s="6" t="str">
        <f>VLOOKUP(Tabela1[[#This Row],[SKU]],SKU!A:B,2,0)</f>
        <v>COXA CG BDJ SE</v>
      </c>
      <c r="AC1064" s="6" t="str">
        <f>VLOOKUP(Tabela1[[#This Row],[SKU]],SKU!A:C,3,0)</f>
        <v>PERNA</v>
      </c>
    </row>
    <row r="1065" spans="1:29" x14ac:dyDescent="0.3">
      <c r="A1065" s="2">
        <f>INT(Tabela1[[#This Row],[Data e Hora2]])</f>
        <v>46288</v>
      </c>
      <c r="B1065" s="6" t="str">
        <f>UPPER(TEXT(Tabela1[[#This Row],[Data Corrigida]],"MMM"))</f>
        <v>SET</v>
      </c>
      <c r="C1065" t="s">
        <v>2343</v>
      </c>
      <c r="D1065" s="2" t="s">
        <v>2344</v>
      </c>
      <c r="E1065" s="1" t="s">
        <v>2345</v>
      </c>
      <c r="F1065" t="s">
        <v>24</v>
      </c>
      <c r="G1065" s="2" t="s">
        <v>2313</v>
      </c>
      <c r="H1065" t="s">
        <v>142</v>
      </c>
      <c r="I1065" t="s">
        <v>462</v>
      </c>
      <c r="J1065" s="6">
        <v>31454</v>
      </c>
      <c r="K1065" s="16">
        <v>2507</v>
      </c>
      <c r="L1065" s="16">
        <v>2449</v>
      </c>
      <c r="M1065" s="16">
        <v>2490</v>
      </c>
      <c r="N1065" s="16">
        <v>2511</v>
      </c>
      <c r="O1065" s="16">
        <v>2521</v>
      </c>
      <c r="P1065" s="16">
        <v>2585</v>
      </c>
      <c r="Q1065" s="16">
        <v>2505</v>
      </c>
      <c r="R1065" s="16">
        <v>2672</v>
      </c>
      <c r="S1065" s="16">
        <v>2544</v>
      </c>
      <c r="T1065" s="16">
        <v>2643</v>
      </c>
      <c r="U1065" s="15">
        <v>2542.6999999999998</v>
      </c>
      <c r="V1065" t="s">
        <v>19</v>
      </c>
      <c r="W1065" t="s">
        <v>28</v>
      </c>
      <c r="X1065">
        <v>430</v>
      </c>
      <c r="Y1065" s="16">
        <f>VLOOKUP(Tabela1[[#This Row],[SKU]],SKU!A:D,4,0)</f>
        <v>2500</v>
      </c>
      <c r="Z1065" s="18">
        <f>IFERROR((Tabela1[[#This Row],[Média]]-Tabela1[[#This Row],[Meta]])/Tabela1[[#This Row],[Meta]],"")</f>
        <v>1.7079999999999929E-2</v>
      </c>
      <c r="AA1065" s="31">
        <f>Tabela1[[#This Row],[Média]]-Tabela1[[#This Row],[Meta]]</f>
        <v>42.699999999999818</v>
      </c>
      <c r="AB1065" s="6" t="str">
        <f>VLOOKUP(Tabela1[[#This Row],[SKU]],SKU!A:B,2,0)</f>
        <v>MEIO DE ASA 2,5KG  IQF</v>
      </c>
      <c r="AC1065" s="6" t="str">
        <f>VLOOKUP(Tabela1[[#This Row],[SKU]],SKU!A:C,3,0)</f>
        <v>ASA</v>
      </c>
    </row>
    <row r="1066" spans="1:29" x14ac:dyDescent="0.3">
      <c r="A1066" s="2">
        <f>INT(Tabela1[[#This Row],[Data e Hora2]])</f>
        <v>46288</v>
      </c>
      <c r="B1066" s="6" t="str">
        <f>UPPER(TEXT(Tabela1[[#This Row],[Data Corrigida]],"MMM"))</f>
        <v>SET</v>
      </c>
      <c r="C1066" t="s">
        <v>2346</v>
      </c>
      <c r="D1066" s="2" t="s">
        <v>2347</v>
      </c>
      <c r="E1066" s="1" t="s">
        <v>2348</v>
      </c>
      <c r="F1066" t="s">
        <v>24</v>
      </c>
      <c r="G1066" s="2" t="s">
        <v>2313</v>
      </c>
      <c r="H1066" t="s">
        <v>142</v>
      </c>
      <c r="I1066" t="s">
        <v>462</v>
      </c>
      <c r="J1066" s="6">
        <v>54632</v>
      </c>
      <c r="K1066" s="16">
        <v>1030</v>
      </c>
      <c r="L1066" s="16">
        <v>1010</v>
      </c>
      <c r="M1066" s="16">
        <v>994</v>
      </c>
      <c r="N1066" s="16">
        <v>1002</v>
      </c>
      <c r="O1066" s="16">
        <v>1005</v>
      </c>
      <c r="P1066" s="16">
        <v>1020</v>
      </c>
      <c r="Q1066" s="16">
        <v>1013</v>
      </c>
      <c r="R1066" s="16">
        <v>1007</v>
      </c>
      <c r="S1066" s="16">
        <v>1011</v>
      </c>
      <c r="T1066" s="16">
        <v>1013</v>
      </c>
      <c r="U1066" s="15">
        <v>1010.5</v>
      </c>
      <c r="V1066" t="s">
        <v>19</v>
      </c>
      <c r="W1066" t="s">
        <v>28</v>
      </c>
      <c r="X1066">
        <v>10640</v>
      </c>
      <c r="Y1066" s="16">
        <f>VLOOKUP(Tabela1[[#This Row],[SKU]],SKU!A:D,4,0)</f>
        <v>1000</v>
      </c>
      <c r="Z1066" s="18">
        <f>IFERROR((Tabela1[[#This Row],[Média]]-Tabela1[[#This Row],[Meta]])/Tabela1[[#This Row],[Meta]],"")</f>
        <v>1.0500000000000001E-2</v>
      </c>
      <c r="AA1066" s="31">
        <f>Tabela1[[#This Row],[Média]]-Tabela1[[#This Row],[Meta]]</f>
        <v>10.5</v>
      </c>
      <c r="AB1066" s="6" t="str">
        <f>VLOOKUP(Tabela1[[#This Row],[SKU]],SKU!A:B,2,0)</f>
        <v>COXA SBCX S/O BDJ CG</v>
      </c>
      <c r="AC1066" s="6" t="str">
        <f>VLOOKUP(Tabela1[[#This Row],[SKU]],SKU!A:C,3,0)</f>
        <v>PERNA</v>
      </c>
    </row>
    <row r="1067" spans="1:29" x14ac:dyDescent="0.3">
      <c r="A1067" s="2">
        <f>INT(Tabela1[[#This Row],[Data e Hora2]])</f>
        <v>46288</v>
      </c>
      <c r="B1067" s="6" t="str">
        <f>UPPER(TEXT(Tabela1[[#This Row],[Data Corrigida]],"MMM"))</f>
        <v>SET</v>
      </c>
      <c r="C1067" t="s">
        <v>2349</v>
      </c>
      <c r="D1067" s="2" t="s">
        <v>2350</v>
      </c>
      <c r="E1067" s="1" t="s">
        <v>2351</v>
      </c>
      <c r="F1067" t="s">
        <v>24</v>
      </c>
      <c r="G1067" s="2" t="s">
        <v>2313</v>
      </c>
      <c r="H1067" t="s">
        <v>142</v>
      </c>
      <c r="I1067" t="s">
        <v>462</v>
      </c>
      <c r="J1067" s="6">
        <v>42838</v>
      </c>
      <c r="K1067" s="16">
        <v>2072</v>
      </c>
      <c r="L1067" s="16">
        <v>2058</v>
      </c>
      <c r="M1067" s="16">
        <v>2075</v>
      </c>
      <c r="N1067" s="16">
        <v>2041</v>
      </c>
      <c r="O1067" s="16">
        <v>2050</v>
      </c>
      <c r="P1067" s="16">
        <v>2056</v>
      </c>
      <c r="Q1067" s="16">
        <v>2041</v>
      </c>
      <c r="R1067" s="16">
        <v>2075</v>
      </c>
      <c r="S1067" s="16">
        <v>2082</v>
      </c>
      <c r="T1067" s="16">
        <v>2046</v>
      </c>
      <c r="U1067" s="15">
        <v>2059.6</v>
      </c>
      <c r="V1067" t="s">
        <v>19</v>
      </c>
      <c r="W1067" t="s">
        <v>28</v>
      </c>
      <c r="X1067">
        <v>4061</v>
      </c>
      <c r="Y1067" s="16">
        <f>VLOOKUP(Tabela1[[#This Row],[SKU]],SKU!A:D,4,0)</f>
        <v>2000</v>
      </c>
      <c r="Z1067" s="18">
        <f>IFERROR((Tabela1[[#This Row],[Média]]-Tabela1[[#This Row],[Meta]])/Tabela1[[#This Row],[Meta]],"")</f>
        <v>2.9799999999999955E-2</v>
      </c>
      <c r="AA1067" s="31">
        <f>Tabela1[[#This Row],[Média]]-Tabela1[[#This Row],[Meta]]</f>
        <v>59.599999999999909</v>
      </c>
      <c r="AB1067" s="6" t="str">
        <f>VLOOKUP(Tabela1[[#This Row],[SKU]],SKU!A:B,2,0)</f>
        <v>COXA SBCX S/O FG 220-240g PB</v>
      </c>
      <c r="AC1067" s="6" t="str">
        <f>VLOOKUP(Tabela1[[#This Row],[SKU]],SKU!A:C,3,0)</f>
        <v>PERNA</v>
      </c>
    </row>
    <row r="1068" spans="1:29" x14ac:dyDescent="0.3">
      <c r="A1068" s="2">
        <f>INT(Tabela1[[#This Row],[Data e Hora2]])</f>
        <v>46288</v>
      </c>
      <c r="B1068" s="6" t="str">
        <f>UPPER(TEXT(Tabela1[[#This Row],[Data Corrigida]],"MMM"))</f>
        <v>SET</v>
      </c>
      <c r="C1068" t="s">
        <v>2352</v>
      </c>
      <c r="D1068" s="2" t="s">
        <v>2353</v>
      </c>
      <c r="E1068" s="1" t="s">
        <v>2354</v>
      </c>
      <c r="F1068" t="s">
        <v>24</v>
      </c>
      <c r="G1068" s="2" t="s">
        <v>2313</v>
      </c>
      <c r="H1068" t="s">
        <v>142</v>
      </c>
      <c r="I1068" t="s">
        <v>462</v>
      </c>
      <c r="J1068" s="6">
        <v>42846</v>
      </c>
      <c r="K1068" s="16">
        <v>2267</v>
      </c>
      <c r="L1068" s="16">
        <v>2027</v>
      </c>
      <c r="M1068" s="16">
        <v>2014</v>
      </c>
      <c r="N1068" s="16">
        <v>2007</v>
      </c>
      <c r="O1068" s="16">
        <v>2008</v>
      </c>
      <c r="P1068" s="16">
        <v>2002</v>
      </c>
      <c r="Q1068" s="16">
        <v>1991</v>
      </c>
      <c r="R1068" s="16">
        <v>2019</v>
      </c>
      <c r="S1068" s="16">
        <v>1996</v>
      </c>
      <c r="T1068" s="16">
        <v>1997</v>
      </c>
      <c r="U1068" s="15">
        <v>2032.8</v>
      </c>
      <c r="V1068" t="s">
        <v>19</v>
      </c>
      <c r="W1068" t="s">
        <v>28</v>
      </c>
      <c r="X1068">
        <v>3806</v>
      </c>
      <c r="Y1068" s="16">
        <f>VLOOKUP(Tabela1[[#This Row],[SKU]],SKU!A:D,4,0)</f>
        <v>2000</v>
      </c>
      <c r="Z1068" s="18">
        <f>IFERROR((Tabela1[[#This Row],[Média]]-Tabela1[[#This Row],[Meta]])/Tabela1[[#This Row],[Meta]],"")</f>
        <v>1.6399999999999977E-2</v>
      </c>
      <c r="AA1068" s="31">
        <f>Tabela1[[#This Row],[Média]]-Tabela1[[#This Row],[Meta]]</f>
        <v>32.799999999999955</v>
      </c>
      <c r="AB1068" s="6" t="str">
        <f>VLOOKUP(Tabela1[[#This Row],[SKU]],SKU!A:B,2,0)</f>
        <v>COXA SBCX S/O FG 240-260g PB</v>
      </c>
      <c r="AC1068" s="6" t="str">
        <f>VLOOKUP(Tabela1[[#This Row],[SKU]],SKU!A:C,3,0)</f>
        <v>PERNA</v>
      </c>
    </row>
    <row r="1069" spans="1:29" x14ac:dyDescent="0.3">
      <c r="A1069" s="2">
        <f>INT(Tabela1[[#This Row],[Data e Hora2]])</f>
        <v>46288</v>
      </c>
      <c r="B1069" s="6" t="str">
        <f>UPPER(TEXT(Tabela1[[#This Row],[Data Corrigida]],"MMM"))</f>
        <v>SET</v>
      </c>
      <c r="C1069" t="s">
        <v>2355</v>
      </c>
      <c r="D1069" s="2" t="s">
        <v>2356</v>
      </c>
      <c r="E1069" s="1" t="s">
        <v>2357</v>
      </c>
      <c r="F1069" t="s">
        <v>24</v>
      </c>
      <c r="G1069" s="2" t="s">
        <v>2313</v>
      </c>
      <c r="H1069" t="s">
        <v>142</v>
      </c>
      <c r="I1069" t="s">
        <v>462</v>
      </c>
      <c r="J1069" s="6">
        <v>15849</v>
      </c>
      <c r="K1069" s="16">
        <v>1015</v>
      </c>
      <c r="L1069" s="16">
        <v>1004</v>
      </c>
      <c r="M1069" s="16">
        <v>999</v>
      </c>
      <c r="N1069" s="16">
        <v>998</v>
      </c>
      <c r="O1069" s="16">
        <v>1014</v>
      </c>
      <c r="P1069" s="16">
        <v>1019</v>
      </c>
      <c r="Q1069" s="16">
        <v>1011</v>
      </c>
      <c r="R1069" s="16">
        <v>1013</v>
      </c>
      <c r="S1069" s="16">
        <v>1005</v>
      </c>
      <c r="T1069" s="16">
        <v>994</v>
      </c>
      <c r="U1069" s="15">
        <v>1007.2</v>
      </c>
      <c r="V1069" t="s">
        <v>19</v>
      </c>
      <c r="W1069" t="s">
        <v>28</v>
      </c>
      <c r="X1069">
        <v>3422</v>
      </c>
      <c r="Y1069" s="16">
        <f>VLOOKUP(Tabela1[[#This Row],[SKU]],SKU!A:D,4,0)</f>
        <v>1000</v>
      </c>
      <c r="Z1069" s="18">
        <f>IFERROR((Tabela1[[#This Row],[Média]]-Tabela1[[#This Row],[Meta]])/Tabela1[[#This Row],[Meta]],"")</f>
        <v>7.2000000000000458E-3</v>
      </c>
      <c r="AA1069" s="31">
        <f>Tabela1[[#This Row],[Média]]-Tabela1[[#This Row],[Meta]]</f>
        <v>7.2000000000000455</v>
      </c>
      <c r="AB1069" s="6" t="str">
        <f>VLOOKUP(Tabela1[[#This Row],[SKU]],SKU!A:B,2,0)</f>
        <v>FILEZINHO PEITO CG BDJ SE</v>
      </c>
      <c r="AC1069" s="6" t="str">
        <f>VLOOKUP(Tabela1[[#This Row],[SKU]],SKU!A:C,3,0)</f>
        <v>SASSAMI</v>
      </c>
    </row>
    <row r="1070" spans="1:29" x14ac:dyDescent="0.3">
      <c r="A1070" s="2">
        <f>INT(Tabela1[[#This Row],[Data e Hora2]])</f>
        <v>46288</v>
      </c>
      <c r="B1070" s="6" t="str">
        <f>UPPER(TEXT(Tabela1[[#This Row],[Data Corrigida]],"MMM"))</f>
        <v>SET</v>
      </c>
      <c r="C1070" t="s">
        <v>2358</v>
      </c>
      <c r="D1070" s="2" t="s">
        <v>2359</v>
      </c>
      <c r="E1070" s="1" t="s">
        <v>2360</v>
      </c>
      <c r="F1070" t="s">
        <v>24</v>
      </c>
      <c r="G1070" s="2" t="s">
        <v>2313</v>
      </c>
      <c r="H1070" t="s">
        <v>142</v>
      </c>
      <c r="I1070" t="s">
        <v>462</v>
      </c>
      <c r="J1070" s="6">
        <v>992014</v>
      </c>
      <c r="K1070" s="16">
        <v>699</v>
      </c>
      <c r="L1070" s="16">
        <v>683</v>
      </c>
      <c r="M1070" s="16">
        <v>693</v>
      </c>
      <c r="N1070" s="16">
        <v>686</v>
      </c>
      <c r="O1070" s="16">
        <v>700</v>
      </c>
      <c r="P1070" s="16">
        <v>697</v>
      </c>
      <c r="Q1070" s="16">
        <v>698</v>
      </c>
      <c r="R1070" s="16">
        <v>697</v>
      </c>
      <c r="S1070" s="16">
        <v>699</v>
      </c>
      <c r="T1070" s="16">
        <v>700</v>
      </c>
      <c r="U1070" s="15">
        <v>695.2</v>
      </c>
      <c r="V1070" t="s">
        <v>19</v>
      </c>
      <c r="W1070" t="s">
        <v>28</v>
      </c>
      <c r="X1070">
        <v>3145</v>
      </c>
      <c r="Y1070" s="16">
        <f>VLOOKUP(Tabela1[[#This Row],[SKU]],SKU!A:D,4,0)</f>
        <v>700</v>
      </c>
      <c r="Z1070" s="18">
        <f>IFERROR((Tabela1[[#This Row],[Média]]-Tabela1[[#This Row],[Meta]])/Tabela1[[#This Row],[Meta]],"")</f>
        <v>-6.8571428571427926E-3</v>
      </c>
      <c r="AA1070" s="31">
        <f>Tabela1[[#This Row],[Média]]-Tabela1[[#This Row],[Meta]]</f>
        <v>-4.7999999999999545</v>
      </c>
      <c r="AB1070" s="6" t="str">
        <f>VLOOKUP(Tabela1[[#This Row],[SKU]],SKU!A:B,2,0)</f>
        <v>OSTRINHA CG PCT 700G SWIFT</v>
      </c>
      <c r="AC1070" s="6" t="str">
        <f>VLOOKUP(Tabela1[[#This Row],[SKU]],SKU!A:C,3,0)</f>
        <v>PERNA</v>
      </c>
    </row>
    <row r="1071" spans="1:29" x14ac:dyDescent="0.3">
      <c r="A1071" s="2">
        <f>INT(Tabela1[[#This Row],[Data e Hora2]])</f>
        <v>46286</v>
      </c>
      <c r="B1071" s="6" t="str">
        <f>UPPER(TEXT(Tabela1[[#This Row],[Data Corrigida]],"MMM"))</f>
        <v>SET</v>
      </c>
      <c r="C1071" t="s">
        <v>2361</v>
      </c>
      <c r="D1071" s="2" t="s">
        <v>2362</v>
      </c>
      <c r="E1071" s="1" t="s">
        <v>2363</v>
      </c>
      <c r="F1071" t="s">
        <v>24</v>
      </c>
      <c r="G1071" s="2" t="s">
        <v>2228</v>
      </c>
      <c r="H1071" t="s">
        <v>142</v>
      </c>
      <c r="I1071" t="s">
        <v>462</v>
      </c>
      <c r="J1071" s="6">
        <v>18228</v>
      </c>
      <c r="K1071" s="16">
        <v>1000</v>
      </c>
      <c r="L1071" s="16">
        <v>994</v>
      </c>
      <c r="M1071" s="16">
        <v>999</v>
      </c>
      <c r="N1071" s="16">
        <v>1001</v>
      </c>
      <c r="O1071" s="16">
        <v>1000</v>
      </c>
      <c r="P1071" s="16">
        <v>1004</v>
      </c>
      <c r="Q1071" s="16">
        <v>994</v>
      </c>
      <c r="R1071" s="16">
        <v>1002</v>
      </c>
      <c r="S1071" s="16">
        <v>1008</v>
      </c>
      <c r="T1071" s="16">
        <v>1002</v>
      </c>
      <c r="U1071" s="15">
        <v>1000.4</v>
      </c>
      <c r="V1071" t="s">
        <v>19</v>
      </c>
      <c r="W1071" t="s">
        <v>28</v>
      </c>
      <c r="X1071">
        <v>177357</v>
      </c>
      <c r="Y1071" s="16">
        <f>VLOOKUP(Tabela1[[#This Row],[SKU]],SKU!A:D,4,0)</f>
        <v>1000</v>
      </c>
      <c r="Z1071" s="18">
        <f>IFERROR((Tabela1[[#This Row],[Média]]-Tabela1[[#This Row],[Meta]])/Tabela1[[#This Row],[Meta]],"")</f>
        <v>3.9999999999997725E-4</v>
      </c>
      <c r="AA1071" s="31">
        <f>Tabela1[[#This Row],[Média]]-Tabela1[[#This Row],[Meta]]</f>
        <v>0.39999999999997726</v>
      </c>
      <c r="AB1071" s="6" t="str">
        <f>VLOOKUP(Tabela1[[#This Row],[SKU]],SKU!A:B,2,0)</f>
        <v>MOELA FRANGO CG ALM SE</v>
      </c>
      <c r="AC1071" s="6" t="str">
        <f>VLOOKUP(Tabela1[[#This Row],[SKU]],SKU!A:C,3,0)</f>
        <v>MOELA</v>
      </c>
    </row>
    <row r="1072" spans="1:29" x14ac:dyDescent="0.3">
      <c r="A1072" s="2">
        <f>INT(Tabela1[[#This Row],[Data e Hora2]])</f>
        <v>46287</v>
      </c>
      <c r="B1072" s="6" t="str">
        <f>UPPER(TEXT(Tabela1[[#This Row],[Data Corrigida]],"MMM"))</f>
        <v>SET</v>
      </c>
      <c r="C1072" t="s">
        <v>2364</v>
      </c>
      <c r="D1072" s="2" t="s">
        <v>2365</v>
      </c>
      <c r="E1072" s="1" t="s">
        <v>2366</v>
      </c>
      <c r="F1072" t="s">
        <v>24</v>
      </c>
      <c r="G1072" s="2" t="s">
        <v>2221</v>
      </c>
      <c r="H1072" t="s">
        <v>26</v>
      </c>
      <c r="I1072" t="s">
        <v>27</v>
      </c>
      <c r="J1072" s="6">
        <v>864048</v>
      </c>
      <c r="K1072" s="16">
        <v>2030</v>
      </c>
      <c r="L1072" s="16">
        <v>2008</v>
      </c>
      <c r="M1072" s="16">
        <v>2084</v>
      </c>
      <c r="N1072" s="16">
        <v>2037</v>
      </c>
      <c r="O1072" s="16">
        <v>2019</v>
      </c>
      <c r="P1072" s="16">
        <v>2033</v>
      </c>
      <c r="Q1072" s="16">
        <v>2020</v>
      </c>
      <c r="R1072" s="16">
        <v>2035</v>
      </c>
      <c r="S1072" s="16">
        <v>2014</v>
      </c>
      <c r="T1072" s="16">
        <v>2008</v>
      </c>
      <c r="U1072" s="15">
        <v>2028.8</v>
      </c>
      <c r="V1072" t="s">
        <v>19</v>
      </c>
      <c r="W1072" t="s">
        <v>28</v>
      </c>
      <c r="X1072">
        <v>3317</v>
      </c>
      <c r="Y1072" s="16">
        <f>VLOOKUP(Tabela1[[#This Row],[SKU]],SKU!A:D,4,0)</f>
        <v>2000</v>
      </c>
      <c r="Z1072" s="18">
        <f>IFERROR((Tabela1[[#This Row],[Média]]-Tabela1[[#This Row],[Meta]])/Tabela1[[#This Row],[Meta]],"")</f>
        <v>1.4399999999999977E-2</v>
      </c>
      <c r="AA1072" s="31">
        <f>Tabela1[[#This Row],[Média]]-Tabela1[[#This Row],[Meta]]</f>
        <v>28.799999999999955</v>
      </c>
      <c r="AB1072" s="6" t="str">
        <f>VLOOKUP(Tabela1[[#This Row],[SKU]],SKU!A:B,2,0)</f>
        <v>COXA SBCX S/O 200g FG UP PB</v>
      </c>
      <c r="AC1072" s="6" t="str">
        <f>VLOOKUP(Tabela1[[#This Row],[SKU]],SKU!A:C,3,0)</f>
        <v>PERNA</v>
      </c>
    </row>
    <row r="1073" spans="1:29" x14ac:dyDescent="0.3">
      <c r="A1073" s="2">
        <f>INT(Tabela1[[#This Row],[Data e Hora2]])</f>
        <v>46287</v>
      </c>
      <c r="B1073" s="6" t="str">
        <f>UPPER(TEXT(Tabela1[[#This Row],[Data Corrigida]],"MMM"))</f>
        <v>SET</v>
      </c>
      <c r="C1073" t="s">
        <v>2367</v>
      </c>
      <c r="D1073" s="2" t="s">
        <v>2368</v>
      </c>
      <c r="E1073" s="1" t="s">
        <v>2366</v>
      </c>
      <c r="F1073" t="s">
        <v>24</v>
      </c>
      <c r="G1073" s="2" t="s">
        <v>2221</v>
      </c>
      <c r="H1073" t="s">
        <v>26</v>
      </c>
      <c r="I1073" t="s">
        <v>27</v>
      </c>
      <c r="J1073" s="6">
        <v>15229</v>
      </c>
      <c r="K1073" s="16">
        <v>1014</v>
      </c>
      <c r="L1073" s="16">
        <v>1013</v>
      </c>
      <c r="M1073" s="16">
        <v>1018</v>
      </c>
      <c r="N1073" s="16">
        <v>1003</v>
      </c>
      <c r="O1073" s="16">
        <v>1002</v>
      </c>
      <c r="P1073" s="16">
        <v>995</v>
      </c>
      <c r="Q1073" s="16">
        <v>1003</v>
      </c>
      <c r="R1073" s="16">
        <v>996</v>
      </c>
      <c r="S1073" s="16">
        <v>1010</v>
      </c>
      <c r="T1073" s="16">
        <v>999</v>
      </c>
      <c r="U1073" s="15">
        <v>1005.3</v>
      </c>
      <c r="V1073" t="s">
        <v>19</v>
      </c>
      <c r="W1073" t="s">
        <v>28</v>
      </c>
      <c r="X1073">
        <v>2545</v>
      </c>
      <c r="Y1073" s="16">
        <f>VLOOKUP(Tabela1[[#This Row],[SKU]],SKU!A:D,4,0)</f>
        <v>1000</v>
      </c>
      <c r="Z1073" s="18">
        <f>IFERROR((Tabela1[[#This Row],[Média]]-Tabela1[[#This Row],[Meta]])/Tabela1[[#This Row],[Meta]],"")</f>
        <v>5.2999999999999549E-3</v>
      </c>
      <c r="AA1073" s="31">
        <f>Tabela1[[#This Row],[Média]]-Tabela1[[#This Row],[Meta]]</f>
        <v>5.2999999999999545</v>
      </c>
      <c r="AB1073" s="6" t="str">
        <f>VLOOKUP(Tabela1[[#This Row],[SKU]],SKU!A:B,2,0)</f>
        <v>COXA CG BDJ SE</v>
      </c>
      <c r="AC1073" s="6" t="str">
        <f>VLOOKUP(Tabela1[[#This Row],[SKU]],SKU!A:C,3,0)</f>
        <v>PERNA</v>
      </c>
    </row>
    <row r="1074" spans="1:29" x14ac:dyDescent="0.3">
      <c r="A1074" s="2">
        <f>INT(Tabela1[[#This Row],[Data e Hora2]])</f>
        <v>46287</v>
      </c>
      <c r="B1074" s="6" t="str">
        <f>UPPER(TEXT(Tabela1[[#This Row],[Data Corrigida]],"MMM"))</f>
        <v>SET</v>
      </c>
      <c r="C1074" t="s">
        <v>2369</v>
      </c>
      <c r="D1074" s="2" t="s">
        <v>2370</v>
      </c>
      <c r="E1074" s="1" t="s">
        <v>2366</v>
      </c>
      <c r="F1074" t="s">
        <v>24</v>
      </c>
      <c r="G1074" s="2" t="s">
        <v>2221</v>
      </c>
      <c r="H1074" t="s">
        <v>26</v>
      </c>
      <c r="I1074" t="s">
        <v>27</v>
      </c>
      <c r="J1074" s="6">
        <v>13188</v>
      </c>
      <c r="K1074" s="16">
        <v>1007</v>
      </c>
      <c r="L1074" s="16">
        <v>1015</v>
      </c>
      <c r="M1074" s="16">
        <v>1003</v>
      </c>
      <c r="N1074" s="16">
        <v>1006</v>
      </c>
      <c r="O1074" s="16">
        <v>1012</v>
      </c>
      <c r="P1074" s="16">
        <v>1016</v>
      </c>
      <c r="Q1074" s="16">
        <v>1019</v>
      </c>
      <c r="R1074" s="16">
        <v>1001</v>
      </c>
      <c r="S1074" s="16">
        <v>1007</v>
      </c>
      <c r="T1074" s="16">
        <v>1011</v>
      </c>
      <c r="U1074" s="15">
        <v>1009.7</v>
      </c>
      <c r="V1074" t="s">
        <v>19</v>
      </c>
      <c r="W1074" t="s">
        <v>28</v>
      </c>
      <c r="X1074">
        <v>2268</v>
      </c>
      <c r="Y1074" s="16">
        <f>VLOOKUP(Tabela1[[#This Row],[SKU]],SKU!A:D,4,0)</f>
        <v>1000</v>
      </c>
      <c r="Z1074" s="18">
        <f>IFERROR((Tabela1[[#This Row],[Média]]-Tabela1[[#This Row],[Meta]])/Tabela1[[#This Row],[Meta]],"")</f>
        <v>9.7000000000000454E-3</v>
      </c>
      <c r="AA1074" s="31">
        <f>Tabela1[[#This Row],[Média]]-Tabela1[[#This Row],[Meta]]</f>
        <v>9.7000000000000455</v>
      </c>
      <c r="AB1074" s="6" t="str">
        <f>VLOOKUP(Tabela1[[#This Row],[SKU]],SKU!A:B,2,0)</f>
        <v>SOBRECOXA CG BDJ SE</v>
      </c>
      <c r="AC1074" s="6" t="str">
        <f>VLOOKUP(Tabela1[[#This Row],[SKU]],SKU!A:C,3,0)</f>
        <v>PERNA</v>
      </c>
    </row>
    <row r="1075" spans="1:29" x14ac:dyDescent="0.3">
      <c r="A1075" s="2">
        <f>INT(Tabela1[[#This Row],[Data e Hora2]])</f>
        <v>46287</v>
      </c>
      <c r="B1075" s="6" t="str">
        <f>UPPER(TEXT(Tabela1[[#This Row],[Data Corrigida]],"MMM"))</f>
        <v>SET</v>
      </c>
      <c r="C1075" t="s">
        <v>2371</v>
      </c>
      <c r="D1075" s="2" t="s">
        <v>2372</v>
      </c>
      <c r="E1075" s="1" t="s">
        <v>2366</v>
      </c>
      <c r="F1075" t="s">
        <v>24</v>
      </c>
      <c r="G1075" s="2" t="s">
        <v>2221</v>
      </c>
      <c r="H1075" t="s">
        <v>26</v>
      </c>
      <c r="I1075" t="s">
        <v>27</v>
      </c>
      <c r="J1075" s="6">
        <v>40762</v>
      </c>
      <c r="K1075" s="16">
        <v>10025</v>
      </c>
      <c r="L1075" s="16">
        <v>9965</v>
      </c>
      <c r="M1075" s="16">
        <v>10025</v>
      </c>
      <c r="N1075" s="16">
        <v>9970</v>
      </c>
      <c r="O1075" s="16">
        <v>10115</v>
      </c>
      <c r="P1075" s="16">
        <v>10060</v>
      </c>
      <c r="Q1075" s="16">
        <v>10015</v>
      </c>
      <c r="R1075" s="16">
        <v>10010</v>
      </c>
      <c r="S1075" s="16">
        <v>9965</v>
      </c>
      <c r="T1075" s="16">
        <v>9985</v>
      </c>
      <c r="U1075" s="15">
        <v>10013.5</v>
      </c>
      <c r="V1075" t="s">
        <v>19</v>
      </c>
      <c r="W1075" t="s">
        <v>28</v>
      </c>
      <c r="X1075">
        <v>313</v>
      </c>
      <c r="Y1075" s="16">
        <f>VLOOKUP(Tabela1[[#This Row],[SKU]],SKU!A:D,4,0)</f>
        <v>10000</v>
      </c>
      <c r="Z1075" s="18">
        <f>IFERROR((Tabela1[[#This Row],[Média]]-Tabela1[[#This Row],[Meta]])/Tabela1[[#This Row],[Meta]],"")</f>
        <v>1.3500000000000001E-3</v>
      </c>
      <c r="AA1075" s="31">
        <f>Tabela1[[#This Row],[Média]]-Tabela1[[#This Row],[Meta]]</f>
        <v>13.5</v>
      </c>
      <c r="AB1075" s="6" t="str">
        <f>VLOOKUP(Tabela1[[#This Row],[SKU]],SKU!A:B,2,0)</f>
        <v>COXA SBCX LQ FG LP</v>
      </c>
      <c r="AC1075" s="6" t="str">
        <f>VLOOKUP(Tabela1[[#This Row],[SKU]],SKU!A:C,3,0)</f>
        <v>PERNA</v>
      </c>
    </row>
    <row r="1076" spans="1:29" x14ac:dyDescent="0.3">
      <c r="A1076" s="2">
        <f>INT(Tabela1[[#This Row],[Data e Hora2]])</f>
        <v>46287</v>
      </c>
      <c r="B1076" s="6" t="str">
        <f>UPPER(TEXT(Tabela1[[#This Row],[Data Corrigida]],"MMM"))</f>
        <v>SET</v>
      </c>
      <c r="C1076" t="s">
        <v>2373</v>
      </c>
      <c r="D1076" s="2" t="s">
        <v>2374</v>
      </c>
      <c r="E1076" s="1" t="s">
        <v>2366</v>
      </c>
      <c r="F1076" t="s">
        <v>24</v>
      </c>
      <c r="G1076" s="2" t="s">
        <v>2221</v>
      </c>
      <c r="H1076" t="s">
        <v>26</v>
      </c>
      <c r="I1076" t="s">
        <v>27</v>
      </c>
      <c r="J1076" s="6">
        <v>42820</v>
      </c>
      <c r="K1076" s="16">
        <v>2006</v>
      </c>
      <c r="L1076" s="16">
        <v>2033</v>
      </c>
      <c r="M1076" s="16">
        <v>2035</v>
      </c>
      <c r="N1076" s="16">
        <v>2023</v>
      </c>
      <c r="O1076" s="16">
        <v>2033</v>
      </c>
      <c r="P1076" s="16">
        <v>2020</v>
      </c>
      <c r="Q1076" s="16">
        <v>2029</v>
      </c>
      <c r="R1076" s="16">
        <v>2064</v>
      </c>
      <c r="S1076" s="16">
        <v>2037</v>
      </c>
      <c r="T1076" s="16">
        <v>2020</v>
      </c>
      <c r="U1076" s="15">
        <v>2030</v>
      </c>
      <c r="V1076" t="s">
        <v>19</v>
      </c>
      <c r="W1076" t="s">
        <v>19</v>
      </c>
      <c r="X1076">
        <v>69</v>
      </c>
      <c r="Y1076" s="16">
        <f>VLOOKUP(Tabela1[[#This Row],[SKU]],SKU!A:D,4,0)</f>
        <v>2000</v>
      </c>
      <c r="Z1076" s="18">
        <f>IFERROR((Tabela1[[#This Row],[Média]]-Tabela1[[#This Row],[Meta]])/Tabela1[[#This Row],[Meta]],"")</f>
        <v>1.4999999999999999E-2</v>
      </c>
      <c r="AA1076" s="31">
        <f>Tabela1[[#This Row],[Média]]-Tabela1[[#This Row],[Meta]]</f>
        <v>30</v>
      </c>
      <c r="AB1076" s="6" t="str">
        <f>VLOOKUP(Tabela1[[#This Row],[SKU]],SKU!A:B,2,0)</f>
        <v>COXA SBCX S/O FG 200-220g PB</v>
      </c>
      <c r="AC1076" s="6" t="str">
        <f>VLOOKUP(Tabela1[[#This Row],[SKU]],SKU!A:C,3,0)</f>
        <v>PERNA</v>
      </c>
    </row>
    <row r="1077" spans="1:29" x14ac:dyDescent="0.3">
      <c r="A1077" s="2">
        <f>INT(Tabela1[[#This Row],[Data e Hora2]])</f>
        <v>46287</v>
      </c>
      <c r="B1077" s="6" t="str">
        <f>UPPER(TEXT(Tabela1[[#This Row],[Data Corrigida]],"MMM"))</f>
        <v>SET</v>
      </c>
      <c r="C1077" t="s">
        <v>2375</v>
      </c>
      <c r="D1077" s="2" t="s">
        <v>2376</v>
      </c>
      <c r="E1077" s="1" t="s">
        <v>2366</v>
      </c>
      <c r="F1077" t="s">
        <v>24</v>
      </c>
      <c r="G1077" s="2" t="s">
        <v>2221</v>
      </c>
      <c r="H1077" t="s">
        <v>26</v>
      </c>
      <c r="I1077" t="s">
        <v>27</v>
      </c>
      <c r="J1077" s="6">
        <v>42811</v>
      </c>
      <c r="K1077" s="16">
        <v>2021</v>
      </c>
      <c r="L1077" s="16">
        <v>2018</v>
      </c>
      <c r="M1077" s="16">
        <v>2020</v>
      </c>
      <c r="N1077" s="16">
        <v>2023</v>
      </c>
      <c r="O1077" s="16">
        <v>1999</v>
      </c>
      <c r="P1077" s="16">
        <v>2001</v>
      </c>
      <c r="Q1077" s="16">
        <v>2019</v>
      </c>
      <c r="R1077" s="16">
        <v>2012</v>
      </c>
      <c r="S1077" s="16">
        <v>2026</v>
      </c>
      <c r="T1077" s="16">
        <v>2068</v>
      </c>
      <c r="U1077" s="15">
        <v>2020.7</v>
      </c>
      <c r="V1077" t="s">
        <v>19</v>
      </c>
      <c r="W1077" t="s">
        <v>28</v>
      </c>
      <c r="X1077">
        <v>2135</v>
      </c>
      <c r="Y1077" s="16">
        <f>VLOOKUP(Tabela1[[#This Row],[SKU]],SKU!A:D,4,0)</f>
        <v>2000</v>
      </c>
      <c r="Z1077" s="18">
        <f>IFERROR((Tabela1[[#This Row],[Média]]-Tabela1[[#This Row],[Meta]])/Tabela1[[#This Row],[Meta]],"")</f>
        <v>1.0350000000000022E-2</v>
      </c>
      <c r="AA1077" s="31">
        <f>Tabela1[[#This Row],[Média]]-Tabela1[[#This Row],[Meta]]</f>
        <v>20.700000000000045</v>
      </c>
      <c r="AB1077" s="6" t="str">
        <f>VLOOKUP(Tabela1[[#This Row],[SKU]],SKU!A:B,2,0)</f>
        <v>COXA SBCX S/O FG 180-200g PB</v>
      </c>
      <c r="AC1077" s="6" t="str">
        <f>VLOOKUP(Tabela1[[#This Row],[SKU]],SKU!A:C,3,0)</f>
        <v>PERNA</v>
      </c>
    </row>
    <row r="1078" spans="1:29" x14ac:dyDescent="0.3">
      <c r="A1078" s="2">
        <f>INT(Tabela1[[#This Row],[Data e Hora2]])</f>
        <v>46287</v>
      </c>
      <c r="B1078" s="6" t="str">
        <f>UPPER(TEXT(Tabela1[[#This Row],[Data Corrigida]],"MMM"))</f>
        <v>SET</v>
      </c>
      <c r="C1078" t="s">
        <v>2377</v>
      </c>
      <c r="D1078" s="2" t="s">
        <v>2378</v>
      </c>
      <c r="E1078" s="1" t="s">
        <v>2379</v>
      </c>
      <c r="F1078" t="s">
        <v>24</v>
      </c>
      <c r="G1078" s="2" t="s">
        <v>2221</v>
      </c>
      <c r="H1078" t="s">
        <v>26</v>
      </c>
      <c r="I1078" t="s">
        <v>27</v>
      </c>
      <c r="J1078" s="6">
        <v>42838</v>
      </c>
      <c r="K1078" s="16">
        <v>2019</v>
      </c>
      <c r="L1078" s="16">
        <v>2009</v>
      </c>
      <c r="M1078" s="16">
        <v>2012</v>
      </c>
      <c r="N1078" s="16">
        <v>1997</v>
      </c>
      <c r="O1078" s="16">
        <v>2001</v>
      </c>
      <c r="P1078" s="16">
        <v>2061</v>
      </c>
      <c r="Q1078" s="16">
        <v>2034</v>
      </c>
      <c r="R1078" s="16">
        <v>2054</v>
      </c>
      <c r="S1078" s="16">
        <v>2036</v>
      </c>
      <c r="T1078" s="16">
        <v>2038</v>
      </c>
      <c r="U1078" s="15">
        <v>2026.1</v>
      </c>
      <c r="V1078" t="s">
        <v>19</v>
      </c>
      <c r="W1078" t="s">
        <v>28</v>
      </c>
      <c r="X1078">
        <v>4029</v>
      </c>
      <c r="Y1078" s="16">
        <f>VLOOKUP(Tabela1[[#This Row],[SKU]],SKU!A:D,4,0)</f>
        <v>2000</v>
      </c>
      <c r="Z1078" s="18">
        <f>IFERROR((Tabela1[[#This Row],[Média]]-Tabela1[[#This Row],[Meta]])/Tabela1[[#This Row],[Meta]],"")</f>
        <v>1.3049999999999954E-2</v>
      </c>
      <c r="AA1078" s="31">
        <f>Tabela1[[#This Row],[Média]]-Tabela1[[#This Row],[Meta]]</f>
        <v>26.099999999999909</v>
      </c>
      <c r="AB1078" s="6" t="str">
        <f>VLOOKUP(Tabela1[[#This Row],[SKU]],SKU!A:B,2,0)</f>
        <v>COXA SBCX S/O FG 220-240g PB</v>
      </c>
      <c r="AC1078" s="6" t="str">
        <f>VLOOKUP(Tabela1[[#This Row],[SKU]],SKU!A:C,3,0)</f>
        <v>PERNA</v>
      </c>
    </row>
    <row r="1079" spans="1:29" x14ac:dyDescent="0.3">
      <c r="A1079" s="2">
        <f>INT(Tabela1[[#This Row],[Data e Hora2]])</f>
        <v>46287</v>
      </c>
      <c r="B1079" s="6" t="str">
        <f>UPPER(TEXT(Tabela1[[#This Row],[Data Corrigida]],"MMM"))</f>
        <v>SET</v>
      </c>
      <c r="C1079" t="s">
        <v>2380</v>
      </c>
      <c r="D1079" s="2" t="s">
        <v>2381</v>
      </c>
      <c r="E1079" s="1" t="s">
        <v>2379</v>
      </c>
      <c r="F1079" t="s">
        <v>24</v>
      </c>
      <c r="G1079" s="2" t="s">
        <v>2221</v>
      </c>
      <c r="H1079" t="s">
        <v>26</v>
      </c>
      <c r="I1079" t="s">
        <v>27</v>
      </c>
      <c r="J1079" s="6">
        <v>42846</v>
      </c>
      <c r="K1079" s="16">
        <v>2004</v>
      </c>
      <c r="L1079" s="16">
        <v>1982</v>
      </c>
      <c r="M1079" s="16">
        <v>2003</v>
      </c>
      <c r="N1079" s="16">
        <v>2021</v>
      </c>
      <c r="O1079" s="16">
        <v>2007</v>
      </c>
      <c r="P1079" s="16">
        <v>2002</v>
      </c>
      <c r="Q1079" s="16">
        <v>2011</v>
      </c>
      <c r="R1079" s="16">
        <v>2014</v>
      </c>
      <c r="S1079" s="16">
        <v>2015</v>
      </c>
      <c r="T1079" s="16">
        <v>2009</v>
      </c>
      <c r="U1079" s="15">
        <v>2006.8</v>
      </c>
      <c r="V1079" t="s">
        <v>19</v>
      </c>
      <c r="W1079" t="s">
        <v>28</v>
      </c>
      <c r="X1079">
        <v>4327</v>
      </c>
      <c r="Y1079" s="16">
        <f>VLOOKUP(Tabela1[[#This Row],[SKU]],SKU!A:D,4,0)</f>
        <v>2000</v>
      </c>
      <c r="Z1079" s="18">
        <f>IFERROR((Tabela1[[#This Row],[Média]]-Tabela1[[#This Row],[Meta]])/Tabela1[[#This Row],[Meta]],"")</f>
        <v>3.3999999999999773E-3</v>
      </c>
      <c r="AA1079" s="31">
        <f>Tabela1[[#This Row],[Média]]-Tabela1[[#This Row],[Meta]]</f>
        <v>6.7999999999999545</v>
      </c>
      <c r="AB1079" s="6" t="str">
        <f>VLOOKUP(Tabela1[[#This Row],[SKU]],SKU!A:B,2,0)</f>
        <v>COXA SBCX S/O FG 240-260g PB</v>
      </c>
      <c r="AC1079" s="6" t="str">
        <f>VLOOKUP(Tabela1[[#This Row],[SKU]],SKU!A:C,3,0)</f>
        <v>PERNA</v>
      </c>
    </row>
    <row r="1080" spans="1:29" x14ac:dyDescent="0.3">
      <c r="A1080" s="2">
        <f>INT(Tabela1[[#This Row],[Data e Hora2]])</f>
        <v>46287</v>
      </c>
      <c r="B1080" s="6" t="str">
        <f>UPPER(TEXT(Tabela1[[#This Row],[Data Corrigida]],"MMM"))</f>
        <v>SET</v>
      </c>
      <c r="C1080" t="s">
        <v>2382</v>
      </c>
      <c r="D1080" s="2" t="s">
        <v>2383</v>
      </c>
      <c r="E1080" s="1" t="s">
        <v>2379</v>
      </c>
      <c r="F1080" t="s">
        <v>24</v>
      </c>
      <c r="G1080" s="2" t="s">
        <v>2221</v>
      </c>
      <c r="H1080" t="s">
        <v>26</v>
      </c>
      <c r="I1080" t="s">
        <v>27</v>
      </c>
      <c r="J1080" s="6">
        <v>42854</v>
      </c>
      <c r="K1080" s="16">
        <v>2104</v>
      </c>
      <c r="L1080" s="16">
        <v>2124</v>
      </c>
      <c r="M1080" s="16">
        <v>2106</v>
      </c>
      <c r="N1080" s="16">
        <v>2116</v>
      </c>
      <c r="O1080" s="16">
        <v>2115</v>
      </c>
      <c r="P1080" s="16">
        <v>2106</v>
      </c>
      <c r="Q1080" s="16">
        <v>2123</v>
      </c>
      <c r="R1080" s="16">
        <v>2106</v>
      </c>
      <c r="S1080" s="16">
        <v>2103</v>
      </c>
      <c r="T1080" s="16">
        <v>2016</v>
      </c>
      <c r="U1080" s="15">
        <v>2101.9</v>
      </c>
      <c r="V1080" t="s">
        <v>19</v>
      </c>
      <c r="W1080" t="s">
        <v>28</v>
      </c>
      <c r="X1080">
        <v>4490</v>
      </c>
      <c r="Y1080" s="16">
        <f>VLOOKUP(Tabela1[[#This Row],[SKU]],SKU!A:D,4,0)</f>
        <v>2080</v>
      </c>
      <c r="Z1080" s="18">
        <f>IFERROR((Tabela1[[#This Row],[Média]]-Tabela1[[#This Row],[Meta]])/Tabela1[[#This Row],[Meta]],"")</f>
        <v>1.0528846153846198E-2</v>
      </c>
      <c r="AA1080" s="31">
        <f>Tabela1[[#This Row],[Média]]-Tabela1[[#This Row],[Meta]]</f>
        <v>21.900000000000091</v>
      </c>
      <c r="AB1080" s="6" t="str">
        <f>VLOOKUP(Tabela1[[#This Row],[SKU]],SKU!A:B,2,0)</f>
        <v>COXA SBCX S/O FG 260-280g PB</v>
      </c>
      <c r="AC1080" s="6" t="str">
        <f>VLOOKUP(Tabela1[[#This Row],[SKU]],SKU!A:C,3,0)</f>
        <v>PERNA</v>
      </c>
    </row>
    <row r="1081" spans="1:29" x14ac:dyDescent="0.3">
      <c r="A1081" s="2">
        <f>INT(Tabela1[[#This Row],[Data e Hora2]])</f>
        <v>46287</v>
      </c>
      <c r="B1081" s="6" t="str">
        <f>UPPER(TEXT(Tabela1[[#This Row],[Data Corrigida]],"MMM"))</f>
        <v>SET</v>
      </c>
      <c r="C1081" t="s">
        <v>2384</v>
      </c>
      <c r="D1081" s="2" t="s">
        <v>2385</v>
      </c>
      <c r="E1081" s="1" t="s">
        <v>2379</v>
      </c>
      <c r="F1081" t="s">
        <v>24</v>
      </c>
      <c r="G1081" s="2" t="s">
        <v>2221</v>
      </c>
      <c r="H1081" t="s">
        <v>26</v>
      </c>
      <c r="I1081" t="s">
        <v>27</v>
      </c>
      <c r="J1081" s="6">
        <v>42862</v>
      </c>
      <c r="K1081" s="16">
        <v>2018</v>
      </c>
      <c r="L1081" s="16">
        <v>2021</v>
      </c>
      <c r="M1081" s="16">
        <v>2016</v>
      </c>
      <c r="N1081" s="16">
        <v>2012</v>
      </c>
      <c r="O1081" s="16">
        <v>2044</v>
      </c>
      <c r="P1081" s="16">
        <v>2007</v>
      </c>
      <c r="Q1081" s="16">
        <v>2028</v>
      </c>
      <c r="R1081" s="16">
        <v>2034</v>
      </c>
      <c r="S1081" s="16">
        <v>2018</v>
      </c>
      <c r="T1081" s="16">
        <v>2030</v>
      </c>
      <c r="U1081" s="15">
        <v>2022.8</v>
      </c>
      <c r="V1081" t="s">
        <v>19</v>
      </c>
      <c r="W1081" t="s">
        <v>28</v>
      </c>
      <c r="X1081">
        <v>4621</v>
      </c>
      <c r="Y1081" s="16">
        <f>VLOOKUP(Tabela1[[#This Row],[SKU]],SKU!A:D,4,0)</f>
        <v>2000</v>
      </c>
      <c r="Z1081" s="18">
        <f>IFERROR((Tabela1[[#This Row],[Média]]-Tabela1[[#This Row],[Meta]])/Tabela1[[#This Row],[Meta]],"")</f>
        <v>1.1399999999999978E-2</v>
      </c>
      <c r="AA1081" s="31">
        <f>Tabela1[[#This Row],[Média]]-Tabela1[[#This Row],[Meta]]</f>
        <v>22.799999999999955</v>
      </c>
      <c r="AB1081" s="6" t="str">
        <f>VLOOKUP(Tabela1[[#This Row],[SKU]],SKU!A:B,2,0)</f>
        <v>COXA SBCX S/O FG 280-300g PB</v>
      </c>
      <c r="AC1081" s="6" t="str">
        <f>VLOOKUP(Tabela1[[#This Row],[SKU]],SKU!A:C,3,0)</f>
        <v>PERNA</v>
      </c>
    </row>
    <row r="1082" spans="1:29" x14ac:dyDescent="0.3">
      <c r="A1082" s="2">
        <f>INT(Tabela1[[#This Row],[Data e Hora2]])</f>
        <v>46287</v>
      </c>
      <c r="B1082" s="6" t="str">
        <f>UPPER(TEXT(Tabela1[[#This Row],[Data Corrigida]],"MMM"))</f>
        <v>SET</v>
      </c>
      <c r="C1082" t="s">
        <v>2386</v>
      </c>
      <c r="D1082" s="2" t="s">
        <v>2387</v>
      </c>
      <c r="E1082" s="1" t="s">
        <v>2379</v>
      </c>
      <c r="F1082" t="s">
        <v>24</v>
      </c>
      <c r="G1082" s="2" t="s">
        <v>2221</v>
      </c>
      <c r="H1082" t="s">
        <v>26</v>
      </c>
      <c r="I1082" t="s">
        <v>27</v>
      </c>
      <c r="J1082" s="6">
        <v>15105</v>
      </c>
      <c r="K1082" s="16">
        <v>1018</v>
      </c>
      <c r="L1082" s="16">
        <v>1017</v>
      </c>
      <c r="M1082" s="16">
        <v>1009</v>
      </c>
      <c r="N1082" s="16">
        <v>1072</v>
      </c>
      <c r="O1082" s="16">
        <v>1014</v>
      </c>
      <c r="P1082" s="16">
        <v>1010</v>
      </c>
      <c r="Q1082" s="16">
        <v>1042</v>
      </c>
      <c r="R1082" s="16">
        <v>1006</v>
      </c>
      <c r="S1082" s="16">
        <v>1016</v>
      </c>
      <c r="T1082" s="16">
        <v>997</v>
      </c>
      <c r="U1082" s="15">
        <v>1020.1</v>
      </c>
      <c r="V1082" t="s">
        <v>19</v>
      </c>
      <c r="W1082" t="s">
        <v>28</v>
      </c>
      <c r="X1082">
        <v>177</v>
      </c>
      <c r="Y1082" s="16">
        <f>VLOOKUP(Tabela1[[#This Row],[SKU]],SKU!A:D,4,0)</f>
        <v>1000</v>
      </c>
      <c r="Z1082" s="18">
        <f>IFERROR((Tabela1[[#This Row],[Média]]-Tabela1[[#This Row],[Meta]])/Tabela1[[#This Row],[Meta]],"")</f>
        <v>2.0100000000000024E-2</v>
      </c>
      <c r="AA1082" s="31">
        <f>Tabela1[[#This Row],[Média]]-Tabela1[[#This Row],[Meta]]</f>
        <v>20.100000000000023</v>
      </c>
      <c r="AB1082" s="6" t="str">
        <f>VLOOKUP(Tabela1[[#This Row],[SKU]],SKU!A:B,2,0)</f>
        <v>FILE PEITO MET CG BDJ SE</v>
      </c>
      <c r="AC1082" s="6" t="str">
        <f>VLOOKUP(Tabela1[[#This Row],[SKU]],SKU!A:C,3,0)</f>
        <v>PEITO</v>
      </c>
    </row>
    <row r="1083" spans="1:29" x14ac:dyDescent="0.3">
      <c r="A1083" s="2">
        <f>INT(Tabela1[[#This Row],[Data e Hora2]])</f>
        <v>46287</v>
      </c>
      <c r="B1083" s="6" t="str">
        <f>UPPER(TEXT(Tabela1[[#This Row],[Data Corrigida]],"MMM"))</f>
        <v>SET</v>
      </c>
      <c r="C1083" t="s">
        <v>2388</v>
      </c>
      <c r="D1083" s="2" t="s">
        <v>2389</v>
      </c>
      <c r="E1083" s="1" t="s">
        <v>2379</v>
      </c>
      <c r="F1083" t="s">
        <v>24</v>
      </c>
      <c r="G1083" s="2" t="s">
        <v>2221</v>
      </c>
      <c r="H1083" t="s">
        <v>26</v>
      </c>
      <c r="I1083" t="s">
        <v>27</v>
      </c>
      <c r="J1083" s="6">
        <v>197734</v>
      </c>
      <c r="K1083" s="16">
        <v>1019</v>
      </c>
      <c r="L1083" s="16">
        <v>989</v>
      </c>
      <c r="M1083" s="16">
        <v>994</v>
      </c>
      <c r="N1083" s="16">
        <v>994</v>
      </c>
      <c r="O1083" s="16">
        <v>1022</v>
      </c>
      <c r="P1083" s="16">
        <v>997</v>
      </c>
      <c r="Q1083" s="16">
        <v>1027</v>
      </c>
      <c r="R1083" s="16">
        <v>997</v>
      </c>
      <c r="S1083" s="16">
        <v>995</v>
      </c>
      <c r="T1083" s="16">
        <v>997</v>
      </c>
      <c r="U1083" s="15">
        <v>1003.1</v>
      </c>
      <c r="V1083" t="s">
        <v>19</v>
      </c>
      <c r="W1083" t="s">
        <v>28</v>
      </c>
      <c r="X1083">
        <v>153</v>
      </c>
      <c r="Y1083" s="16">
        <f>VLOOKUP(Tabela1[[#This Row],[SKU]],SKU!A:D,4,0)</f>
        <v>1000</v>
      </c>
      <c r="Z1083" s="18">
        <f>IFERROR((Tabela1[[#This Row],[Média]]-Tabela1[[#This Row],[Meta]])/Tabela1[[#This Row],[Meta]],"")</f>
        <v>3.1000000000000229E-3</v>
      </c>
      <c r="AA1083" s="31">
        <f>Tabela1[[#This Row],[Média]]-Tabela1[[#This Row],[Meta]]</f>
        <v>3.1000000000000227</v>
      </c>
      <c r="AB1083" s="6" t="str">
        <f>VLOOKUP(Tabela1[[#This Row],[SKU]],SKU!A:B,2,0)</f>
        <v>FILEZINHO FRANGO IQF ALM SE</v>
      </c>
      <c r="AC1083" s="6" t="str">
        <f>VLOOKUP(Tabela1[[#This Row],[SKU]],SKU!A:C,3,0)</f>
        <v>SASSAMI</v>
      </c>
    </row>
    <row r="1084" spans="1:29" x14ac:dyDescent="0.3">
      <c r="A1084" s="2">
        <f>INT(Tabela1[[#This Row],[Data e Hora2]])</f>
        <v>46287</v>
      </c>
      <c r="B1084" s="6" t="str">
        <f>UPPER(TEXT(Tabela1[[#This Row],[Data Corrigida]],"MMM"))</f>
        <v>SET</v>
      </c>
      <c r="C1084" t="s">
        <v>2390</v>
      </c>
      <c r="D1084" s="2" t="s">
        <v>2391</v>
      </c>
      <c r="E1084" s="1" t="s">
        <v>2379</v>
      </c>
      <c r="F1084" t="s">
        <v>24</v>
      </c>
      <c r="G1084" s="2" t="s">
        <v>2221</v>
      </c>
      <c r="H1084" t="s">
        <v>26</v>
      </c>
      <c r="I1084" t="s">
        <v>27</v>
      </c>
      <c r="J1084" s="6">
        <v>15229</v>
      </c>
      <c r="K1084" s="16">
        <v>1004</v>
      </c>
      <c r="L1084" s="16">
        <v>1006</v>
      </c>
      <c r="M1084" s="16">
        <v>1002</v>
      </c>
      <c r="N1084" s="16">
        <v>1003</v>
      </c>
      <c r="O1084" s="16">
        <v>1003</v>
      </c>
      <c r="P1084" s="16">
        <v>992</v>
      </c>
      <c r="Q1084" s="16">
        <v>994</v>
      </c>
      <c r="R1084" s="16">
        <v>998</v>
      </c>
      <c r="S1084" s="16">
        <v>1007</v>
      </c>
      <c r="T1084" s="16">
        <v>995</v>
      </c>
      <c r="U1084" s="15">
        <v>1000.4</v>
      </c>
      <c r="V1084" t="s">
        <v>19</v>
      </c>
      <c r="W1084" t="s">
        <v>28</v>
      </c>
      <c r="X1084">
        <v>1536</v>
      </c>
      <c r="Y1084" s="16">
        <f>VLOOKUP(Tabela1[[#This Row],[SKU]],SKU!A:D,4,0)</f>
        <v>1000</v>
      </c>
      <c r="Z1084" s="18">
        <f>IFERROR((Tabela1[[#This Row],[Média]]-Tabela1[[#This Row],[Meta]])/Tabela1[[#This Row],[Meta]],"")</f>
        <v>3.9999999999997725E-4</v>
      </c>
      <c r="AA1084" s="31">
        <f>Tabela1[[#This Row],[Média]]-Tabela1[[#This Row],[Meta]]</f>
        <v>0.39999999999997726</v>
      </c>
      <c r="AB1084" s="6" t="str">
        <f>VLOOKUP(Tabela1[[#This Row],[SKU]],SKU!A:B,2,0)</f>
        <v>COXA CG BDJ SE</v>
      </c>
      <c r="AC1084" s="6" t="str">
        <f>VLOOKUP(Tabela1[[#This Row],[SKU]],SKU!A:C,3,0)</f>
        <v>PERNA</v>
      </c>
    </row>
    <row r="1085" spans="1:29" x14ac:dyDescent="0.3">
      <c r="A1085" s="2">
        <f>INT(Tabela1[[#This Row],[Data e Hora2]])</f>
        <v>46287</v>
      </c>
      <c r="B1085" s="6" t="str">
        <f>UPPER(TEXT(Tabela1[[#This Row],[Data Corrigida]],"MMM"))</f>
        <v>SET</v>
      </c>
      <c r="C1085" t="s">
        <v>2392</v>
      </c>
      <c r="D1085" s="2" t="s">
        <v>2393</v>
      </c>
      <c r="E1085" s="1" t="s">
        <v>2379</v>
      </c>
      <c r="F1085" t="s">
        <v>24</v>
      </c>
      <c r="G1085" s="2" t="s">
        <v>2221</v>
      </c>
      <c r="H1085" t="s">
        <v>26</v>
      </c>
      <c r="I1085" t="s">
        <v>27</v>
      </c>
      <c r="J1085" s="6">
        <v>13188</v>
      </c>
      <c r="K1085" s="16">
        <v>1002</v>
      </c>
      <c r="L1085" s="16">
        <v>1009</v>
      </c>
      <c r="M1085" s="16">
        <v>1005</v>
      </c>
      <c r="N1085" s="16">
        <v>991</v>
      </c>
      <c r="O1085" s="16">
        <v>1015</v>
      </c>
      <c r="P1085" s="16">
        <v>1017</v>
      </c>
      <c r="Q1085" s="16">
        <v>1002</v>
      </c>
      <c r="R1085" s="16">
        <v>997</v>
      </c>
      <c r="S1085" s="16">
        <v>1013</v>
      </c>
      <c r="T1085" s="16">
        <v>1012</v>
      </c>
      <c r="U1085" s="15">
        <v>1006.3</v>
      </c>
      <c r="V1085" t="s">
        <v>19</v>
      </c>
      <c r="W1085" t="s">
        <v>28</v>
      </c>
      <c r="X1085">
        <v>1418</v>
      </c>
      <c r="Y1085" s="16">
        <f>VLOOKUP(Tabela1[[#This Row],[SKU]],SKU!A:D,4,0)</f>
        <v>1000</v>
      </c>
      <c r="Z1085" s="18">
        <f>IFERROR((Tabela1[[#This Row],[Média]]-Tabela1[[#This Row],[Meta]])/Tabela1[[#This Row],[Meta]],"")</f>
        <v>6.2999999999999549E-3</v>
      </c>
      <c r="AA1085" s="31">
        <f>Tabela1[[#This Row],[Média]]-Tabela1[[#This Row],[Meta]]</f>
        <v>6.2999999999999545</v>
      </c>
      <c r="AB1085" s="6" t="str">
        <f>VLOOKUP(Tabela1[[#This Row],[SKU]],SKU!A:B,2,0)</f>
        <v>SOBRECOXA CG BDJ SE</v>
      </c>
      <c r="AC1085" s="6" t="str">
        <f>VLOOKUP(Tabela1[[#This Row],[SKU]],SKU!A:C,3,0)</f>
        <v>PERNA</v>
      </c>
    </row>
    <row r="1086" spans="1:29" x14ac:dyDescent="0.3">
      <c r="A1086" s="2">
        <f>INT(Tabela1[[#This Row],[Data e Hora2]])</f>
        <v>46287</v>
      </c>
      <c r="B1086" s="6" t="str">
        <f>UPPER(TEXT(Tabela1[[#This Row],[Data Corrigida]],"MMM"))</f>
        <v>SET</v>
      </c>
      <c r="C1086" t="s">
        <v>2394</v>
      </c>
      <c r="D1086" s="2" t="s">
        <v>2395</v>
      </c>
      <c r="E1086" s="1" t="s">
        <v>2379</v>
      </c>
      <c r="F1086" t="s">
        <v>24</v>
      </c>
      <c r="G1086" s="2" t="s">
        <v>2221</v>
      </c>
      <c r="H1086" t="s">
        <v>26</v>
      </c>
      <c r="I1086" t="s">
        <v>27</v>
      </c>
      <c r="J1086" s="6">
        <v>992093</v>
      </c>
      <c r="K1086" s="16">
        <v>5003</v>
      </c>
      <c r="L1086" s="16">
        <v>5009</v>
      </c>
      <c r="M1086" s="16">
        <v>5003</v>
      </c>
      <c r="N1086" s="16">
        <v>5005</v>
      </c>
      <c r="O1086" s="16">
        <v>5006</v>
      </c>
      <c r="P1086" s="16">
        <v>5007</v>
      </c>
      <c r="Q1086" s="16">
        <v>5005</v>
      </c>
      <c r="R1086" s="16">
        <v>5005</v>
      </c>
      <c r="S1086" s="16">
        <v>5002</v>
      </c>
      <c r="T1086" s="16">
        <v>5009</v>
      </c>
      <c r="U1086" s="15">
        <v>5005.3999999999996</v>
      </c>
      <c r="V1086" t="s">
        <v>19</v>
      </c>
      <c r="W1086" t="s">
        <v>28</v>
      </c>
      <c r="X1086">
        <v>1332</v>
      </c>
      <c r="Y1086" s="16">
        <f>VLOOKUP(Tabela1[[#This Row],[SKU]],SKU!A:D,4,0)</f>
        <v>5000</v>
      </c>
      <c r="Z1086" s="18">
        <f>IFERROR((Tabela1[[#This Row],[Média]]-Tabela1[[#This Row],[Meta]])/Tabela1[[#This Row],[Meta]],"")</f>
        <v>1.0799999999999272E-3</v>
      </c>
      <c r="AA1086" s="31">
        <f>Tabela1[[#This Row],[Média]]-Tabela1[[#This Row],[Meta]]</f>
        <v>5.3999999999996362</v>
      </c>
      <c r="AB1086" s="6" t="str">
        <f>VLOOKUP(Tabela1[[#This Row],[SKU]],SKU!A:B,2,0)</f>
        <v>PONTA ASA FG PB CG</v>
      </c>
      <c r="AC1086" s="6" t="str">
        <f>VLOOKUP(Tabela1[[#This Row],[SKU]],SKU!A:C,3,0)</f>
        <v>ASA</v>
      </c>
    </row>
    <row r="1087" spans="1:29" x14ac:dyDescent="0.3">
      <c r="A1087" s="2">
        <f>INT(Tabela1[[#This Row],[Data e Hora2]])</f>
        <v>46287</v>
      </c>
      <c r="B1087" s="6" t="str">
        <f>UPPER(TEXT(Tabela1[[#This Row],[Data Corrigida]],"MMM"))</f>
        <v>SET</v>
      </c>
      <c r="C1087" t="s">
        <v>2396</v>
      </c>
      <c r="D1087" s="2" t="s">
        <v>2397</v>
      </c>
      <c r="E1087" s="1" t="s">
        <v>2379</v>
      </c>
      <c r="F1087" t="s">
        <v>24</v>
      </c>
      <c r="G1087" s="2" t="s">
        <v>2221</v>
      </c>
      <c r="H1087" t="s">
        <v>26</v>
      </c>
      <c r="I1087" t="s">
        <v>27</v>
      </c>
      <c r="J1087" s="6">
        <v>40762</v>
      </c>
      <c r="K1087" s="16">
        <v>10060</v>
      </c>
      <c r="L1087" s="16">
        <v>10025</v>
      </c>
      <c r="M1087" s="16">
        <v>10100</v>
      </c>
      <c r="N1087" s="16">
        <v>10030</v>
      </c>
      <c r="O1087" s="16">
        <v>10050</v>
      </c>
      <c r="P1087" s="16">
        <v>10050</v>
      </c>
      <c r="Q1087" s="16">
        <v>10045</v>
      </c>
      <c r="R1087" s="16">
        <v>10040</v>
      </c>
      <c r="S1087" s="16">
        <v>10085</v>
      </c>
      <c r="T1087" s="16">
        <v>10015</v>
      </c>
      <c r="U1087" s="15">
        <v>10050</v>
      </c>
      <c r="V1087" t="s">
        <v>19</v>
      </c>
      <c r="W1087" t="s">
        <v>28</v>
      </c>
      <c r="X1087">
        <v>4367</v>
      </c>
      <c r="Y1087" s="16">
        <f>VLOOKUP(Tabela1[[#This Row],[SKU]],SKU!A:D,4,0)</f>
        <v>10000</v>
      </c>
      <c r="Z1087" s="18">
        <f>IFERROR((Tabela1[[#This Row],[Média]]-Tabela1[[#This Row],[Meta]])/Tabela1[[#This Row],[Meta]],"")</f>
        <v>5.0000000000000001E-3</v>
      </c>
      <c r="AA1087" s="31">
        <f>Tabela1[[#This Row],[Média]]-Tabela1[[#This Row],[Meta]]</f>
        <v>50</v>
      </c>
      <c r="AB1087" s="6" t="str">
        <f>VLOOKUP(Tabela1[[#This Row],[SKU]],SKU!A:B,2,0)</f>
        <v>COXA SBCX LQ FG LP</v>
      </c>
      <c r="AC1087" s="6" t="str">
        <f>VLOOKUP(Tabela1[[#This Row],[SKU]],SKU!A:C,3,0)</f>
        <v>PERNA</v>
      </c>
    </row>
    <row r="1088" spans="1:29" x14ac:dyDescent="0.3">
      <c r="A1088" s="2">
        <f>INT(Tabela1[[#This Row],[Data e Hora2]])</f>
        <v>46287</v>
      </c>
      <c r="B1088" s="6" t="str">
        <f>UPPER(TEXT(Tabela1[[#This Row],[Data Corrigida]],"MMM"))</f>
        <v>SET</v>
      </c>
      <c r="C1088" t="s">
        <v>2398</v>
      </c>
      <c r="D1088" s="2" t="s">
        <v>2399</v>
      </c>
      <c r="E1088" s="1" t="s">
        <v>2379</v>
      </c>
      <c r="F1088" t="s">
        <v>24</v>
      </c>
      <c r="G1088" s="2" t="s">
        <v>2221</v>
      </c>
      <c r="H1088" t="s">
        <v>26</v>
      </c>
      <c r="I1088" t="s">
        <v>27</v>
      </c>
      <c r="J1088" s="6">
        <v>13188</v>
      </c>
      <c r="K1088" s="16">
        <v>997</v>
      </c>
      <c r="L1088" s="16">
        <v>1012</v>
      </c>
      <c r="M1088" s="16">
        <v>996</v>
      </c>
      <c r="N1088" s="16">
        <v>999</v>
      </c>
      <c r="O1088" s="16">
        <v>1003</v>
      </c>
      <c r="P1088" s="16">
        <v>1001</v>
      </c>
      <c r="Q1088" s="16">
        <v>1001</v>
      </c>
      <c r="R1088" s="16">
        <v>998</v>
      </c>
      <c r="S1088" s="16">
        <v>1004</v>
      </c>
      <c r="T1088" s="16">
        <v>1012</v>
      </c>
      <c r="U1088" s="15">
        <v>1002.3</v>
      </c>
      <c r="V1088" t="s">
        <v>19</v>
      </c>
      <c r="W1088" t="s">
        <v>19</v>
      </c>
      <c r="X1088">
        <v>121</v>
      </c>
      <c r="Y1088" s="16">
        <f>VLOOKUP(Tabela1[[#This Row],[SKU]],SKU!A:D,4,0)</f>
        <v>1000</v>
      </c>
      <c r="Z1088" s="18">
        <f>IFERROR((Tabela1[[#This Row],[Média]]-Tabela1[[#This Row],[Meta]])/Tabela1[[#This Row],[Meta]],"")</f>
        <v>2.2999999999999544E-3</v>
      </c>
      <c r="AA1088" s="31">
        <f>Tabela1[[#This Row],[Média]]-Tabela1[[#This Row],[Meta]]</f>
        <v>2.2999999999999545</v>
      </c>
      <c r="AB1088" s="6" t="str">
        <f>VLOOKUP(Tabela1[[#This Row],[SKU]],SKU!A:B,2,0)</f>
        <v>SOBRECOXA CG BDJ SE</v>
      </c>
      <c r="AC1088" s="6" t="str">
        <f>VLOOKUP(Tabela1[[#This Row],[SKU]],SKU!A:C,3,0)</f>
        <v>PERNA</v>
      </c>
    </row>
    <row r="1089" spans="1:29" x14ac:dyDescent="0.3">
      <c r="A1089" s="2">
        <f>INT(Tabela1[[#This Row],[Data e Hora2]])</f>
        <v>46287</v>
      </c>
      <c r="B1089" s="6" t="str">
        <f>UPPER(TEXT(Tabela1[[#This Row],[Data Corrigida]],"MMM"))</f>
        <v>SET</v>
      </c>
      <c r="C1089" t="s">
        <v>2400</v>
      </c>
      <c r="D1089" s="2" t="s">
        <v>2401</v>
      </c>
      <c r="E1089" s="1" t="s">
        <v>2379</v>
      </c>
      <c r="F1089" t="s">
        <v>24</v>
      </c>
      <c r="G1089" s="2" t="s">
        <v>2221</v>
      </c>
      <c r="H1089" t="s">
        <v>26</v>
      </c>
      <c r="I1089" t="s">
        <v>27</v>
      </c>
      <c r="J1089" s="6">
        <v>15229</v>
      </c>
      <c r="K1089" s="16">
        <v>996</v>
      </c>
      <c r="L1089" s="16">
        <v>1014</v>
      </c>
      <c r="M1089" s="16">
        <v>1012</v>
      </c>
      <c r="N1089" s="16">
        <v>1017</v>
      </c>
      <c r="O1089" s="16">
        <v>1017</v>
      </c>
      <c r="P1089" s="16">
        <v>1009</v>
      </c>
      <c r="Q1089" s="16">
        <v>995</v>
      </c>
      <c r="R1089" s="16">
        <v>1018</v>
      </c>
      <c r="S1089" s="16">
        <v>1012</v>
      </c>
      <c r="T1089" s="16">
        <v>1009</v>
      </c>
      <c r="U1089" s="15">
        <v>1009.9</v>
      </c>
      <c r="V1089" t="s">
        <v>19</v>
      </c>
      <c r="W1089" t="s">
        <v>28</v>
      </c>
      <c r="X1089">
        <v>115</v>
      </c>
      <c r="Y1089" s="16">
        <f>VLOOKUP(Tabela1[[#This Row],[SKU]],SKU!A:D,4,0)</f>
        <v>1000</v>
      </c>
      <c r="Z1089" s="18">
        <f>IFERROR((Tabela1[[#This Row],[Média]]-Tabela1[[#This Row],[Meta]])/Tabela1[[#This Row],[Meta]],"")</f>
        <v>9.8999999999999765E-3</v>
      </c>
      <c r="AA1089" s="31">
        <f>Tabela1[[#This Row],[Média]]-Tabela1[[#This Row],[Meta]]</f>
        <v>9.8999999999999773</v>
      </c>
      <c r="AB1089" s="6" t="str">
        <f>VLOOKUP(Tabela1[[#This Row],[SKU]],SKU!A:B,2,0)</f>
        <v>COXA CG BDJ SE</v>
      </c>
      <c r="AC1089" s="6" t="str">
        <f>VLOOKUP(Tabela1[[#This Row],[SKU]],SKU!A:C,3,0)</f>
        <v>PERNA</v>
      </c>
    </row>
    <row r="1090" spans="1:29" x14ac:dyDescent="0.3">
      <c r="A1090" s="2">
        <f>INT(Tabela1[[#This Row],[Data e Hora2]])</f>
        <v>46287</v>
      </c>
      <c r="B1090" s="6" t="str">
        <f>UPPER(TEXT(Tabela1[[#This Row],[Data Corrigida]],"MMM"))</f>
        <v>SET</v>
      </c>
      <c r="C1090" t="s">
        <v>2402</v>
      </c>
      <c r="D1090" s="2" t="s">
        <v>2403</v>
      </c>
      <c r="E1090" s="1" t="s">
        <v>2404</v>
      </c>
      <c r="F1090" t="s">
        <v>24</v>
      </c>
      <c r="G1090" s="2" t="s">
        <v>2221</v>
      </c>
      <c r="H1090" t="s">
        <v>26</v>
      </c>
      <c r="I1090" t="s">
        <v>27</v>
      </c>
      <c r="J1090" s="6">
        <v>15105</v>
      </c>
      <c r="K1090" s="16">
        <v>1004</v>
      </c>
      <c r="L1090" s="16">
        <v>1043</v>
      </c>
      <c r="M1090" s="16">
        <v>1032</v>
      </c>
      <c r="N1090" s="16">
        <v>996</v>
      </c>
      <c r="O1090" s="16">
        <v>1013</v>
      </c>
      <c r="P1090" s="16">
        <v>1007</v>
      </c>
      <c r="Q1090" s="16">
        <v>1036</v>
      </c>
      <c r="R1090" s="16">
        <v>1012</v>
      </c>
      <c r="S1090" s="16">
        <v>1012</v>
      </c>
      <c r="T1090" s="16">
        <v>1021</v>
      </c>
      <c r="U1090" s="15">
        <v>1017.6</v>
      </c>
      <c r="V1090" t="s">
        <v>19</v>
      </c>
      <c r="W1090" t="s">
        <v>28</v>
      </c>
      <c r="X1090">
        <v>243</v>
      </c>
      <c r="Y1090" s="16">
        <f>VLOOKUP(Tabela1[[#This Row],[SKU]],SKU!A:D,4,0)</f>
        <v>1000</v>
      </c>
      <c r="Z1090" s="18">
        <f>IFERROR((Tabela1[[#This Row],[Média]]-Tabela1[[#This Row],[Meta]])/Tabela1[[#This Row],[Meta]],"")</f>
        <v>1.7600000000000022E-2</v>
      </c>
      <c r="AA1090" s="31">
        <f>Tabela1[[#This Row],[Média]]-Tabela1[[#This Row],[Meta]]</f>
        <v>17.600000000000023</v>
      </c>
      <c r="AB1090" s="6" t="str">
        <f>VLOOKUP(Tabela1[[#This Row],[SKU]],SKU!A:B,2,0)</f>
        <v>FILE PEITO MET CG BDJ SE</v>
      </c>
      <c r="AC1090" s="6" t="str">
        <f>VLOOKUP(Tabela1[[#This Row],[SKU]],SKU!A:C,3,0)</f>
        <v>PEITO</v>
      </c>
    </row>
    <row r="1091" spans="1:29" x14ac:dyDescent="0.3">
      <c r="A1091" s="2">
        <f>INT(Tabela1[[#This Row],[Data e Hora2]])</f>
        <v>46287</v>
      </c>
      <c r="B1091" s="6" t="str">
        <f>UPPER(TEXT(Tabela1[[#This Row],[Data Corrigida]],"MMM"))</f>
        <v>SET</v>
      </c>
      <c r="C1091" t="s">
        <v>2405</v>
      </c>
      <c r="D1091" s="2" t="s">
        <v>2406</v>
      </c>
      <c r="E1091" s="1" t="s">
        <v>2404</v>
      </c>
      <c r="F1091" t="s">
        <v>24</v>
      </c>
      <c r="G1091" s="2" t="s">
        <v>2221</v>
      </c>
      <c r="H1091" t="s">
        <v>26</v>
      </c>
      <c r="I1091" t="s">
        <v>27</v>
      </c>
      <c r="J1091" s="6">
        <v>995638</v>
      </c>
      <c r="K1091" s="16">
        <v>15005</v>
      </c>
      <c r="L1091" s="16">
        <v>15000</v>
      </c>
      <c r="M1091" s="16">
        <v>15035</v>
      </c>
      <c r="N1091" s="16">
        <v>15045</v>
      </c>
      <c r="O1091" s="16">
        <v>15030</v>
      </c>
      <c r="P1091" s="16">
        <v>15030</v>
      </c>
      <c r="Q1091" s="16">
        <v>15015</v>
      </c>
      <c r="R1091" s="16">
        <v>15070</v>
      </c>
      <c r="S1091" s="16">
        <v>15050</v>
      </c>
      <c r="T1091" s="16">
        <v>15065</v>
      </c>
      <c r="U1091" s="15">
        <v>15034.5</v>
      </c>
      <c r="V1091" t="s">
        <v>19</v>
      </c>
      <c r="W1091" t="s">
        <v>28</v>
      </c>
      <c r="X1091">
        <v>1778</v>
      </c>
      <c r="Y1091" s="16">
        <f>VLOOKUP(Tabela1[[#This Row],[SKU]],SKU!A:D,4,0)</f>
        <v>15000</v>
      </c>
      <c r="Z1091" s="18">
        <f>IFERROR((Tabela1[[#This Row],[Média]]-Tabela1[[#This Row],[Meta]])/Tabela1[[#This Row],[Meta]],"")</f>
        <v>2.3E-3</v>
      </c>
      <c r="AA1091" s="31">
        <f>Tabela1[[#This Row],[Média]]-Tabela1[[#This Row],[Meta]]</f>
        <v>34.5</v>
      </c>
      <c r="AB1091" s="6" t="str">
        <f>VLOOKUP(Tabela1[[#This Row],[SKU]],SKU!A:B,2,0)</f>
        <v>MEIO DA ASA 40-50G LP</v>
      </c>
      <c r="AC1091" s="6" t="str">
        <f>VLOOKUP(Tabela1[[#This Row],[SKU]],SKU!A:C,3,0)</f>
        <v>ASA</v>
      </c>
    </row>
    <row r="1092" spans="1:29" x14ac:dyDescent="0.3">
      <c r="A1092" s="2">
        <f>INT(Tabela1[[#This Row],[Data e Hora2]])</f>
        <v>46287</v>
      </c>
      <c r="B1092" s="6" t="str">
        <f>UPPER(TEXT(Tabela1[[#This Row],[Data Corrigida]],"MMM"))</f>
        <v>SET</v>
      </c>
      <c r="C1092" t="s">
        <v>2407</v>
      </c>
      <c r="D1092" s="2" t="s">
        <v>2408</v>
      </c>
      <c r="E1092" s="1" t="s">
        <v>2404</v>
      </c>
      <c r="F1092" t="s">
        <v>24</v>
      </c>
      <c r="G1092" s="2" t="s">
        <v>2221</v>
      </c>
      <c r="H1092" t="s">
        <v>26</v>
      </c>
      <c r="I1092" t="s">
        <v>27</v>
      </c>
      <c r="J1092" s="6">
        <v>995638</v>
      </c>
      <c r="K1092" s="16">
        <v>15060</v>
      </c>
      <c r="L1092" s="16">
        <v>15005</v>
      </c>
      <c r="M1092" s="16">
        <v>15070</v>
      </c>
      <c r="N1092" s="16">
        <v>15080</v>
      </c>
      <c r="O1092" s="16">
        <v>15100</v>
      </c>
      <c r="P1092" s="16">
        <v>15085</v>
      </c>
      <c r="Q1092" s="16">
        <v>15070</v>
      </c>
      <c r="R1092" s="16">
        <v>15015</v>
      </c>
      <c r="S1092" s="16">
        <v>15035</v>
      </c>
      <c r="T1092" s="16">
        <v>15090</v>
      </c>
      <c r="U1092" s="15">
        <v>15061</v>
      </c>
      <c r="V1092" t="s">
        <v>19</v>
      </c>
      <c r="W1092" t="s">
        <v>28</v>
      </c>
      <c r="X1092">
        <v>2022</v>
      </c>
      <c r="Y1092" s="16">
        <f>VLOOKUP(Tabela1[[#This Row],[SKU]],SKU!A:D,4,0)</f>
        <v>15000</v>
      </c>
      <c r="Z1092" s="18">
        <f>IFERROR((Tabela1[[#This Row],[Média]]-Tabela1[[#This Row],[Meta]])/Tabela1[[#This Row],[Meta]],"")</f>
        <v>4.0666666666666663E-3</v>
      </c>
      <c r="AA1092" s="31">
        <f>Tabela1[[#This Row],[Média]]-Tabela1[[#This Row],[Meta]]</f>
        <v>61</v>
      </c>
      <c r="AB1092" s="6" t="str">
        <f>VLOOKUP(Tabela1[[#This Row],[SKU]],SKU!A:B,2,0)</f>
        <v>MEIO DA ASA 40-50G LP</v>
      </c>
      <c r="AC1092" s="6" t="str">
        <f>VLOOKUP(Tabela1[[#This Row],[SKU]],SKU!A:C,3,0)</f>
        <v>ASA</v>
      </c>
    </row>
    <row r="1093" spans="1:29" x14ac:dyDescent="0.3">
      <c r="A1093" s="2">
        <f>INT(Tabela1[[#This Row],[Data e Hora2]])</f>
        <v>46287</v>
      </c>
      <c r="B1093" s="6" t="str">
        <f>UPPER(TEXT(Tabela1[[#This Row],[Data Corrigida]],"MMM"))</f>
        <v>SET</v>
      </c>
      <c r="C1093" t="s">
        <v>2409</v>
      </c>
      <c r="D1093" s="2" t="s">
        <v>2410</v>
      </c>
      <c r="E1093" s="1" t="s">
        <v>2411</v>
      </c>
      <c r="F1093" t="s">
        <v>24</v>
      </c>
      <c r="G1093" s="2" t="s">
        <v>2221</v>
      </c>
      <c r="H1093" t="s">
        <v>26</v>
      </c>
      <c r="I1093" t="s">
        <v>57</v>
      </c>
      <c r="J1093" s="6">
        <v>15105</v>
      </c>
      <c r="K1093" s="16">
        <v>1007</v>
      </c>
      <c r="L1093" s="16">
        <v>1020</v>
      </c>
      <c r="M1093" s="16">
        <v>999</v>
      </c>
      <c r="N1093" s="16">
        <v>991</v>
      </c>
      <c r="O1093" s="16">
        <v>1009</v>
      </c>
      <c r="P1093" s="16">
        <v>1032</v>
      </c>
      <c r="Q1093" s="16">
        <v>1011</v>
      </c>
      <c r="R1093" s="16">
        <v>1033</v>
      </c>
      <c r="S1093" s="16">
        <v>1010</v>
      </c>
      <c r="T1093" s="16">
        <v>1011</v>
      </c>
      <c r="U1093" s="15">
        <v>1012.3</v>
      </c>
      <c r="V1093" t="s">
        <v>19</v>
      </c>
      <c r="W1093" t="s">
        <v>28</v>
      </c>
      <c r="X1093">
        <v>147</v>
      </c>
      <c r="Y1093" s="16">
        <f>VLOOKUP(Tabela1[[#This Row],[SKU]],SKU!A:D,4,0)</f>
        <v>1000</v>
      </c>
      <c r="Z1093" s="18">
        <f>IFERROR((Tabela1[[#This Row],[Média]]-Tabela1[[#This Row],[Meta]])/Tabela1[[#This Row],[Meta]],"")</f>
        <v>1.2299999999999955E-2</v>
      </c>
      <c r="AA1093" s="31">
        <f>Tabela1[[#This Row],[Média]]-Tabela1[[#This Row],[Meta]]</f>
        <v>12.299999999999955</v>
      </c>
      <c r="AB1093" s="6" t="str">
        <f>VLOOKUP(Tabela1[[#This Row],[SKU]],SKU!A:B,2,0)</f>
        <v>FILE PEITO MET CG BDJ SE</v>
      </c>
      <c r="AC1093" s="6" t="str">
        <f>VLOOKUP(Tabela1[[#This Row],[SKU]],SKU!A:C,3,0)</f>
        <v>PEITO</v>
      </c>
    </row>
    <row r="1094" spans="1:29" x14ac:dyDescent="0.3">
      <c r="A1094" s="2">
        <f>INT(Tabela1[[#This Row],[Data e Hora2]])</f>
        <v>46287</v>
      </c>
      <c r="B1094" s="6" t="str">
        <f>UPPER(TEXT(Tabela1[[#This Row],[Data Corrigida]],"MMM"))</f>
        <v>SET</v>
      </c>
      <c r="C1094" t="s">
        <v>2412</v>
      </c>
      <c r="D1094" s="2" t="s">
        <v>2413</v>
      </c>
      <c r="E1094" s="1" t="s">
        <v>2411</v>
      </c>
      <c r="F1094" t="s">
        <v>24</v>
      </c>
      <c r="G1094" s="2" t="s">
        <v>2221</v>
      </c>
      <c r="H1094" t="s">
        <v>26</v>
      </c>
      <c r="I1094" t="s">
        <v>57</v>
      </c>
      <c r="J1094" s="6">
        <v>13188</v>
      </c>
      <c r="K1094" s="16">
        <v>1012</v>
      </c>
      <c r="L1094" s="16">
        <v>1002</v>
      </c>
      <c r="M1094" s="16">
        <v>1010</v>
      </c>
      <c r="N1094" s="16">
        <v>1006</v>
      </c>
      <c r="O1094" s="16">
        <v>1012</v>
      </c>
      <c r="P1094" s="16">
        <v>1013</v>
      </c>
      <c r="Q1094" s="16">
        <v>1011</v>
      </c>
      <c r="R1094" s="16">
        <v>1010</v>
      </c>
      <c r="S1094" s="16">
        <v>995</v>
      </c>
      <c r="T1094" s="16">
        <v>1013</v>
      </c>
      <c r="U1094" s="15">
        <v>1008.4</v>
      </c>
      <c r="V1094" t="s">
        <v>19</v>
      </c>
      <c r="W1094" t="s">
        <v>28</v>
      </c>
      <c r="X1094">
        <v>2083</v>
      </c>
      <c r="Y1094" s="16">
        <f>VLOOKUP(Tabela1[[#This Row],[SKU]],SKU!A:D,4,0)</f>
        <v>1000</v>
      </c>
      <c r="Z1094" s="18">
        <f>IFERROR((Tabela1[[#This Row],[Média]]-Tabela1[[#This Row],[Meta]])/Tabela1[[#This Row],[Meta]],"")</f>
        <v>8.3999999999999769E-3</v>
      </c>
      <c r="AA1094" s="31">
        <f>Tabela1[[#This Row],[Média]]-Tabela1[[#This Row],[Meta]]</f>
        <v>8.3999999999999773</v>
      </c>
      <c r="AB1094" s="6" t="str">
        <f>VLOOKUP(Tabela1[[#This Row],[SKU]],SKU!A:B,2,0)</f>
        <v>SOBRECOXA CG BDJ SE</v>
      </c>
      <c r="AC1094" s="6" t="str">
        <f>VLOOKUP(Tabela1[[#This Row],[SKU]],SKU!A:C,3,0)</f>
        <v>PERNA</v>
      </c>
    </row>
    <row r="1095" spans="1:29" x14ac:dyDescent="0.3">
      <c r="A1095" s="2">
        <f>INT(Tabela1[[#This Row],[Data e Hora2]])</f>
        <v>46287</v>
      </c>
      <c r="B1095" s="6" t="str">
        <f>UPPER(TEXT(Tabela1[[#This Row],[Data Corrigida]],"MMM"))</f>
        <v>SET</v>
      </c>
      <c r="C1095" t="s">
        <v>2414</v>
      </c>
      <c r="D1095" s="2" t="s">
        <v>2415</v>
      </c>
      <c r="E1095" s="1" t="s">
        <v>2411</v>
      </c>
      <c r="F1095" t="s">
        <v>24</v>
      </c>
      <c r="G1095" s="2" t="s">
        <v>2221</v>
      </c>
      <c r="H1095" t="s">
        <v>26</v>
      </c>
      <c r="I1095" t="s">
        <v>57</v>
      </c>
      <c r="J1095" s="6">
        <v>15229</v>
      </c>
      <c r="K1095" s="16">
        <v>996</v>
      </c>
      <c r="L1095" s="16">
        <v>1010</v>
      </c>
      <c r="M1095" s="16">
        <v>1007</v>
      </c>
      <c r="N1095" s="16">
        <v>999</v>
      </c>
      <c r="O1095" s="16">
        <v>1004</v>
      </c>
      <c r="P1095" s="16">
        <v>1005</v>
      </c>
      <c r="Q1095" s="16">
        <v>1016</v>
      </c>
      <c r="R1095" s="16">
        <v>1003</v>
      </c>
      <c r="S1095" s="16">
        <v>1003</v>
      </c>
      <c r="T1095" s="16">
        <v>1009</v>
      </c>
      <c r="U1095" s="15">
        <v>1005.2</v>
      </c>
      <c r="V1095" t="s">
        <v>19</v>
      </c>
      <c r="W1095" t="s">
        <v>28</v>
      </c>
      <c r="X1095">
        <v>2122</v>
      </c>
      <c r="Y1095" s="16">
        <f>VLOOKUP(Tabela1[[#This Row],[SKU]],SKU!A:D,4,0)</f>
        <v>1000</v>
      </c>
      <c r="Z1095" s="18">
        <f>IFERROR((Tabela1[[#This Row],[Média]]-Tabela1[[#This Row],[Meta]])/Tabela1[[#This Row],[Meta]],"")</f>
        <v>5.2000000000000457E-3</v>
      </c>
      <c r="AA1095" s="31">
        <f>Tabela1[[#This Row],[Média]]-Tabela1[[#This Row],[Meta]]</f>
        <v>5.2000000000000455</v>
      </c>
      <c r="AB1095" s="6" t="str">
        <f>VLOOKUP(Tabela1[[#This Row],[SKU]],SKU!A:B,2,0)</f>
        <v>COXA CG BDJ SE</v>
      </c>
      <c r="AC1095" s="6" t="str">
        <f>VLOOKUP(Tabela1[[#This Row],[SKU]],SKU!A:C,3,0)</f>
        <v>PERNA</v>
      </c>
    </row>
    <row r="1096" spans="1:29" x14ac:dyDescent="0.3">
      <c r="A1096" s="2">
        <f>INT(Tabela1[[#This Row],[Data e Hora2]])</f>
        <v>46287</v>
      </c>
      <c r="B1096" s="6" t="str">
        <f>UPPER(TEXT(Tabela1[[#This Row],[Data Corrigida]],"MMM"))</f>
        <v>SET</v>
      </c>
      <c r="C1096" t="s">
        <v>2416</v>
      </c>
      <c r="D1096" s="2" t="s">
        <v>2417</v>
      </c>
      <c r="E1096" s="1" t="s">
        <v>2411</v>
      </c>
      <c r="F1096" t="s">
        <v>24</v>
      </c>
      <c r="G1096" s="2" t="s">
        <v>2221</v>
      </c>
      <c r="H1096" t="s">
        <v>26</v>
      </c>
      <c r="I1096" t="s">
        <v>57</v>
      </c>
      <c r="J1096" s="6">
        <v>42846</v>
      </c>
      <c r="K1096" s="16">
        <v>2001</v>
      </c>
      <c r="L1096" s="16">
        <v>2007</v>
      </c>
      <c r="M1096" s="16">
        <v>2011</v>
      </c>
      <c r="N1096" s="16">
        <v>2009</v>
      </c>
      <c r="O1096" s="16">
        <v>2006</v>
      </c>
      <c r="P1096" s="16">
        <v>2002</v>
      </c>
      <c r="Q1096" s="16">
        <v>2005</v>
      </c>
      <c r="R1096" s="16">
        <v>2009</v>
      </c>
      <c r="S1096" s="16">
        <v>2022</v>
      </c>
      <c r="T1096" s="16">
        <v>2011</v>
      </c>
      <c r="U1096" s="15">
        <v>2008.3</v>
      </c>
      <c r="V1096" t="s">
        <v>19</v>
      </c>
      <c r="W1096" t="s">
        <v>28</v>
      </c>
      <c r="X1096">
        <v>2482</v>
      </c>
      <c r="Y1096" s="16">
        <f>VLOOKUP(Tabela1[[#This Row],[SKU]],SKU!A:D,4,0)</f>
        <v>2000</v>
      </c>
      <c r="Z1096" s="18">
        <f>IFERROR((Tabela1[[#This Row],[Média]]-Tabela1[[#This Row],[Meta]])/Tabela1[[#This Row],[Meta]],"")</f>
        <v>4.1499999999999775E-3</v>
      </c>
      <c r="AA1096" s="31">
        <f>Tabela1[[#This Row],[Média]]-Tabela1[[#This Row],[Meta]]</f>
        <v>8.2999999999999545</v>
      </c>
      <c r="AB1096" s="6" t="str">
        <f>VLOOKUP(Tabela1[[#This Row],[SKU]],SKU!A:B,2,0)</f>
        <v>COXA SBCX S/O FG 240-260g PB</v>
      </c>
      <c r="AC1096" s="6" t="str">
        <f>VLOOKUP(Tabela1[[#This Row],[SKU]],SKU!A:C,3,0)</f>
        <v>PERNA</v>
      </c>
    </row>
    <row r="1097" spans="1:29" x14ac:dyDescent="0.3">
      <c r="A1097" s="2">
        <f>INT(Tabela1[[#This Row],[Data e Hora2]])</f>
        <v>46287</v>
      </c>
      <c r="B1097" s="6" t="str">
        <f>UPPER(TEXT(Tabela1[[#This Row],[Data Corrigida]],"MMM"))</f>
        <v>SET</v>
      </c>
      <c r="C1097" t="s">
        <v>2418</v>
      </c>
      <c r="D1097" s="2" t="s">
        <v>2419</v>
      </c>
      <c r="E1097" s="1" t="s">
        <v>2411</v>
      </c>
      <c r="F1097" t="s">
        <v>24</v>
      </c>
      <c r="G1097" s="2" t="s">
        <v>2221</v>
      </c>
      <c r="H1097" t="s">
        <v>26</v>
      </c>
      <c r="I1097" t="s">
        <v>57</v>
      </c>
      <c r="J1097" s="6">
        <v>42838</v>
      </c>
      <c r="K1097" s="16">
        <v>2020</v>
      </c>
      <c r="L1097" s="16">
        <v>2072</v>
      </c>
      <c r="M1097" s="16">
        <v>2010</v>
      </c>
      <c r="N1097" s="16">
        <v>2036</v>
      </c>
      <c r="O1097" s="16">
        <v>2033</v>
      </c>
      <c r="P1097" s="16">
        <v>2031</v>
      </c>
      <c r="Q1097" s="16">
        <v>2000</v>
      </c>
      <c r="R1097" s="16">
        <v>2032</v>
      </c>
      <c r="S1097" s="16">
        <v>2020</v>
      </c>
      <c r="T1097" s="16">
        <v>2019</v>
      </c>
      <c r="U1097" s="15">
        <v>2027.3</v>
      </c>
      <c r="V1097" t="s">
        <v>19</v>
      </c>
      <c r="W1097" t="s">
        <v>28</v>
      </c>
      <c r="X1097">
        <v>2642</v>
      </c>
      <c r="Y1097" s="16">
        <f>VLOOKUP(Tabela1[[#This Row],[SKU]],SKU!A:D,4,0)</f>
        <v>2000</v>
      </c>
      <c r="Z1097" s="18">
        <f>IFERROR((Tabela1[[#This Row],[Média]]-Tabela1[[#This Row],[Meta]])/Tabela1[[#This Row],[Meta]],"")</f>
        <v>1.3649999999999978E-2</v>
      </c>
      <c r="AA1097" s="31">
        <f>Tabela1[[#This Row],[Média]]-Tabela1[[#This Row],[Meta]]</f>
        <v>27.299999999999955</v>
      </c>
      <c r="AB1097" s="6" t="str">
        <f>VLOOKUP(Tabela1[[#This Row],[SKU]],SKU!A:B,2,0)</f>
        <v>COXA SBCX S/O FG 220-240g PB</v>
      </c>
      <c r="AC1097" s="6" t="str">
        <f>VLOOKUP(Tabela1[[#This Row],[SKU]],SKU!A:C,3,0)</f>
        <v>PERNA</v>
      </c>
    </row>
    <row r="1098" spans="1:29" x14ac:dyDescent="0.3">
      <c r="A1098" s="2">
        <f>INT(Tabela1[[#This Row],[Data e Hora2]])</f>
        <v>46287</v>
      </c>
      <c r="B1098" s="6" t="str">
        <f>UPPER(TEXT(Tabela1[[#This Row],[Data Corrigida]],"MMM"))</f>
        <v>SET</v>
      </c>
      <c r="C1098" t="s">
        <v>2420</v>
      </c>
      <c r="D1098" s="2" t="s">
        <v>2421</v>
      </c>
      <c r="E1098" s="1" t="s">
        <v>2411</v>
      </c>
      <c r="F1098" t="s">
        <v>24</v>
      </c>
      <c r="G1098" s="2" t="s">
        <v>2221</v>
      </c>
      <c r="H1098" t="s">
        <v>26</v>
      </c>
      <c r="I1098" t="s">
        <v>57</v>
      </c>
      <c r="J1098" s="6">
        <v>42820</v>
      </c>
      <c r="K1098" s="16">
        <v>2035</v>
      </c>
      <c r="L1098" s="16">
        <v>2014</v>
      </c>
      <c r="M1098" s="16">
        <v>2027</v>
      </c>
      <c r="N1098" s="16">
        <v>2033</v>
      </c>
      <c r="O1098" s="16">
        <v>2040</v>
      </c>
      <c r="P1098" s="16">
        <v>2007</v>
      </c>
      <c r="Q1098" s="16">
        <v>2049</v>
      </c>
      <c r="R1098" s="16">
        <v>2037</v>
      </c>
      <c r="S1098" s="16">
        <v>2017</v>
      </c>
      <c r="T1098" s="16">
        <v>2025</v>
      </c>
      <c r="U1098" s="15">
        <v>2028.4</v>
      </c>
      <c r="V1098" t="s">
        <v>19</v>
      </c>
      <c r="W1098" t="s">
        <v>28</v>
      </c>
      <c r="X1098">
        <v>341</v>
      </c>
      <c r="Y1098" s="16">
        <f>VLOOKUP(Tabela1[[#This Row],[SKU]],SKU!A:D,4,0)</f>
        <v>2000</v>
      </c>
      <c r="Z1098" s="18">
        <f>IFERROR((Tabela1[[#This Row],[Média]]-Tabela1[[#This Row],[Meta]])/Tabela1[[#This Row],[Meta]],"")</f>
        <v>1.4200000000000046E-2</v>
      </c>
      <c r="AA1098" s="31">
        <f>Tabela1[[#This Row],[Média]]-Tabela1[[#This Row],[Meta]]</f>
        <v>28.400000000000091</v>
      </c>
      <c r="AB1098" s="6" t="str">
        <f>VLOOKUP(Tabela1[[#This Row],[SKU]],SKU!A:B,2,0)</f>
        <v>COXA SBCX S/O FG 200-220g PB</v>
      </c>
      <c r="AC1098" s="6" t="str">
        <f>VLOOKUP(Tabela1[[#This Row],[SKU]],SKU!A:C,3,0)</f>
        <v>PERNA</v>
      </c>
    </row>
    <row r="1099" spans="1:29" x14ac:dyDescent="0.3">
      <c r="A1099" s="2">
        <f>INT(Tabela1[[#This Row],[Data e Hora2]])</f>
        <v>46287</v>
      </c>
      <c r="B1099" s="6" t="str">
        <f>UPPER(TEXT(Tabela1[[#This Row],[Data Corrigida]],"MMM"))</f>
        <v>SET</v>
      </c>
      <c r="C1099" t="s">
        <v>2422</v>
      </c>
      <c r="D1099" s="2" t="s">
        <v>2423</v>
      </c>
      <c r="E1099" s="1" t="s">
        <v>2424</v>
      </c>
      <c r="F1099" t="s">
        <v>24</v>
      </c>
      <c r="G1099" s="2" t="s">
        <v>2221</v>
      </c>
      <c r="H1099" t="s">
        <v>26</v>
      </c>
      <c r="I1099" t="s">
        <v>57</v>
      </c>
      <c r="J1099" s="6">
        <v>15105</v>
      </c>
      <c r="K1099" s="16">
        <v>1006</v>
      </c>
      <c r="L1099" s="16">
        <v>1025</v>
      </c>
      <c r="M1099" s="16">
        <v>1017</v>
      </c>
      <c r="N1099" s="16">
        <v>1011</v>
      </c>
      <c r="O1099" s="16">
        <v>1003</v>
      </c>
      <c r="P1099" s="16">
        <v>1021</v>
      </c>
      <c r="Q1099" s="16">
        <v>1007</v>
      </c>
      <c r="R1099" s="16">
        <v>1023</v>
      </c>
      <c r="S1099" s="16">
        <v>996</v>
      </c>
      <c r="T1099" s="16">
        <v>1000</v>
      </c>
      <c r="U1099" s="15">
        <v>1010.9</v>
      </c>
      <c r="V1099" t="s">
        <v>19</v>
      </c>
      <c r="W1099" t="s">
        <v>28</v>
      </c>
      <c r="X1099">
        <v>114</v>
      </c>
      <c r="Y1099" s="16">
        <f>VLOOKUP(Tabela1[[#This Row],[SKU]],SKU!A:D,4,0)</f>
        <v>1000</v>
      </c>
      <c r="Z1099" s="18">
        <f>IFERROR((Tabela1[[#This Row],[Média]]-Tabela1[[#This Row],[Meta]])/Tabela1[[#This Row],[Meta]],"")</f>
        <v>1.0899999999999977E-2</v>
      </c>
      <c r="AA1099" s="31">
        <f>Tabela1[[#This Row],[Média]]-Tabela1[[#This Row],[Meta]]</f>
        <v>10.899999999999977</v>
      </c>
      <c r="AB1099" s="6" t="str">
        <f>VLOOKUP(Tabela1[[#This Row],[SKU]],SKU!A:B,2,0)</f>
        <v>FILE PEITO MET CG BDJ SE</v>
      </c>
      <c r="AC1099" s="6" t="str">
        <f>VLOOKUP(Tabela1[[#This Row],[SKU]],SKU!A:C,3,0)</f>
        <v>PEITO</v>
      </c>
    </row>
    <row r="1100" spans="1:29" x14ac:dyDescent="0.3">
      <c r="A1100" s="2">
        <f>INT(Tabela1[[#This Row],[Data e Hora2]])</f>
        <v>46287</v>
      </c>
      <c r="B1100" s="6" t="str">
        <f>UPPER(TEXT(Tabela1[[#This Row],[Data Corrigida]],"MMM"))</f>
        <v>SET</v>
      </c>
      <c r="C1100" t="s">
        <v>2425</v>
      </c>
      <c r="D1100" s="2" t="s">
        <v>2426</v>
      </c>
      <c r="E1100" s="1" t="s">
        <v>2427</v>
      </c>
      <c r="F1100" t="s">
        <v>24</v>
      </c>
      <c r="G1100" s="2" t="s">
        <v>2221</v>
      </c>
      <c r="H1100" t="s">
        <v>26</v>
      </c>
      <c r="I1100" t="s">
        <v>57</v>
      </c>
      <c r="J1100" s="6">
        <v>40762</v>
      </c>
      <c r="K1100" s="16">
        <v>10040</v>
      </c>
      <c r="L1100" s="16">
        <v>10065</v>
      </c>
      <c r="M1100" s="16">
        <v>10035</v>
      </c>
      <c r="N1100" s="16">
        <v>10020</v>
      </c>
      <c r="O1100" s="16">
        <v>10000</v>
      </c>
      <c r="P1100" s="16">
        <v>9990</v>
      </c>
      <c r="Q1100" s="16">
        <v>10040</v>
      </c>
      <c r="R1100" s="16">
        <v>10080</v>
      </c>
      <c r="S1100" s="16">
        <v>9980</v>
      </c>
      <c r="T1100" s="16">
        <v>10000</v>
      </c>
      <c r="U1100" s="15">
        <v>10025</v>
      </c>
      <c r="V1100" t="s">
        <v>19</v>
      </c>
      <c r="W1100" t="s">
        <v>28</v>
      </c>
      <c r="X1100">
        <v>565</v>
      </c>
      <c r="Y1100" s="16">
        <f>VLOOKUP(Tabela1[[#This Row],[SKU]],SKU!A:D,4,0)</f>
        <v>10000</v>
      </c>
      <c r="Z1100" s="18">
        <f>IFERROR((Tabela1[[#This Row],[Média]]-Tabela1[[#This Row],[Meta]])/Tabela1[[#This Row],[Meta]],"")</f>
        <v>2.5000000000000001E-3</v>
      </c>
      <c r="AA1100" s="31">
        <f>Tabela1[[#This Row],[Média]]-Tabela1[[#This Row],[Meta]]</f>
        <v>25</v>
      </c>
      <c r="AB1100" s="6" t="str">
        <f>VLOOKUP(Tabela1[[#This Row],[SKU]],SKU!A:B,2,0)</f>
        <v>COXA SBCX LQ FG LP</v>
      </c>
      <c r="AC1100" s="6" t="str">
        <f>VLOOKUP(Tabela1[[#This Row],[SKU]],SKU!A:C,3,0)</f>
        <v>PERNA</v>
      </c>
    </row>
    <row r="1101" spans="1:29" x14ac:dyDescent="0.3">
      <c r="A1101" s="2">
        <f>INT(Tabela1[[#This Row],[Data e Hora2]])</f>
        <v>46287</v>
      </c>
      <c r="B1101" s="6" t="str">
        <f>UPPER(TEXT(Tabela1[[#This Row],[Data Corrigida]],"MMM"))</f>
        <v>SET</v>
      </c>
      <c r="C1101" t="s">
        <v>2428</v>
      </c>
      <c r="D1101" s="2" t="s">
        <v>2429</v>
      </c>
      <c r="E1101" s="1" t="s">
        <v>2427</v>
      </c>
      <c r="F1101" t="s">
        <v>24</v>
      </c>
      <c r="G1101" s="2" t="s">
        <v>2221</v>
      </c>
      <c r="H1101" t="s">
        <v>26</v>
      </c>
      <c r="I1101" t="s">
        <v>57</v>
      </c>
      <c r="J1101" s="6">
        <v>15229</v>
      </c>
      <c r="K1101" s="16">
        <v>1004</v>
      </c>
      <c r="L1101" s="16">
        <v>1001</v>
      </c>
      <c r="M1101" s="16">
        <v>1014</v>
      </c>
      <c r="N1101" s="16">
        <v>1006</v>
      </c>
      <c r="O1101" s="16">
        <v>1004</v>
      </c>
      <c r="P1101" s="16">
        <v>1017</v>
      </c>
      <c r="Q1101" s="16">
        <v>1010</v>
      </c>
      <c r="R1101" s="16">
        <v>1009</v>
      </c>
      <c r="S1101" s="16">
        <v>1008</v>
      </c>
      <c r="T1101" s="16">
        <v>999</v>
      </c>
      <c r="U1101" s="15">
        <v>1007.2</v>
      </c>
      <c r="V1101" t="s">
        <v>19</v>
      </c>
      <c r="W1101" t="s">
        <v>28</v>
      </c>
      <c r="X1101">
        <v>926</v>
      </c>
      <c r="Y1101" s="16">
        <f>VLOOKUP(Tabela1[[#This Row],[SKU]],SKU!A:D,4,0)</f>
        <v>1000</v>
      </c>
      <c r="Z1101" s="18">
        <f>IFERROR((Tabela1[[#This Row],[Média]]-Tabela1[[#This Row],[Meta]])/Tabela1[[#This Row],[Meta]],"")</f>
        <v>7.2000000000000458E-3</v>
      </c>
      <c r="AA1101" s="31">
        <f>Tabela1[[#This Row],[Média]]-Tabela1[[#This Row],[Meta]]</f>
        <v>7.2000000000000455</v>
      </c>
      <c r="AB1101" s="6" t="str">
        <f>VLOOKUP(Tabela1[[#This Row],[SKU]],SKU!A:B,2,0)</f>
        <v>COXA CG BDJ SE</v>
      </c>
      <c r="AC1101" s="6" t="str">
        <f>VLOOKUP(Tabela1[[#This Row],[SKU]],SKU!A:C,3,0)</f>
        <v>PERNA</v>
      </c>
    </row>
    <row r="1102" spans="1:29" x14ac:dyDescent="0.3">
      <c r="A1102" s="2">
        <f>INT(Tabela1[[#This Row],[Data e Hora2]])</f>
        <v>46287</v>
      </c>
      <c r="B1102" s="6" t="str">
        <f>UPPER(TEXT(Tabela1[[#This Row],[Data Corrigida]],"MMM"))</f>
        <v>SET</v>
      </c>
      <c r="C1102" t="s">
        <v>2430</v>
      </c>
      <c r="D1102" s="2" t="s">
        <v>2431</v>
      </c>
      <c r="E1102" s="1" t="s">
        <v>2427</v>
      </c>
      <c r="F1102" t="s">
        <v>24</v>
      </c>
      <c r="G1102" s="2" t="s">
        <v>2221</v>
      </c>
      <c r="H1102" t="s">
        <v>26</v>
      </c>
      <c r="I1102" t="s">
        <v>57</v>
      </c>
      <c r="J1102" s="6">
        <v>13188</v>
      </c>
      <c r="K1102" s="16">
        <v>998</v>
      </c>
      <c r="L1102" s="16">
        <v>1014</v>
      </c>
      <c r="M1102" s="16">
        <v>1002</v>
      </c>
      <c r="N1102" s="16">
        <v>1007</v>
      </c>
      <c r="O1102" s="16">
        <v>1007</v>
      </c>
      <c r="P1102" s="16">
        <v>1003</v>
      </c>
      <c r="Q1102" s="16">
        <v>1009</v>
      </c>
      <c r="R1102" s="16">
        <v>1014</v>
      </c>
      <c r="S1102" s="16">
        <v>999</v>
      </c>
      <c r="T1102" s="16">
        <v>1009</v>
      </c>
      <c r="U1102" s="15">
        <v>1006.2</v>
      </c>
      <c r="V1102" t="s">
        <v>19</v>
      </c>
      <c r="W1102" t="s">
        <v>28</v>
      </c>
      <c r="X1102">
        <v>1017</v>
      </c>
      <c r="Y1102" s="16">
        <f>VLOOKUP(Tabela1[[#This Row],[SKU]],SKU!A:D,4,0)</f>
        <v>1000</v>
      </c>
      <c r="Z1102" s="18">
        <f>IFERROR((Tabela1[[#This Row],[Média]]-Tabela1[[#This Row],[Meta]])/Tabela1[[#This Row],[Meta]],"")</f>
        <v>6.2000000000000458E-3</v>
      </c>
      <c r="AA1102" s="31">
        <f>Tabela1[[#This Row],[Média]]-Tabela1[[#This Row],[Meta]]</f>
        <v>6.2000000000000455</v>
      </c>
      <c r="AB1102" s="6" t="str">
        <f>VLOOKUP(Tabela1[[#This Row],[SKU]],SKU!A:B,2,0)</f>
        <v>SOBRECOXA CG BDJ SE</v>
      </c>
      <c r="AC1102" s="6" t="str">
        <f>VLOOKUP(Tabela1[[#This Row],[SKU]],SKU!A:C,3,0)</f>
        <v>PERNA</v>
      </c>
    </row>
    <row r="1103" spans="1:29" x14ac:dyDescent="0.3">
      <c r="A1103" s="2">
        <f>INT(Tabela1[[#This Row],[Data e Hora2]])</f>
        <v>46287</v>
      </c>
      <c r="B1103" s="6" t="str">
        <f>UPPER(TEXT(Tabela1[[#This Row],[Data Corrigida]],"MMM"))</f>
        <v>SET</v>
      </c>
      <c r="C1103" t="s">
        <v>2432</v>
      </c>
      <c r="D1103" s="2" t="s">
        <v>2433</v>
      </c>
      <c r="E1103" s="1" t="s">
        <v>2434</v>
      </c>
      <c r="F1103" t="s">
        <v>24</v>
      </c>
      <c r="G1103" s="2" t="s">
        <v>2221</v>
      </c>
      <c r="H1103" t="s">
        <v>26</v>
      </c>
      <c r="I1103" t="s">
        <v>57</v>
      </c>
      <c r="J1103" s="6">
        <v>40762</v>
      </c>
      <c r="K1103" s="16">
        <v>9990</v>
      </c>
      <c r="L1103" s="16">
        <v>9985</v>
      </c>
      <c r="M1103" s="16">
        <v>10065</v>
      </c>
      <c r="N1103" s="16">
        <v>10055</v>
      </c>
      <c r="O1103" s="16">
        <v>10000</v>
      </c>
      <c r="P1103" s="16">
        <v>10035</v>
      </c>
      <c r="Q1103" s="16">
        <v>9990</v>
      </c>
      <c r="R1103" s="16">
        <v>10020</v>
      </c>
      <c r="S1103" s="16">
        <v>10055</v>
      </c>
      <c r="T1103" s="16">
        <v>10000</v>
      </c>
      <c r="U1103" s="15">
        <v>10019.5</v>
      </c>
      <c r="V1103" t="s">
        <v>19</v>
      </c>
      <c r="W1103" t="s">
        <v>28</v>
      </c>
      <c r="X1103">
        <v>758</v>
      </c>
      <c r="Y1103" s="16">
        <f>VLOOKUP(Tabela1[[#This Row],[SKU]],SKU!A:D,4,0)</f>
        <v>10000</v>
      </c>
      <c r="Z1103" s="18">
        <f>IFERROR((Tabela1[[#This Row],[Média]]-Tabela1[[#This Row],[Meta]])/Tabela1[[#This Row],[Meta]],"")</f>
        <v>1.9499999999999999E-3</v>
      </c>
      <c r="AA1103" s="31">
        <f>Tabela1[[#This Row],[Média]]-Tabela1[[#This Row],[Meta]]</f>
        <v>19.5</v>
      </c>
      <c r="AB1103" s="6" t="str">
        <f>VLOOKUP(Tabela1[[#This Row],[SKU]],SKU!A:B,2,0)</f>
        <v>COXA SBCX LQ FG LP</v>
      </c>
      <c r="AC1103" s="6" t="str">
        <f>VLOOKUP(Tabela1[[#This Row],[SKU]],SKU!A:C,3,0)</f>
        <v>PERNA</v>
      </c>
    </row>
    <row r="1104" spans="1:29" x14ac:dyDescent="0.3">
      <c r="A1104" s="2">
        <f>INT(Tabela1[[#This Row],[Data e Hora2]])</f>
        <v>46290</v>
      </c>
      <c r="B1104" s="6" t="str">
        <f>UPPER(TEXT(Tabela1[[#This Row],[Data Corrigida]],"MMM"))</f>
        <v>SET</v>
      </c>
      <c r="C1104" s="26" t="s">
        <v>2439</v>
      </c>
      <c r="D1104" s="2" t="s">
        <v>2440</v>
      </c>
      <c r="E1104" s="1" t="s">
        <v>2441</v>
      </c>
      <c r="F1104" t="s">
        <v>24</v>
      </c>
      <c r="G1104" s="2" t="s">
        <v>2442</v>
      </c>
      <c r="H1104" t="s">
        <v>26</v>
      </c>
      <c r="I1104" t="s">
        <v>27</v>
      </c>
      <c r="J1104" s="6">
        <v>40762</v>
      </c>
      <c r="K1104" s="16">
        <v>10045</v>
      </c>
      <c r="L1104" s="16">
        <v>10005</v>
      </c>
      <c r="M1104" s="16">
        <v>10035</v>
      </c>
      <c r="N1104" s="16">
        <v>9995</v>
      </c>
      <c r="O1104" s="16">
        <v>9940</v>
      </c>
      <c r="P1104" s="16">
        <v>10070</v>
      </c>
      <c r="Q1104" s="16">
        <v>9980</v>
      </c>
      <c r="R1104" s="16">
        <v>10025</v>
      </c>
      <c r="S1104" s="16">
        <v>10050</v>
      </c>
      <c r="T1104" s="16">
        <v>10030</v>
      </c>
      <c r="U1104" s="15">
        <v>10017.5</v>
      </c>
      <c r="V1104" t="s">
        <v>19</v>
      </c>
      <c r="W1104" t="s">
        <v>28</v>
      </c>
      <c r="X1104">
        <v>1944</v>
      </c>
      <c r="Y1104" s="16">
        <f>VLOOKUP(Tabela1[[#This Row],[SKU]],SKU!A:D,4,0)</f>
        <v>10000</v>
      </c>
      <c r="Z1104" s="18">
        <f>IFERROR((Tabela1[[#This Row],[Média]]-Tabela1[[#This Row],[Meta]])/Tabela1[[#This Row],[Meta]],"")</f>
        <v>1.75E-3</v>
      </c>
      <c r="AA1104" s="31">
        <f>Tabela1[[#This Row],[Média]]-Tabela1[[#This Row],[Meta]]</f>
        <v>17.5</v>
      </c>
      <c r="AB1104" s="6" t="str">
        <f>VLOOKUP(Tabela1[[#This Row],[SKU]],SKU!A:B,2,0)</f>
        <v>COXA SBCX LQ FG LP</v>
      </c>
      <c r="AC1104" s="6" t="str">
        <f>VLOOKUP(Tabela1[[#This Row],[SKU]],SKU!A:C,3,0)</f>
        <v>PERNA</v>
      </c>
    </row>
    <row r="1105" spans="1:29" x14ac:dyDescent="0.3">
      <c r="A1105" s="2">
        <f>INT(Tabela1[[#This Row],[Data e Hora2]])</f>
        <v>46290</v>
      </c>
      <c r="B1105" s="6" t="str">
        <f>UPPER(TEXT(Tabela1[[#This Row],[Data Corrigida]],"MMM"))</f>
        <v>SET</v>
      </c>
      <c r="C1105" t="s">
        <v>2443</v>
      </c>
      <c r="D1105" s="2" t="s">
        <v>2444</v>
      </c>
      <c r="E1105" s="1" t="s">
        <v>2441</v>
      </c>
      <c r="F1105" t="s">
        <v>24</v>
      </c>
      <c r="G1105" s="2" t="s">
        <v>2442</v>
      </c>
      <c r="H1105" t="s">
        <v>26</v>
      </c>
      <c r="I1105" t="s">
        <v>27</v>
      </c>
      <c r="J1105" s="6">
        <v>15105</v>
      </c>
      <c r="K1105" s="16">
        <v>1017</v>
      </c>
      <c r="L1105" s="16">
        <v>1018</v>
      </c>
      <c r="M1105" s="16">
        <v>995</v>
      </c>
      <c r="N1105" s="16">
        <v>1031</v>
      </c>
      <c r="O1105" s="16">
        <v>1113</v>
      </c>
      <c r="P1105" s="16">
        <v>1029</v>
      </c>
      <c r="Q1105" s="16">
        <v>1013</v>
      </c>
      <c r="R1105" s="16">
        <v>1010</v>
      </c>
      <c r="S1105" s="16">
        <v>885</v>
      </c>
      <c r="T1105" s="16">
        <v>1049</v>
      </c>
      <c r="U1105" s="15">
        <v>1016</v>
      </c>
      <c r="V1105" t="s">
        <v>19</v>
      </c>
      <c r="W1105" t="s">
        <v>19</v>
      </c>
      <c r="X1105">
        <v>270</v>
      </c>
      <c r="Y1105" s="16">
        <f>VLOOKUP(Tabela1[[#This Row],[SKU]],SKU!A:D,4,0)</f>
        <v>1000</v>
      </c>
      <c r="Z1105" s="18">
        <f>IFERROR((Tabela1[[#This Row],[Média]]-Tabela1[[#This Row],[Meta]])/Tabela1[[#This Row],[Meta]],"")</f>
        <v>1.6E-2</v>
      </c>
      <c r="AA1105" s="31">
        <f>Tabela1[[#This Row],[Média]]-Tabela1[[#This Row],[Meta]]</f>
        <v>16</v>
      </c>
      <c r="AB1105" s="6" t="str">
        <f>VLOOKUP(Tabela1[[#This Row],[SKU]],SKU!A:B,2,0)</f>
        <v>FILE PEITO MET CG BDJ SE</v>
      </c>
      <c r="AC1105" s="6" t="str">
        <f>VLOOKUP(Tabela1[[#This Row],[SKU]],SKU!A:C,3,0)</f>
        <v>PEITO</v>
      </c>
    </row>
    <row r="1106" spans="1:29" x14ac:dyDescent="0.3">
      <c r="A1106" s="2">
        <f>INT(Tabela1[[#This Row],[Data e Hora2]])</f>
        <v>46290</v>
      </c>
      <c r="B1106" s="6" t="str">
        <f>UPPER(TEXT(Tabela1[[#This Row],[Data Corrigida]],"MMM"))</f>
        <v>SET</v>
      </c>
      <c r="C1106" t="s">
        <v>2445</v>
      </c>
      <c r="D1106" s="2" t="s">
        <v>2446</v>
      </c>
      <c r="E1106" s="1" t="s">
        <v>2441</v>
      </c>
      <c r="F1106" t="s">
        <v>24</v>
      </c>
      <c r="G1106" s="2" t="s">
        <v>2442</v>
      </c>
      <c r="H1106" t="s">
        <v>26</v>
      </c>
      <c r="I1106" t="s">
        <v>27</v>
      </c>
      <c r="J1106" s="6">
        <v>209319</v>
      </c>
      <c r="K1106" s="16">
        <v>1012</v>
      </c>
      <c r="L1106" s="16">
        <v>1001</v>
      </c>
      <c r="M1106" s="16">
        <v>1026</v>
      </c>
      <c r="N1106" s="16">
        <v>1002</v>
      </c>
      <c r="O1106" s="16">
        <v>1063</v>
      </c>
      <c r="P1106" s="16">
        <v>1020</v>
      </c>
      <c r="Q1106" s="16">
        <v>1015</v>
      </c>
      <c r="R1106" s="16">
        <v>1058</v>
      </c>
      <c r="S1106" s="16">
        <v>999</v>
      </c>
      <c r="T1106" s="16">
        <v>1063</v>
      </c>
      <c r="U1106" s="15">
        <v>1025.9000000000001</v>
      </c>
      <c r="V1106" t="s">
        <v>19</v>
      </c>
      <c r="W1106" t="s">
        <v>28</v>
      </c>
      <c r="X1106">
        <v>556</v>
      </c>
      <c r="Y1106" s="16">
        <f>VLOOKUP(Tabela1[[#This Row],[SKU]],SKU!A:D,4,0)</f>
        <v>1000</v>
      </c>
      <c r="Z1106" s="18">
        <f>IFERROR((Tabela1[[#This Row],[Média]]-Tabela1[[#This Row],[Meta]])/Tabela1[[#This Row],[Meta]],"")</f>
        <v>2.590000000000009E-2</v>
      </c>
      <c r="AA1106" s="31">
        <f>Tabela1[[#This Row],[Média]]-Tabela1[[#This Row],[Meta]]</f>
        <v>25.900000000000091</v>
      </c>
      <c r="AB1106" s="6" t="str">
        <f>VLOOKUP(Tabela1[[#This Row],[SKU]],SKU!A:B,2,0)</f>
        <v>SOBRECOXA IQF ALM 1KG</v>
      </c>
      <c r="AC1106" s="6" t="str">
        <f>VLOOKUP(Tabela1[[#This Row],[SKU]],SKU!A:C,3,0)</f>
        <v>PERNA</v>
      </c>
    </row>
    <row r="1107" spans="1:29" x14ac:dyDescent="0.3">
      <c r="A1107" s="2">
        <f>INT(Tabela1[[#This Row],[Data e Hora2]])</f>
        <v>46290</v>
      </c>
      <c r="B1107" s="6" t="str">
        <f>UPPER(TEXT(Tabela1[[#This Row],[Data Corrigida]],"MMM"))</f>
        <v>SET</v>
      </c>
      <c r="C1107" t="s">
        <v>2447</v>
      </c>
      <c r="D1107" s="2" t="s">
        <v>2448</v>
      </c>
      <c r="E1107" s="1" t="s">
        <v>2441</v>
      </c>
      <c r="F1107" t="s">
        <v>24</v>
      </c>
      <c r="G1107" s="2" t="s">
        <v>2442</v>
      </c>
      <c r="H1107" t="s">
        <v>26</v>
      </c>
      <c r="I1107" t="s">
        <v>27</v>
      </c>
      <c r="J1107" s="6">
        <v>15105</v>
      </c>
      <c r="K1107" s="16">
        <v>1016</v>
      </c>
      <c r="L1107" s="16">
        <v>1016</v>
      </c>
      <c r="M1107" s="16">
        <v>1042</v>
      </c>
      <c r="N1107" s="16">
        <v>1020</v>
      </c>
      <c r="O1107" s="16">
        <v>1001</v>
      </c>
      <c r="P1107" s="16">
        <v>1002</v>
      </c>
      <c r="Q1107" s="16">
        <v>1031</v>
      </c>
      <c r="R1107" s="16">
        <v>1029</v>
      </c>
      <c r="S1107" s="16">
        <v>1011</v>
      </c>
      <c r="T1107" s="16">
        <v>1064</v>
      </c>
      <c r="U1107" s="15">
        <v>1023.2</v>
      </c>
      <c r="V1107" t="s">
        <v>19</v>
      </c>
      <c r="W1107" t="s">
        <v>28</v>
      </c>
      <c r="X1107">
        <v>682</v>
      </c>
      <c r="Y1107" s="16">
        <f>VLOOKUP(Tabela1[[#This Row],[SKU]],SKU!A:D,4,0)</f>
        <v>1000</v>
      </c>
      <c r="Z1107" s="18">
        <f>IFERROR((Tabela1[[#This Row],[Média]]-Tabela1[[#This Row],[Meta]])/Tabela1[[#This Row],[Meta]],"")</f>
        <v>2.3200000000000047E-2</v>
      </c>
      <c r="AA1107" s="31">
        <f>Tabela1[[#This Row],[Média]]-Tabela1[[#This Row],[Meta]]</f>
        <v>23.200000000000045</v>
      </c>
      <c r="AB1107" s="6" t="str">
        <f>VLOOKUP(Tabela1[[#This Row],[SKU]],SKU!A:B,2,0)</f>
        <v>FILE PEITO MET CG BDJ SE</v>
      </c>
      <c r="AC1107" s="6" t="str">
        <f>VLOOKUP(Tabela1[[#This Row],[SKU]],SKU!A:C,3,0)</f>
        <v>PEITO</v>
      </c>
    </row>
    <row r="1108" spans="1:29" x14ac:dyDescent="0.3">
      <c r="A1108" s="2">
        <f>INT(Tabela1[[#This Row],[Data e Hora2]])</f>
        <v>46290</v>
      </c>
      <c r="B1108" s="6" t="str">
        <f>UPPER(TEXT(Tabela1[[#This Row],[Data Corrigida]],"MMM"))</f>
        <v>SET</v>
      </c>
      <c r="C1108" t="s">
        <v>2449</v>
      </c>
      <c r="D1108" s="2" t="s">
        <v>2450</v>
      </c>
      <c r="E1108" s="1" t="s">
        <v>2441</v>
      </c>
      <c r="F1108" t="s">
        <v>24</v>
      </c>
      <c r="G1108" s="2" t="s">
        <v>2442</v>
      </c>
      <c r="H1108" t="s">
        <v>26</v>
      </c>
      <c r="I1108" t="s">
        <v>27</v>
      </c>
      <c r="J1108" s="6">
        <v>40762</v>
      </c>
      <c r="K1108" s="16">
        <v>10045</v>
      </c>
      <c r="L1108" s="16">
        <v>9990</v>
      </c>
      <c r="M1108" s="16">
        <v>10035</v>
      </c>
      <c r="N1108" s="16">
        <v>10015</v>
      </c>
      <c r="O1108" s="16">
        <v>10055</v>
      </c>
      <c r="P1108" s="16">
        <v>9940</v>
      </c>
      <c r="Q1108" s="16">
        <v>9995</v>
      </c>
      <c r="R1108" s="16">
        <v>10055</v>
      </c>
      <c r="S1108" s="16">
        <v>10065</v>
      </c>
      <c r="T1108" s="16">
        <v>10015</v>
      </c>
      <c r="U1108" s="15">
        <v>10021</v>
      </c>
      <c r="V1108" t="s">
        <v>19</v>
      </c>
      <c r="W1108" t="s">
        <v>28</v>
      </c>
      <c r="X1108">
        <v>204</v>
      </c>
      <c r="Y1108" s="16">
        <f>VLOOKUP(Tabela1[[#This Row],[SKU]],SKU!A:D,4,0)</f>
        <v>10000</v>
      </c>
      <c r="Z1108" s="18">
        <f>IFERROR((Tabela1[[#This Row],[Média]]-Tabela1[[#This Row],[Meta]])/Tabela1[[#This Row],[Meta]],"")</f>
        <v>2.0999999999999999E-3</v>
      </c>
      <c r="AA1108" s="31">
        <f>Tabela1[[#This Row],[Média]]-Tabela1[[#This Row],[Meta]]</f>
        <v>21</v>
      </c>
      <c r="AB1108" s="6" t="str">
        <f>VLOOKUP(Tabela1[[#This Row],[SKU]],SKU!A:B,2,0)</f>
        <v>COXA SBCX LQ FG LP</v>
      </c>
      <c r="AC1108" s="6" t="str">
        <f>VLOOKUP(Tabela1[[#This Row],[SKU]],SKU!A:C,3,0)</f>
        <v>PERNA</v>
      </c>
    </row>
    <row r="1109" spans="1:29" x14ac:dyDescent="0.3">
      <c r="A1109" s="2">
        <f>INT(Tabela1[[#This Row],[Data e Hora2]])</f>
        <v>46290</v>
      </c>
      <c r="B1109" s="6" t="str">
        <f>UPPER(TEXT(Tabela1[[#This Row],[Data Corrigida]],"MMM"))</f>
        <v>SET</v>
      </c>
      <c r="C1109" t="s">
        <v>2451</v>
      </c>
      <c r="D1109" s="2" t="s">
        <v>2452</v>
      </c>
      <c r="E1109" s="1" t="s">
        <v>2441</v>
      </c>
      <c r="F1109" t="s">
        <v>24</v>
      </c>
      <c r="G1109" s="2" t="s">
        <v>2442</v>
      </c>
      <c r="H1109" t="s">
        <v>26</v>
      </c>
      <c r="I1109" t="s">
        <v>27</v>
      </c>
      <c r="J1109" s="6">
        <v>792799</v>
      </c>
      <c r="K1109" s="16">
        <v>15070</v>
      </c>
      <c r="L1109" s="16">
        <v>15020</v>
      </c>
      <c r="M1109" s="16">
        <v>15005</v>
      </c>
      <c r="N1109" s="16">
        <v>15030</v>
      </c>
      <c r="O1109" s="16">
        <v>15040</v>
      </c>
      <c r="P1109" s="16">
        <v>15030</v>
      </c>
      <c r="Q1109" s="16">
        <v>15030</v>
      </c>
      <c r="R1109" s="16">
        <v>15000</v>
      </c>
      <c r="S1109" s="16">
        <v>15025</v>
      </c>
      <c r="T1109" s="16">
        <v>15045</v>
      </c>
      <c r="U1109" s="15">
        <v>15029.5</v>
      </c>
      <c r="V1109" t="s">
        <v>19</v>
      </c>
      <c r="W1109" t="s">
        <v>19</v>
      </c>
      <c r="X1109">
        <v>252</v>
      </c>
      <c r="Y1109" s="16">
        <f>VLOOKUP(Tabela1[[#This Row],[SKU]],SKU!A:D,4,0)</f>
        <v>15000</v>
      </c>
      <c r="Z1109" s="18">
        <f>IFERROR((Tabela1[[#This Row],[Média]]-Tabela1[[#This Row],[Meta]])/Tabela1[[#This Row],[Meta]],"")</f>
        <v>1.9666666666666665E-3</v>
      </c>
      <c r="AA1109" s="31">
        <f>Tabela1[[#This Row],[Média]]-Tabela1[[#This Row],[Meta]]</f>
        <v>29.5</v>
      </c>
      <c r="AB1109" s="6" t="str">
        <f>VLOOKUP(Tabela1[[#This Row],[SKU]],SKU!A:B,2,0)</f>
        <v>ASAS FG 100g UP LP</v>
      </c>
      <c r="AC1109" s="6" t="str">
        <f>VLOOKUP(Tabela1[[#This Row],[SKU]],SKU!A:C,3,0)</f>
        <v>ASA</v>
      </c>
    </row>
    <row r="1110" spans="1:29" x14ac:dyDescent="0.3">
      <c r="A1110" s="2">
        <f>INT(Tabela1[[#This Row],[Data e Hora2]])</f>
        <v>46290</v>
      </c>
      <c r="B1110" s="6" t="str">
        <f>UPPER(TEXT(Tabela1[[#This Row],[Data Corrigida]],"MMM"))</f>
        <v>SET</v>
      </c>
      <c r="C1110" t="s">
        <v>2453</v>
      </c>
      <c r="D1110" s="2" t="s">
        <v>2454</v>
      </c>
      <c r="E1110" s="1" t="s">
        <v>2441</v>
      </c>
      <c r="F1110" t="s">
        <v>24</v>
      </c>
      <c r="G1110" s="2" t="s">
        <v>2442</v>
      </c>
      <c r="H1110" t="s">
        <v>26</v>
      </c>
      <c r="I1110" t="s">
        <v>27</v>
      </c>
      <c r="J1110" s="6">
        <v>992093</v>
      </c>
      <c r="K1110" s="16">
        <v>5009</v>
      </c>
      <c r="L1110" s="16">
        <v>5010</v>
      </c>
      <c r="M1110" s="16">
        <v>5010</v>
      </c>
      <c r="N1110" s="16">
        <v>5004</v>
      </c>
      <c r="O1110" s="16">
        <v>5010</v>
      </c>
      <c r="P1110" s="16">
        <v>5008</v>
      </c>
      <c r="Q1110" s="16">
        <v>5016</v>
      </c>
      <c r="R1110" s="16">
        <v>5005</v>
      </c>
      <c r="S1110" s="16">
        <v>5005</v>
      </c>
      <c r="T1110" s="16">
        <v>5006</v>
      </c>
      <c r="U1110" s="15">
        <v>5008.3</v>
      </c>
      <c r="V1110" t="s">
        <v>19</v>
      </c>
      <c r="W1110" t="s">
        <v>28</v>
      </c>
      <c r="X1110">
        <v>148</v>
      </c>
      <c r="Y1110" s="16">
        <f>VLOOKUP(Tabela1[[#This Row],[SKU]],SKU!A:D,4,0)</f>
        <v>5000</v>
      </c>
      <c r="Z1110" s="18">
        <f>IFERROR((Tabela1[[#This Row],[Média]]-Tabela1[[#This Row],[Meta]])/Tabela1[[#This Row],[Meta]],"")</f>
        <v>1.6600000000000364E-3</v>
      </c>
      <c r="AA1110" s="31">
        <f>Tabela1[[#This Row],[Média]]-Tabela1[[#This Row],[Meta]]</f>
        <v>8.3000000000001819</v>
      </c>
      <c r="AB1110" s="6" t="str">
        <f>VLOOKUP(Tabela1[[#This Row],[SKU]],SKU!A:B,2,0)</f>
        <v>PONTA ASA FG PB CG</v>
      </c>
      <c r="AC1110" s="6" t="str">
        <f>VLOOKUP(Tabela1[[#This Row],[SKU]],SKU!A:C,3,0)</f>
        <v>ASA</v>
      </c>
    </row>
    <row r="1111" spans="1:29" x14ac:dyDescent="0.3">
      <c r="A1111" s="2">
        <f>INT(Tabela1[[#This Row],[Data e Hora2]])</f>
        <v>46290</v>
      </c>
      <c r="B1111" s="6" t="str">
        <f>UPPER(TEXT(Tabela1[[#This Row],[Data Corrigida]],"MMM"))</f>
        <v>SET</v>
      </c>
      <c r="C1111" t="s">
        <v>2455</v>
      </c>
      <c r="D1111" s="2" t="s">
        <v>2456</v>
      </c>
      <c r="E1111" s="1" t="s">
        <v>2441</v>
      </c>
      <c r="F1111" t="s">
        <v>24</v>
      </c>
      <c r="G1111" s="2" t="s">
        <v>2442</v>
      </c>
      <c r="H1111" t="s">
        <v>26</v>
      </c>
      <c r="I1111" t="s">
        <v>27</v>
      </c>
      <c r="J1111" s="6">
        <v>42846</v>
      </c>
      <c r="K1111" s="16">
        <v>2022</v>
      </c>
      <c r="L1111" s="16">
        <v>2011</v>
      </c>
      <c r="M1111" s="16">
        <v>2006</v>
      </c>
      <c r="N1111" s="16">
        <v>2009</v>
      </c>
      <c r="O1111" s="16">
        <v>1983</v>
      </c>
      <c r="P1111" s="16">
        <v>1997</v>
      </c>
      <c r="Q1111" s="16">
        <v>1969</v>
      </c>
      <c r="R1111" s="16">
        <v>2012</v>
      </c>
      <c r="S1111" s="16">
        <v>2029</v>
      </c>
      <c r="T1111" s="16">
        <v>2042</v>
      </c>
      <c r="U1111" s="15">
        <v>2008</v>
      </c>
      <c r="V1111" t="s">
        <v>19</v>
      </c>
      <c r="W1111" t="s">
        <v>19</v>
      </c>
      <c r="X1111">
        <v>1455</v>
      </c>
      <c r="Y1111" s="16">
        <f>VLOOKUP(Tabela1[[#This Row],[SKU]],SKU!A:D,4,0)</f>
        <v>2000</v>
      </c>
      <c r="Z1111" s="18">
        <f>IFERROR((Tabela1[[#This Row],[Média]]-Tabela1[[#This Row],[Meta]])/Tabela1[[#This Row],[Meta]],"")</f>
        <v>4.0000000000000001E-3</v>
      </c>
      <c r="AA1111" s="31">
        <f>Tabela1[[#This Row],[Média]]-Tabela1[[#This Row],[Meta]]</f>
        <v>8</v>
      </c>
      <c r="AB1111" s="6" t="str">
        <f>VLOOKUP(Tabela1[[#This Row],[SKU]],SKU!A:B,2,0)</f>
        <v>COXA SBCX S/O FG 240-260g PB</v>
      </c>
      <c r="AC1111" s="6" t="str">
        <f>VLOOKUP(Tabela1[[#This Row],[SKU]],SKU!A:C,3,0)</f>
        <v>PERNA</v>
      </c>
    </row>
    <row r="1112" spans="1:29" x14ac:dyDescent="0.3">
      <c r="A1112" s="2">
        <f>INT(Tabela1[[#This Row],[Data e Hora2]])</f>
        <v>46290</v>
      </c>
      <c r="B1112" s="6" t="str">
        <f>UPPER(TEXT(Tabela1[[#This Row],[Data Corrigida]],"MMM"))</f>
        <v>SET</v>
      </c>
      <c r="C1112" t="s">
        <v>2457</v>
      </c>
      <c r="D1112" s="2" t="s">
        <v>2458</v>
      </c>
      <c r="E1112" s="1" t="s">
        <v>2459</v>
      </c>
      <c r="F1112" t="s">
        <v>24</v>
      </c>
      <c r="G1112" s="2" t="s">
        <v>2442</v>
      </c>
      <c r="H1112" t="s">
        <v>26</v>
      </c>
      <c r="I1112" t="s">
        <v>27</v>
      </c>
      <c r="J1112" s="6">
        <v>42838</v>
      </c>
      <c r="K1112" s="16">
        <v>2009</v>
      </c>
      <c r="L1112" s="16">
        <v>2050</v>
      </c>
      <c r="M1112" s="16">
        <v>2028</v>
      </c>
      <c r="N1112" s="16">
        <v>2064</v>
      </c>
      <c r="O1112" s="16">
        <v>2028</v>
      </c>
      <c r="P1112" s="16">
        <v>2017</v>
      </c>
      <c r="Q1112" s="16">
        <v>2040</v>
      </c>
      <c r="R1112" s="16">
        <v>2007</v>
      </c>
      <c r="S1112" s="16">
        <v>2072</v>
      </c>
      <c r="T1112" s="16">
        <v>2044</v>
      </c>
      <c r="U1112" s="15">
        <v>2035.9</v>
      </c>
      <c r="V1112" t="s">
        <v>19</v>
      </c>
      <c r="W1112" t="s">
        <v>28</v>
      </c>
      <c r="X1112">
        <v>146</v>
      </c>
      <c r="Y1112" s="16">
        <f>VLOOKUP(Tabela1[[#This Row],[SKU]],SKU!A:D,4,0)</f>
        <v>2000</v>
      </c>
      <c r="Z1112" s="18">
        <f>IFERROR((Tabela1[[#This Row],[Média]]-Tabela1[[#This Row],[Meta]])/Tabela1[[#This Row],[Meta]],"")</f>
        <v>1.7950000000000046E-2</v>
      </c>
      <c r="AA1112" s="31">
        <f>Tabela1[[#This Row],[Média]]-Tabela1[[#This Row],[Meta]]</f>
        <v>35.900000000000091</v>
      </c>
      <c r="AB1112" s="6" t="str">
        <f>VLOOKUP(Tabela1[[#This Row],[SKU]],SKU!A:B,2,0)</f>
        <v>COXA SBCX S/O FG 220-240g PB</v>
      </c>
      <c r="AC1112" s="6" t="str">
        <f>VLOOKUP(Tabela1[[#This Row],[SKU]],SKU!A:C,3,0)</f>
        <v>PERNA</v>
      </c>
    </row>
    <row r="1113" spans="1:29" x14ac:dyDescent="0.3">
      <c r="A1113" s="2">
        <f>INT(Tabela1[[#This Row],[Data e Hora2]])</f>
        <v>46290</v>
      </c>
      <c r="B1113" s="6" t="str">
        <f>UPPER(TEXT(Tabela1[[#This Row],[Data Corrigida]],"MMM"))</f>
        <v>SET</v>
      </c>
      <c r="C1113" t="s">
        <v>2460</v>
      </c>
      <c r="D1113" s="2" t="s">
        <v>2461</v>
      </c>
      <c r="E1113" s="1" t="s">
        <v>2459</v>
      </c>
      <c r="F1113" t="s">
        <v>24</v>
      </c>
      <c r="G1113" s="2" t="s">
        <v>2442</v>
      </c>
      <c r="H1113" t="s">
        <v>26</v>
      </c>
      <c r="I1113" t="s">
        <v>27</v>
      </c>
      <c r="J1113" s="6">
        <v>42820</v>
      </c>
      <c r="K1113" s="16">
        <v>2051</v>
      </c>
      <c r="L1113" s="16">
        <v>2003</v>
      </c>
      <c r="M1113" s="16">
        <v>2009</v>
      </c>
      <c r="N1113" s="16">
        <v>2003</v>
      </c>
      <c r="O1113" s="16">
        <v>2077</v>
      </c>
      <c r="P1113" s="16">
        <v>2041</v>
      </c>
      <c r="Q1113" s="16">
        <v>2000</v>
      </c>
      <c r="R1113" s="16">
        <v>2011</v>
      </c>
      <c r="S1113" s="16">
        <v>2005</v>
      </c>
      <c r="T1113" s="16">
        <v>2048</v>
      </c>
      <c r="U1113" s="15">
        <v>2024.8</v>
      </c>
      <c r="V1113" t="s">
        <v>19</v>
      </c>
      <c r="W1113" t="s">
        <v>19</v>
      </c>
      <c r="X1113">
        <v>184</v>
      </c>
      <c r="Y1113" s="16">
        <f>VLOOKUP(Tabela1[[#This Row],[SKU]],SKU!A:D,4,0)</f>
        <v>2000</v>
      </c>
      <c r="Z1113" s="18">
        <f>IFERROR((Tabela1[[#This Row],[Média]]-Tabela1[[#This Row],[Meta]])/Tabela1[[#This Row],[Meta]],"")</f>
        <v>1.2399999999999977E-2</v>
      </c>
      <c r="AA1113" s="31">
        <f>Tabela1[[#This Row],[Média]]-Tabela1[[#This Row],[Meta]]</f>
        <v>24.799999999999955</v>
      </c>
      <c r="AB1113" s="6" t="str">
        <f>VLOOKUP(Tabela1[[#This Row],[SKU]],SKU!A:B,2,0)</f>
        <v>COXA SBCX S/O FG 200-220g PB</v>
      </c>
      <c r="AC1113" s="6" t="str">
        <f>VLOOKUP(Tabela1[[#This Row],[SKU]],SKU!A:C,3,0)</f>
        <v>PERNA</v>
      </c>
    </row>
    <row r="1114" spans="1:29" x14ac:dyDescent="0.3">
      <c r="A1114" s="2">
        <f>INT(Tabela1[[#This Row],[Data e Hora2]])</f>
        <v>46290</v>
      </c>
      <c r="B1114" s="6" t="str">
        <f>UPPER(TEXT(Tabela1[[#This Row],[Data Corrigida]],"MMM"))</f>
        <v>SET</v>
      </c>
      <c r="C1114" t="s">
        <v>2462</v>
      </c>
      <c r="D1114" s="2" t="s">
        <v>2463</v>
      </c>
      <c r="E1114" s="1" t="s">
        <v>2459</v>
      </c>
      <c r="F1114" t="s">
        <v>24</v>
      </c>
      <c r="G1114" s="2" t="s">
        <v>2442</v>
      </c>
      <c r="H1114" t="s">
        <v>26</v>
      </c>
      <c r="I1114" t="s">
        <v>27</v>
      </c>
      <c r="J1114" s="6">
        <v>42862</v>
      </c>
      <c r="K1114" s="16">
        <v>2009</v>
      </c>
      <c r="L1114" s="16">
        <v>2022</v>
      </c>
      <c r="M1114" s="16">
        <v>2025</v>
      </c>
      <c r="N1114" s="16">
        <v>2017</v>
      </c>
      <c r="O1114" s="16">
        <v>2003</v>
      </c>
      <c r="P1114" s="16">
        <v>2039</v>
      </c>
      <c r="Q1114" s="16">
        <v>2034</v>
      </c>
      <c r="R1114" s="16">
        <v>2007</v>
      </c>
      <c r="S1114" s="16">
        <v>2004</v>
      </c>
      <c r="T1114" s="16">
        <v>2060</v>
      </c>
      <c r="U1114" s="15">
        <v>2022</v>
      </c>
      <c r="V1114" t="s">
        <v>19</v>
      </c>
      <c r="W1114" t="s">
        <v>28</v>
      </c>
      <c r="X1114">
        <v>104</v>
      </c>
      <c r="Y1114" s="16">
        <f>VLOOKUP(Tabela1[[#This Row],[SKU]],SKU!A:D,4,0)</f>
        <v>2000</v>
      </c>
      <c r="Z1114" s="18">
        <f>IFERROR((Tabela1[[#This Row],[Média]]-Tabela1[[#This Row],[Meta]])/Tabela1[[#This Row],[Meta]],"")</f>
        <v>1.0999999999999999E-2</v>
      </c>
      <c r="AA1114" s="31">
        <f>Tabela1[[#This Row],[Média]]-Tabela1[[#This Row],[Meta]]</f>
        <v>22</v>
      </c>
      <c r="AB1114" s="6" t="str">
        <f>VLOOKUP(Tabela1[[#This Row],[SKU]],SKU!A:B,2,0)</f>
        <v>COXA SBCX S/O FG 280-300g PB</v>
      </c>
      <c r="AC1114" s="6" t="str">
        <f>VLOOKUP(Tabela1[[#This Row],[SKU]],SKU!A:C,3,0)</f>
        <v>PERNA</v>
      </c>
    </row>
    <row r="1115" spans="1:29" x14ac:dyDescent="0.3">
      <c r="A1115" s="2">
        <f>INT(Tabela1[[#This Row],[Data e Hora2]])</f>
        <v>46290</v>
      </c>
      <c r="B1115" s="6" t="str">
        <f>UPPER(TEXT(Tabela1[[#This Row],[Data Corrigida]],"MMM"))</f>
        <v>SET</v>
      </c>
      <c r="C1115" t="s">
        <v>2464</v>
      </c>
      <c r="D1115" s="2" t="s">
        <v>2465</v>
      </c>
      <c r="E1115" s="1" t="s">
        <v>2459</v>
      </c>
      <c r="F1115" t="s">
        <v>24</v>
      </c>
      <c r="G1115" s="2" t="s">
        <v>2442</v>
      </c>
      <c r="H1115" t="s">
        <v>26</v>
      </c>
      <c r="I1115" t="s">
        <v>27</v>
      </c>
      <c r="J1115" s="6">
        <v>42854</v>
      </c>
      <c r="K1115" s="16">
        <v>2091</v>
      </c>
      <c r="L1115" s="16">
        <v>2100</v>
      </c>
      <c r="M1115" s="16">
        <v>2097</v>
      </c>
      <c r="N1115" s="16">
        <v>2076</v>
      </c>
      <c r="O1115" s="16">
        <v>2095</v>
      </c>
      <c r="P1115" s="16">
        <v>2057</v>
      </c>
      <c r="Q1115" s="16">
        <v>2100</v>
      </c>
      <c r="R1115" s="16">
        <v>2117</v>
      </c>
      <c r="S1115" s="16">
        <v>2103</v>
      </c>
      <c r="T1115" s="16">
        <v>2095</v>
      </c>
      <c r="U1115" s="15">
        <v>2093.1</v>
      </c>
      <c r="V1115" t="s">
        <v>19</v>
      </c>
      <c r="W1115" t="s">
        <v>19</v>
      </c>
      <c r="X1115">
        <v>194</v>
      </c>
      <c r="Y1115" s="16">
        <f>VLOOKUP(Tabela1[[#This Row],[SKU]],SKU!A:D,4,0)</f>
        <v>2080</v>
      </c>
      <c r="Z1115" s="18">
        <f>IFERROR((Tabela1[[#This Row],[Média]]-Tabela1[[#This Row],[Meta]])/Tabela1[[#This Row],[Meta]],"")</f>
        <v>6.2980769230768794E-3</v>
      </c>
      <c r="AA1115" s="31">
        <f>Tabela1[[#This Row],[Média]]-Tabela1[[#This Row],[Meta]]</f>
        <v>13.099999999999909</v>
      </c>
      <c r="AB1115" s="6" t="str">
        <f>VLOOKUP(Tabela1[[#This Row],[SKU]],SKU!A:B,2,0)</f>
        <v>COXA SBCX S/O FG 260-280g PB</v>
      </c>
      <c r="AC1115" s="6" t="str">
        <f>VLOOKUP(Tabela1[[#This Row],[SKU]],SKU!A:C,3,0)</f>
        <v>PERNA</v>
      </c>
    </row>
    <row r="1116" spans="1:29" x14ac:dyDescent="0.3">
      <c r="A1116" s="2">
        <f>INT(Tabela1[[#This Row],[Data e Hora2]])</f>
        <v>46290</v>
      </c>
      <c r="B1116" s="6" t="str">
        <f>UPPER(TEXT(Tabela1[[#This Row],[Data Corrigida]],"MMM"))</f>
        <v>SET</v>
      </c>
      <c r="C1116" t="s">
        <v>2466</v>
      </c>
      <c r="D1116" s="2" t="s">
        <v>2467</v>
      </c>
      <c r="E1116" s="1" t="s">
        <v>2459</v>
      </c>
      <c r="F1116" t="s">
        <v>24</v>
      </c>
      <c r="G1116" s="2" t="s">
        <v>2442</v>
      </c>
      <c r="H1116" t="s">
        <v>26</v>
      </c>
      <c r="I1116" t="s">
        <v>27</v>
      </c>
      <c r="J1116" s="6">
        <v>40762</v>
      </c>
      <c r="K1116" s="16">
        <v>9940</v>
      </c>
      <c r="L1116" s="16">
        <v>9985</v>
      </c>
      <c r="M1116" s="16">
        <v>10040</v>
      </c>
      <c r="N1116" s="16">
        <v>10015</v>
      </c>
      <c r="O1116" s="16">
        <v>9980</v>
      </c>
      <c r="P1116" s="16">
        <v>10095</v>
      </c>
      <c r="Q1116" s="16">
        <v>10010</v>
      </c>
      <c r="R1116" s="16">
        <v>10030</v>
      </c>
      <c r="S1116" s="16">
        <v>9890</v>
      </c>
      <c r="T1116" s="16">
        <v>10065</v>
      </c>
      <c r="U1116" s="15">
        <v>10005</v>
      </c>
      <c r="V1116" t="s">
        <v>19</v>
      </c>
      <c r="W1116" t="s">
        <v>28</v>
      </c>
      <c r="X1116">
        <v>390</v>
      </c>
      <c r="Y1116" s="16">
        <f>VLOOKUP(Tabela1[[#This Row],[SKU]],SKU!A:D,4,0)</f>
        <v>10000</v>
      </c>
      <c r="Z1116" s="18">
        <f>IFERROR((Tabela1[[#This Row],[Média]]-Tabela1[[#This Row],[Meta]])/Tabela1[[#This Row],[Meta]],"")</f>
        <v>5.0000000000000001E-4</v>
      </c>
      <c r="AA1116" s="31">
        <f>Tabela1[[#This Row],[Média]]-Tabela1[[#This Row],[Meta]]</f>
        <v>5</v>
      </c>
      <c r="AB1116" s="6" t="str">
        <f>VLOOKUP(Tabela1[[#This Row],[SKU]],SKU!A:B,2,0)</f>
        <v>COXA SBCX LQ FG LP</v>
      </c>
      <c r="AC1116" s="6" t="str">
        <f>VLOOKUP(Tabela1[[#This Row],[SKU]],SKU!A:C,3,0)</f>
        <v>PERNA</v>
      </c>
    </row>
    <row r="1117" spans="1:29" x14ac:dyDescent="0.3">
      <c r="A1117" s="2">
        <f>INT(Tabela1[[#This Row],[Data e Hora2]])</f>
        <v>46290</v>
      </c>
      <c r="B1117" s="6" t="str">
        <f>UPPER(TEXT(Tabela1[[#This Row],[Data Corrigida]],"MMM"))</f>
        <v>SET</v>
      </c>
      <c r="C1117" t="s">
        <v>2468</v>
      </c>
      <c r="D1117" s="2" t="s">
        <v>2469</v>
      </c>
      <c r="E1117" s="1" t="s">
        <v>2459</v>
      </c>
      <c r="F1117" t="s">
        <v>24</v>
      </c>
      <c r="G1117" s="2" t="s">
        <v>2442</v>
      </c>
      <c r="H1117" t="s">
        <v>26</v>
      </c>
      <c r="I1117" t="s">
        <v>27</v>
      </c>
      <c r="J1117" s="6">
        <v>15849</v>
      </c>
      <c r="K1117" s="16">
        <v>991</v>
      </c>
      <c r="L1117" s="16">
        <v>1006</v>
      </c>
      <c r="M1117" s="16">
        <v>1015</v>
      </c>
      <c r="N1117" s="16">
        <v>1017</v>
      </c>
      <c r="O1117" s="16">
        <v>1011</v>
      </c>
      <c r="P1117" s="16">
        <v>997</v>
      </c>
      <c r="Q1117" s="16">
        <v>1001</v>
      </c>
      <c r="R1117" s="16">
        <v>1008</v>
      </c>
      <c r="S1117" s="16">
        <v>997</v>
      </c>
      <c r="T1117" s="16">
        <v>998</v>
      </c>
      <c r="U1117" s="15">
        <v>1004.1</v>
      </c>
      <c r="V1117" t="s">
        <v>19</v>
      </c>
      <c r="W1117" t="s">
        <v>19</v>
      </c>
      <c r="X1117">
        <v>174</v>
      </c>
      <c r="Y1117" s="16">
        <f>VLOOKUP(Tabela1[[#This Row],[SKU]],SKU!A:D,4,0)</f>
        <v>1000</v>
      </c>
      <c r="Z1117" s="18">
        <f>IFERROR((Tabela1[[#This Row],[Média]]-Tabela1[[#This Row],[Meta]])/Tabela1[[#This Row],[Meta]],"")</f>
        <v>4.1000000000000229E-3</v>
      </c>
      <c r="AA1117" s="31">
        <f>Tabela1[[#This Row],[Média]]-Tabela1[[#This Row],[Meta]]</f>
        <v>4.1000000000000227</v>
      </c>
      <c r="AB1117" s="6" t="str">
        <f>VLOOKUP(Tabela1[[#This Row],[SKU]],SKU!A:B,2,0)</f>
        <v>FILEZINHO PEITO CG BDJ SE</v>
      </c>
      <c r="AC1117" s="6" t="str">
        <f>VLOOKUP(Tabela1[[#This Row],[SKU]],SKU!A:C,3,0)</f>
        <v>SASSAMI</v>
      </c>
    </row>
    <row r="1118" spans="1:29" x14ac:dyDescent="0.3">
      <c r="A1118" s="2">
        <f>INT(Tabela1[[#This Row],[Data e Hora2]])</f>
        <v>46290</v>
      </c>
      <c r="B1118" s="6" t="str">
        <f>UPPER(TEXT(Tabela1[[#This Row],[Data Corrigida]],"MMM"))</f>
        <v>SET</v>
      </c>
      <c r="C1118" t="s">
        <v>2470</v>
      </c>
      <c r="D1118" s="2" t="s">
        <v>2471</v>
      </c>
      <c r="E1118" s="1" t="s">
        <v>2459</v>
      </c>
      <c r="F1118" t="s">
        <v>24</v>
      </c>
      <c r="G1118" s="2" t="s">
        <v>2442</v>
      </c>
      <c r="H1118" t="s">
        <v>26</v>
      </c>
      <c r="I1118" t="s">
        <v>27</v>
      </c>
      <c r="J1118" s="6">
        <v>15105</v>
      </c>
      <c r="K1118" s="16">
        <v>995</v>
      </c>
      <c r="L1118" s="16">
        <v>1019</v>
      </c>
      <c r="M1118" s="16">
        <v>1050</v>
      </c>
      <c r="N1118" s="16">
        <v>1007</v>
      </c>
      <c r="O1118" s="16">
        <v>986</v>
      </c>
      <c r="P1118" s="16">
        <v>995</v>
      </c>
      <c r="Q1118" s="16">
        <v>1012</v>
      </c>
      <c r="R1118" s="16">
        <v>761</v>
      </c>
      <c r="S1118" s="16">
        <v>1006</v>
      </c>
      <c r="T1118" s="16">
        <v>997</v>
      </c>
      <c r="U1118" s="15">
        <v>982.8</v>
      </c>
      <c r="V1118" t="s">
        <v>19</v>
      </c>
      <c r="W1118" t="s">
        <v>28</v>
      </c>
      <c r="X1118">
        <v>240</v>
      </c>
      <c r="Y1118" s="16">
        <f>VLOOKUP(Tabela1[[#This Row],[SKU]],SKU!A:D,4,0)</f>
        <v>1000</v>
      </c>
      <c r="Z1118" s="18">
        <f>IFERROR((Tabela1[[#This Row],[Média]]-Tabela1[[#This Row],[Meta]])/Tabela1[[#This Row],[Meta]],"")</f>
        <v>-1.7200000000000045E-2</v>
      </c>
      <c r="AA1118" s="31">
        <f>Tabela1[[#This Row],[Média]]-Tabela1[[#This Row],[Meta]]</f>
        <v>-17.200000000000045</v>
      </c>
      <c r="AB1118" s="6" t="str">
        <f>VLOOKUP(Tabela1[[#This Row],[SKU]],SKU!A:B,2,0)</f>
        <v>FILE PEITO MET CG BDJ SE</v>
      </c>
      <c r="AC1118" s="6" t="str">
        <f>VLOOKUP(Tabela1[[#This Row],[SKU]],SKU!A:C,3,0)</f>
        <v>PEITO</v>
      </c>
    </row>
    <row r="1119" spans="1:29" x14ac:dyDescent="0.3">
      <c r="A1119" s="2">
        <f>INT(Tabela1[[#This Row],[Data e Hora2]])</f>
        <v>46290</v>
      </c>
      <c r="B1119" s="6" t="str">
        <f>UPPER(TEXT(Tabela1[[#This Row],[Data Corrigida]],"MMM"))</f>
        <v>SET</v>
      </c>
      <c r="C1119" t="s">
        <v>2472</v>
      </c>
      <c r="D1119" s="2" t="s">
        <v>2473</v>
      </c>
      <c r="E1119" s="1" t="s">
        <v>2474</v>
      </c>
      <c r="F1119" t="s">
        <v>24</v>
      </c>
      <c r="G1119" s="2" t="s">
        <v>2442</v>
      </c>
      <c r="H1119" t="s">
        <v>26</v>
      </c>
      <c r="I1119" t="s">
        <v>57</v>
      </c>
      <c r="J1119" s="6">
        <v>209099</v>
      </c>
      <c r="K1119" s="16">
        <v>989</v>
      </c>
      <c r="L1119" s="16">
        <v>1084</v>
      </c>
      <c r="M1119" s="16">
        <v>1016</v>
      </c>
      <c r="N1119" s="16">
        <v>994</v>
      </c>
      <c r="O1119" s="16">
        <v>1005</v>
      </c>
      <c r="P1119" s="16">
        <v>1018</v>
      </c>
      <c r="Q1119" s="16">
        <v>996</v>
      </c>
      <c r="R1119" s="16">
        <v>997</v>
      </c>
      <c r="S1119" s="16">
        <v>1004</v>
      </c>
      <c r="T1119" s="16">
        <v>986</v>
      </c>
      <c r="U1119" s="15">
        <v>1008.9</v>
      </c>
      <c r="V1119" t="s">
        <v>19</v>
      </c>
      <c r="W1119" t="s">
        <v>28</v>
      </c>
      <c r="X1119">
        <v>241</v>
      </c>
      <c r="Y1119" s="16">
        <f>VLOOKUP(Tabela1[[#This Row],[SKU]],SKU!A:D,4,0)</f>
        <v>1000</v>
      </c>
      <c r="Z1119" s="18">
        <f>IFERROR((Tabela1[[#This Row],[Média]]-Tabela1[[#This Row],[Meta]])/Tabela1[[#This Row],[Meta]],"")</f>
        <v>8.8999999999999774E-3</v>
      </c>
      <c r="AA1119" s="31">
        <f>Tabela1[[#This Row],[Média]]-Tabela1[[#This Row],[Meta]]</f>
        <v>8.8999999999999773</v>
      </c>
      <c r="AB1119" s="6" t="str">
        <f>VLOOKUP(Tabela1[[#This Row],[SKU]],SKU!A:B,2,0)</f>
        <v>FILE DE SOBRECOXA IQF</v>
      </c>
      <c r="AC1119" s="6" t="str">
        <f>VLOOKUP(Tabela1[[#This Row],[SKU]],SKU!A:C,3,0)</f>
        <v>PERNA</v>
      </c>
    </row>
    <row r="1120" spans="1:29" x14ac:dyDescent="0.3">
      <c r="A1120" s="2">
        <f>INT(Tabela1[[#This Row],[Data e Hora2]])</f>
        <v>46290</v>
      </c>
      <c r="B1120" s="6" t="str">
        <f>UPPER(TEXT(Tabela1[[#This Row],[Data Corrigida]],"MMM"))</f>
        <v>SET</v>
      </c>
      <c r="C1120" t="s">
        <v>2475</v>
      </c>
      <c r="D1120" s="2" t="s">
        <v>2476</v>
      </c>
      <c r="E1120" s="1" t="s">
        <v>2477</v>
      </c>
      <c r="F1120" t="s">
        <v>24</v>
      </c>
      <c r="G1120" s="2" t="s">
        <v>2442</v>
      </c>
      <c r="H1120" t="s">
        <v>26</v>
      </c>
      <c r="I1120" t="s">
        <v>57</v>
      </c>
      <c r="J1120" s="6">
        <v>42854</v>
      </c>
      <c r="K1120" s="16">
        <v>1987</v>
      </c>
      <c r="L1120" s="16">
        <v>2094</v>
      </c>
      <c r="M1120" s="16">
        <v>2090</v>
      </c>
      <c r="N1120" s="16">
        <v>2019</v>
      </c>
      <c r="O1120" s="16">
        <v>2095</v>
      </c>
      <c r="P1120" s="16">
        <v>2085</v>
      </c>
      <c r="Q1120" s="16">
        <v>2104</v>
      </c>
      <c r="R1120" s="16">
        <v>2099</v>
      </c>
      <c r="S1120" s="16">
        <v>2096</v>
      </c>
      <c r="T1120" s="16">
        <v>2056</v>
      </c>
      <c r="U1120" s="15">
        <v>2072.5</v>
      </c>
      <c r="V1120" t="s">
        <v>19</v>
      </c>
      <c r="W1120" t="s">
        <v>28</v>
      </c>
      <c r="X1120">
        <v>297</v>
      </c>
      <c r="Y1120" s="16">
        <f>VLOOKUP(Tabela1[[#This Row],[SKU]],SKU!A:D,4,0)</f>
        <v>2080</v>
      </c>
      <c r="Z1120" s="18">
        <f>IFERROR((Tabela1[[#This Row],[Média]]-Tabela1[[#This Row],[Meta]])/Tabela1[[#This Row],[Meta]],"")</f>
        <v>-3.605769230769231E-3</v>
      </c>
      <c r="AA1120" s="31">
        <f>Tabela1[[#This Row],[Média]]-Tabela1[[#This Row],[Meta]]</f>
        <v>-7.5</v>
      </c>
      <c r="AB1120" s="6" t="str">
        <f>VLOOKUP(Tabela1[[#This Row],[SKU]],SKU!A:B,2,0)</f>
        <v>COXA SBCX S/O FG 260-280g PB</v>
      </c>
      <c r="AC1120" s="6" t="str">
        <f>VLOOKUP(Tabela1[[#This Row],[SKU]],SKU!A:C,3,0)</f>
        <v>PERNA</v>
      </c>
    </row>
    <row r="1121" spans="1:29" x14ac:dyDescent="0.3">
      <c r="A1121" s="2">
        <f>INT(Tabela1[[#This Row],[Data e Hora2]])</f>
        <v>46290</v>
      </c>
      <c r="B1121" s="6" t="str">
        <f>UPPER(TEXT(Tabela1[[#This Row],[Data Corrigida]],"MMM"))</f>
        <v>SET</v>
      </c>
      <c r="C1121" t="s">
        <v>2478</v>
      </c>
      <c r="D1121" s="2" t="s">
        <v>2479</v>
      </c>
      <c r="E1121" s="1" t="s">
        <v>2477</v>
      </c>
      <c r="F1121" t="s">
        <v>24</v>
      </c>
      <c r="G1121" s="2" t="s">
        <v>2442</v>
      </c>
      <c r="H1121" t="s">
        <v>26</v>
      </c>
      <c r="I1121" t="s">
        <v>57</v>
      </c>
      <c r="J1121" s="6">
        <v>42862</v>
      </c>
      <c r="K1121" s="16">
        <v>2052</v>
      </c>
      <c r="L1121" s="16">
        <v>2011</v>
      </c>
      <c r="M1121" s="16">
        <v>2053</v>
      </c>
      <c r="N1121" s="16">
        <v>2063</v>
      </c>
      <c r="O1121" s="16">
        <v>2017</v>
      </c>
      <c r="P1121" s="16">
        <v>2029</v>
      </c>
      <c r="Q1121" s="16">
        <v>2018</v>
      </c>
      <c r="R1121" s="16">
        <v>2031</v>
      </c>
      <c r="S1121" s="16">
        <v>2002</v>
      </c>
      <c r="T1121" s="16">
        <v>2027</v>
      </c>
      <c r="U1121" s="15">
        <v>2030.3</v>
      </c>
      <c r="V1121" t="s">
        <v>19</v>
      </c>
      <c r="W1121" t="s">
        <v>28</v>
      </c>
      <c r="X1121">
        <v>753</v>
      </c>
      <c r="Y1121" s="16">
        <f>VLOOKUP(Tabela1[[#This Row],[SKU]],SKU!A:D,4,0)</f>
        <v>2000</v>
      </c>
      <c r="Z1121" s="18">
        <f>IFERROR((Tabela1[[#This Row],[Média]]-Tabela1[[#This Row],[Meta]])/Tabela1[[#This Row],[Meta]],"")</f>
        <v>1.5149999999999978E-2</v>
      </c>
      <c r="AA1121" s="31">
        <f>Tabela1[[#This Row],[Média]]-Tabela1[[#This Row],[Meta]]</f>
        <v>30.299999999999955</v>
      </c>
      <c r="AB1121" s="6" t="str">
        <f>VLOOKUP(Tabela1[[#This Row],[SKU]],SKU!A:B,2,0)</f>
        <v>COXA SBCX S/O FG 280-300g PB</v>
      </c>
      <c r="AC1121" s="6" t="str">
        <f>VLOOKUP(Tabela1[[#This Row],[SKU]],SKU!A:C,3,0)</f>
        <v>PERNA</v>
      </c>
    </row>
    <row r="1122" spans="1:29" x14ac:dyDescent="0.3">
      <c r="A1122" s="2">
        <f>INT(Tabela1[[#This Row],[Data e Hora2]])</f>
        <v>46290</v>
      </c>
      <c r="B1122" s="6" t="str">
        <f>UPPER(TEXT(Tabela1[[#This Row],[Data Corrigida]],"MMM"))</f>
        <v>SET</v>
      </c>
      <c r="C1122" t="s">
        <v>2480</v>
      </c>
      <c r="D1122" s="2" t="s">
        <v>2481</v>
      </c>
      <c r="E1122" s="1" t="s">
        <v>2477</v>
      </c>
      <c r="F1122" t="s">
        <v>24</v>
      </c>
      <c r="G1122" s="2" t="s">
        <v>2442</v>
      </c>
      <c r="H1122" t="s">
        <v>26</v>
      </c>
      <c r="I1122" t="s">
        <v>57</v>
      </c>
      <c r="J1122" s="6">
        <v>40762</v>
      </c>
      <c r="K1122" s="16">
        <v>10065</v>
      </c>
      <c r="L1122" s="16">
        <v>10075</v>
      </c>
      <c r="M1122" s="16">
        <v>10035</v>
      </c>
      <c r="N1122" s="16">
        <v>10050</v>
      </c>
      <c r="O1122" s="16">
        <v>10090</v>
      </c>
      <c r="P1122" s="16">
        <v>10095</v>
      </c>
      <c r="Q1122" s="16">
        <v>10070</v>
      </c>
      <c r="R1122" s="16">
        <v>9770</v>
      </c>
      <c r="S1122" s="16">
        <v>10100</v>
      </c>
      <c r="T1122" s="16">
        <v>10010</v>
      </c>
      <c r="U1122" s="15">
        <v>10036</v>
      </c>
      <c r="V1122" t="s">
        <v>19</v>
      </c>
      <c r="W1122" t="s">
        <v>28</v>
      </c>
      <c r="X1122">
        <v>508</v>
      </c>
      <c r="Y1122" s="16">
        <f>VLOOKUP(Tabela1[[#This Row],[SKU]],SKU!A:D,4,0)</f>
        <v>10000</v>
      </c>
      <c r="Z1122" s="18">
        <f>IFERROR((Tabela1[[#This Row],[Média]]-Tabela1[[#This Row],[Meta]])/Tabela1[[#This Row],[Meta]],"")</f>
        <v>3.5999999999999999E-3</v>
      </c>
      <c r="AA1122" s="31">
        <f>Tabela1[[#This Row],[Média]]-Tabela1[[#This Row],[Meta]]</f>
        <v>36</v>
      </c>
      <c r="AB1122" s="6" t="str">
        <f>VLOOKUP(Tabela1[[#This Row],[SKU]],SKU!A:B,2,0)</f>
        <v>COXA SBCX LQ FG LP</v>
      </c>
      <c r="AC1122" s="6" t="str">
        <f>VLOOKUP(Tabela1[[#This Row],[SKU]],SKU!A:C,3,0)</f>
        <v>PERNA</v>
      </c>
    </row>
    <row r="1123" spans="1:29" x14ac:dyDescent="0.3">
      <c r="A1123" s="2">
        <f>INT(Tabela1[[#This Row],[Data e Hora2]])</f>
        <v>46290</v>
      </c>
      <c r="B1123" s="6" t="str">
        <f>UPPER(TEXT(Tabela1[[#This Row],[Data Corrigida]],"MMM"))</f>
        <v>SET</v>
      </c>
      <c r="C1123" t="s">
        <v>2482</v>
      </c>
      <c r="D1123" s="2" t="s">
        <v>2483</v>
      </c>
      <c r="E1123" s="1" t="s">
        <v>2477</v>
      </c>
      <c r="F1123" t="s">
        <v>24</v>
      </c>
      <c r="G1123" s="2" t="s">
        <v>2442</v>
      </c>
      <c r="H1123" t="s">
        <v>26</v>
      </c>
      <c r="I1123" t="s">
        <v>57</v>
      </c>
      <c r="J1123" s="6">
        <v>15105</v>
      </c>
      <c r="K1123" s="16">
        <v>1049</v>
      </c>
      <c r="L1123" s="16">
        <v>1027</v>
      </c>
      <c r="M1123" s="16">
        <v>997</v>
      </c>
      <c r="N1123" s="16">
        <v>1024</v>
      </c>
      <c r="O1123" s="16">
        <v>1000</v>
      </c>
      <c r="P1123" s="16">
        <v>1003</v>
      </c>
      <c r="Q1123" s="16">
        <v>874</v>
      </c>
      <c r="R1123" s="16">
        <v>991</v>
      </c>
      <c r="S1123" s="16">
        <v>1000</v>
      </c>
      <c r="T1123" s="16">
        <v>992</v>
      </c>
      <c r="U1123" s="15">
        <v>995.7</v>
      </c>
      <c r="V1123" t="s">
        <v>19</v>
      </c>
      <c r="W1123" t="s">
        <v>28</v>
      </c>
      <c r="X1123">
        <v>183</v>
      </c>
      <c r="Y1123" s="16">
        <f>VLOOKUP(Tabela1[[#This Row],[SKU]],SKU!A:D,4,0)</f>
        <v>1000</v>
      </c>
      <c r="Z1123" s="18">
        <f>IFERROR((Tabela1[[#This Row],[Média]]-Tabela1[[#This Row],[Meta]])/Tabela1[[#This Row],[Meta]],"")</f>
        <v>-4.2999999999999549E-3</v>
      </c>
      <c r="AA1123" s="31">
        <f>Tabela1[[#This Row],[Média]]-Tabela1[[#This Row],[Meta]]</f>
        <v>-4.2999999999999545</v>
      </c>
      <c r="AB1123" s="6" t="str">
        <f>VLOOKUP(Tabela1[[#This Row],[SKU]],SKU!A:B,2,0)</f>
        <v>FILE PEITO MET CG BDJ SE</v>
      </c>
      <c r="AC1123" s="6" t="str">
        <f>VLOOKUP(Tabela1[[#This Row],[SKU]],SKU!A:C,3,0)</f>
        <v>PEITO</v>
      </c>
    </row>
    <row r="1124" spans="1:29" x14ac:dyDescent="0.3">
      <c r="A1124" s="2">
        <f>INT(Tabela1[[#This Row],[Data e Hora2]])</f>
        <v>46290</v>
      </c>
      <c r="B1124" s="6" t="str">
        <f>UPPER(TEXT(Tabela1[[#This Row],[Data Corrigida]],"MMM"))</f>
        <v>SET</v>
      </c>
      <c r="C1124" t="s">
        <v>2484</v>
      </c>
      <c r="D1124" s="2" t="s">
        <v>2485</v>
      </c>
      <c r="E1124" s="1" t="s">
        <v>2486</v>
      </c>
      <c r="F1124" t="s">
        <v>24</v>
      </c>
      <c r="G1124" s="2" t="s">
        <v>2442</v>
      </c>
      <c r="H1124" t="s">
        <v>142</v>
      </c>
      <c r="I1124" t="s">
        <v>462</v>
      </c>
      <c r="J1124" s="6">
        <v>54632</v>
      </c>
      <c r="K1124" s="16">
        <v>994</v>
      </c>
      <c r="L1124" s="16">
        <v>1008</v>
      </c>
      <c r="M1124" s="16">
        <v>1006</v>
      </c>
      <c r="N1124" s="16">
        <v>1000</v>
      </c>
      <c r="O1124" s="16">
        <v>1011</v>
      </c>
      <c r="P1124" s="16">
        <v>996</v>
      </c>
      <c r="Q1124" s="16">
        <v>1010</v>
      </c>
      <c r="R1124" s="16">
        <v>1014</v>
      </c>
      <c r="S1124" s="16">
        <v>1011</v>
      </c>
      <c r="T1124" s="16">
        <v>998</v>
      </c>
      <c r="U1124" s="15">
        <v>1004.8</v>
      </c>
      <c r="V1124" t="s">
        <v>19</v>
      </c>
      <c r="W1124" t="s">
        <v>28</v>
      </c>
      <c r="X1124">
        <v>2883</v>
      </c>
      <c r="Y1124" s="16">
        <f>VLOOKUP(Tabela1[[#This Row],[SKU]],SKU!A:D,4,0)</f>
        <v>1000</v>
      </c>
      <c r="Z1124" s="18">
        <f>IFERROR((Tabela1[[#This Row],[Média]]-Tabela1[[#This Row],[Meta]])/Tabela1[[#This Row],[Meta]],"")</f>
        <v>4.7999999999999545E-3</v>
      </c>
      <c r="AA1124" s="31">
        <f>Tabela1[[#This Row],[Média]]-Tabela1[[#This Row],[Meta]]</f>
        <v>4.7999999999999545</v>
      </c>
      <c r="AB1124" s="6" t="str">
        <f>VLOOKUP(Tabela1[[#This Row],[SKU]],SKU!A:B,2,0)</f>
        <v>COXA SBCX S/O BDJ CG</v>
      </c>
      <c r="AC1124" s="6" t="str">
        <f>VLOOKUP(Tabela1[[#This Row],[SKU]],SKU!A:C,3,0)</f>
        <v>PERNA</v>
      </c>
    </row>
    <row r="1125" spans="1:29" x14ac:dyDescent="0.3">
      <c r="A1125" s="2">
        <f>INT(Tabela1[[#This Row],[Data e Hora2]])</f>
        <v>46290</v>
      </c>
      <c r="B1125" s="6" t="str">
        <f>UPPER(TEXT(Tabela1[[#This Row],[Data Corrigida]],"MMM"))</f>
        <v>SET</v>
      </c>
      <c r="C1125" t="s">
        <v>2487</v>
      </c>
      <c r="D1125" s="2" t="s">
        <v>2488</v>
      </c>
      <c r="E1125" s="1" t="s">
        <v>2489</v>
      </c>
      <c r="F1125" t="s">
        <v>24</v>
      </c>
      <c r="G1125" s="2" t="s">
        <v>2442</v>
      </c>
      <c r="H1125" t="s">
        <v>142</v>
      </c>
      <c r="I1125" t="s">
        <v>462</v>
      </c>
      <c r="J1125" s="6">
        <v>50580</v>
      </c>
      <c r="K1125" s="16">
        <v>2028</v>
      </c>
      <c r="L1125" s="16">
        <v>2074</v>
      </c>
      <c r="M1125" s="16">
        <v>2078</v>
      </c>
      <c r="N1125" s="16">
        <v>2134</v>
      </c>
      <c r="O1125" s="16">
        <v>1990</v>
      </c>
      <c r="P1125" s="16">
        <v>2073</v>
      </c>
      <c r="Q1125" s="16">
        <v>2023</v>
      </c>
      <c r="R1125" s="16">
        <v>2029</v>
      </c>
      <c r="S1125" s="16">
        <v>2067</v>
      </c>
      <c r="T1125" s="16">
        <v>2032</v>
      </c>
      <c r="U1125" s="15">
        <v>2052.8000000000002</v>
      </c>
      <c r="V1125" t="s">
        <v>19</v>
      </c>
      <c r="W1125" t="s">
        <v>28</v>
      </c>
      <c r="X1125">
        <v>2557</v>
      </c>
      <c r="Y1125" s="16">
        <f>VLOOKUP(Tabela1[[#This Row],[SKU]],SKU!A:D,4,0)</f>
        <v>2000</v>
      </c>
      <c r="Z1125" s="18">
        <f>IFERROR((Tabela1[[#This Row],[Média]]-Tabela1[[#This Row],[Meta]])/Tabela1[[#This Row],[Meta]],"")</f>
        <v>2.640000000000009E-2</v>
      </c>
      <c r="AA1125" s="31">
        <f>Tabela1[[#This Row],[Média]]-Tabela1[[#This Row],[Meta]]</f>
        <v>52.800000000000182</v>
      </c>
      <c r="AB1125" s="6" t="str">
        <f>VLOOKUP(Tabela1[[#This Row],[SKU]],SKU!A:B,2,0)</f>
        <v>COXA SBCX S/O FG 200g UP PB</v>
      </c>
      <c r="AC1125" s="6" t="str">
        <f>VLOOKUP(Tabela1[[#This Row],[SKU]],SKU!A:C,3,0)</f>
        <v>PERNA</v>
      </c>
    </row>
    <row r="1126" spans="1:29" x14ac:dyDescent="0.3">
      <c r="A1126" s="2">
        <f>INT(Tabela1[[#This Row],[Data e Hora2]])</f>
        <v>46290</v>
      </c>
      <c r="B1126" s="6" t="str">
        <f>UPPER(TEXT(Tabela1[[#This Row],[Data Corrigida]],"MMM"))</f>
        <v>SET</v>
      </c>
      <c r="C1126" t="s">
        <v>2490</v>
      </c>
      <c r="D1126" s="2" t="s">
        <v>2491</v>
      </c>
      <c r="E1126" s="1" t="s">
        <v>2492</v>
      </c>
      <c r="F1126" t="s">
        <v>24</v>
      </c>
      <c r="G1126" s="2" t="s">
        <v>2442</v>
      </c>
      <c r="H1126" t="s">
        <v>142</v>
      </c>
      <c r="I1126" t="s">
        <v>462</v>
      </c>
      <c r="J1126" s="6">
        <v>42838</v>
      </c>
      <c r="K1126" s="16">
        <v>2072</v>
      </c>
      <c r="L1126" s="16">
        <v>2019</v>
      </c>
      <c r="M1126" s="16">
        <v>2042</v>
      </c>
      <c r="N1126" s="16">
        <v>2096</v>
      </c>
      <c r="O1126" s="16">
        <v>2058</v>
      </c>
      <c r="P1126" s="16">
        <v>2086</v>
      </c>
      <c r="Q1126" s="16">
        <v>2087</v>
      </c>
      <c r="R1126" s="16">
        <v>1999</v>
      </c>
      <c r="S1126" s="16">
        <v>2084</v>
      </c>
      <c r="T1126" s="16">
        <v>2063</v>
      </c>
      <c r="U1126" s="15">
        <v>2060.6</v>
      </c>
      <c r="V1126" t="s">
        <v>19</v>
      </c>
      <c r="W1126" t="s">
        <v>28</v>
      </c>
      <c r="X1126">
        <v>2243</v>
      </c>
      <c r="Y1126" s="16">
        <f>VLOOKUP(Tabela1[[#This Row],[SKU]],SKU!A:D,4,0)</f>
        <v>2000</v>
      </c>
      <c r="Z1126" s="18">
        <f>IFERROR((Tabela1[[#This Row],[Média]]-Tabela1[[#This Row],[Meta]])/Tabela1[[#This Row],[Meta]],"")</f>
        <v>3.0299999999999955E-2</v>
      </c>
      <c r="AA1126" s="31">
        <f>Tabela1[[#This Row],[Média]]-Tabela1[[#This Row],[Meta]]</f>
        <v>60.599999999999909</v>
      </c>
      <c r="AB1126" s="6" t="str">
        <f>VLOOKUP(Tabela1[[#This Row],[SKU]],SKU!A:B,2,0)</f>
        <v>COXA SBCX S/O FG 220-240g PB</v>
      </c>
      <c r="AC1126" s="6" t="str">
        <f>VLOOKUP(Tabela1[[#This Row],[SKU]],SKU!A:C,3,0)</f>
        <v>PERNA</v>
      </c>
    </row>
    <row r="1127" spans="1:29" x14ac:dyDescent="0.3">
      <c r="A1127" s="2">
        <f>INT(Tabela1[[#This Row],[Data e Hora2]])</f>
        <v>46290</v>
      </c>
      <c r="B1127" s="6" t="str">
        <f>UPPER(TEXT(Tabela1[[#This Row],[Data Corrigida]],"MMM"))</f>
        <v>SET</v>
      </c>
      <c r="C1127" t="s">
        <v>2493</v>
      </c>
      <c r="D1127" s="2" t="s">
        <v>2494</v>
      </c>
      <c r="E1127" s="1" t="s">
        <v>2495</v>
      </c>
      <c r="F1127" t="s">
        <v>24</v>
      </c>
      <c r="G1127" s="2" t="s">
        <v>2442</v>
      </c>
      <c r="H1127" t="s">
        <v>142</v>
      </c>
      <c r="I1127" t="s">
        <v>462</v>
      </c>
      <c r="J1127" s="6">
        <v>42854</v>
      </c>
      <c r="K1127" s="16">
        <v>2152</v>
      </c>
      <c r="L1127" s="16">
        <v>2157</v>
      </c>
      <c r="M1127" s="16">
        <v>2145</v>
      </c>
      <c r="N1127" s="16">
        <v>2143</v>
      </c>
      <c r="O1127" s="16">
        <v>2179</v>
      </c>
      <c r="P1127" s="16">
        <v>2154</v>
      </c>
      <c r="Q1127" s="16">
        <v>2138</v>
      </c>
      <c r="R1127" s="16">
        <v>2146</v>
      </c>
      <c r="S1127" s="16">
        <v>2152</v>
      </c>
      <c r="T1127" s="16">
        <v>2147</v>
      </c>
      <c r="U1127" s="15">
        <v>2151.3000000000002</v>
      </c>
      <c r="V1127" t="s">
        <v>19</v>
      </c>
      <c r="W1127" t="s">
        <v>28</v>
      </c>
      <c r="X1127">
        <v>2000</v>
      </c>
      <c r="Y1127" s="16">
        <f>VLOOKUP(Tabela1[[#This Row],[SKU]],SKU!A:D,4,0)</f>
        <v>2080</v>
      </c>
      <c r="Z1127" s="18">
        <f>IFERROR((Tabela1[[#This Row],[Média]]-Tabela1[[#This Row],[Meta]])/Tabela1[[#This Row],[Meta]],"")</f>
        <v>3.4278846153846243E-2</v>
      </c>
      <c r="AA1127" s="31">
        <f>Tabela1[[#This Row],[Média]]-Tabela1[[#This Row],[Meta]]</f>
        <v>71.300000000000182</v>
      </c>
      <c r="AB1127" s="6" t="str">
        <f>VLOOKUP(Tabela1[[#This Row],[SKU]],SKU!A:B,2,0)</f>
        <v>COXA SBCX S/O FG 260-280g PB</v>
      </c>
      <c r="AC1127" s="6" t="str">
        <f>VLOOKUP(Tabela1[[#This Row],[SKU]],SKU!A:C,3,0)</f>
        <v>PERNA</v>
      </c>
    </row>
    <row r="1128" spans="1:29" x14ac:dyDescent="0.3">
      <c r="A1128" s="2">
        <f>INT(Tabela1[[#This Row],[Data e Hora2]])</f>
        <v>46290</v>
      </c>
      <c r="B1128" s="6" t="str">
        <f>UPPER(TEXT(Tabela1[[#This Row],[Data Corrigida]],"MMM"))</f>
        <v>SET</v>
      </c>
      <c r="C1128" t="s">
        <v>2496</v>
      </c>
      <c r="D1128" s="2" t="s">
        <v>2497</v>
      </c>
      <c r="E1128" s="1" t="s">
        <v>2498</v>
      </c>
      <c r="F1128" t="s">
        <v>24</v>
      </c>
      <c r="G1128" s="2" t="s">
        <v>2442</v>
      </c>
      <c r="H1128" t="s">
        <v>142</v>
      </c>
      <c r="I1128" t="s">
        <v>462</v>
      </c>
      <c r="J1128" s="6">
        <v>15105</v>
      </c>
      <c r="K1128" s="16">
        <v>1006</v>
      </c>
      <c r="L1128" s="16">
        <v>1052</v>
      </c>
      <c r="M1128" s="16">
        <v>1031</v>
      </c>
      <c r="N1128" s="16">
        <v>1091</v>
      </c>
      <c r="O1128" s="16">
        <v>1047</v>
      </c>
      <c r="P1128" s="16">
        <v>991</v>
      </c>
      <c r="Q1128" s="16">
        <v>1023</v>
      </c>
      <c r="R1128" s="16">
        <v>1015</v>
      </c>
      <c r="S1128" s="16">
        <v>998</v>
      </c>
      <c r="T1128" s="16">
        <v>1012</v>
      </c>
      <c r="U1128" s="15">
        <v>1026.5999999999999</v>
      </c>
      <c r="V1128" t="s">
        <v>19</v>
      </c>
      <c r="W1128" t="s">
        <v>28</v>
      </c>
      <c r="X1128">
        <v>1436</v>
      </c>
      <c r="Y1128" s="16">
        <f>VLOOKUP(Tabela1[[#This Row],[SKU]],SKU!A:D,4,0)</f>
        <v>1000</v>
      </c>
      <c r="Z1128" s="18">
        <f>IFERROR((Tabela1[[#This Row],[Média]]-Tabela1[[#This Row],[Meta]])/Tabela1[[#This Row],[Meta]],"")</f>
        <v>2.6599999999999908E-2</v>
      </c>
      <c r="AA1128" s="31">
        <f>Tabela1[[#This Row],[Média]]-Tabela1[[#This Row],[Meta]]</f>
        <v>26.599999999999909</v>
      </c>
      <c r="AB1128" s="6" t="str">
        <f>VLOOKUP(Tabela1[[#This Row],[SKU]],SKU!A:B,2,0)</f>
        <v>FILE PEITO MET CG BDJ SE</v>
      </c>
      <c r="AC1128" s="6" t="str">
        <f>VLOOKUP(Tabela1[[#This Row],[SKU]],SKU!A:C,3,0)</f>
        <v>PEITO</v>
      </c>
    </row>
    <row r="1129" spans="1:29" x14ac:dyDescent="0.3">
      <c r="A1129" s="2">
        <f>INT(Tabela1[[#This Row],[Data e Hora2]])</f>
        <v>46289</v>
      </c>
      <c r="B1129" s="6" t="str">
        <f>UPPER(TEXT(Tabela1[[#This Row],[Data Corrigida]],"MMM"))</f>
        <v>SET</v>
      </c>
      <c r="C1129" t="s">
        <v>2499</v>
      </c>
      <c r="D1129" s="2" t="s">
        <v>2500</v>
      </c>
      <c r="E1129" s="1" t="s">
        <v>2501</v>
      </c>
      <c r="F1129" t="s">
        <v>24</v>
      </c>
      <c r="G1129" s="2" t="s">
        <v>2502</v>
      </c>
      <c r="H1129" t="s">
        <v>26</v>
      </c>
      <c r="I1129" t="s">
        <v>57</v>
      </c>
      <c r="J1129" s="6">
        <v>209069</v>
      </c>
      <c r="K1129" s="16">
        <v>1023</v>
      </c>
      <c r="L1129" s="16">
        <v>1006</v>
      </c>
      <c r="M1129" s="16">
        <v>1007</v>
      </c>
      <c r="N1129" s="16">
        <v>1011</v>
      </c>
      <c r="O1129" s="16">
        <v>1015</v>
      </c>
      <c r="P1129" s="16">
        <v>973</v>
      </c>
      <c r="Q1129" s="16">
        <v>1001</v>
      </c>
      <c r="R1129" s="16">
        <v>1014</v>
      </c>
      <c r="S1129" s="16">
        <v>1049</v>
      </c>
      <c r="T1129" s="16">
        <v>1094</v>
      </c>
      <c r="U1129" s="15">
        <v>1019.3</v>
      </c>
      <c r="V1129" t="s">
        <v>19</v>
      </c>
      <c r="W1129" t="s">
        <v>28</v>
      </c>
      <c r="X1129">
        <v>241</v>
      </c>
      <c r="Y1129" s="16">
        <f>VLOOKUP(Tabela1[[#This Row],[SKU]],SKU!A:D,4,0)</f>
        <v>1000</v>
      </c>
      <c r="Z1129" s="18">
        <f>IFERROR((Tabela1[[#This Row],[Média]]-Tabela1[[#This Row],[Meta]])/Tabela1[[#This Row],[Meta]],"")</f>
        <v>1.9299999999999956E-2</v>
      </c>
      <c r="AA1129" s="31">
        <f>Tabela1[[#This Row],[Média]]-Tabela1[[#This Row],[Meta]]</f>
        <v>19.299999999999955</v>
      </c>
      <c r="AB1129" s="6" t="str">
        <f>VLOOKUP(Tabela1[[#This Row],[SKU]],SKU!A:B,2,0)</f>
        <v>FILE PEITO CG IQF1KG</v>
      </c>
      <c r="AC1129" s="6" t="str">
        <f>VLOOKUP(Tabela1[[#This Row],[SKU]],SKU!A:C,3,0)</f>
        <v>PEITO</v>
      </c>
    </row>
    <row r="1130" spans="1:29" x14ac:dyDescent="0.3">
      <c r="A1130" s="2">
        <f>INT(Tabela1[[#This Row],[Data e Hora2]])</f>
        <v>46289</v>
      </c>
      <c r="B1130" s="6" t="str">
        <f>UPPER(TEXT(Tabela1[[#This Row],[Data Corrigida]],"MMM"))</f>
        <v>SET</v>
      </c>
      <c r="C1130" t="s">
        <v>2503</v>
      </c>
      <c r="D1130" s="2" t="s">
        <v>2504</v>
      </c>
      <c r="E1130" s="1" t="s">
        <v>2501</v>
      </c>
      <c r="F1130" t="s">
        <v>24</v>
      </c>
      <c r="G1130" s="2" t="s">
        <v>2502</v>
      </c>
      <c r="H1130" t="s">
        <v>26</v>
      </c>
      <c r="I1130" t="s">
        <v>57</v>
      </c>
      <c r="J1130" s="6">
        <v>209069</v>
      </c>
      <c r="K1130" s="16">
        <v>1034</v>
      </c>
      <c r="L1130" s="16">
        <v>998</v>
      </c>
      <c r="M1130" s="16">
        <v>1017</v>
      </c>
      <c r="N1130" s="16">
        <v>1000</v>
      </c>
      <c r="O1130" s="16">
        <v>1012</v>
      </c>
      <c r="P1130" s="16">
        <v>1036</v>
      </c>
      <c r="Q1130" s="16">
        <v>1023</v>
      </c>
      <c r="R1130" s="16">
        <v>995</v>
      </c>
      <c r="S1130" s="16">
        <v>1003</v>
      </c>
      <c r="T1130" s="16">
        <v>1013</v>
      </c>
      <c r="U1130" s="15">
        <v>1013.1</v>
      </c>
      <c r="V1130" t="s">
        <v>19</v>
      </c>
      <c r="W1130" t="s">
        <v>28</v>
      </c>
      <c r="X1130">
        <v>458</v>
      </c>
      <c r="Y1130" s="16">
        <f>VLOOKUP(Tabela1[[#This Row],[SKU]],SKU!A:D,4,0)</f>
        <v>1000</v>
      </c>
      <c r="Z1130" s="18">
        <f>IFERROR((Tabela1[[#This Row],[Média]]-Tabela1[[#This Row],[Meta]])/Tabela1[[#This Row],[Meta]],"")</f>
        <v>1.3100000000000023E-2</v>
      </c>
      <c r="AA1130" s="31">
        <f>Tabela1[[#This Row],[Média]]-Tabela1[[#This Row],[Meta]]</f>
        <v>13.100000000000023</v>
      </c>
      <c r="AB1130" s="6" t="str">
        <f>VLOOKUP(Tabela1[[#This Row],[SKU]],SKU!A:B,2,0)</f>
        <v>FILE PEITO CG IQF1KG</v>
      </c>
      <c r="AC1130" s="6" t="str">
        <f>VLOOKUP(Tabela1[[#This Row],[SKU]],SKU!A:C,3,0)</f>
        <v>PEITO</v>
      </c>
    </row>
    <row r="1131" spans="1:29" x14ac:dyDescent="0.3">
      <c r="A1131" s="2">
        <f>INT(Tabela1[[#This Row],[Data e Hora2]])</f>
        <v>46289</v>
      </c>
      <c r="B1131" s="6" t="str">
        <f>UPPER(TEXT(Tabela1[[#This Row],[Data Corrigida]],"MMM"))</f>
        <v>SET</v>
      </c>
      <c r="C1131" t="s">
        <v>2505</v>
      </c>
      <c r="D1131" s="2" t="s">
        <v>2506</v>
      </c>
      <c r="E1131" s="1" t="s">
        <v>2507</v>
      </c>
      <c r="F1131" t="s">
        <v>24</v>
      </c>
      <c r="G1131" s="2" t="s">
        <v>2502</v>
      </c>
      <c r="H1131" t="s">
        <v>26</v>
      </c>
      <c r="I1131" t="s">
        <v>57</v>
      </c>
      <c r="J1131" s="6">
        <v>15105</v>
      </c>
      <c r="K1131" s="16">
        <v>1010</v>
      </c>
      <c r="L1131" s="16">
        <v>1019</v>
      </c>
      <c r="M1131" s="16">
        <v>1010</v>
      </c>
      <c r="N1131" s="16">
        <v>1034</v>
      </c>
      <c r="O1131" s="16">
        <v>1009</v>
      </c>
      <c r="P1131" s="16">
        <v>1014</v>
      </c>
      <c r="Q1131" s="16">
        <v>1044</v>
      </c>
      <c r="R1131" s="16">
        <v>1035</v>
      </c>
      <c r="S1131" s="16">
        <v>1002</v>
      </c>
      <c r="T1131" s="16">
        <v>988</v>
      </c>
      <c r="U1131" s="15">
        <v>1016.5</v>
      </c>
      <c r="V1131" t="s">
        <v>19</v>
      </c>
      <c r="W1131" t="s">
        <v>28</v>
      </c>
      <c r="X1131">
        <v>2252</v>
      </c>
      <c r="Y1131" s="16">
        <f>VLOOKUP(Tabela1[[#This Row],[SKU]],SKU!A:D,4,0)</f>
        <v>1000</v>
      </c>
      <c r="Z1131" s="18">
        <f>IFERROR((Tabela1[[#This Row],[Média]]-Tabela1[[#This Row],[Meta]])/Tabela1[[#This Row],[Meta]],"")</f>
        <v>1.6500000000000001E-2</v>
      </c>
      <c r="AA1131" s="31">
        <f>Tabela1[[#This Row],[Média]]-Tabela1[[#This Row],[Meta]]</f>
        <v>16.5</v>
      </c>
      <c r="AB1131" s="6" t="str">
        <f>VLOOKUP(Tabela1[[#This Row],[SKU]],SKU!A:B,2,0)</f>
        <v>FILE PEITO MET CG BDJ SE</v>
      </c>
      <c r="AC1131" s="6" t="str">
        <f>VLOOKUP(Tabela1[[#This Row],[SKU]],SKU!A:C,3,0)</f>
        <v>PEITO</v>
      </c>
    </row>
    <row r="1132" spans="1:29" x14ac:dyDescent="0.3">
      <c r="A1132" s="2">
        <f>INT(Tabela1[[#This Row],[Data e Hora2]])</f>
        <v>46289</v>
      </c>
      <c r="B1132" s="6" t="str">
        <f>UPPER(TEXT(Tabela1[[#This Row],[Data Corrigida]],"MMM"))</f>
        <v>SET</v>
      </c>
      <c r="C1132" t="s">
        <v>2508</v>
      </c>
      <c r="D1132" s="2" t="s">
        <v>2509</v>
      </c>
      <c r="E1132" s="1" t="s">
        <v>2510</v>
      </c>
      <c r="F1132" t="s">
        <v>24</v>
      </c>
      <c r="G1132" s="2" t="s">
        <v>2502</v>
      </c>
      <c r="H1132" t="s">
        <v>26</v>
      </c>
      <c r="I1132" t="s">
        <v>57</v>
      </c>
      <c r="J1132" s="6">
        <v>40762</v>
      </c>
      <c r="K1132" s="16">
        <v>10005</v>
      </c>
      <c r="L1132" s="16">
        <v>10025</v>
      </c>
      <c r="M1132" s="16">
        <v>10040</v>
      </c>
      <c r="N1132" s="16">
        <v>10035</v>
      </c>
      <c r="O1132" s="16">
        <v>9955</v>
      </c>
      <c r="P1132" s="16">
        <v>9990</v>
      </c>
      <c r="Q1132" s="16">
        <v>10065</v>
      </c>
      <c r="R1132" s="16">
        <v>9960</v>
      </c>
      <c r="S1132" s="16">
        <v>10025</v>
      </c>
      <c r="T1132" s="16">
        <v>9950</v>
      </c>
      <c r="U1132" s="15">
        <v>10005</v>
      </c>
      <c r="V1132" t="s">
        <v>19</v>
      </c>
      <c r="W1132" t="s">
        <v>28</v>
      </c>
      <c r="X1132">
        <v>406</v>
      </c>
      <c r="Y1132" s="16">
        <f>VLOOKUP(Tabela1[[#This Row],[SKU]],SKU!A:D,4,0)</f>
        <v>10000</v>
      </c>
      <c r="Z1132" s="18">
        <f>IFERROR((Tabela1[[#This Row],[Média]]-Tabela1[[#This Row],[Meta]])/Tabela1[[#This Row],[Meta]],"")</f>
        <v>5.0000000000000001E-4</v>
      </c>
      <c r="AA1132" s="31">
        <f>Tabela1[[#This Row],[Média]]-Tabela1[[#This Row],[Meta]]</f>
        <v>5</v>
      </c>
      <c r="AB1132" s="6" t="str">
        <f>VLOOKUP(Tabela1[[#This Row],[SKU]],SKU!A:B,2,0)</f>
        <v>COXA SBCX LQ FG LP</v>
      </c>
      <c r="AC1132" s="6" t="str">
        <f>VLOOKUP(Tabela1[[#This Row],[SKU]],SKU!A:C,3,0)</f>
        <v>PERNA</v>
      </c>
    </row>
    <row r="1133" spans="1:29" x14ac:dyDescent="0.3">
      <c r="A1133" s="2">
        <f>INT(Tabela1[[#This Row],[Data e Hora2]])</f>
        <v>46289</v>
      </c>
      <c r="B1133" s="6" t="str">
        <f>UPPER(TEXT(Tabela1[[#This Row],[Data Corrigida]],"MMM"))</f>
        <v>SET</v>
      </c>
      <c r="C1133" t="s">
        <v>2511</v>
      </c>
      <c r="D1133" s="2" t="s">
        <v>2512</v>
      </c>
      <c r="E1133" s="1" t="s">
        <v>2510</v>
      </c>
      <c r="F1133" t="s">
        <v>24</v>
      </c>
      <c r="G1133" s="2" t="s">
        <v>2502</v>
      </c>
      <c r="H1133" t="s">
        <v>26</v>
      </c>
      <c r="I1133" t="s">
        <v>57</v>
      </c>
      <c r="J1133" s="6">
        <v>40762</v>
      </c>
      <c r="K1133" s="16">
        <v>10060</v>
      </c>
      <c r="L1133" s="16">
        <v>10000</v>
      </c>
      <c r="M1133" s="16">
        <v>9820</v>
      </c>
      <c r="N1133" s="16">
        <v>10015</v>
      </c>
      <c r="O1133" s="16">
        <v>9960</v>
      </c>
      <c r="P1133" s="16">
        <v>10075</v>
      </c>
      <c r="Q1133" s="16">
        <v>10042</v>
      </c>
      <c r="R1133" s="16">
        <v>10000</v>
      </c>
      <c r="S1133" s="16">
        <v>10080</v>
      </c>
      <c r="T1133" s="16">
        <v>10010</v>
      </c>
      <c r="U1133" s="15">
        <v>10006.200000000001</v>
      </c>
      <c r="V1133" t="s">
        <v>19</v>
      </c>
      <c r="W1133" t="s">
        <v>28</v>
      </c>
      <c r="X1133">
        <v>584</v>
      </c>
      <c r="Y1133" s="16">
        <f>VLOOKUP(Tabela1[[#This Row],[SKU]],SKU!A:D,4,0)</f>
        <v>10000</v>
      </c>
      <c r="Z1133" s="18">
        <f>IFERROR((Tabela1[[#This Row],[Média]]-Tabela1[[#This Row],[Meta]])/Tabela1[[#This Row],[Meta]],"")</f>
        <v>6.2000000000007275E-4</v>
      </c>
      <c r="AA1133" s="31">
        <f>Tabela1[[#This Row],[Média]]-Tabela1[[#This Row],[Meta]]</f>
        <v>6.2000000000007276</v>
      </c>
      <c r="AB1133" s="6" t="str">
        <f>VLOOKUP(Tabela1[[#This Row],[SKU]],SKU!A:B,2,0)</f>
        <v>COXA SBCX LQ FG LP</v>
      </c>
      <c r="AC1133" s="6" t="str">
        <f>VLOOKUP(Tabela1[[#This Row],[SKU]],SKU!A:C,3,0)</f>
        <v>PERNA</v>
      </c>
    </row>
    <row r="1134" spans="1:29" x14ac:dyDescent="0.3">
      <c r="A1134" s="2">
        <f>INT(Tabela1[[#This Row],[Data e Hora2]])</f>
        <v>46289</v>
      </c>
      <c r="B1134" s="6" t="str">
        <f>UPPER(TEXT(Tabela1[[#This Row],[Data Corrigida]],"MMM"))</f>
        <v>SET</v>
      </c>
      <c r="C1134" t="s">
        <v>2513</v>
      </c>
      <c r="D1134" s="2" t="s">
        <v>2514</v>
      </c>
      <c r="E1134" s="1" t="s">
        <v>2510</v>
      </c>
      <c r="F1134" t="s">
        <v>24</v>
      </c>
      <c r="G1134" s="2" t="s">
        <v>2502</v>
      </c>
      <c r="H1134" t="s">
        <v>26</v>
      </c>
      <c r="I1134" t="s">
        <v>57</v>
      </c>
      <c r="J1134" s="6">
        <v>40762</v>
      </c>
      <c r="K1134" s="16">
        <v>10060</v>
      </c>
      <c r="L1134" s="16">
        <v>10045</v>
      </c>
      <c r="M1134" s="16">
        <v>10130</v>
      </c>
      <c r="N1134" s="16">
        <v>9700</v>
      </c>
      <c r="O1134" s="16">
        <v>10000</v>
      </c>
      <c r="P1134" s="16">
        <v>10050</v>
      </c>
      <c r="Q1134" s="16">
        <v>10060</v>
      </c>
      <c r="R1134" s="16">
        <v>10005</v>
      </c>
      <c r="S1134" s="16">
        <v>9950</v>
      </c>
      <c r="T1134" s="16">
        <v>9895</v>
      </c>
      <c r="U1134" s="15">
        <v>9989.5</v>
      </c>
      <c r="V1134" t="s">
        <v>19</v>
      </c>
      <c r="W1134" t="s">
        <v>28</v>
      </c>
      <c r="X1134">
        <v>783</v>
      </c>
      <c r="Y1134" s="16">
        <f>VLOOKUP(Tabela1[[#This Row],[SKU]],SKU!A:D,4,0)</f>
        <v>10000</v>
      </c>
      <c r="Z1134" s="18">
        <f>IFERROR((Tabela1[[#This Row],[Média]]-Tabela1[[#This Row],[Meta]])/Tabela1[[#This Row],[Meta]],"")</f>
        <v>-1.0499999999999999E-3</v>
      </c>
      <c r="AA1134" s="31">
        <f>Tabela1[[#This Row],[Média]]-Tabela1[[#This Row],[Meta]]</f>
        <v>-10.5</v>
      </c>
      <c r="AB1134" s="6" t="str">
        <f>VLOOKUP(Tabela1[[#This Row],[SKU]],SKU!A:B,2,0)</f>
        <v>COXA SBCX LQ FG LP</v>
      </c>
      <c r="AC1134" s="6" t="str">
        <f>VLOOKUP(Tabela1[[#This Row],[SKU]],SKU!A:C,3,0)</f>
        <v>PERNA</v>
      </c>
    </row>
    <row r="1135" spans="1:29" x14ac:dyDescent="0.3">
      <c r="A1135" s="2">
        <f>INT(Tabela1[[#This Row],[Data e Hora2]])</f>
        <v>46289</v>
      </c>
      <c r="B1135" s="6" t="str">
        <f>UPPER(TEXT(Tabela1[[#This Row],[Data Corrigida]],"MMM"))</f>
        <v>SET</v>
      </c>
      <c r="C1135" t="s">
        <v>2515</v>
      </c>
      <c r="D1135" s="2" t="s">
        <v>2516</v>
      </c>
      <c r="E1135" s="1" t="s">
        <v>2510</v>
      </c>
      <c r="F1135" t="s">
        <v>24</v>
      </c>
      <c r="G1135" s="2" t="s">
        <v>2502</v>
      </c>
      <c r="H1135" t="s">
        <v>26</v>
      </c>
      <c r="I1135" t="s">
        <v>57</v>
      </c>
      <c r="J1135" s="6">
        <v>54632</v>
      </c>
      <c r="K1135" s="16">
        <v>1016</v>
      </c>
      <c r="L1135" s="16">
        <v>1006</v>
      </c>
      <c r="M1135" s="16">
        <v>1006</v>
      </c>
      <c r="N1135" s="16">
        <v>1042</v>
      </c>
      <c r="O1135" s="16">
        <v>1014</v>
      </c>
      <c r="P1135" s="16">
        <v>1017</v>
      </c>
      <c r="Q1135" s="16">
        <v>1010</v>
      </c>
      <c r="R1135" s="16">
        <v>1018</v>
      </c>
      <c r="S1135" s="16">
        <v>1013</v>
      </c>
      <c r="T1135" s="16">
        <v>1005</v>
      </c>
      <c r="U1135" s="15">
        <v>1014.7</v>
      </c>
      <c r="V1135" t="s">
        <v>19</v>
      </c>
      <c r="W1135" t="s">
        <v>28</v>
      </c>
      <c r="X1135">
        <v>941</v>
      </c>
      <c r="Y1135" s="16">
        <f>VLOOKUP(Tabela1[[#This Row],[SKU]],SKU!A:D,4,0)</f>
        <v>1000</v>
      </c>
      <c r="Z1135" s="18">
        <f>IFERROR((Tabela1[[#This Row],[Média]]-Tabela1[[#This Row],[Meta]])/Tabela1[[#This Row],[Meta]],"")</f>
        <v>1.4700000000000045E-2</v>
      </c>
      <c r="AA1135" s="31">
        <f>Tabela1[[#This Row],[Média]]-Tabela1[[#This Row],[Meta]]</f>
        <v>14.700000000000045</v>
      </c>
      <c r="AB1135" s="6" t="str">
        <f>VLOOKUP(Tabela1[[#This Row],[SKU]],SKU!A:B,2,0)</f>
        <v>COXA SBCX S/O BDJ CG</v>
      </c>
      <c r="AC1135" s="6" t="str">
        <f>VLOOKUP(Tabela1[[#This Row],[SKU]],SKU!A:C,3,0)</f>
        <v>PERNA</v>
      </c>
    </row>
    <row r="1136" spans="1:29" x14ac:dyDescent="0.3">
      <c r="A1136" s="2">
        <f>INT(Tabela1[[#This Row],[Data e Hora2]])</f>
        <v>46289</v>
      </c>
      <c r="B1136" s="6" t="str">
        <f>UPPER(TEXT(Tabela1[[#This Row],[Data Corrigida]],"MMM"))</f>
        <v>SET</v>
      </c>
      <c r="C1136" t="s">
        <v>2517</v>
      </c>
      <c r="D1136" s="2" t="s">
        <v>2518</v>
      </c>
      <c r="E1136" s="1" t="s">
        <v>2510</v>
      </c>
      <c r="F1136" t="s">
        <v>24</v>
      </c>
      <c r="G1136" s="2" t="s">
        <v>2502</v>
      </c>
      <c r="H1136" t="s">
        <v>26</v>
      </c>
      <c r="I1136" t="s">
        <v>57</v>
      </c>
      <c r="J1136" s="6">
        <v>42862</v>
      </c>
      <c r="K1136" s="16">
        <v>2016</v>
      </c>
      <c r="L1136" s="16">
        <v>2016</v>
      </c>
      <c r="M1136" s="16">
        <v>2036</v>
      </c>
      <c r="N1136" s="16">
        <v>2021</v>
      </c>
      <c r="O1136" s="16">
        <v>2026</v>
      </c>
      <c r="P1136" s="16">
        <v>2028</v>
      </c>
      <c r="Q1136" s="16">
        <v>2024</v>
      </c>
      <c r="R1136" s="16">
        <v>2043</v>
      </c>
      <c r="S1136" s="16">
        <v>2013</v>
      </c>
      <c r="T1136" s="16">
        <v>2000</v>
      </c>
      <c r="U1136" s="15">
        <v>2022.3</v>
      </c>
      <c r="V1136" t="s">
        <v>19</v>
      </c>
      <c r="W1136" t="s">
        <v>28</v>
      </c>
      <c r="X1136">
        <v>1445</v>
      </c>
      <c r="Y1136" s="16">
        <f>VLOOKUP(Tabela1[[#This Row],[SKU]],SKU!A:D,4,0)</f>
        <v>2000</v>
      </c>
      <c r="Z1136" s="18">
        <f>IFERROR((Tabela1[[#This Row],[Média]]-Tabela1[[#This Row],[Meta]])/Tabela1[[#This Row],[Meta]],"")</f>
        <v>1.1149999999999978E-2</v>
      </c>
      <c r="AA1136" s="31">
        <f>Tabela1[[#This Row],[Média]]-Tabela1[[#This Row],[Meta]]</f>
        <v>22.299999999999955</v>
      </c>
      <c r="AB1136" s="6" t="str">
        <f>VLOOKUP(Tabela1[[#This Row],[SKU]],SKU!A:B,2,0)</f>
        <v>COXA SBCX S/O FG 280-300g PB</v>
      </c>
      <c r="AC1136" s="6" t="str">
        <f>VLOOKUP(Tabela1[[#This Row],[SKU]],SKU!A:C,3,0)</f>
        <v>PERNA</v>
      </c>
    </row>
    <row r="1137" spans="1:29" x14ac:dyDescent="0.3">
      <c r="A1137" s="2">
        <f>INT(Tabela1[[#This Row],[Data e Hora2]])</f>
        <v>46289</v>
      </c>
      <c r="B1137" s="6" t="str">
        <f>UPPER(TEXT(Tabela1[[#This Row],[Data Corrigida]],"MMM"))</f>
        <v>SET</v>
      </c>
      <c r="C1137" t="s">
        <v>2519</v>
      </c>
      <c r="D1137" s="2" t="s">
        <v>2520</v>
      </c>
      <c r="E1137" s="1" t="s">
        <v>2510</v>
      </c>
      <c r="F1137" t="s">
        <v>24</v>
      </c>
      <c r="G1137" s="2" t="s">
        <v>2502</v>
      </c>
      <c r="H1137" t="s">
        <v>26</v>
      </c>
      <c r="I1137" t="s">
        <v>57</v>
      </c>
      <c r="J1137" s="6">
        <v>42854</v>
      </c>
      <c r="K1137" s="16">
        <v>2114</v>
      </c>
      <c r="L1137" s="16">
        <v>2120</v>
      </c>
      <c r="M1137" s="16">
        <v>2112</v>
      </c>
      <c r="N1137" s="16">
        <v>2109</v>
      </c>
      <c r="O1137" s="16">
        <v>2103</v>
      </c>
      <c r="P1137" s="16">
        <v>2100</v>
      </c>
      <c r="Q1137" s="16">
        <v>2108</v>
      </c>
      <c r="R1137" s="16">
        <v>2105</v>
      </c>
      <c r="S1137" s="16">
        <v>2102</v>
      </c>
      <c r="T1137" s="16">
        <v>2122</v>
      </c>
      <c r="U1137" s="15">
        <v>2109.5</v>
      </c>
      <c r="V1137" t="s">
        <v>19</v>
      </c>
      <c r="W1137" t="s">
        <v>28</v>
      </c>
      <c r="X1137">
        <v>1573</v>
      </c>
      <c r="Y1137" s="16">
        <f>VLOOKUP(Tabela1[[#This Row],[SKU]],SKU!A:D,4,0)</f>
        <v>2080</v>
      </c>
      <c r="Z1137" s="18">
        <f>IFERROR((Tabela1[[#This Row],[Média]]-Tabela1[[#This Row],[Meta]])/Tabela1[[#This Row],[Meta]],"")</f>
        <v>1.4182692307692308E-2</v>
      </c>
      <c r="AA1137" s="31">
        <f>Tabela1[[#This Row],[Média]]-Tabela1[[#This Row],[Meta]]</f>
        <v>29.5</v>
      </c>
      <c r="AB1137" s="6" t="str">
        <f>VLOOKUP(Tabela1[[#This Row],[SKU]],SKU!A:B,2,0)</f>
        <v>COXA SBCX S/O FG 260-280g PB</v>
      </c>
      <c r="AC1137" s="6" t="str">
        <f>VLOOKUP(Tabela1[[#This Row],[SKU]],SKU!A:C,3,0)</f>
        <v>PERNA</v>
      </c>
    </row>
    <row r="1138" spans="1:29" x14ac:dyDescent="0.3">
      <c r="A1138" s="2">
        <f>INT(Tabela1[[#This Row],[Data e Hora2]])</f>
        <v>46289</v>
      </c>
      <c r="B1138" s="6" t="str">
        <f>UPPER(TEXT(Tabela1[[#This Row],[Data Corrigida]],"MMM"))</f>
        <v>SET</v>
      </c>
      <c r="C1138" t="s">
        <v>2521</v>
      </c>
      <c r="D1138" s="2" t="s">
        <v>2522</v>
      </c>
      <c r="E1138" s="1" t="s">
        <v>2510</v>
      </c>
      <c r="F1138" t="s">
        <v>24</v>
      </c>
      <c r="G1138" s="2" t="s">
        <v>2502</v>
      </c>
      <c r="H1138" t="s">
        <v>26</v>
      </c>
      <c r="I1138" t="s">
        <v>57</v>
      </c>
      <c r="J1138" s="6">
        <v>42838</v>
      </c>
      <c r="K1138" s="16">
        <v>2039</v>
      </c>
      <c r="L1138" s="16">
        <v>2027</v>
      </c>
      <c r="M1138" s="16">
        <v>2034</v>
      </c>
      <c r="N1138" s="16">
        <v>2050</v>
      </c>
      <c r="O1138" s="16">
        <v>2026</v>
      </c>
      <c r="P1138" s="16">
        <v>2026</v>
      </c>
      <c r="Q1138" s="16">
        <v>2015</v>
      </c>
      <c r="R1138" s="16">
        <v>2027</v>
      </c>
      <c r="S1138" s="16">
        <v>2032</v>
      </c>
      <c r="T1138" s="16">
        <v>2023</v>
      </c>
      <c r="U1138" s="15">
        <v>2029.9</v>
      </c>
      <c r="V1138" t="s">
        <v>19</v>
      </c>
      <c r="W1138" t="s">
        <v>28</v>
      </c>
      <c r="X1138">
        <v>1707</v>
      </c>
      <c r="Y1138" s="16">
        <f>VLOOKUP(Tabela1[[#This Row],[SKU]],SKU!A:D,4,0)</f>
        <v>2000</v>
      </c>
      <c r="Z1138" s="18">
        <f>IFERROR((Tabela1[[#This Row],[Média]]-Tabela1[[#This Row],[Meta]])/Tabela1[[#This Row],[Meta]],"")</f>
        <v>1.4950000000000045E-2</v>
      </c>
      <c r="AA1138" s="31">
        <f>Tabela1[[#This Row],[Média]]-Tabela1[[#This Row],[Meta]]</f>
        <v>29.900000000000091</v>
      </c>
      <c r="AB1138" s="6" t="str">
        <f>VLOOKUP(Tabela1[[#This Row],[SKU]],SKU!A:B,2,0)</f>
        <v>COXA SBCX S/O FG 220-240g PB</v>
      </c>
      <c r="AC1138" s="6" t="str">
        <f>VLOOKUP(Tabela1[[#This Row],[SKU]],SKU!A:C,3,0)</f>
        <v>PERNA</v>
      </c>
    </row>
    <row r="1139" spans="1:29" x14ac:dyDescent="0.3">
      <c r="A1139" s="2">
        <f>INT(Tabela1[[#This Row],[Data e Hora2]])</f>
        <v>46289</v>
      </c>
      <c r="B1139" s="6" t="str">
        <f>UPPER(TEXT(Tabela1[[#This Row],[Data Corrigida]],"MMM"))</f>
        <v>SET</v>
      </c>
      <c r="C1139" t="s">
        <v>2523</v>
      </c>
      <c r="D1139" s="2" t="s">
        <v>2524</v>
      </c>
      <c r="E1139" s="1" t="s">
        <v>2510</v>
      </c>
      <c r="F1139" t="s">
        <v>24</v>
      </c>
      <c r="G1139" s="2" t="s">
        <v>2502</v>
      </c>
      <c r="H1139" t="s">
        <v>26</v>
      </c>
      <c r="I1139" t="s">
        <v>57</v>
      </c>
      <c r="J1139" s="6">
        <v>42820</v>
      </c>
      <c r="K1139" s="16">
        <v>2025</v>
      </c>
      <c r="L1139" s="16">
        <v>2013</v>
      </c>
      <c r="M1139" s="16">
        <v>2014</v>
      </c>
      <c r="N1139" s="16">
        <v>2085</v>
      </c>
      <c r="O1139" s="16">
        <v>2021</v>
      </c>
      <c r="P1139" s="16">
        <v>2070</v>
      </c>
      <c r="Q1139" s="16">
        <v>2013</v>
      </c>
      <c r="R1139" s="16">
        <v>2010</v>
      </c>
      <c r="S1139" s="16">
        <v>2020</v>
      </c>
      <c r="T1139" s="16">
        <v>2099</v>
      </c>
      <c r="U1139" s="15">
        <v>2037</v>
      </c>
      <c r="V1139" t="s">
        <v>19</v>
      </c>
      <c r="W1139" t="s">
        <v>28</v>
      </c>
      <c r="X1139">
        <v>1923</v>
      </c>
      <c r="Y1139" s="16">
        <f>VLOOKUP(Tabela1[[#This Row],[SKU]],SKU!A:D,4,0)</f>
        <v>2000</v>
      </c>
      <c r="Z1139" s="18">
        <f>IFERROR((Tabela1[[#This Row],[Média]]-Tabela1[[#This Row],[Meta]])/Tabela1[[#This Row],[Meta]],"")</f>
        <v>1.8499999999999999E-2</v>
      </c>
      <c r="AA1139" s="31">
        <f>Tabela1[[#This Row],[Média]]-Tabela1[[#This Row],[Meta]]</f>
        <v>37</v>
      </c>
      <c r="AB1139" s="6" t="str">
        <f>VLOOKUP(Tabela1[[#This Row],[SKU]],SKU!A:B,2,0)</f>
        <v>COXA SBCX S/O FG 200-220g PB</v>
      </c>
      <c r="AC1139" s="6" t="str">
        <f>VLOOKUP(Tabela1[[#This Row],[SKU]],SKU!A:C,3,0)</f>
        <v>PERNA</v>
      </c>
    </row>
    <row r="1140" spans="1:29" x14ac:dyDescent="0.3">
      <c r="A1140" s="2">
        <f>INT(Tabela1[[#This Row],[Data e Hora2]])</f>
        <v>46289</v>
      </c>
      <c r="B1140" s="6" t="str">
        <f>UPPER(TEXT(Tabela1[[#This Row],[Data Corrigida]],"MMM"))</f>
        <v>SET</v>
      </c>
      <c r="C1140" t="s">
        <v>2525</v>
      </c>
      <c r="D1140" s="2" t="s">
        <v>2526</v>
      </c>
      <c r="E1140" s="1" t="s">
        <v>2510</v>
      </c>
      <c r="F1140" t="s">
        <v>24</v>
      </c>
      <c r="G1140" s="2" t="s">
        <v>2502</v>
      </c>
      <c r="H1140" t="s">
        <v>26</v>
      </c>
      <c r="I1140" t="s">
        <v>57</v>
      </c>
      <c r="J1140" s="6">
        <v>42811</v>
      </c>
      <c r="K1140" s="16">
        <v>2044</v>
      </c>
      <c r="L1140" s="16">
        <v>2003</v>
      </c>
      <c r="M1140" s="16">
        <v>2032</v>
      </c>
      <c r="N1140" s="16">
        <v>2010</v>
      </c>
      <c r="O1140" s="16">
        <v>2034</v>
      </c>
      <c r="P1140" s="16">
        <v>2060</v>
      </c>
      <c r="Q1140" s="16">
        <v>2017</v>
      </c>
      <c r="R1140" s="16">
        <v>2073</v>
      </c>
      <c r="S1140" s="16">
        <v>2055</v>
      </c>
      <c r="T1140" s="16">
        <v>2032</v>
      </c>
      <c r="U1140" s="15">
        <v>2036</v>
      </c>
      <c r="V1140" t="s">
        <v>19</v>
      </c>
      <c r="W1140" t="s">
        <v>28</v>
      </c>
      <c r="X1140">
        <v>2094</v>
      </c>
      <c r="Y1140" s="16">
        <f>VLOOKUP(Tabela1[[#This Row],[SKU]],SKU!A:D,4,0)</f>
        <v>2000</v>
      </c>
      <c r="Z1140" s="18">
        <f>IFERROR((Tabela1[[#This Row],[Média]]-Tabela1[[#This Row],[Meta]])/Tabela1[[#This Row],[Meta]],"")</f>
        <v>1.7999999999999999E-2</v>
      </c>
      <c r="AA1140" s="31">
        <f>Tabela1[[#This Row],[Média]]-Tabela1[[#This Row],[Meta]]</f>
        <v>36</v>
      </c>
      <c r="AB1140" s="6" t="str">
        <f>VLOOKUP(Tabela1[[#This Row],[SKU]],SKU!A:B,2,0)</f>
        <v>COXA SBCX S/O FG 180-200g PB</v>
      </c>
      <c r="AC1140" s="6" t="str">
        <f>VLOOKUP(Tabela1[[#This Row],[SKU]],SKU!A:C,3,0)</f>
        <v>PERNA</v>
      </c>
    </row>
    <row r="1141" spans="1:29" x14ac:dyDescent="0.3">
      <c r="A1141" s="2">
        <f>INT(Tabela1[[#This Row],[Data e Hora2]])</f>
        <v>46289</v>
      </c>
      <c r="B1141" s="6" t="str">
        <f>UPPER(TEXT(Tabela1[[#This Row],[Data Corrigida]],"MMM"))</f>
        <v>SET</v>
      </c>
      <c r="C1141" t="s">
        <v>2527</v>
      </c>
      <c r="D1141" s="2" t="s">
        <v>2528</v>
      </c>
      <c r="E1141" s="1" t="s">
        <v>2510</v>
      </c>
      <c r="F1141" t="s">
        <v>24</v>
      </c>
      <c r="G1141" s="2" t="s">
        <v>2502</v>
      </c>
      <c r="H1141" t="s">
        <v>26</v>
      </c>
      <c r="I1141" t="s">
        <v>57</v>
      </c>
      <c r="J1141" s="6">
        <v>18228</v>
      </c>
      <c r="K1141" s="16">
        <v>995</v>
      </c>
      <c r="L1141" s="16">
        <v>1004</v>
      </c>
      <c r="M1141" s="16">
        <v>999</v>
      </c>
      <c r="N1141" s="16">
        <v>1000</v>
      </c>
      <c r="O1141" s="16">
        <v>998</v>
      </c>
      <c r="P1141" s="16">
        <v>1005</v>
      </c>
      <c r="Q1141" s="16">
        <v>997</v>
      </c>
      <c r="R1141" s="16">
        <v>996</v>
      </c>
      <c r="S1141" s="16">
        <v>1003</v>
      </c>
      <c r="T1141" s="16">
        <v>1005</v>
      </c>
      <c r="U1141" s="15">
        <v>1000.2</v>
      </c>
      <c r="V1141" t="s">
        <v>19</v>
      </c>
      <c r="W1141" t="s">
        <v>28</v>
      </c>
      <c r="X1141">
        <v>776</v>
      </c>
      <c r="Y1141" s="16">
        <f>VLOOKUP(Tabela1[[#This Row],[SKU]],SKU!A:D,4,0)</f>
        <v>1000</v>
      </c>
      <c r="Z1141" s="18">
        <f>IFERROR((Tabela1[[#This Row],[Média]]-Tabela1[[#This Row],[Meta]])/Tabela1[[#This Row],[Meta]],"")</f>
        <v>2.0000000000004546E-4</v>
      </c>
      <c r="AA1141" s="31">
        <f>Tabela1[[#This Row],[Média]]-Tabela1[[#This Row],[Meta]]</f>
        <v>0.20000000000004547</v>
      </c>
      <c r="AB1141" s="6" t="str">
        <f>VLOOKUP(Tabela1[[#This Row],[SKU]],SKU!A:B,2,0)</f>
        <v>MOELA FRANGO CG ALM SE</v>
      </c>
      <c r="AC1141" s="6" t="str">
        <f>VLOOKUP(Tabela1[[#This Row],[SKU]],SKU!A:C,3,0)</f>
        <v>MOELA</v>
      </c>
    </row>
    <row r="1142" spans="1:29" x14ac:dyDescent="0.3">
      <c r="A1142" s="2">
        <f>INT(Tabela1[[#This Row],[Data e Hora2]])</f>
        <v>46289</v>
      </c>
      <c r="B1142" s="6" t="str">
        <f>UPPER(TEXT(Tabela1[[#This Row],[Data Corrigida]],"MMM"))</f>
        <v>SET</v>
      </c>
      <c r="C1142" t="s">
        <v>2529</v>
      </c>
      <c r="D1142" s="2" t="s">
        <v>2530</v>
      </c>
      <c r="E1142" s="1" t="s">
        <v>2531</v>
      </c>
      <c r="F1142" t="s">
        <v>24</v>
      </c>
      <c r="G1142" s="2" t="s">
        <v>2502</v>
      </c>
      <c r="H1142" t="s">
        <v>26</v>
      </c>
      <c r="I1142" t="s">
        <v>57</v>
      </c>
      <c r="J1142" s="6">
        <v>793124</v>
      </c>
      <c r="K1142" s="16">
        <v>2000</v>
      </c>
      <c r="L1142" s="16">
        <v>2006</v>
      </c>
      <c r="M1142" s="16">
        <v>2005</v>
      </c>
      <c r="N1142" s="16">
        <v>2008</v>
      </c>
      <c r="O1142" s="16">
        <v>2014</v>
      </c>
      <c r="P1142" s="16">
        <v>1992</v>
      </c>
      <c r="Q1142" s="16">
        <v>2000</v>
      </c>
      <c r="R1142" s="16">
        <v>2005</v>
      </c>
      <c r="S1142" s="16">
        <v>2004</v>
      </c>
      <c r="T1142" s="16">
        <v>2005</v>
      </c>
      <c r="U1142" s="15">
        <v>2003.9</v>
      </c>
      <c r="V1142" t="s">
        <v>19</v>
      </c>
      <c r="W1142" t="s">
        <v>28</v>
      </c>
      <c r="X1142">
        <v>2954</v>
      </c>
      <c r="Y1142" s="16">
        <f>VLOOKUP(Tabela1[[#This Row],[SKU]],SKU!A:D,4,0)</f>
        <v>2000</v>
      </c>
      <c r="Z1142" s="18">
        <f>IFERROR((Tabela1[[#This Row],[Média]]-Tabela1[[#This Row],[Meta]])/Tabela1[[#This Row],[Meta]],"")</f>
        <v>1.9500000000000454E-3</v>
      </c>
      <c r="AA1142" s="31">
        <f>Tabela1[[#This Row],[Média]]-Tabela1[[#This Row],[Meta]]</f>
        <v>3.9000000000000909</v>
      </c>
      <c r="AB1142" s="6" t="str">
        <f>VLOOKUP(Tabela1[[#This Row],[SKU]],SKU!A:B,2,0)</f>
        <v>CARTILAGEM JOELHO FG PB</v>
      </c>
      <c r="AC1142" s="6" t="str">
        <f>VLOOKUP(Tabela1[[#This Row],[SKU]],SKU!A:C,3,0)</f>
        <v>CARTILAGEM PERNA</v>
      </c>
    </row>
    <row r="1143" spans="1:29" x14ac:dyDescent="0.3">
      <c r="A1143" s="2">
        <f>INT(Tabela1[[#This Row],[Data e Hora2]])</f>
        <v>46289</v>
      </c>
      <c r="B1143" s="6" t="str">
        <f>UPPER(TEXT(Tabela1[[#This Row],[Data Corrigida]],"MMM"))</f>
        <v>SET</v>
      </c>
      <c r="C1143" t="s">
        <v>2532</v>
      </c>
      <c r="D1143" s="2" t="s">
        <v>2533</v>
      </c>
      <c r="E1143" s="1" t="s">
        <v>2534</v>
      </c>
      <c r="F1143" t="s">
        <v>24</v>
      </c>
      <c r="G1143" s="2" t="s">
        <v>2502</v>
      </c>
      <c r="H1143" t="s">
        <v>26</v>
      </c>
      <c r="I1143" t="s">
        <v>57</v>
      </c>
      <c r="J1143" s="6">
        <v>42820</v>
      </c>
      <c r="K1143" s="16">
        <v>2030</v>
      </c>
      <c r="L1143" s="16">
        <v>2041</v>
      </c>
      <c r="M1143" s="16">
        <v>2009</v>
      </c>
      <c r="N1143" s="16">
        <v>2016</v>
      </c>
      <c r="O1143" s="16">
        <v>2002</v>
      </c>
      <c r="P1143" s="16">
        <v>2008</v>
      </c>
      <c r="Q1143" s="16">
        <v>2014</v>
      </c>
      <c r="R1143" s="16">
        <v>2040</v>
      </c>
      <c r="S1143" s="16">
        <v>2019</v>
      </c>
      <c r="T1143" s="16">
        <v>2025</v>
      </c>
      <c r="U1143" s="15">
        <v>2020.4</v>
      </c>
      <c r="V1143" t="s">
        <v>19</v>
      </c>
      <c r="W1143" t="s">
        <v>19</v>
      </c>
      <c r="X1143">
        <v>460</v>
      </c>
      <c r="Y1143" s="16">
        <f>VLOOKUP(Tabela1[[#This Row],[SKU]],SKU!A:D,4,0)</f>
        <v>2000</v>
      </c>
      <c r="Z1143" s="18">
        <f>IFERROR((Tabela1[[#This Row],[Média]]-Tabela1[[#This Row],[Meta]])/Tabela1[[#This Row],[Meta]],"")</f>
        <v>1.0200000000000046E-2</v>
      </c>
      <c r="AA1143" s="31">
        <f>Tabela1[[#This Row],[Média]]-Tabela1[[#This Row],[Meta]]</f>
        <v>20.400000000000091</v>
      </c>
      <c r="AB1143" s="6" t="str">
        <f>VLOOKUP(Tabela1[[#This Row],[SKU]],SKU!A:B,2,0)</f>
        <v>COXA SBCX S/O FG 200-220g PB</v>
      </c>
      <c r="AC1143" s="6" t="str">
        <f>VLOOKUP(Tabela1[[#This Row],[SKU]],SKU!A:C,3,0)</f>
        <v>PERNA</v>
      </c>
    </row>
    <row r="1144" spans="1:29" x14ac:dyDescent="0.3">
      <c r="A1144" s="2">
        <f>INT(Tabela1[[#This Row],[Data e Hora2]])</f>
        <v>46289</v>
      </c>
      <c r="B1144" s="6" t="str">
        <f>UPPER(TEXT(Tabela1[[#This Row],[Data Corrigida]],"MMM"))</f>
        <v>SET</v>
      </c>
      <c r="C1144" t="s">
        <v>2535</v>
      </c>
      <c r="D1144" s="2" t="s">
        <v>2536</v>
      </c>
      <c r="E1144" s="1" t="s">
        <v>2534</v>
      </c>
      <c r="F1144" t="s">
        <v>24</v>
      </c>
      <c r="G1144" s="2" t="s">
        <v>2502</v>
      </c>
      <c r="H1144" t="s">
        <v>26</v>
      </c>
      <c r="I1144" t="s">
        <v>57</v>
      </c>
      <c r="J1144" s="6">
        <v>54632</v>
      </c>
      <c r="K1144" s="16">
        <v>1008</v>
      </c>
      <c r="L1144" s="16">
        <v>1002</v>
      </c>
      <c r="M1144" s="16">
        <v>1007</v>
      </c>
      <c r="N1144" s="16">
        <v>998</v>
      </c>
      <c r="O1144" s="16">
        <v>1008</v>
      </c>
      <c r="P1144" s="16">
        <v>1012</v>
      </c>
      <c r="Q1144" s="16">
        <v>1005</v>
      </c>
      <c r="R1144" s="16">
        <v>1014</v>
      </c>
      <c r="S1144" s="16">
        <v>1000</v>
      </c>
      <c r="T1144" s="16">
        <v>1012</v>
      </c>
      <c r="U1144" s="15">
        <v>1006.6</v>
      </c>
      <c r="V1144" t="s">
        <v>19</v>
      </c>
      <c r="W1144" t="s">
        <v>28</v>
      </c>
      <c r="X1144">
        <v>271</v>
      </c>
      <c r="Y1144" s="16">
        <f>VLOOKUP(Tabela1[[#This Row],[SKU]],SKU!A:D,4,0)</f>
        <v>1000</v>
      </c>
      <c r="Z1144" s="18">
        <f>IFERROR((Tabela1[[#This Row],[Média]]-Tabela1[[#This Row],[Meta]])/Tabela1[[#This Row],[Meta]],"")</f>
        <v>6.6000000000000225E-3</v>
      </c>
      <c r="AA1144" s="31">
        <f>Tabela1[[#This Row],[Média]]-Tabela1[[#This Row],[Meta]]</f>
        <v>6.6000000000000227</v>
      </c>
      <c r="AB1144" s="6" t="str">
        <f>VLOOKUP(Tabela1[[#This Row],[SKU]],SKU!A:B,2,0)</f>
        <v>COXA SBCX S/O BDJ CG</v>
      </c>
      <c r="AC1144" s="6" t="str">
        <f>VLOOKUP(Tabela1[[#This Row],[SKU]],SKU!A:C,3,0)</f>
        <v>PERNA</v>
      </c>
    </row>
    <row r="1145" spans="1:29" x14ac:dyDescent="0.3">
      <c r="A1145" s="2">
        <f>INT(Tabela1[[#This Row],[Data e Hora2]])</f>
        <v>46289</v>
      </c>
      <c r="B1145" s="6" t="str">
        <f>UPPER(TEXT(Tabela1[[#This Row],[Data Corrigida]],"MMM"))</f>
        <v>SET</v>
      </c>
      <c r="C1145" t="s">
        <v>2537</v>
      </c>
      <c r="D1145" s="2" t="s">
        <v>2538</v>
      </c>
      <c r="E1145" s="1" t="s">
        <v>2539</v>
      </c>
      <c r="F1145" t="s">
        <v>24</v>
      </c>
      <c r="G1145" s="2" t="s">
        <v>2502</v>
      </c>
      <c r="H1145" t="s">
        <v>26</v>
      </c>
      <c r="I1145" t="s">
        <v>57</v>
      </c>
      <c r="J1145" s="6">
        <v>42862</v>
      </c>
      <c r="K1145" s="16">
        <v>2014</v>
      </c>
      <c r="L1145" s="16">
        <v>2015</v>
      </c>
      <c r="M1145" s="16">
        <v>2055</v>
      </c>
      <c r="N1145" s="16">
        <v>2036</v>
      </c>
      <c r="O1145" s="16">
        <v>2025</v>
      </c>
      <c r="P1145" s="16">
        <v>2014</v>
      </c>
      <c r="Q1145" s="16">
        <v>2031</v>
      </c>
      <c r="R1145" s="16">
        <v>2024</v>
      </c>
      <c r="S1145" s="16">
        <v>2027</v>
      </c>
      <c r="T1145" s="16">
        <v>2045</v>
      </c>
      <c r="U1145" s="15">
        <v>2028.6</v>
      </c>
      <c r="V1145" t="s">
        <v>19</v>
      </c>
      <c r="W1145" t="s">
        <v>28</v>
      </c>
      <c r="X1145">
        <v>620</v>
      </c>
      <c r="Y1145" s="16">
        <f>VLOOKUP(Tabela1[[#This Row],[SKU]],SKU!A:D,4,0)</f>
        <v>2000</v>
      </c>
      <c r="Z1145" s="18">
        <f>IFERROR((Tabela1[[#This Row],[Média]]-Tabela1[[#This Row],[Meta]])/Tabela1[[#This Row],[Meta]],"")</f>
        <v>1.4299999999999955E-2</v>
      </c>
      <c r="AA1145" s="31">
        <f>Tabela1[[#This Row],[Média]]-Tabela1[[#This Row],[Meta]]</f>
        <v>28.599999999999909</v>
      </c>
      <c r="AB1145" s="6" t="str">
        <f>VLOOKUP(Tabela1[[#This Row],[SKU]],SKU!A:B,2,0)</f>
        <v>COXA SBCX S/O FG 280-300g PB</v>
      </c>
      <c r="AC1145" s="6" t="str">
        <f>VLOOKUP(Tabela1[[#This Row],[SKU]],SKU!A:C,3,0)</f>
        <v>PERNA</v>
      </c>
    </row>
    <row r="1146" spans="1:29" x14ac:dyDescent="0.3">
      <c r="A1146" s="2">
        <f>INT(Tabela1[[#This Row],[Data e Hora2]])</f>
        <v>46289</v>
      </c>
      <c r="B1146" s="6" t="str">
        <f>UPPER(TEXT(Tabela1[[#This Row],[Data Corrigida]],"MMM"))</f>
        <v>SET</v>
      </c>
      <c r="C1146" t="s">
        <v>2540</v>
      </c>
      <c r="D1146" s="2" t="s">
        <v>2541</v>
      </c>
      <c r="E1146" s="1" t="s">
        <v>2539</v>
      </c>
      <c r="F1146" t="s">
        <v>24</v>
      </c>
      <c r="G1146" s="2" t="s">
        <v>2502</v>
      </c>
      <c r="H1146" t="s">
        <v>26</v>
      </c>
      <c r="I1146" t="s">
        <v>57</v>
      </c>
      <c r="J1146" s="6">
        <v>42854</v>
      </c>
      <c r="K1146" s="16">
        <v>2113</v>
      </c>
      <c r="L1146" s="16">
        <v>2113</v>
      </c>
      <c r="M1146" s="16">
        <v>2118</v>
      </c>
      <c r="N1146" s="16">
        <v>2109</v>
      </c>
      <c r="O1146" s="16">
        <v>2119</v>
      </c>
      <c r="P1146" s="16">
        <v>2108</v>
      </c>
      <c r="Q1146" s="16">
        <v>2030</v>
      </c>
      <c r="R1146" s="16">
        <v>2118</v>
      </c>
      <c r="S1146" s="16">
        <v>2111</v>
      </c>
      <c r="T1146" s="16">
        <v>2126</v>
      </c>
      <c r="U1146" s="15">
        <v>2106.5</v>
      </c>
      <c r="V1146" t="s">
        <v>19</v>
      </c>
      <c r="W1146" t="s">
        <v>28</v>
      </c>
      <c r="X1146">
        <v>856</v>
      </c>
      <c r="Y1146" s="16">
        <f>VLOOKUP(Tabela1[[#This Row],[SKU]],SKU!A:D,4,0)</f>
        <v>2080</v>
      </c>
      <c r="Z1146" s="18">
        <f>IFERROR((Tabela1[[#This Row],[Média]]-Tabela1[[#This Row],[Meta]])/Tabela1[[#This Row],[Meta]],"")</f>
        <v>1.2740384615384615E-2</v>
      </c>
      <c r="AA1146" s="31">
        <f>Tabela1[[#This Row],[Média]]-Tabela1[[#This Row],[Meta]]</f>
        <v>26.5</v>
      </c>
      <c r="AB1146" s="6" t="str">
        <f>VLOOKUP(Tabela1[[#This Row],[SKU]],SKU!A:B,2,0)</f>
        <v>COXA SBCX S/O FG 260-280g PB</v>
      </c>
      <c r="AC1146" s="6" t="str">
        <f>VLOOKUP(Tabela1[[#This Row],[SKU]],SKU!A:C,3,0)</f>
        <v>PERNA</v>
      </c>
    </row>
    <row r="1147" spans="1:29" x14ac:dyDescent="0.3">
      <c r="A1147" s="2">
        <f>INT(Tabela1[[#This Row],[Data e Hora2]])</f>
        <v>46289</v>
      </c>
      <c r="B1147" s="6" t="str">
        <f>UPPER(TEXT(Tabela1[[#This Row],[Data Corrigida]],"MMM"))</f>
        <v>SET</v>
      </c>
      <c r="C1147" t="s">
        <v>2542</v>
      </c>
      <c r="D1147" s="2" t="s">
        <v>2543</v>
      </c>
      <c r="E1147" s="1" t="s">
        <v>2539</v>
      </c>
      <c r="F1147" t="s">
        <v>24</v>
      </c>
      <c r="G1147" s="2" t="s">
        <v>2502</v>
      </c>
      <c r="H1147" t="s">
        <v>26</v>
      </c>
      <c r="I1147" t="s">
        <v>57</v>
      </c>
      <c r="J1147" s="6">
        <v>42838</v>
      </c>
      <c r="K1147" s="16">
        <v>2016</v>
      </c>
      <c r="L1147" s="16">
        <v>2028</v>
      </c>
      <c r="M1147" s="16">
        <v>2033</v>
      </c>
      <c r="N1147" s="16">
        <v>2028</v>
      </c>
      <c r="O1147" s="16">
        <v>2016</v>
      </c>
      <c r="P1147" s="16">
        <v>2033</v>
      </c>
      <c r="Q1147" s="16">
        <v>2029</v>
      </c>
      <c r="R1147" s="16">
        <v>2034</v>
      </c>
      <c r="S1147" s="16">
        <v>2010</v>
      </c>
      <c r="T1147" s="16">
        <v>2015</v>
      </c>
      <c r="U1147" s="15">
        <v>2024.2</v>
      </c>
      <c r="V1147" t="s">
        <v>19</v>
      </c>
      <c r="W1147" t="s">
        <v>28</v>
      </c>
      <c r="X1147">
        <v>1112</v>
      </c>
      <c r="Y1147" s="16">
        <f>VLOOKUP(Tabela1[[#This Row],[SKU]],SKU!A:D,4,0)</f>
        <v>2000</v>
      </c>
      <c r="Z1147" s="18">
        <f>IFERROR((Tabela1[[#This Row],[Média]]-Tabela1[[#This Row],[Meta]])/Tabela1[[#This Row],[Meta]],"")</f>
        <v>1.2100000000000022E-2</v>
      </c>
      <c r="AA1147" s="31">
        <f>Tabela1[[#This Row],[Média]]-Tabela1[[#This Row],[Meta]]</f>
        <v>24.200000000000045</v>
      </c>
      <c r="AB1147" s="6" t="str">
        <f>VLOOKUP(Tabela1[[#This Row],[SKU]],SKU!A:B,2,0)</f>
        <v>COXA SBCX S/O FG 220-240g PB</v>
      </c>
      <c r="AC1147" s="6" t="str">
        <f>VLOOKUP(Tabela1[[#This Row],[SKU]],SKU!A:C,3,0)</f>
        <v>PERNA</v>
      </c>
    </row>
    <row r="1148" spans="1:29" x14ac:dyDescent="0.3">
      <c r="A1148" s="2">
        <f>INT(Tabela1[[#This Row],[Data e Hora2]])</f>
        <v>46289</v>
      </c>
      <c r="B1148" s="6" t="str">
        <f>UPPER(TEXT(Tabela1[[#This Row],[Data Corrigida]],"MMM"))</f>
        <v>SET</v>
      </c>
      <c r="C1148" t="s">
        <v>2544</v>
      </c>
      <c r="D1148" s="2" t="s">
        <v>2545</v>
      </c>
      <c r="E1148" s="1" t="s">
        <v>2539</v>
      </c>
      <c r="F1148" t="s">
        <v>24</v>
      </c>
      <c r="G1148" s="2" t="s">
        <v>2502</v>
      </c>
      <c r="H1148" t="s">
        <v>26</v>
      </c>
      <c r="I1148" t="s">
        <v>57</v>
      </c>
      <c r="J1148" s="6">
        <v>963925</v>
      </c>
      <c r="K1148" s="16">
        <v>18130</v>
      </c>
      <c r="L1148" s="16">
        <v>18050</v>
      </c>
      <c r="M1148" s="16">
        <v>18265</v>
      </c>
      <c r="N1148" s="16">
        <v>18175</v>
      </c>
      <c r="O1148" s="16">
        <v>18255</v>
      </c>
      <c r="P1148" s="16">
        <v>17995</v>
      </c>
      <c r="Q1148" s="16">
        <v>18000</v>
      </c>
      <c r="R1148" s="16">
        <v>18250</v>
      </c>
      <c r="S1148" s="16">
        <v>17990</v>
      </c>
      <c r="T1148" s="16">
        <v>18235</v>
      </c>
      <c r="U1148" s="15">
        <v>18134.5</v>
      </c>
      <c r="V1148" t="s">
        <v>19</v>
      </c>
      <c r="W1148" t="s">
        <v>28</v>
      </c>
      <c r="X1148">
        <v>1934</v>
      </c>
      <c r="Y1148" s="16">
        <f>VLOOKUP(Tabela1[[#This Row],[SKU]],SKU!A:D,4,0)</f>
        <v>18000</v>
      </c>
      <c r="Z1148" s="18">
        <f>IFERROR((Tabela1[[#This Row],[Média]]-Tabela1[[#This Row],[Meta]])/Tabela1[[#This Row],[Meta]],"")</f>
        <v>7.4722222222222221E-3</v>
      </c>
      <c r="AA1148" s="31">
        <f>Tabela1[[#This Row],[Média]]-Tabela1[[#This Row],[Meta]]</f>
        <v>134.5</v>
      </c>
      <c r="AB1148" s="6" t="str">
        <f>VLOOKUP(Tabela1[[#This Row],[SKU]],SKU!A:B,2,0)</f>
        <v>COXINHA DA ASA FG CG PCT</v>
      </c>
      <c r="AC1148" s="6" t="str">
        <f>VLOOKUP(Tabela1[[#This Row],[SKU]],SKU!A:C,3,0)</f>
        <v>ASA</v>
      </c>
    </row>
    <row r="1149" spans="1:29" x14ac:dyDescent="0.3">
      <c r="A1149" s="2">
        <f>INT(Tabela1[[#This Row],[Data e Hora2]])</f>
        <v>46289</v>
      </c>
      <c r="B1149" s="6" t="str">
        <f>UPPER(TEXT(Tabela1[[#This Row],[Data Corrigida]],"MMM"))</f>
        <v>SET</v>
      </c>
      <c r="C1149" t="s">
        <v>2546</v>
      </c>
      <c r="D1149" s="2" t="s">
        <v>2547</v>
      </c>
      <c r="E1149" s="1" t="s">
        <v>2539</v>
      </c>
      <c r="F1149" t="s">
        <v>24</v>
      </c>
      <c r="G1149" s="2" t="s">
        <v>2502</v>
      </c>
      <c r="H1149" t="s">
        <v>26</v>
      </c>
      <c r="I1149" t="s">
        <v>57</v>
      </c>
      <c r="J1149" s="6">
        <v>55552</v>
      </c>
      <c r="K1149" s="16">
        <v>15000</v>
      </c>
      <c r="L1149" s="16">
        <v>15020</v>
      </c>
      <c r="M1149" s="16">
        <v>15000</v>
      </c>
      <c r="N1149" s="16">
        <v>14995</v>
      </c>
      <c r="O1149" s="16">
        <v>15005</v>
      </c>
      <c r="P1149" s="16">
        <v>15000</v>
      </c>
      <c r="Q1149" s="16">
        <v>15005</v>
      </c>
      <c r="R1149" s="16">
        <v>15000</v>
      </c>
      <c r="S1149" s="16">
        <v>14990</v>
      </c>
      <c r="T1149" s="16">
        <v>15030</v>
      </c>
      <c r="U1149" s="15">
        <v>15004.5</v>
      </c>
      <c r="V1149" t="s">
        <v>19</v>
      </c>
      <c r="W1149" t="s">
        <v>28</v>
      </c>
      <c r="X1149">
        <v>473</v>
      </c>
      <c r="Y1149" s="16">
        <f>VLOOKUP(Tabela1[[#This Row],[SKU]],SKU!A:D,4,0)</f>
        <v>15000</v>
      </c>
      <c r="Z1149" s="18">
        <f>IFERROR((Tabela1[[#This Row],[Média]]-Tabela1[[#This Row],[Meta]])/Tabela1[[#This Row],[Meta]],"")</f>
        <v>2.9999999999999997E-4</v>
      </c>
      <c r="AA1149" s="31">
        <f>Tabela1[[#This Row],[Média]]-Tabela1[[#This Row],[Meta]]</f>
        <v>4.5</v>
      </c>
      <c r="AB1149" s="6" t="str">
        <f>VLOOKUP(Tabela1[[#This Row],[SKU]],SKU!A:B,2,0)</f>
        <v>COXA SBCX  S/O CG MP</v>
      </c>
      <c r="AC1149" s="6" t="str">
        <f>VLOOKUP(Tabela1[[#This Row],[SKU]],SKU!A:C,3,0)</f>
        <v>PERNA</v>
      </c>
    </row>
    <row r="1150" spans="1:29" x14ac:dyDescent="0.3">
      <c r="A1150" s="2">
        <f>INT(Tabela1[[#This Row],[Data e Hora2]])</f>
        <v>46289</v>
      </c>
      <c r="B1150" s="6" t="str">
        <f>UPPER(TEXT(Tabela1[[#This Row],[Data Corrigida]],"MMM"))</f>
        <v>SET</v>
      </c>
      <c r="C1150" t="s">
        <v>2548</v>
      </c>
      <c r="D1150" s="2" t="s">
        <v>2549</v>
      </c>
      <c r="E1150" s="1" t="s">
        <v>2539</v>
      </c>
      <c r="F1150" t="s">
        <v>24</v>
      </c>
      <c r="G1150" s="2" t="s">
        <v>2502</v>
      </c>
      <c r="H1150" t="s">
        <v>26</v>
      </c>
      <c r="I1150" t="s">
        <v>57</v>
      </c>
      <c r="J1150" s="6">
        <v>40762</v>
      </c>
      <c r="K1150" s="16">
        <v>10055</v>
      </c>
      <c r="L1150" s="16">
        <v>10060</v>
      </c>
      <c r="M1150" s="16">
        <v>10005</v>
      </c>
      <c r="N1150" s="16">
        <v>10025</v>
      </c>
      <c r="O1150" s="16">
        <v>10015</v>
      </c>
      <c r="P1150" s="16">
        <v>9980</v>
      </c>
      <c r="Q1150" s="16">
        <v>10020</v>
      </c>
      <c r="R1150" s="16">
        <v>10065</v>
      </c>
      <c r="S1150" s="16">
        <v>9995</v>
      </c>
      <c r="T1150" s="16">
        <v>9990</v>
      </c>
      <c r="U1150" s="15">
        <v>10021</v>
      </c>
      <c r="V1150" t="s">
        <v>19</v>
      </c>
      <c r="W1150" t="s">
        <v>28</v>
      </c>
      <c r="X1150">
        <v>816</v>
      </c>
      <c r="Y1150" s="16">
        <f>VLOOKUP(Tabela1[[#This Row],[SKU]],SKU!A:D,4,0)</f>
        <v>10000</v>
      </c>
      <c r="Z1150" s="18">
        <f>IFERROR((Tabela1[[#This Row],[Média]]-Tabela1[[#This Row],[Meta]])/Tabela1[[#This Row],[Meta]],"")</f>
        <v>2.0999999999999999E-3</v>
      </c>
      <c r="AA1150" s="31">
        <f>Tabela1[[#This Row],[Média]]-Tabela1[[#This Row],[Meta]]</f>
        <v>21</v>
      </c>
      <c r="AB1150" s="6" t="str">
        <f>VLOOKUP(Tabela1[[#This Row],[SKU]],SKU!A:B,2,0)</f>
        <v>COXA SBCX LQ FG LP</v>
      </c>
      <c r="AC1150" s="6" t="str">
        <f>VLOOKUP(Tabela1[[#This Row],[SKU]],SKU!A:C,3,0)</f>
        <v>PERNA</v>
      </c>
    </row>
    <row r="1151" spans="1:29" x14ac:dyDescent="0.3">
      <c r="A1151" s="2">
        <f>INT(Tabela1[[#This Row],[Data e Hora2]])</f>
        <v>46289</v>
      </c>
      <c r="B1151" s="6" t="str">
        <f>UPPER(TEXT(Tabela1[[#This Row],[Data Corrigida]],"MMM"))</f>
        <v>SET</v>
      </c>
      <c r="C1151" t="s">
        <v>2550</v>
      </c>
      <c r="D1151" s="2" t="s">
        <v>2551</v>
      </c>
      <c r="E1151" s="1" t="s">
        <v>2539</v>
      </c>
      <c r="F1151" t="s">
        <v>24</v>
      </c>
      <c r="G1151" s="2" t="s">
        <v>2502</v>
      </c>
      <c r="H1151" t="s">
        <v>26</v>
      </c>
      <c r="I1151" t="s">
        <v>57</v>
      </c>
      <c r="J1151" s="6">
        <v>15105</v>
      </c>
      <c r="K1151" s="16">
        <v>1012</v>
      </c>
      <c r="L1151" s="16">
        <v>1023</v>
      </c>
      <c r="M1151" s="16">
        <v>999</v>
      </c>
      <c r="N1151" s="16">
        <v>1038</v>
      </c>
      <c r="O1151" s="16">
        <v>1014</v>
      </c>
      <c r="P1151" s="16">
        <v>1031</v>
      </c>
      <c r="Q1151" s="16">
        <v>991</v>
      </c>
      <c r="R1151" s="16">
        <v>1002</v>
      </c>
      <c r="S1151" s="16">
        <v>1038</v>
      </c>
      <c r="T1151" s="16">
        <v>1036</v>
      </c>
      <c r="U1151" s="15">
        <v>1018.4</v>
      </c>
      <c r="V1151" t="s">
        <v>19</v>
      </c>
      <c r="W1151" t="s">
        <v>28</v>
      </c>
      <c r="X1151">
        <v>1762</v>
      </c>
      <c r="Y1151" s="16">
        <f>VLOOKUP(Tabela1[[#This Row],[SKU]],SKU!A:D,4,0)</f>
        <v>1000</v>
      </c>
      <c r="Z1151" s="18">
        <f>IFERROR((Tabela1[[#This Row],[Média]]-Tabela1[[#This Row],[Meta]])/Tabela1[[#This Row],[Meta]],"")</f>
        <v>1.8399999999999979E-2</v>
      </c>
      <c r="AA1151" s="31">
        <f>Tabela1[[#This Row],[Média]]-Tabela1[[#This Row],[Meta]]</f>
        <v>18.399999999999977</v>
      </c>
      <c r="AB1151" s="6" t="str">
        <f>VLOOKUP(Tabela1[[#This Row],[SKU]],SKU!A:B,2,0)</f>
        <v>FILE PEITO MET CG BDJ SE</v>
      </c>
      <c r="AC1151" s="6" t="str">
        <f>VLOOKUP(Tabela1[[#This Row],[SKU]],SKU!A:C,3,0)</f>
        <v>PEITO</v>
      </c>
    </row>
    <row r="1152" spans="1:29" x14ac:dyDescent="0.3">
      <c r="A1152" s="2">
        <f>INT(Tabela1[[#This Row],[Data e Hora2]])</f>
        <v>46288</v>
      </c>
      <c r="B1152" s="6" t="str">
        <f>UPPER(TEXT(Tabela1[[#This Row],[Data Corrigida]],"MMM"))</f>
        <v>SET</v>
      </c>
      <c r="C1152" t="s">
        <v>2552</v>
      </c>
      <c r="D1152" s="2" t="s">
        <v>2553</v>
      </c>
      <c r="E1152" s="1" t="s">
        <v>2554</v>
      </c>
      <c r="F1152" t="s">
        <v>24</v>
      </c>
      <c r="G1152" s="2" t="s">
        <v>2313</v>
      </c>
      <c r="H1152" t="s">
        <v>142</v>
      </c>
      <c r="I1152" t="s">
        <v>462</v>
      </c>
      <c r="J1152" s="6">
        <v>15105</v>
      </c>
      <c r="K1152" s="16">
        <v>1007</v>
      </c>
      <c r="L1152" s="16">
        <v>1019</v>
      </c>
      <c r="M1152" s="16">
        <v>1046</v>
      </c>
      <c r="N1152" s="16">
        <v>995</v>
      </c>
      <c r="O1152" s="16">
        <v>1000</v>
      </c>
      <c r="P1152" s="16">
        <v>993</v>
      </c>
      <c r="Q1152" s="16">
        <v>1026</v>
      </c>
      <c r="R1152" s="16">
        <v>994</v>
      </c>
      <c r="S1152" s="16">
        <v>1003</v>
      </c>
      <c r="T1152" s="16">
        <v>1022</v>
      </c>
      <c r="U1152" s="15">
        <v>1010.5</v>
      </c>
      <c r="V1152" t="s">
        <v>19</v>
      </c>
      <c r="W1152" t="s">
        <v>19</v>
      </c>
      <c r="X1152">
        <v>103094</v>
      </c>
      <c r="Y1152" s="16">
        <f>VLOOKUP(Tabela1[[#This Row],[SKU]],SKU!A:D,4,0)</f>
        <v>1000</v>
      </c>
      <c r="Z1152" s="18">
        <f>IFERROR((Tabela1[[#This Row],[Média]]-Tabela1[[#This Row],[Meta]])/Tabela1[[#This Row],[Meta]],"")</f>
        <v>1.0500000000000001E-2</v>
      </c>
      <c r="AA1152" s="31">
        <f>Tabela1[[#This Row],[Média]]-Tabela1[[#This Row],[Meta]]</f>
        <v>10.5</v>
      </c>
      <c r="AB1152" s="6" t="str">
        <f>VLOOKUP(Tabela1[[#This Row],[SKU]],SKU!A:B,2,0)</f>
        <v>FILE PEITO MET CG BDJ SE</v>
      </c>
      <c r="AC1152" s="6" t="str">
        <f>VLOOKUP(Tabela1[[#This Row],[SKU]],SKU!A:C,3,0)</f>
        <v>PEITO</v>
      </c>
    </row>
    <row r="1153" spans="1:29" x14ac:dyDescent="0.3">
      <c r="A1153" s="2">
        <f>INT(Tabela1[[#This Row],[Data e Hora2]])</f>
        <v>46289</v>
      </c>
      <c r="B1153" s="6" t="str">
        <f>UPPER(TEXT(Tabela1[[#This Row],[Data Corrigida]],"MMM"))</f>
        <v>SET</v>
      </c>
      <c r="C1153" t="s">
        <v>2555</v>
      </c>
      <c r="D1153" s="2" t="s">
        <v>2556</v>
      </c>
      <c r="E1153" s="1" t="s">
        <v>2557</v>
      </c>
      <c r="F1153" t="s">
        <v>24</v>
      </c>
      <c r="G1153" s="2" t="s">
        <v>2502</v>
      </c>
      <c r="H1153" t="s">
        <v>142</v>
      </c>
      <c r="I1153" t="s">
        <v>462</v>
      </c>
      <c r="J1153" s="6">
        <v>197734</v>
      </c>
      <c r="K1153" s="16">
        <v>1015</v>
      </c>
      <c r="L1153" s="16">
        <v>1034</v>
      </c>
      <c r="M1153" s="16">
        <v>1016</v>
      </c>
      <c r="N1153" s="16">
        <v>1013</v>
      </c>
      <c r="O1153" s="16">
        <v>1027</v>
      </c>
      <c r="P1153" s="16">
        <v>1016</v>
      </c>
      <c r="Q1153" s="16">
        <v>1022</v>
      </c>
      <c r="R1153" s="16">
        <v>1015</v>
      </c>
      <c r="S1153" s="16">
        <v>1010</v>
      </c>
      <c r="T1153" s="16">
        <v>1042</v>
      </c>
      <c r="U1153" s="15">
        <v>1021</v>
      </c>
      <c r="V1153" t="s">
        <v>19</v>
      </c>
      <c r="W1153" t="s">
        <v>28</v>
      </c>
      <c r="X1153">
        <v>161</v>
      </c>
      <c r="Y1153" s="16">
        <f>VLOOKUP(Tabela1[[#This Row],[SKU]],SKU!A:D,4,0)</f>
        <v>1000</v>
      </c>
      <c r="Z1153" s="18">
        <f>IFERROR((Tabela1[[#This Row],[Média]]-Tabela1[[#This Row],[Meta]])/Tabela1[[#This Row],[Meta]],"")</f>
        <v>2.1000000000000001E-2</v>
      </c>
      <c r="AA1153" s="31">
        <f>Tabela1[[#This Row],[Média]]-Tabela1[[#This Row],[Meta]]</f>
        <v>21</v>
      </c>
      <c r="AB1153" s="6" t="str">
        <f>VLOOKUP(Tabela1[[#This Row],[SKU]],SKU!A:B,2,0)</f>
        <v>FILEZINHO FRANGO IQF ALM SE</v>
      </c>
      <c r="AC1153" s="6" t="str">
        <f>VLOOKUP(Tabela1[[#This Row],[SKU]],SKU!A:C,3,0)</f>
        <v>SASSAMI</v>
      </c>
    </row>
    <row r="1154" spans="1:29" x14ac:dyDescent="0.3">
      <c r="A1154" s="2">
        <f>INT(Tabela1[[#This Row],[Data e Hora2]])</f>
        <v>46293</v>
      </c>
      <c r="B1154" s="6" t="str">
        <f>UPPER(TEXT(Tabela1[[#This Row],[Data Corrigida]],"MMM"))</f>
        <v>SET</v>
      </c>
      <c r="C1154" s="26" t="s">
        <v>2558</v>
      </c>
      <c r="D1154" s="2" t="s">
        <v>2559</v>
      </c>
      <c r="E1154" s="1" t="s">
        <v>2560</v>
      </c>
      <c r="F1154" t="s">
        <v>24</v>
      </c>
      <c r="G1154" s="2" t="s">
        <v>2561</v>
      </c>
      <c r="H1154" t="s">
        <v>26</v>
      </c>
      <c r="I1154" t="s">
        <v>27</v>
      </c>
      <c r="J1154" s="6">
        <v>15229</v>
      </c>
      <c r="K1154" s="16">
        <v>1007</v>
      </c>
      <c r="L1154" s="16">
        <v>1004</v>
      </c>
      <c r="M1154" s="16">
        <v>1013</v>
      </c>
      <c r="N1154" s="16">
        <v>1000</v>
      </c>
      <c r="O1154" s="16">
        <v>1003</v>
      </c>
      <c r="P1154" s="16">
        <v>995</v>
      </c>
      <c r="Q1154" s="16">
        <v>1005</v>
      </c>
      <c r="R1154" s="16">
        <v>1004</v>
      </c>
      <c r="S1154" s="16">
        <v>1015</v>
      </c>
      <c r="T1154" s="16">
        <v>1011</v>
      </c>
      <c r="U1154" s="15">
        <v>1005.7</v>
      </c>
      <c r="V1154" t="s">
        <v>19</v>
      </c>
      <c r="W1154" t="s">
        <v>19</v>
      </c>
      <c r="X1154">
        <v>826</v>
      </c>
      <c r="Y1154" s="16">
        <f>VLOOKUP(Tabela1[[#This Row],[SKU]],SKU!A:D,4,0)</f>
        <v>1000</v>
      </c>
      <c r="Z1154" s="18">
        <f>IFERROR((Tabela1[[#This Row],[Média]]-Tabela1[[#This Row],[Meta]])/Tabela1[[#This Row],[Meta]],"")</f>
        <v>5.7000000000000453E-3</v>
      </c>
      <c r="AA1154" s="31">
        <f>Tabela1[[#This Row],[Média]]-Tabela1[[#This Row],[Meta]]</f>
        <v>5.7000000000000455</v>
      </c>
      <c r="AB1154" s="6" t="str">
        <f>VLOOKUP(Tabela1[[#This Row],[SKU]],SKU!A:B,2,0)</f>
        <v>COXA CG BDJ SE</v>
      </c>
      <c r="AC1154" s="6" t="str">
        <f>VLOOKUP(Tabela1[[#This Row],[SKU]],SKU!A:C,3,0)</f>
        <v>PERNA</v>
      </c>
    </row>
    <row r="1155" spans="1:29" x14ac:dyDescent="0.3">
      <c r="A1155" s="2">
        <f>INT(Tabela1[[#This Row],[Data e Hora2]])</f>
        <v>46293</v>
      </c>
      <c r="B1155" s="6" t="str">
        <f>UPPER(TEXT(Tabela1[[#This Row],[Data Corrigida]],"MMM"))</f>
        <v>SET</v>
      </c>
      <c r="C1155" t="s">
        <v>2562</v>
      </c>
      <c r="D1155" s="2" t="s">
        <v>2563</v>
      </c>
      <c r="E1155" s="1" t="s">
        <v>2560</v>
      </c>
      <c r="F1155" t="s">
        <v>24</v>
      </c>
      <c r="G1155" s="2" t="s">
        <v>2561</v>
      </c>
      <c r="H1155" t="s">
        <v>26</v>
      </c>
      <c r="I1155" t="s">
        <v>27</v>
      </c>
      <c r="J1155" s="6">
        <v>13188</v>
      </c>
      <c r="K1155" s="16">
        <v>1004</v>
      </c>
      <c r="L1155" s="16">
        <v>1001</v>
      </c>
      <c r="M1155" s="16">
        <v>999</v>
      </c>
      <c r="N1155" s="16">
        <v>1000</v>
      </c>
      <c r="O1155" s="16">
        <v>1021</v>
      </c>
      <c r="P1155" s="16">
        <v>1019</v>
      </c>
      <c r="Q1155" s="16">
        <v>1003</v>
      </c>
      <c r="R1155" s="16">
        <v>1009</v>
      </c>
      <c r="S1155" s="16">
        <v>1004</v>
      </c>
      <c r="T1155" s="16">
        <v>997</v>
      </c>
      <c r="U1155" s="15">
        <v>1005.7</v>
      </c>
      <c r="V1155" t="s">
        <v>19</v>
      </c>
      <c r="W1155" t="s">
        <v>28</v>
      </c>
      <c r="X1155">
        <v>194</v>
      </c>
      <c r="Y1155" s="16">
        <f>VLOOKUP(Tabela1[[#This Row],[SKU]],SKU!A:D,4,0)</f>
        <v>1000</v>
      </c>
      <c r="Z1155" s="18">
        <f>IFERROR((Tabela1[[#This Row],[Média]]-Tabela1[[#This Row],[Meta]])/Tabela1[[#This Row],[Meta]],"")</f>
        <v>5.7000000000000453E-3</v>
      </c>
      <c r="AA1155" s="31">
        <f>Tabela1[[#This Row],[Média]]-Tabela1[[#This Row],[Meta]]</f>
        <v>5.7000000000000455</v>
      </c>
      <c r="AB1155" s="6" t="str">
        <f>VLOOKUP(Tabela1[[#This Row],[SKU]],SKU!A:B,2,0)</f>
        <v>SOBRECOXA CG BDJ SE</v>
      </c>
      <c r="AC1155" s="6" t="str">
        <f>VLOOKUP(Tabela1[[#This Row],[SKU]],SKU!A:C,3,0)</f>
        <v>PERNA</v>
      </c>
    </row>
    <row r="1156" spans="1:29" x14ac:dyDescent="0.3">
      <c r="A1156" s="2">
        <f>INT(Tabela1[[#This Row],[Data e Hora2]])</f>
        <v>46293</v>
      </c>
      <c r="B1156" s="6" t="str">
        <f>UPPER(TEXT(Tabela1[[#This Row],[Data Corrigida]],"MMM"))</f>
        <v>SET</v>
      </c>
      <c r="C1156" t="s">
        <v>2564</v>
      </c>
      <c r="D1156" s="2" t="s">
        <v>2565</v>
      </c>
      <c r="E1156" s="1" t="s">
        <v>2566</v>
      </c>
      <c r="F1156" t="s">
        <v>24</v>
      </c>
      <c r="G1156" s="2" t="s">
        <v>2561</v>
      </c>
      <c r="H1156" t="s">
        <v>26</v>
      </c>
      <c r="I1156" t="s">
        <v>27</v>
      </c>
      <c r="J1156" s="6">
        <v>15105</v>
      </c>
      <c r="K1156" s="16">
        <v>1023</v>
      </c>
      <c r="L1156" s="16">
        <v>1025</v>
      </c>
      <c r="M1156" s="16">
        <v>1026</v>
      </c>
      <c r="N1156" s="16">
        <v>1003</v>
      </c>
      <c r="O1156" s="16">
        <v>1012</v>
      </c>
      <c r="P1156" s="16">
        <v>1003</v>
      </c>
      <c r="Q1156" s="16">
        <v>1001</v>
      </c>
      <c r="R1156" s="16">
        <v>993</v>
      </c>
      <c r="S1156" s="16">
        <v>1029</v>
      </c>
      <c r="T1156" s="16">
        <v>1021</v>
      </c>
      <c r="U1156" s="15">
        <v>1013.6</v>
      </c>
      <c r="V1156" t="s">
        <v>19</v>
      </c>
      <c r="W1156" t="s">
        <v>28</v>
      </c>
      <c r="X1156">
        <v>10612</v>
      </c>
      <c r="Y1156" s="16">
        <f>VLOOKUP(Tabela1[[#This Row],[SKU]],SKU!A:D,4,0)</f>
        <v>1000</v>
      </c>
      <c r="Z1156" s="18">
        <f>IFERROR((Tabela1[[#This Row],[Média]]-Tabela1[[#This Row],[Meta]])/Tabela1[[#This Row],[Meta]],"")</f>
        <v>1.3600000000000024E-2</v>
      </c>
      <c r="AA1156" s="31">
        <f>Tabela1[[#This Row],[Média]]-Tabela1[[#This Row],[Meta]]</f>
        <v>13.600000000000023</v>
      </c>
      <c r="AB1156" s="6" t="str">
        <f>VLOOKUP(Tabela1[[#This Row],[SKU]],SKU!A:B,2,0)</f>
        <v>FILE PEITO MET CG BDJ SE</v>
      </c>
      <c r="AC1156" s="6" t="str">
        <f>VLOOKUP(Tabela1[[#This Row],[SKU]],SKU!A:C,3,0)</f>
        <v>PEITO</v>
      </c>
    </row>
    <row r="1157" spans="1:29" x14ac:dyDescent="0.3">
      <c r="A1157" s="2">
        <f>INT(Tabela1[[#This Row],[Data e Hora2]])</f>
        <v>46293</v>
      </c>
      <c r="B1157" s="6" t="str">
        <f>UPPER(TEXT(Tabela1[[#This Row],[Data Corrigida]],"MMM"))</f>
        <v>SET</v>
      </c>
      <c r="C1157" t="s">
        <v>2567</v>
      </c>
      <c r="D1157" s="2" t="s">
        <v>2568</v>
      </c>
      <c r="E1157" s="1" t="s">
        <v>2566</v>
      </c>
      <c r="F1157" t="s">
        <v>24</v>
      </c>
      <c r="G1157" s="2" t="s">
        <v>2561</v>
      </c>
      <c r="H1157" t="s">
        <v>26</v>
      </c>
      <c r="I1157" t="s">
        <v>27</v>
      </c>
      <c r="J1157" s="6">
        <v>15849</v>
      </c>
      <c r="K1157" s="16">
        <v>1003</v>
      </c>
      <c r="L1157" s="16">
        <v>1019</v>
      </c>
      <c r="M1157" s="16">
        <v>1001</v>
      </c>
      <c r="N1157" s="16">
        <v>996</v>
      </c>
      <c r="O1157" s="16">
        <v>998</v>
      </c>
      <c r="P1157" s="16">
        <v>1013</v>
      </c>
      <c r="Q1157" s="16">
        <v>1016</v>
      </c>
      <c r="R1157" s="16">
        <v>1007</v>
      </c>
      <c r="S1157" s="16">
        <v>997</v>
      </c>
      <c r="T1157" s="16">
        <v>1019</v>
      </c>
      <c r="U1157" s="15">
        <v>1006.9</v>
      </c>
      <c r="V1157" t="s">
        <v>19</v>
      </c>
      <c r="W1157" t="s">
        <v>19</v>
      </c>
      <c r="X1157">
        <v>10139</v>
      </c>
      <c r="Y1157" s="16">
        <f>VLOOKUP(Tabela1[[#This Row],[SKU]],SKU!A:D,4,0)</f>
        <v>1000</v>
      </c>
      <c r="Z1157" s="18">
        <f>IFERROR((Tabela1[[#This Row],[Média]]-Tabela1[[#This Row],[Meta]])/Tabela1[[#This Row],[Meta]],"")</f>
        <v>6.8999999999999773E-3</v>
      </c>
      <c r="AA1157" s="31">
        <f>Tabela1[[#This Row],[Média]]-Tabela1[[#This Row],[Meta]]</f>
        <v>6.8999999999999773</v>
      </c>
      <c r="AB1157" s="6" t="str">
        <f>VLOOKUP(Tabela1[[#This Row],[SKU]],SKU!A:B,2,0)</f>
        <v>FILEZINHO PEITO CG BDJ SE</v>
      </c>
      <c r="AC1157" s="6" t="str">
        <f>VLOOKUP(Tabela1[[#This Row],[SKU]],SKU!A:C,3,0)</f>
        <v>SASSAMI</v>
      </c>
    </row>
    <row r="1158" spans="1:29" x14ac:dyDescent="0.3">
      <c r="A1158" s="2">
        <f>INT(Tabela1[[#This Row],[Data e Hora2]])</f>
        <v>46293</v>
      </c>
      <c r="B1158" s="6" t="str">
        <f>UPPER(TEXT(Tabela1[[#This Row],[Data Corrigida]],"MMM"))</f>
        <v>SET</v>
      </c>
      <c r="C1158" t="s">
        <v>2569</v>
      </c>
      <c r="D1158" s="2" t="s">
        <v>2570</v>
      </c>
      <c r="E1158" s="1" t="s">
        <v>2566</v>
      </c>
      <c r="F1158" t="s">
        <v>24</v>
      </c>
      <c r="G1158" s="2" t="s">
        <v>2561</v>
      </c>
      <c r="H1158" t="s">
        <v>26</v>
      </c>
      <c r="I1158" t="s">
        <v>27</v>
      </c>
      <c r="J1158" s="6">
        <v>40762</v>
      </c>
      <c r="K1158" s="16">
        <v>10030</v>
      </c>
      <c r="L1158" s="16">
        <v>9920</v>
      </c>
      <c r="M1158" s="16">
        <v>10005</v>
      </c>
      <c r="N1158" s="16">
        <v>9975</v>
      </c>
      <c r="O1158" s="16">
        <v>10050</v>
      </c>
      <c r="P1158" s="16">
        <v>10080</v>
      </c>
      <c r="Q1158" s="16">
        <v>9960</v>
      </c>
      <c r="R1158" s="16">
        <v>9940</v>
      </c>
      <c r="S1158" s="16">
        <v>10090</v>
      </c>
      <c r="T1158" s="16">
        <v>9960</v>
      </c>
      <c r="U1158" s="15">
        <v>10001</v>
      </c>
      <c r="V1158" t="s">
        <v>19</v>
      </c>
      <c r="W1158" t="s">
        <v>28</v>
      </c>
      <c r="X1158">
        <v>9157</v>
      </c>
      <c r="Y1158" s="16">
        <f>VLOOKUP(Tabela1[[#This Row],[SKU]],SKU!A:D,4,0)</f>
        <v>10000</v>
      </c>
      <c r="Z1158" s="18">
        <f>IFERROR((Tabela1[[#This Row],[Média]]-Tabela1[[#This Row],[Meta]])/Tabela1[[#This Row],[Meta]],"")</f>
        <v>1E-4</v>
      </c>
      <c r="AA1158" s="31">
        <f>Tabela1[[#This Row],[Média]]-Tabela1[[#This Row],[Meta]]</f>
        <v>1</v>
      </c>
      <c r="AB1158" s="6" t="str">
        <f>VLOOKUP(Tabela1[[#This Row],[SKU]],SKU!A:B,2,0)</f>
        <v>COXA SBCX LQ FG LP</v>
      </c>
      <c r="AC1158" s="6" t="str">
        <f>VLOOKUP(Tabela1[[#This Row],[SKU]],SKU!A:C,3,0)</f>
        <v>PERNA</v>
      </c>
    </row>
    <row r="1159" spans="1:29" x14ac:dyDescent="0.3">
      <c r="A1159" s="2">
        <f>INT(Tabela1[[#This Row],[Data e Hora2]])</f>
        <v>46293</v>
      </c>
      <c r="B1159" s="6" t="str">
        <f>UPPER(TEXT(Tabela1[[#This Row],[Data Corrigida]],"MMM"))</f>
        <v>SET</v>
      </c>
      <c r="C1159" t="s">
        <v>2571</v>
      </c>
      <c r="D1159" s="2" t="s">
        <v>2572</v>
      </c>
      <c r="E1159" s="1" t="s">
        <v>2566</v>
      </c>
      <c r="F1159" t="s">
        <v>24</v>
      </c>
      <c r="G1159" s="2" t="s">
        <v>2561</v>
      </c>
      <c r="H1159" t="s">
        <v>26</v>
      </c>
      <c r="I1159" t="s">
        <v>27</v>
      </c>
      <c r="J1159" s="6">
        <v>42838</v>
      </c>
      <c r="K1159" s="16">
        <v>2036</v>
      </c>
      <c r="L1159" s="16">
        <v>2022</v>
      </c>
      <c r="M1159" s="16">
        <v>2013</v>
      </c>
      <c r="N1159" s="16">
        <v>2009</v>
      </c>
      <c r="O1159" s="16">
        <v>2021</v>
      </c>
      <c r="P1159" s="16">
        <v>2020</v>
      </c>
      <c r="Q1159" s="16">
        <v>2007</v>
      </c>
      <c r="R1159" s="16">
        <v>2025</v>
      </c>
      <c r="S1159" s="16">
        <v>2010</v>
      </c>
      <c r="T1159" s="16">
        <v>2019</v>
      </c>
      <c r="U1159" s="15">
        <v>2018.2</v>
      </c>
      <c r="V1159" t="s">
        <v>19</v>
      </c>
      <c r="W1159" t="s">
        <v>28</v>
      </c>
      <c r="X1159">
        <v>8238</v>
      </c>
      <c r="Y1159" s="16">
        <f>VLOOKUP(Tabela1[[#This Row],[SKU]],SKU!A:D,4,0)</f>
        <v>2000</v>
      </c>
      <c r="Z1159" s="18">
        <f>IFERROR((Tabela1[[#This Row],[Média]]-Tabela1[[#This Row],[Meta]])/Tabela1[[#This Row],[Meta]],"")</f>
        <v>9.100000000000023E-3</v>
      </c>
      <c r="AA1159" s="31">
        <f>Tabela1[[#This Row],[Média]]-Tabela1[[#This Row],[Meta]]</f>
        <v>18.200000000000045</v>
      </c>
      <c r="AB1159" s="6" t="str">
        <f>VLOOKUP(Tabela1[[#This Row],[SKU]],SKU!A:B,2,0)</f>
        <v>COXA SBCX S/O FG 220-240g PB</v>
      </c>
      <c r="AC1159" s="6" t="str">
        <f>VLOOKUP(Tabela1[[#This Row],[SKU]],SKU!A:C,3,0)</f>
        <v>PERNA</v>
      </c>
    </row>
    <row r="1160" spans="1:29" x14ac:dyDescent="0.3">
      <c r="A1160" s="2">
        <f>INT(Tabela1[[#This Row],[Data e Hora2]])</f>
        <v>46293</v>
      </c>
      <c r="B1160" s="6" t="str">
        <f>UPPER(TEXT(Tabela1[[#This Row],[Data Corrigida]],"MMM"))</f>
        <v>SET</v>
      </c>
      <c r="C1160" t="s">
        <v>2573</v>
      </c>
      <c r="D1160" s="2" t="s">
        <v>2574</v>
      </c>
      <c r="E1160" s="1" t="s">
        <v>2566</v>
      </c>
      <c r="F1160" t="s">
        <v>24</v>
      </c>
      <c r="G1160" s="2" t="s">
        <v>2561</v>
      </c>
      <c r="H1160" t="s">
        <v>26</v>
      </c>
      <c r="I1160" t="s">
        <v>27</v>
      </c>
      <c r="J1160" s="6">
        <v>42854</v>
      </c>
      <c r="K1160" s="16">
        <v>2097</v>
      </c>
      <c r="L1160" s="16">
        <v>2082</v>
      </c>
      <c r="M1160" s="16">
        <v>2021</v>
      </c>
      <c r="N1160" s="16">
        <v>2094</v>
      </c>
      <c r="O1160" s="16">
        <v>2080</v>
      </c>
      <c r="P1160" s="16">
        <v>2103</v>
      </c>
      <c r="Q1160" s="16">
        <v>2091</v>
      </c>
      <c r="R1160" s="16">
        <v>2083</v>
      </c>
      <c r="S1160" s="16">
        <v>2092</v>
      </c>
      <c r="T1160" s="16">
        <v>2105</v>
      </c>
      <c r="U1160" s="15">
        <v>2084.8000000000002</v>
      </c>
      <c r="V1160" t="s">
        <v>19</v>
      </c>
      <c r="W1160" t="s">
        <v>19</v>
      </c>
      <c r="X1160">
        <v>219</v>
      </c>
      <c r="Y1160" s="16">
        <f>VLOOKUP(Tabela1[[#This Row],[SKU]],SKU!A:D,4,0)</f>
        <v>2080</v>
      </c>
      <c r="Z1160" s="18">
        <f>IFERROR((Tabela1[[#This Row],[Média]]-Tabela1[[#This Row],[Meta]])/Tabela1[[#This Row],[Meta]],"")</f>
        <v>2.3076923076923951E-3</v>
      </c>
      <c r="AA1160" s="31">
        <f>Tabela1[[#This Row],[Média]]-Tabela1[[#This Row],[Meta]]</f>
        <v>4.8000000000001819</v>
      </c>
      <c r="AB1160" s="6" t="str">
        <f>VLOOKUP(Tabela1[[#This Row],[SKU]],SKU!A:B,2,0)</f>
        <v>COXA SBCX S/O FG 260-280g PB</v>
      </c>
      <c r="AC1160" s="6" t="str">
        <f>VLOOKUP(Tabela1[[#This Row],[SKU]],SKU!A:C,3,0)</f>
        <v>PERNA</v>
      </c>
    </row>
    <row r="1161" spans="1:29" x14ac:dyDescent="0.3">
      <c r="A1161" s="2">
        <f>INT(Tabela1[[#This Row],[Data e Hora2]])</f>
        <v>46293</v>
      </c>
      <c r="B1161" s="6" t="str">
        <f>UPPER(TEXT(Tabela1[[#This Row],[Data Corrigida]],"MMM"))</f>
        <v>SET</v>
      </c>
      <c r="C1161" t="s">
        <v>2575</v>
      </c>
      <c r="D1161" s="2" t="s">
        <v>2576</v>
      </c>
      <c r="E1161" s="1" t="s">
        <v>2566</v>
      </c>
      <c r="F1161" t="s">
        <v>24</v>
      </c>
      <c r="G1161" s="2" t="s">
        <v>2561</v>
      </c>
      <c r="H1161" t="s">
        <v>26</v>
      </c>
      <c r="I1161" t="s">
        <v>27</v>
      </c>
      <c r="J1161" s="6">
        <v>42846</v>
      </c>
      <c r="K1161" s="16">
        <v>2003</v>
      </c>
      <c r="L1161" s="16">
        <v>2027</v>
      </c>
      <c r="M1161" s="16">
        <v>2001</v>
      </c>
      <c r="N1161" s="16">
        <v>2023</v>
      </c>
      <c r="O1161" s="16">
        <v>1992</v>
      </c>
      <c r="P1161" s="16">
        <v>1985</v>
      </c>
      <c r="Q1161" s="16">
        <v>1996</v>
      </c>
      <c r="R1161" s="16">
        <v>2051</v>
      </c>
      <c r="S1161" s="16">
        <v>2030</v>
      </c>
      <c r="T1161" s="16">
        <v>2026</v>
      </c>
      <c r="U1161" s="15">
        <v>2013.4</v>
      </c>
      <c r="V1161" t="s">
        <v>19</v>
      </c>
      <c r="W1161" t="s">
        <v>28</v>
      </c>
      <c r="X1161">
        <v>257</v>
      </c>
      <c r="Y1161" s="16">
        <f>VLOOKUP(Tabela1[[#This Row],[SKU]],SKU!A:D,4,0)</f>
        <v>2000</v>
      </c>
      <c r="Z1161" s="18">
        <f>IFERROR((Tabela1[[#This Row],[Média]]-Tabela1[[#This Row],[Meta]])/Tabela1[[#This Row],[Meta]],"")</f>
        <v>6.7000000000000453E-3</v>
      </c>
      <c r="AA1161" s="31">
        <f>Tabela1[[#This Row],[Média]]-Tabela1[[#This Row],[Meta]]</f>
        <v>13.400000000000091</v>
      </c>
      <c r="AB1161" s="6" t="str">
        <f>VLOOKUP(Tabela1[[#This Row],[SKU]],SKU!A:B,2,0)</f>
        <v>COXA SBCX S/O FG 240-260g PB</v>
      </c>
      <c r="AC1161" s="6" t="str">
        <f>VLOOKUP(Tabela1[[#This Row],[SKU]],SKU!A:C,3,0)</f>
        <v>PERNA</v>
      </c>
    </row>
    <row r="1162" spans="1:29" x14ac:dyDescent="0.3">
      <c r="A1162" s="2">
        <f>INT(Tabela1[[#This Row],[Data e Hora2]])</f>
        <v>46293</v>
      </c>
      <c r="B1162" s="6" t="str">
        <f>UPPER(TEXT(Tabela1[[#This Row],[Data Corrigida]],"MMM"))</f>
        <v>SET</v>
      </c>
      <c r="C1162" t="s">
        <v>2577</v>
      </c>
      <c r="D1162" s="2" t="s">
        <v>2578</v>
      </c>
      <c r="E1162" s="1" t="s">
        <v>2566</v>
      </c>
      <c r="F1162" t="s">
        <v>24</v>
      </c>
      <c r="G1162" s="2" t="s">
        <v>2561</v>
      </c>
      <c r="H1162" t="s">
        <v>26</v>
      </c>
      <c r="I1162" t="s">
        <v>27</v>
      </c>
      <c r="J1162" s="6">
        <v>42862</v>
      </c>
      <c r="K1162" s="16">
        <v>2001</v>
      </c>
      <c r="L1162" s="16">
        <v>2015</v>
      </c>
      <c r="M1162" s="16">
        <v>2016</v>
      </c>
      <c r="N1162" s="16">
        <v>1997</v>
      </c>
      <c r="O1162" s="16">
        <v>2017</v>
      </c>
      <c r="P1162" s="16">
        <v>2028</v>
      </c>
      <c r="Q1162" s="16">
        <v>2000</v>
      </c>
      <c r="R1162" s="16">
        <v>2015</v>
      </c>
      <c r="S1162" s="16">
        <v>2028</v>
      </c>
      <c r="T1162" s="16">
        <v>2038</v>
      </c>
      <c r="U1162" s="15">
        <v>2015.5</v>
      </c>
      <c r="V1162" t="s">
        <v>19</v>
      </c>
      <c r="W1162" t="s">
        <v>19</v>
      </c>
      <c r="X1162">
        <v>187</v>
      </c>
      <c r="Y1162" s="16">
        <f>VLOOKUP(Tabela1[[#This Row],[SKU]],SKU!A:D,4,0)</f>
        <v>2000</v>
      </c>
      <c r="Z1162" s="18">
        <f>IFERROR((Tabela1[[#This Row],[Média]]-Tabela1[[#This Row],[Meta]])/Tabela1[[#This Row],[Meta]],"")</f>
        <v>7.7499999999999999E-3</v>
      </c>
      <c r="AA1162" s="31">
        <f>Tabela1[[#This Row],[Média]]-Tabela1[[#This Row],[Meta]]</f>
        <v>15.5</v>
      </c>
      <c r="AB1162" s="6" t="str">
        <f>VLOOKUP(Tabela1[[#This Row],[SKU]],SKU!A:B,2,0)</f>
        <v>COXA SBCX S/O FG 280-300g PB</v>
      </c>
      <c r="AC1162" s="6" t="str">
        <f>VLOOKUP(Tabela1[[#This Row],[SKU]],SKU!A:C,3,0)</f>
        <v>PERNA</v>
      </c>
    </row>
    <row r="1163" spans="1:29" x14ac:dyDescent="0.3">
      <c r="A1163" s="2">
        <f>INT(Tabela1[[#This Row],[Data e Hora2]])</f>
        <v>46293</v>
      </c>
      <c r="B1163" s="6" t="str">
        <f>UPPER(TEXT(Tabela1[[#This Row],[Data Corrigida]],"MMM"))</f>
        <v>SET</v>
      </c>
      <c r="C1163" t="s">
        <v>2579</v>
      </c>
      <c r="D1163" s="2" t="s">
        <v>2580</v>
      </c>
      <c r="E1163" s="1" t="s">
        <v>2566</v>
      </c>
      <c r="F1163" t="s">
        <v>24</v>
      </c>
      <c r="G1163" s="2" t="s">
        <v>2561</v>
      </c>
      <c r="H1163" t="s">
        <v>26</v>
      </c>
      <c r="I1163" t="s">
        <v>27</v>
      </c>
      <c r="J1163" s="6">
        <v>50580</v>
      </c>
      <c r="K1163" s="16">
        <v>2069</v>
      </c>
      <c r="L1163" s="16">
        <v>2072</v>
      </c>
      <c r="M1163" s="16">
        <v>2075</v>
      </c>
      <c r="N1163" s="16">
        <v>2028</v>
      </c>
      <c r="O1163" s="16">
        <v>1969</v>
      </c>
      <c r="P1163" s="16">
        <v>2029</v>
      </c>
      <c r="Q1163" s="16">
        <v>2029</v>
      </c>
      <c r="R1163" s="16">
        <v>2022</v>
      </c>
      <c r="S1163" s="16">
        <v>2009</v>
      </c>
      <c r="T1163" s="16">
        <v>2075</v>
      </c>
      <c r="U1163" s="15">
        <v>2037.7</v>
      </c>
      <c r="V1163" t="s">
        <v>19</v>
      </c>
      <c r="W1163" t="s">
        <v>28</v>
      </c>
      <c r="X1163">
        <v>286</v>
      </c>
      <c r="Y1163" s="16">
        <f>VLOOKUP(Tabela1[[#This Row],[SKU]],SKU!A:D,4,0)</f>
        <v>2000</v>
      </c>
      <c r="Z1163" s="18">
        <f>IFERROR((Tabela1[[#This Row],[Média]]-Tabela1[[#This Row],[Meta]])/Tabela1[[#This Row],[Meta]],"")</f>
        <v>1.8850000000000023E-2</v>
      </c>
      <c r="AA1163" s="31">
        <f>Tabela1[[#This Row],[Média]]-Tabela1[[#This Row],[Meta]]</f>
        <v>37.700000000000045</v>
      </c>
      <c r="AB1163" s="6" t="str">
        <f>VLOOKUP(Tabela1[[#This Row],[SKU]],SKU!A:B,2,0)</f>
        <v>COXA SBCX S/O FG 200g UP PB</v>
      </c>
      <c r="AC1163" s="6" t="str">
        <f>VLOOKUP(Tabela1[[#This Row],[SKU]],SKU!A:C,3,0)</f>
        <v>PERNA</v>
      </c>
    </row>
    <row r="1164" spans="1:29" x14ac:dyDescent="0.3">
      <c r="A1164" s="2">
        <f>INT(Tabela1[[#This Row],[Data e Hora2]])</f>
        <v>46293</v>
      </c>
      <c r="B1164" s="6" t="str">
        <f>UPPER(TEXT(Tabela1[[#This Row],[Data Corrigida]],"MMM"))</f>
        <v>SET</v>
      </c>
      <c r="C1164" t="s">
        <v>2581</v>
      </c>
      <c r="D1164" s="2" t="s">
        <v>2582</v>
      </c>
      <c r="E1164" s="1" t="s">
        <v>2566</v>
      </c>
      <c r="F1164" t="s">
        <v>24</v>
      </c>
      <c r="G1164" s="2" t="s">
        <v>2561</v>
      </c>
      <c r="H1164" t="s">
        <v>26</v>
      </c>
      <c r="I1164" t="s">
        <v>27</v>
      </c>
      <c r="J1164" s="6">
        <v>197726</v>
      </c>
      <c r="K1164" s="16">
        <v>998</v>
      </c>
      <c r="L1164" s="16">
        <v>1001</v>
      </c>
      <c r="M1164" s="16">
        <v>995</v>
      </c>
      <c r="N1164" s="16">
        <v>1005</v>
      </c>
      <c r="O1164" s="16">
        <v>1005</v>
      </c>
      <c r="P1164" s="16">
        <v>1015</v>
      </c>
      <c r="Q1164" s="16">
        <v>999</v>
      </c>
      <c r="R1164" s="16">
        <v>995</v>
      </c>
      <c r="S1164" s="16">
        <v>1009</v>
      </c>
      <c r="T1164" s="16">
        <v>1007</v>
      </c>
      <c r="U1164" s="15">
        <v>1002.9</v>
      </c>
      <c r="V1164" t="s">
        <v>19</v>
      </c>
      <c r="W1164" t="s">
        <v>28</v>
      </c>
      <c r="X1164">
        <v>235</v>
      </c>
      <c r="Y1164" s="16">
        <f>VLOOKUP(Tabela1[[#This Row],[SKU]],SKU!A:D,4,0)</f>
        <v>1000</v>
      </c>
      <c r="Z1164" s="18">
        <f>IFERROR((Tabela1[[#This Row],[Média]]-Tabela1[[#This Row],[Meta]])/Tabela1[[#This Row],[Meta]],"")</f>
        <v>2.8999999999999772E-3</v>
      </c>
      <c r="AA1164" s="31">
        <f>Tabela1[[#This Row],[Média]]-Tabela1[[#This Row],[Meta]]</f>
        <v>2.8999999999999773</v>
      </c>
      <c r="AB1164" s="6" t="str">
        <f>VLOOKUP(Tabela1[[#This Row],[SKU]],SKU!A:B,2,0)</f>
        <v>COXA IQF ALM SE</v>
      </c>
      <c r="AC1164" s="6" t="str">
        <f>VLOOKUP(Tabela1[[#This Row],[SKU]],SKU!A:C,3,0)</f>
        <v>PERNA</v>
      </c>
    </row>
    <row r="1165" spans="1:29" x14ac:dyDescent="0.3">
      <c r="A1165" s="2">
        <f>INT(Tabela1[[#This Row],[Data e Hora2]])</f>
        <v>46293</v>
      </c>
      <c r="B1165" s="6" t="str">
        <f>UPPER(TEXT(Tabela1[[#This Row],[Data Corrigida]],"MMM"))</f>
        <v>SET</v>
      </c>
      <c r="C1165" t="s">
        <v>2583</v>
      </c>
      <c r="D1165" s="2" t="s">
        <v>2584</v>
      </c>
      <c r="E1165" s="1" t="s">
        <v>2566</v>
      </c>
      <c r="F1165" t="s">
        <v>24</v>
      </c>
      <c r="G1165" s="2" t="s">
        <v>2561</v>
      </c>
      <c r="H1165" t="s">
        <v>26</v>
      </c>
      <c r="I1165" t="s">
        <v>27</v>
      </c>
      <c r="J1165" s="6">
        <v>15849</v>
      </c>
      <c r="K1165" s="16">
        <v>1014</v>
      </c>
      <c r="L1165" s="16">
        <v>1016</v>
      </c>
      <c r="M1165" s="16">
        <v>997</v>
      </c>
      <c r="N1165" s="16">
        <v>1003</v>
      </c>
      <c r="O1165" s="16">
        <v>1002</v>
      </c>
      <c r="P1165" s="16">
        <v>997</v>
      </c>
      <c r="Q1165" s="16">
        <v>1008</v>
      </c>
      <c r="R1165" s="16">
        <v>1004</v>
      </c>
      <c r="S1165" s="16">
        <v>1014</v>
      </c>
      <c r="T1165" s="16">
        <v>1013</v>
      </c>
      <c r="U1165" s="15">
        <v>1006.8</v>
      </c>
      <c r="V1165" t="s">
        <v>19</v>
      </c>
      <c r="W1165" t="s">
        <v>28</v>
      </c>
      <c r="X1165">
        <v>1343</v>
      </c>
      <c r="Y1165" s="16">
        <f>VLOOKUP(Tabela1[[#This Row],[SKU]],SKU!A:D,4,0)</f>
        <v>1000</v>
      </c>
      <c r="Z1165" s="18">
        <f>IFERROR((Tabela1[[#This Row],[Média]]-Tabela1[[#This Row],[Meta]])/Tabela1[[#This Row],[Meta]],"")</f>
        <v>6.7999999999999545E-3</v>
      </c>
      <c r="AA1165" s="31">
        <f>Tabela1[[#This Row],[Média]]-Tabela1[[#This Row],[Meta]]</f>
        <v>6.7999999999999545</v>
      </c>
      <c r="AB1165" s="6" t="str">
        <f>VLOOKUP(Tabela1[[#This Row],[SKU]],SKU!A:B,2,0)</f>
        <v>FILEZINHO PEITO CG BDJ SE</v>
      </c>
      <c r="AC1165" s="6" t="str">
        <f>VLOOKUP(Tabela1[[#This Row],[SKU]],SKU!A:C,3,0)</f>
        <v>SASSAMI</v>
      </c>
    </row>
    <row r="1166" spans="1:29" x14ac:dyDescent="0.3">
      <c r="A1166" s="2">
        <f>INT(Tabela1[[#This Row],[Data e Hora2]])</f>
        <v>46293</v>
      </c>
      <c r="B1166" s="6" t="str">
        <f>UPPER(TEXT(Tabela1[[#This Row],[Data Corrigida]],"MMM"))</f>
        <v>SET</v>
      </c>
      <c r="C1166" t="s">
        <v>2585</v>
      </c>
      <c r="D1166" s="2" t="s">
        <v>2586</v>
      </c>
      <c r="E1166" s="1" t="s">
        <v>2566</v>
      </c>
      <c r="F1166" t="s">
        <v>24</v>
      </c>
      <c r="G1166" s="2" t="s">
        <v>2561</v>
      </c>
      <c r="H1166" t="s">
        <v>26</v>
      </c>
      <c r="I1166" t="s">
        <v>27</v>
      </c>
      <c r="J1166" s="6">
        <v>40762</v>
      </c>
      <c r="K1166" s="16">
        <v>10060</v>
      </c>
      <c r="L1166" s="16">
        <v>10010</v>
      </c>
      <c r="M1166" s="16">
        <v>9960</v>
      </c>
      <c r="N1166" s="16">
        <v>9975</v>
      </c>
      <c r="O1166" s="16">
        <v>10010</v>
      </c>
      <c r="P1166" s="16">
        <v>10020</v>
      </c>
      <c r="Q1166" s="16">
        <v>10010</v>
      </c>
      <c r="R1166" s="16">
        <v>9965</v>
      </c>
      <c r="S1166" s="16">
        <v>10015</v>
      </c>
      <c r="T1166" s="16">
        <v>9975</v>
      </c>
      <c r="U1166" s="15">
        <v>10000</v>
      </c>
      <c r="V1166" t="s">
        <v>19</v>
      </c>
      <c r="W1166" t="s">
        <v>28</v>
      </c>
      <c r="X1166">
        <v>1962</v>
      </c>
      <c r="Y1166" s="16">
        <f>VLOOKUP(Tabela1[[#This Row],[SKU]],SKU!A:D,4,0)</f>
        <v>10000</v>
      </c>
      <c r="Z1166" s="18">
        <f>IFERROR((Tabela1[[#This Row],[Média]]-Tabela1[[#This Row],[Meta]])/Tabela1[[#This Row],[Meta]],"")</f>
        <v>0</v>
      </c>
      <c r="AA1166" s="31">
        <f>Tabela1[[#This Row],[Média]]-Tabela1[[#This Row],[Meta]]</f>
        <v>0</v>
      </c>
      <c r="AB1166" s="6" t="str">
        <f>VLOOKUP(Tabela1[[#This Row],[SKU]],SKU!A:B,2,0)</f>
        <v>COXA SBCX LQ FG LP</v>
      </c>
      <c r="AC1166" s="6" t="str">
        <f>VLOOKUP(Tabela1[[#This Row],[SKU]],SKU!A:C,3,0)</f>
        <v>PERNA</v>
      </c>
    </row>
    <row r="1167" spans="1:29" x14ac:dyDescent="0.3">
      <c r="A1167" s="2">
        <f>INT(Tabela1[[#This Row],[Data e Hora2]])</f>
        <v>46293</v>
      </c>
      <c r="B1167" s="6" t="str">
        <f>UPPER(TEXT(Tabela1[[#This Row],[Data Corrigida]],"MMM"))</f>
        <v>SET</v>
      </c>
      <c r="C1167" t="s">
        <v>2587</v>
      </c>
      <c r="D1167" s="2" t="s">
        <v>2588</v>
      </c>
      <c r="E1167" s="1" t="s">
        <v>2589</v>
      </c>
      <c r="F1167" t="s">
        <v>24</v>
      </c>
      <c r="G1167" s="2" t="s">
        <v>2561</v>
      </c>
      <c r="H1167" t="s">
        <v>26</v>
      </c>
      <c r="I1167" t="s">
        <v>27</v>
      </c>
      <c r="J1167" s="6">
        <v>15229</v>
      </c>
      <c r="K1167" s="16">
        <v>997</v>
      </c>
      <c r="L1167" s="16">
        <v>1016</v>
      </c>
      <c r="M1167" s="16">
        <v>1002</v>
      </c>
      <c r="N1167" s="16">
        <v>1001</v>
      </c>
      <c r="O1167" s="16">
        <v>1013</v>
      </c>
      <c r="P1167" s="16">
        <v>1002</v>
      </c>
      <c r="Q1167" s="16">
        <v>1000</v>
      </c>
      <c r="R1167" s="16">
        <v>1010</v>
      </c>
      <c r="S1167" s="16">
        <v>1005</v>
      </c>
      <c r="T1167" s="16">
        <v>994</v>
      </c>
      <c r="U1167" s="15">
        <v>1004</v>
      </c>
      <c r="V1167" t="s">
        <v>19</v>
      </c>
      <c r="W1167" t="s">
        <v>19</v>
      </c>
      <c r="X1167">
        <v>133</v>
      </c>
      <c r="Y1167" s="16">
        <f>VLOOKUP(Tabela1[[#This Row],[SKU]],SKU!A:D,4,0)</f>
        <v>1000</v>
      </c>
      <c r="Z1167" s="18">
        <f>IFERROR((Tabela1[[#This Row],[Média]]-Tabela1[[#This Row],[Meta]])/Tabela1[[#This Row],[Meta]],"")</f>
        <v>4.0000000000000001E-3</v>
      </c>
      <c r="AA1167" s="31">
        <f>Tabela1[[#This Row],[Média]]-Tabela1[[#This Row],[Meta]]</f>
        <v>4</v>
      </c>
      <c r="AB1167" s="6" t="str">
        <f>VLOOKUP(Tabela1[[#This Row],[SKU]],SKU!A:B,2,0)</f>
        <v>COXA CG BDJ SE</v>
      </c>
      <c r="AC1167" s="6" t="str">
        <f>VLOOKUP(Tabela1[[#This Row],[SKU]],SKU!A:C,3,0)</f>
        <v>PERNA</v>
      </c>
    </row>
    <row r="1168" spans="1:29" x14ac:dyDescent="0.3">
      <c r="A1168" s="2">
        <f>INT(Tabela1[[#This Row],[Data e Hora2]])</f>
        <v>46293</v>
      </c>
      <c r="B1168" s="6" t="str">
        <f>UPPER(TEXT(Tabela1[[#This Row],[Data Corrigida]],"MMM"))</f>
        <v>SET</v>
      </c>
      <c r="C1168" t="s">
        <v>2590</v>
      </c>
      <c r="D1168" s="2" t="s">
        <v>2591</v>
      </c>
      <c r="E1168" s="1" t="s">
        <v>2589</v>
      </c>
      <c r="F1168" t="s">
        <v>24</v>
      </c>
      <c r="G1168" s="2" t="s">
        <v>2561</v>
      </c>
      <c r="H1168" t="s">
        <v>26</v>
      </c>
      <c r="I1168" t="s">
        <v>27</v>
      </c>
      <c r="J1168" s="6">
        <v>13188</v>
      </c>
      <c r="K1168" s="16">
        <v>1004</v>
      </c>
      <c r="L1168" s="16">
        <v>1007</v>
      </c>
      <c r="M1168" s="16">
        <v>1002</v>
      </c>
      <c r="N1168" s="16">
        <v>1008</v>
      </c>
      <c r="O1168" s="16">
        <v>1001</v>
      </c>
      <c r="P1168" s="16">
        <v>1001</v>
      </c>
      <c r="Q1168" s="16">
        <v>1008</v>
      </c>
      <c r="R1168" s="16">
        <v>1006</v>
      </c>
      <c r="S1168" s="16">
        <v>1011</v>
      </c>
      <c r="T1168" s="16">
        <v>1011</v>
      </c>
      <c r="U1168" s="15">
        <v>1005.9</v>
      </c>
      <c r="V1168" t="s">
        <v>19</v>
      </c>
      <c r="W1168" t="s">
        <v>28</v>
      </c>
      <c r="X1168">
        <v>176</v>
      </c>
      <c r="Y1168" s="16">
        <f>VLOOKUP(Tabela1[[#This Row],[SKU]],SKU!A:D,4,0)</f>
        <v>1000</v>
      </c>
      <c r="Z1168" s="18">
        <f>IFERROR((Tabela1[[#This Row],[Média]]-Tabela1[[#This Row],[Meta]])/Tabela1[[#This Row],[Meta]],"")</f>
        <v>5.8999999999999773E-3</v>
      </c>
      <c r="AA1168" s="31">
        <f>Tabela1[[#This Row],[Média]]-Tabela1[[#This Row],[Meta]]</f>
        <v>5.8999999999999773</v>
      </c>
      <c r="AB1168" s="6" t="str">
        <f>VLOOKUP(Tabela1[[#This Row],[SKU]],SKU!A:B,2,0)</f>
        <v>SOBRECOXA CG BDJ SE</v>
      </c>
      <c r="AC1168" s="6" t="str">
        <f>VLOOKUP(Tabela1[[#This Row],[SKU]],SKU!A:C,3,0)</f>
        <v>PERNA</v>
      </c>
    </row>
    <row r="1169" spans="1:29" x14ac:dyDescent="0.3">
      <c r="A1169" s="2">
        <f>INT(Tabela1[[#This Row],[Data e Hora2]])</f>
        <v>46293</v>
      </c>
      <c r="B1169" s="6" t="str">
        <f>UPPER(TEXT(Tabela1[[#This Row],[Data Corrigida]],"MMM"))</f>
        <v>SET</v>
      </c>
      <c r="C1169" t="s">
        <v>2592</v>
      </c>
      <c r="D1169" s="2" t="s">
        <v>2593</v>
      </c>
      <c r="E1169" s="1" t="s">
        <v>2589</v>
      </c>
      <c r="F1169" t="s">
        <v>24</v>
      </c>
      <c r="G1169" s="2" t="s">
        <v>2561</v>
      </c>
      <c r="H1169" t="s">
        <v>26</v>
      </c>
      <c r="I1169" t="s">
        <v>27</v>
      </c>
      <c r="J1169" s="6">
        <v>992093</v>
      </c>
      <c r="K1169" s="16">
        <v>5009</v>
      </c>
      <c r="L1169" s="16">
        <v>5013</v>
      </c>
      <c r="M1169" s="16">
        <v>5002</v>
      </c>
      <c r="N1169" s="16">
        <v>5015</v>
      </c>
      <c r="O1169" s="16">
        <v>5003</v>
      </c>
      <c r="P1169" s="16">
        <v>5006</v>
      </c>
      <c r="Q1169" s="16">
        <v>5012</v>
      </c>
      <c r="R1169" s="16">
        <v>5002</v>
      </c>
      <c r="S1169" s="16">
        <v>5009</v>
      </c>
      <c r="T1169" s="16">
        <v>5001</v>
      </c>
      <c r="U1169" s="15">
        <v>5007.2</v>
      </c>
      <c r="V1169" t="s">
        <v>19</v>
      </c>
      <c r="W1169" t="s">
        <v>28</v>
      </c>
      <c r="X1169">
        <v>2156</v>
      </c>
      <c r="Y1169" s="16">
        <f>VLOOKUP(Tabela1[[#This Row],[SKU]],SKU!A:D,4,0)</f>
        <v>5000</v>
      </c>
      <c r="Z1169" s="18">
        <f>IFERROR((Tabela1[[#This Row],[Média]]-Tabela1[[#This Row],[Meta]])/Tabela1[[#This Row],[Meta]],"")</f>
        <v>1.4399999999999637E-3</v>
      </c>
      <c r="AA1169" s="31">
        <f>Tabela1[[#This Row],[Média]]-Tabela1[[#This Row],[Meta]]</f>
        <v>7.1999999999998181</v>
      </c>
      <c r="AB1169" s="6" t="str">
        <f>VLOOKUP(Tabela1[[#This Row],[SKU]],SKU!A:B,2,0)</f>
        <v>PONTA ASA FG PB CG</v>
      </c>
      <c r="AC1169" s="6" t="str">
        <f>VLOOKUP(Tabela1[[#This Row],[SKU]],SKU!A:C,3,0)</f>
        <v>ASA</v>
      </c>
    </row>
    <row r="1170" spans="1:29" x14ac:dyDescent="0.3">
      <c r="A1170" s="2">
        <f>INT(Tabela1[[#This Row],[Data e Hora2]])</f>
        <v>46293</v>
      </c>
      <c r="B1170" s="6" t="str">
        <f>UPPER(TEXT(Tabela1[[#This Row],[Data Corrigida]],"MMM"))</f>
        <v>SET</v>
      </c>
      <c r="C1170" t="s">
        <v>2594</v>
      </c>
      <c r="D1170" s="2" t="s">
        <v>2595</v>
      </c>
      <c r="E1170" s="1" t="s">
        <v>2589</v>
      </c>
      <c r="F1170" t="s">
        <v>24</v>
      </c>
      <c r="G1170" s="2" t="s">
        <v>2561</v>
      </c>
      <c r="H1170" t="s">
        <v>26</v>
      </c>
      <c r="I1170" t="s">
        <v>27</v>
      </c>
      <c r="J1170" s="6">
        <v>995638</v>
      </c>
      <c r="K1170" s="16">
        <v>15030</v>
      </c>
      <c r="L1170" s="16">
        <v>15020</v>
      </c>
      <c r="M1170" s="16">
        <v>15040</v>
      </c>
      <c r="N1170" s="16">
        <v>15020</v>
      </c>
      <c r="O1170" s="16">
        <v>15035</v>
      </c>
      <c r="P1170" s="16">
        <v>15035</v>
      </c>
      <c r="Q1170" s="16">
        <v>15030</v>
      </c>
      <c r="R1170" s="16">
        <v>15040</v>
      </c>
      <c r="S1170" s="16">
        <v>15065</v>
      </c>
      <c r="T1170" s="16">
        <v>15020</v>
      </c>
      <c r="U1170" s="15">
        <v>15033.5</v>
      </c>
      <c r="V1170" t="s">
        <v>19</v>
      </c>
      <c r="W1170" t="s">
        <v>28</v>
      </c>
      <c r="X1170">
        <v>295</v>
      </c>
      <c r="Y1170" s="16">
        <f>VLOOKUP(Tabela1[[#This Row],[SKU]],SKU!A:D,4,0)</f>
        <v>15000</v>
      </c>
      <c r="Z1170" s="18">
        <f>IFERROR((Tabela1[[#This Row],[Média]]-Tabela1[[#This Row],[Meta]])/Tabela1[[#This Row],[Meta]],"")</f>
        <v>2.2333333333333333E-3</v>
      </c>
      <c r="AA1170" s="31">
        <f>Tabela1[[#This Row],[Média]]-Tabela1[[#This Row],[Meta]]</f>
        <v>33.5</v>
      </c>
      <c r="AB1170" s="6" t="str">
        <f>VLOOKUP(Tabela1[[#This Row],[SKU]],SKU!A:B,2,0)</f>
        <v>MEIO DA ASA 40-50G LP</v>
      </c>
      <c r="AC1170" s="6" t="str">
        <f>VLOOKUP(Tabela1[[#This Row],[SKU]],SKU!A:C,3,0)</f>
        <v>ASA</v>
      </c>
    </row>
    <row r="1171" spans="1:29" x14ac:dyDescent="0.3">
      <c r="A1171" s="2">
        <f>INT(Tabela1[[#This Row],[Data e Hora2]])</f>
        <v>46293</v>
      </c>
      <c r="B1171" s="6" t="str">
        <f>UPPER(TEXT(Tabela1[[#This Row],[Data Corrigida]],"MMM"))</f>
        <v>SET</v>
      </c>
      <c r="C1171" t="s">
        <v>2596</v>
      </c>
      <c r="D1171" s="2" t="s">
        <v>2597</v>
      </c>
      <c r="E1171" s="1" t="s">
        <v>2589</v>
      </c>
      <c r="F1171" t="s">
        <v>24</v>
      </c>
      <c r="G1171" s="2" t="s">
        <v>2561</v>
      </c>
      <c r="H1171" t="s">
        <v>26</v>
      </c>
      <c r="I1171" t="s">
        <v>27</v>
      </c>
      <c r="J1171" s="6">
        <v>15105</v>
      </c>
      <c r="K1171" s="16">
        <v>1027</v>
      </c>
      <c r="L1171" s="16">
        <v>1021</v>
      </c>
      <c r="M1171" s="16">
        <v>1048</v>
      </c>
      <c r="N1171" s="16">
        <v>1038</v>
      </c>
      <c r="O1171" s="16">
        <v>1028</v>
      </c>
      <c r="P1171" s="16">
        <v>1013</v>
      </c>
      <c r="Q1171" s="16">
        <v>1027</v>
      </c>
      <c r="R1171" s="16">
        <v>1010</v>
      </c>
      <c r="S1171" s="16">
        <v>1039</v>
      </c>
      <c r="T1171" s="16">
        <v>1007</v>
      </c>
      <c r="U1171" s="15">
        <v>1025.8</v>
      </c>
      <c r="V1171" t="s">
        <v>19</v>
      </c>
      <c r="W1171" t="s">
        <v>28</v>
      </c>
      <c r="X1171">
        <v>158</v>
      </c>
      <c r="Y1171" s="16">
        <f>VLOOKUP(Tabela1[[#This Row],[SKU]],SKU!A:D,4,0)</f>
        <v>1000</v>
      </c>
      <c r="Z1171" s="18">
        <f>IFERROR((Tabela1[[#This Row],[Média]]-Tabela1[[#This Row],[Meta]])/Tabela1[[#This Row],[Meta]],"")</f>
        <v>2.5799999999999955E-2</v>
      </c>
      <c r="AA1171" s="31">
        <f>Tabela1[[#This Row],[Média]]-Tabela1[[#This Row],[Meta]]</f>
        <v>25.799999999999955</v>
      </c>
      <c r="AB1171" s="6" t="str">
        <f>VLOOKUP(Tabela1[[#This Row],[SKU]],SKU!A:B,2,0)</f>
        <v>FILE PEITO MET CG BDJ SE</v>
      </c>
      <c r="AC1171" s="6" t="str">
        <f>VLOOKUP(Tabela1[[#This Row],[SKU]],SKU!A:C,3,0)</f>
        <v>PEITO</v>
      </c>
    </row>
    <row r="1172" spans="1:29" x14ac:dyDescent="0.3">
      <c r="A1172" s="2">
        <f>INT(Tabela1[[#This Row],[Data e Hora2]])</f>
        <v>46293</v>
      </c>
      <c r="B1172" s="6" t="str">
        <f>UPPER(TEXT(Tabela1[[#This Row],[Data Corrigida]],"MMM"))</f>
        <v>SET</v>
      </c>
      <c r="C1172" t="s">
        <v>2598</v>
      </c>
      <c r="D1172" s="2" t="s">
        <v>2599</v>
      </c>
      <c r="E1172" s="1" t="s">
        <v>2600</v>
      </c>
      <c r="F1172" t="s">
        <v>24</v>
      </c>
      <c r="G1172" s="2" t="s">
        <v>2561</v>
      </c>
      <c r="H1172" t="s">
        <v>26</v>
      </c>
      <c r="I1172" t="s">
        <v>57</v>
      </c>
      <c r="J1172" s="6">
        <v>792306</v>
      </c>
      <c r="K1172" s="16">
        <v>1097</v>
      </c>
      <c r="L1172" s="16">
        <v>1008</v>
      </c>
      <c r="M1172" s="16">
        <v>1018</v>
      </c>
      <c r="N1172" s="16">
        <v>1034</v>
      </c>
      <c r="O1172" s="16">
        <v>1008</v>
      </c>
      <c r="P1172" s="16">
        <v>1030</v>
      </c>
      <c r="Q1172" s="16">
        <v>1042</v>
      </c>
      <c r="R1172" s="16">
        <v>1017</v>
      </c>
      <c r="S1172" s="16">
        <v>1004</v>
      </c>
      <c r="T1172" s="16">
        <v>1020</v>
      </c>
      <c r="U1172" s="15">
        <v>1027.8</v>
      </c>
      <c r="V1172" t="s">
        <v>19</v>
      </c>
      <c r="W1172" t="s">
        <v>28</v>
      </c>
      <c r="X1172">
        <v>336</v>
      </c>
      <c r="Y1172" s="16">
        <f>VLOOKUP(Tabela1[[#This Row],[SKU]],SKU!A:D,4,0)</f>
        <v>1000</v>
      </c>
      <c r="Z1172" s="18">
        <f>IFERROR((Tabela1[[#This Row],[Média]]-Tabela1[[#This Row],[Meta]])/Tabela1[[#This Row],[Meta]],"")</f>
        <v>2.7799999999999953E-2</v>
      </c>
      <c r="AA1172" s="31">
        <f>Tabela1[[#This Row],[Média]]-Tabela1[[#This Row],[Meta]]</f>
        <v>27.799999999999955</v>
      </c>
      <c r="AB1172" s="6" t="str">
        <f>VLOOKUP(Tabela1[[#This Row],[SKU]],SKU!A:B,2,0)</f>
        <v>FILE PEITO  CG IQF</v>
      </c>
      <c r="AC1172" s="6" t="str">
        <f>VLOOKUP(Tabela1[[#This Row],[SKU]],SKU!A:C,3,0)</f>
        <v>PEITO</v>
      </c>
    </row>
    <row r="1173" spans="1:29" x14ac:dyDescent="0.3">
      <c r="A1173" s="2">
        <f>INT(Tabela1[[#This Row],[Data e Hora2]])</f>
        <v>46293</v>
      </c>
      <c r="B1173" s="6" t="str">
        <f>UPPER(TEXT(Tabela1[[#This Row],[Data Corrigida]],"MMM"))</f>
        <v>SET</v>
      </c>
      <c r="C1173" t="s">
        <v>2601</v>
      </c>
      <c r="D1173" s="2" t="s">
        <v>2602</v>
      </c>
      <c r="E1173" s="1" t="s">
        <v>2603</v>
      </c>
      <c r="F1173" t="s">
        <v>24</v>
      </c>
      <c r="G1173" s="2" t="s">
        <v>2561</v>
      </c>
      <c r="H1173" t="s">
        <v>26</v>
      </c>
      <c r="I1173" t="s">
        <v>57</v>
      </c>
      <c r="J1173" s="6">
        <v>15105</v>
      </c>
      <c r="K1173" s="16">
        <v>1010</v>
      </c>
      <c r="L1173" s="16">
        <v>1003</v>
      </c>
      <c r="M1173" s="16">
        <v>1046</v>
      </c>
      <c r="N1173" s="16">
        <v>987</v>
      </c>
      <c r="O1173" s="16">
        <v>1026</v>
      </c>
      <c r="P1173" s="16">
        <v>1018</v>
      </c>
      <c r="Q1173" s="16">
        <v>1011</v>
      </c>
      <c r="R1173" s="16">
        <v>1014</v>
      </c>
      <c r="S1173" s="16">
        <v>1000</v>
      </c>
      <c r="T1173" s="16">
        <v>1020</v>
      </c>
      <c r="U1173" s="15">
        <v>1013.5</v>
      </c>
      <c r="V1173" t="s">
        <v>19</v>
      </c>
      <c r="W1173" t="s">
        <v>28</v>
      </c>
      <c r="X1173">
        <v>179</v>
      </c>
      <c r="Y1173" s="16">
        <f>VLOOKUP(Tabela1[[#This Row],[SKU]],SKU!A:D,4,0)</f>
        <v>1000</v>
      </c>
      <c r="Z1173" s="18">
        <f>IFERROR((Tabela1[[#This Row],[Média]]-Tabela1[[#This Row],[Meta]])/Tabela1[[#This Row],[Meta]],"")</f>
        <v>1.35E-2</v>
      </c>
      <c r="AA1173" s="31">
        <f>Tabela1[[#This Row],[Média]]-Tabela1[[#This Row],[Meta]]</f>
        <v>13.5</v>
      </c>
      <c r="AB1173" s="6" t="str">
        <f>VLOOKUP(Tabela1[[#This Row],[SKU]],SKU!A:B,2,0)</f>
        <v>FILE PEITO MET CG BDJ SE</v>
      </c>
      <c r="AC1173" s="6" t="str">
        <f>VLOOKUP(Tabela1[[#This Row],[SKU]],SKU!A:C,3,0)</f>
        <v>PEITO</v>
      </c>
    </row>
    <row r="1174" spans="1:29" x14ac:dyDescent="0.3">
      <c r="A1174" s="2">
        <f>INT(Tabela1[[#This Row],[Data e Hora2]])</f>
        <v>46293</v>
      </c>
      <c r="B1174" s="6" t="str">
        <f>UPPER(TEXT(Tabela1[[#This Row],[Data Corrigida]],"MMM"))</f>
        <v>SET</v>
      </c>
      <c r="C1174" t="s">
        <v>2604</v>
      </c>
      <c r="D1174" s="2" t="s">
        <v>2605</v>
      </c>
      <c r="E1174" s="1" t="s">
        <v>2606</v>
      </c>
      <c r="F1174" t="s">
        <v>24</v>
      </c>
      <c r="G1174" s="2" t="s">
        <v>2561</v>
      </c>
      <c r="H1174" t="s">
        <v>142</v>
      </c>
      <c r="I1174" t="s">
        <v>462</v>
      </c>
      <c r="J1174" s="6">
        <v>209009</v>
      </c>
      <c r="K1174" s="16">
        <v>999</v>
      </c>
      <c r="L1174" s="16">
        <v>1056</v>
      </c>
      <c r="M1174" s="16">
        <v>997</v>
      </c>
      <c r="N1174" s="16">
        <v>1033</v>
      </c>
      <c r="O1174" s="16">
        <v>1012</v>
      </c>
      <c r="P1174" s="16">
        <v>1002</v>
      </c>
      <c r="Q1174" s="16">
        <v>1016</v>
      </c>
      <c r="R1174" s="16">
        <v>1004</v>
      </c>
      <c r="S1174" s="16">
        <v>1062</v>
      </c>
      <c r="T1174" s="16">
        <v>1032</v>
      </c>
      <c r="U1174" s="15">
        <v>1021.3</v>
      </c>
      <c r="V1174" t="s">
        <v>19</v>
      </c>
      <c r="W1174" t="s">
        <v>28</v>
      </c>
      <c r="X1174">
        <v>127</v>
      </c>
      <c r="Y1174" s="16">
        <f>VLOOKUP(Tabela1[[#This Row],[SKU]],SKU!A:D,4,0)</f>
        <v>1000</v>
      </c>
      <c r="Z1174" s="18">
        <f>IFERROR((Tabela1[[#This Row],[Média]]-Tabela1[[#This Row],[Meta]])/Tabela1[[#This Row],[Meta]],"")</f>
        <v>2.1299999999999954E-2</v>
      </c>
      <c r="AA1174" s="31">
        <f>Tabela1[[#This Row],[Média]]-Tabela1[[#This Row],[Meta]]</f>
        <v>21.299999999999955</v>
      </c>
      <c r="AB1174" s="6" t="str">
        <f>VLOOKUP(Tabela1[[#This Row],[SKU]],SKU!A:B,2,0)</f>
        <v>COXA SEM PELE IQF 1KG</v>
      </c>
      <c r="AC1174" s="6" t="str">
        <f>VLOOKUP(Tabela1[[#This Row],[SKU]],SKU!A:C,3,0)</f>
        <v>PERNA</v>
      </c>
    </row>
    <row r="1175" spans="1:29" x14ac:dyDescent="0.3">
      <c r="A1175" s="2">
        <f>INT(Tabela1[[#This Row],[Data e Hora2]])</f>
        <v>46293</v>
      </c>
      <c r="B1175" s="6" t="str">
        <f>UPPER(TEXT(Tabela1[[#This Row],[Data Corrigida]],"MMM"))</f>
        <v>SET</v>
      </c>
      <c r="C1175" t="s">
        <v>2607</v>
      </c>
      <c r="D1175" s="2" t="s">
        <v>2608</v>
      </c>
      <c r="E1175" s="1" t="s">
        <v>2609</v>
      </c>
      <c r="F1175" t="s">
        <v>24</v>
      </c>
      <c r="G1175" s="2" t="s">
        <v>2561</v>
      </c>
      <c r="H1175" t="s">
        <v>26</v>
      </c>
      <c r="I1175" t="s">
        <v>462</v>
      </c>
      <c r="J1175" s="6">
        <v>15105</v>
      </c>
      <c r="K1175" s="16">
        <v>997</v>
      </c>
      <c r="L1175" s="16">
        <v>1004</v>
      </c>
      <c r="M1175" s="16">
        <v>991</v>
      </c>
      <c r="N1175" s="16">
        <v>1026</v>
      </c>
      <c r="O1175" s="16">
        <v>1029</v>
      </c>
      <c r="P1175" s="16">
        <v>999</v>
      </c>
      <c r="Q1175" s="16">
        <v>1026</v>
      </c>
      <c r="R1175" s="16">
        <v>988</v>
      </c>
      <c r="S1175" s="16">
        <v>1035</v>
      </c>
      <c r="T1175" s="16">
        <v>1008</v>
      </c>
      <c r="U1175" s="15">
        <v>1010.3</v>
      </c>
      <c r="V1175" t="s">
        <v>19</v>
      </c>
      <c r="W1175" t="s">
        <v>28</v>
      </c>
      <c r="X1175">
        <v>186</v>
      </c>
      <c r="Y1175" s="16">
        <f>VLOOKUP(Tabela1[[#This Row],[SKU]],SKU!A:D,4,0)</f>
        <v>1000</v>
      </c>
      <c r="Z1175" s="18">
        <f>IFERROR((Tabela1[[#This Row],[Média]]-Tabela1[[#This Row],[Meta]])/Tabela1[[#This Row],[Meta]],"")</f>
        <v>1.0299999999999955E-2</v>
      </c>
      <c r="AA1175" s="31">
        <f>Tabela1[[#This Row],[Média]]-Tabela1[[#This Row],[Meta]]</f>
        <v>10.299999999999955</v>
      </c>
      <c r="AB1175" s="6" t="str">
        <f>VLOOKUP(Tabela1[[#This Row],[SKU]],SKU!A:B,2,0)</f>
        <v>FILE PEITO MET CG BDJ SE</v>
      </c>
      <c r="AC1175" s="6" t="str">
        <f>VLOOKUP(Tabela1[[#This Row],[SKU]],SKU!A:C,3,0)</f>
        <v>PEITO</v>
      </c>
    </row>
    <row r="1176" spans="1:29" x14ac:dyDescent="0.3">
      <c r="A1176" s="2">
        <f>INT(Tabela1[[#This Row],[Data e Hora2]])</f>
        <v>46293</v>
      </c>
      <c r="B1176" s="6" t="str">
        <f>UPPER(TEXT(Tabela1[[#This Row],[Data Corrigida]],"MMM"))</f>
        <v>SET</v>
      </c>
      <c r="C1176" t="s">
        <v>2610</v>
      </c>
      <c r="D1176" s="2" t="s">
        <v>2611</v>
      </c>
      <c r="E1176" s="1" t="s">
        <v>2612</v>
      </c>
      <c r="F1176" t="s">
        <v>24</v>
      </c>
      <c r="G1176" s="2" t="s">
        <v>2561</v>
      </c>
      <c r="H1176" t="s">
        <v>142</v>
      </c>
      <c r="I1176" t="s">
        <v>462</v>
      </c>
      <c r="J1176" s="6">
        <v>197734</v>
      </c>
      <c r="K1176" s="16">
        <v>1017</v>
      </c>
      <c r="L1176" s="16">
        <v>1003</v>
      </c>
      <c r="M1176" s="16">
        <v>999</v>
      </c>
      <c r="N1176" s="16">
        <v>1002</v>
      </c>
      <c r="O1176" s="16">
        <v>1008</v>
      </c>
      <c r="P1176" s="16">
        <v>1001</v>
      </c>
      <c r="Q1176" s="16">
        <v>1003</v>
      </c>
      <c r="R1176" s="16">
        <v>1025</v>
      </c>
      <c r="S1176" s="16">
        <v>1007</v>
      </c>
      <c r="T1176" s="16">
        <v>997</v>
      </c>
      <c r="U1176" s="15">
        <v>1006.2</v>
      </c>
      <c r="V1176" t="s">
        <v>19</v>
      </c>
      <c r="W1176" t="s">
        <v>28</v>
      </c>
      <c r="X1176">
        <v>152</v>
      </c>
      <c r="Y1176" s="16">
        <f>VLOOKUP(Tabela1[[#This Row],[SKU]],SKU!A:D,4,0)</f>
        <v>1000</v>
      </c>
      <c r="Z1176" s="18">
        <f>IFERROR((Tabela1[[#This Row],[Média]]-Tabela1[[#This Row],[Meta]])/Tabela1[[#This Row],[Meta]],"")</f>
        <v>6.2000000000000458E-3</v>
      </c>
      <c r="AA1176" s="31">
        <f>Tabela1[[#This Row],[Média]]-Tabela1[[#This Row],[Meta]]</f>
        <v>6.2000000000000455</v>
      </c>
      <c r="AB1176" s="6" t="str">
        <f>VLOOKUP(Tabela1[[#This Row],[SKU]],SKU!A:B,2,0)</f>
        <v>FILEZINHO FRANGO IQF ALM SE</v>
      </c>
      <c r="AC1176" s="6" t="str">
        <f>VLOOKUP(Tabela1[[#This Row],[SKU]],SKU!A:C,3,0)</f>
        <v>SASSAMI</v>
      </c>
    </row>
    <row r="1177" spans="1:29" x14ac:dyDescent="0.3">
      <c r="A1177" s="2">
        <f>INT(Tabela1[[#This Row],[Data e Hora2]])</f>
        <v>46293</v>
      </c>
      <c r="B1177" s="6" t="str">
        <f>UPPER(TEXT(Tabela1[[#This Row],[Data Corrigida]],"MMM"))</f>
        <v>SET</v>
      </c>
      <c r="C1177" t="s">
        <v>2613</v>
      </c>
      <c r="D1177" s="2" t="s">
        <v>2614</v>
      </c>
      <c r="E1177" s="1" t="s">
        <v>2615</v>
      </c>
      <c r="F1177" t="s">
        <v>24</v>
      </c>
      <c r="G1177" s="2" t="s">
        <v>2561</v>
      </c>
      <c r="H1177" t="s">
        <v>142</v>
      </c>
      <c r="I1177" t="s">
        <v>462</v>
      </c>
      <c r="J1177" s="6">
        <v>54632</v>
      </c>
      <c r="K1177" s="16">
        <v>1004</v>
      </c>
      <c r="L1177" s="16">
        <v>999</v>
      </c>
      <c r="M1177" s="16">
        <v>1000</v>
      </c>
      <c r="N1177" s="16">
        <v>999</v>
      </c>
      <c r="O1177" s="16">
        <v>999</v>
      </c>
      <c r="P1177" s="16">
        <v>1000</v>
      </c>
      <c r="Q1177" s="16">
        <v>997</v>
      </c>
      <c r="R1177" s="16">
        <v>1000</v>
      </c>
      <c r="S1177" s="16">
        <v>1005</v>
      </c>
      <c r="T1177" s="16">
        <v>999</v>
      </c>
      <c r="U1177" s="15">
        <v>1000.2</v>
      </c>
      <c r="V1177" t="s">
        <v>19</v>
      </c>
      <c r="W1177" t="s">
        <v>28</v>
      </c>
      <c r="X1177">
        <v>192</v>
      </c>
      <c r="Y1177" s="16">
        <f>VLOOKUP(Tabela1[[#This Row],[SKU]],SKU!A:D,4,0)</f>
        <v>1000</v>
      </c>
      <c r="Z1177" s="18">
        <f>IFERROR((Tabela1[[#This Row],[Média]]-Tabela1[[#This Row],[Meta]])/Tabela1[[#This Row],[Meta]],"")</f>
        <v>2.0000000000004546E-4</v>
      </c>
      <c r="AA1177" s="31">
        <f>Tabela1[[#This Row],[Média]]-Tabela1[[#This Row],[Meta]]</f>
        <v>0.20000000000004547</v>
      </c>
      <c r="AB1177" s="6" t="str">
        <f>VLOOKUP(Tabela1[[#This Row],[SKU]],SKU!A:B,2,0)</f>
        <v>COXA SBCX S/O BDJ CG</v>
      </c>
      <c r="AC1177" s="6" t="str">
        <f>VLOOKUP(Tabela1[[#This Row],[SKU]],SKU!A:C,3,0)</f>
        <v>PERNA</v>
      </c>
    </row>
    <row r="1178" spans="1:29" x14ac:dyDescent="0.3">
      <c r="A1178" s="2">
        <f>INT(Tabela1[[#This Row],[Data e Hora2]])</f>
        <v>46293</v>
      </c>
      <c r="B1178" s="6" t="str">
        <f>UPPER(TEXT(Tabela1[[#This Row],[Data Corrigida]],"MMM"))</f>
        <v>SET</v>
      </c>
      <c r="C1178" t="s">
        <v>2616</v>
      </c>
      <c r="D1178" s="2" t="s">
        <v>2617</v>
      </c>
      <c r="E1178" s="1" t="s">
        <v>2615</v>
      </c>
      <c r="F1178" t="s">
        <v>24</v>
      </c>
      <c r="G1178" s="2" t="s">
        <v>2561</v>
      </c>
      <c r="H1178" t="s">
        <v>142</v>
      </c>
      <c r="I1178" t="s">
        <v>462</v>
      </c>
      <c r="J1178" s="6">
        <v>15105</v>
      </c>
      <c r="K1178" s="16">
        <v>1008</v>
      </c>
      <c r="L1178" s="16">
        <v>1026</v>
      </c>
      <c r="M1178" s="16">
        <v>994</v>
      </c>
      <c r="N1178" s="16">
        <v>990</v>
      </c>
      <c r="O1178" s="16">
        <v>992</v>
      </c>
      <c r="P1178" s="16">
        <v>927</v>
      </c>
      <c r="Q1178" s="16">
        <v>1004</v>
      </c>
      <c r="R1178" s="16">
        <v>998</v>
      </c>
      <c r="S1178" s="16">
        <v>1020</v>
      </c>
      <c r="T1178" s="16">
        <v>1031</v>
      </c>
      <c r="U1178" s="15">
        <v>999</v>
      </c>
      <c r="V1178" t="s">
        <v>19</v>
      </c>
      <c r="W1178" t="s">
        <v>28</v>
      </c>
      <c r="X1178">
        <v>303</v>
      </c>
      <c r="Y1178" s="16">
        <f>VLOOKUP(Tabela1[[#This Row],[SKU]],SKU!A:D,4,0)</f>
        <v>1000</v>
      </c>
      <c r="Z1178" s="18">
        <f>IFERROR((Tabela1[[#This Row],[Média]]-Tabela1[[#This Row],[Meta]])/Tabela1[[#This Row],[Meta]],"")</f>
        <v>-1E-3</v>
      </c>
      <c r="AA1178" s="31">
        <f>Tabela1[[#This Row],[Média]]-Tabela1[[#This Row],[Meta]]</f>
        <v>-1</v>
      </c>
      <c r="AB1178" s="6" t="str">
        <f>VLOOKUP(Tabela1[[#This Row],[SKU]],SKU!A:B,2,0)</f>
        <v>FILE PEITO MET CG BDJ SE</v>
      </c>
      <c r="AC1178" s="6" t="str">
        <f>VLOOKUP(Tabela1[[#This Row],[SKU]],SKU!A:C,3,0)</f>
        <v>PEITO</v>
      </c>
    </row>
    <row r="1179" spans="1:29" x14ac:dyDescent="0.3">
      <c r="A1179" s="2">
        <f>INT(Tabela1[[#This Row],[Data e Hora2]])</f>
        <v>46295</v>
      </c>
      <c r="B1179" s="6" t="str">
        <f>UPPER(TEXT(Tabela1[[#This Row],[Data Corrigida]],"MMM"))</f>
        <v>SET</v>
      </c>
      <c r="C1179" s="26" t="s">
        <v>2618</v>
      </c>
      <c r="D1179" s="2" t="s">
        <v>2619</v>
      </c>
      <c r="E1179" s="1" t="s">
        <v>2620</v>
      </c>
      <c r="F1179" t="s">
        <v>24</v>
      </c>
      <c r="G1179" s="2" t="s">
        <v>2621</v>
      </c>
      <c r="H1179" t="s">
        <v>142</v>
      </c>
      <c r="I1179" t="s">
        <v>462</v>
      </c>
      <c r="J1179" s="6">
        <v>792306</v>
      </c>
      <c r="K1179" s="16">
        <v>1015</v>
      </c>
      <c r="L1179" s="16">
        <v>1017</v>
      </c>
      <c r="M1179" s="16">
        <v>1022</v>
      </c>
      <c r="N1179" s="16">
        <v>1005</v>
      </c>
      <c r="O1179" s="16">
        <v>1016</v>
      </c>
      <c r="P1179" s="16">
        <v>1077</v>
      </c>
      <c r="Q1179" s="16">
        <v>1011</v>
      </c>
      <c r="R1179" s="16">
        <v>1026</v>
      </c>
      <c r="S1179" s="16">
        <v>1017</v>
      </c>
      <c r="T1179" s="16">
        <v>1002</v>
      </c>
      <c r="U1179" s="15">
        <v>1020.8</v>
      </c>
      <c r="V1179" t="s">
        <v>19</v>
      </c>
      <c r="W1179" t="s">
        <v>28</v>
      </c>
      <c r="X1179">
        <v>127</v>
      </c>
      <c r="Y1179" s="16">
        <f>VLOOKUP(Tabela1[[#This Row],[SKU]],SKU!A:D,4,0)</f>
        <v>1000</v>
      </c>
      <c r="Z1179" s="18">
        <f>IFERROR((Tabela1[[#This Row],[Média]]-Tabela1[[#This Row],[Meta]])/Tabela1[[#This Row],[Meta]],"")</f>
        <v>2.0799999999999954E-2</v>
      </c>
      <c r="AA1179" s="31">
        <f>Tabela1[[#This Row],[Média]]-Tabela1[[#This Row],[Meta]]</f>
        <v>20.799999999999955</v>
      </c>
      <c r="AB1179" s="6" t="str">
        <f>VLOOKUP(Tabela1[[#This Row],[SKU]],SKU!A:B,2,0)</f>
        <v>FILE PEITO  CG IQF</v>
      </c>
      <c r="AC1179" s="6" t="str">
        <f>VLOOKUP(Tabela1[[#This Row],[SKU]],SKU!A:C,3,0)</f>
        <v>PEITO</v>
      </c>
    </row>
    <row r="1180" spans="1:29" x14ac:dyDescent="0.3">
      <c r="A1180" s="2">
        <f>INT(Tabela1[[#This Row],[Data e Hora2]])</f>
        <v>46295</v>
      </c>
      <c r="B1180" s="6" t="str">
        <f>UPPER(TEXT(Tabela1[[#This Row],[Data Corrigida]],"MMM"))</f>
        <v>SET</v>
      </c>
      <c r="C1180" t="s">
        <v>2622</v>
      </c>
      <c r="D1180" s="2" t="s">
        <v>2623</v>
      </c>
      <c r="E1180" s="1" t="s">
        <v>2620</v>
      </c>
      <c r="F1180" t="s">
        <v>24</v>
      </c>
      <c r="G1180" s="2" t="s">
        <v>2621</v>
      </c>
      <c r="H1180" t="s">
        <v>142</v>
      </c>
      <c r="I1180" t="s">
        <v>462</v>
      </c>
      <c r="J1180" s="6">
        <v>15105</v>
      </c>
      <c r="K1180" s="16">
        <v>998</v>
      </c>
      <c r="L1180" s="16">
        <v>1053</v>
      </c>
      <c r="M1180" s="16">
        <v>1012</v>
      </c>
      <c r="N1180" s="16">
        <v>1043</v>
      </c>
      <c r="O1180" s="16">
        <v>988</v>
      </c>
      <c r="P1180" s="16">
        <v>1006</v>
      </c>
      <c r="Q1180" s="16">
        <v>1020</v>
      </c>
      <c r="R1180" s="16">
        <v>1000</v>
      </c>
      <c r="S1180" s="16">
        <v>1011</v>
      </c>
      <c r="T1180" s="16">
        <v>995</v>
      </c>
      <c r="U1180" s="15">
        <v>1012.6</v>
      </c>
      <c r="V1180" t="s">
        <v>19</v>
      </c>
      <c r="W1180" t="s">
        <v>28</v>
      </c>
      <c r="X1180">
        <v>311</v>
      </c>
      <c r="Y1180" s="16">
        <f>VLOOKUP(Tabela1[[#This Row],[SKU]],SKU!A:D,4,0)</f>
        <v>1000</v>
      </c>
      <c r="Z1180" s="18">
        <f>IFERROR((Tabela1[[#This Row],[Média]]-Tabela1[[#This Row],[Meta]])/Tabela1[[#This Row],[Meta]],"")</f>
        <v>1.2600000000000023E-2</v>
      </c>
      <c r="AA1180" s="31">
        <f>Tabela1[[#This Row],[Média]]-Tabela1[[#This Row],[Meta]]</f>
        <v>12.600000000000023</v>
      </c>
      <c r="AB1180" s="6" t="str">
        <f>VLOOKUP(Tabela1[[#This Row],[SKU]],SKU!A:B,2,0)</f>
        <v>FILE PEITO MET CG BDJ SE</v>
      </c>
      <c r="AC1180" s="6" t="str">
        <f>VLOOKUP(Tabela1[[#This Row],[SKU]],SKU!A:C,3,0)</f>
        <v>PEITO</v>
      </c>
    </row>
    <row r="1181" spans="1:29" x14ac:dyDescent="0.3">
      <c r="A1181" s="2">
        <f>INT(Tabela1[[#This Row],[Data e Hora2]])</f>
        <v>46295</v>
      </c>
      <c r="B1181" s="6" t="str">
        <f>UPPER(TEXT(Tabela1[[#This Row],[Data Corrigida]],"MMM"))</f>
        <v>SET</v>
      </c>
      <c r="C1181" t="s">
        <v>2624</v>
      </c>
      <c r="D1181" s="2" t="s">
        <v>2625</v>
      </c>
      <c r="E1181" s="1" t="s">
        <v>2620</v>
      </c>
      <c r="F1181" t="s">
        <v>24</v>
      </c>
      <c r="G1181" s="2" t="s">
        <v>2621</v>
      </c>
      <c r="H1181" t="s">
        <v>142</v>
      </c>
      <c r="I1181" t="s">
        <v>462</v>
      </c>
      <c r="J1181" s="6">
        <v>963925</v>
      </c>
      <c r="K1181" s="16">
        <v>17960</v>
      </c>
      <c r="L1181" s="16">
        <v>18282</v>
      </c>
      <c r="M1181" s="16">
        <v>18050</v>
      </c>
      <c r="N1181" s="16">
        <v>18055</v>
      </c>
      <c r="O1181" s="16">
        <v>18050</v>
      </c>
      <c r="P1181" s="16">
        <v>18125</v>
      </c>
      <c r="Q1181" s="16">
        <v>18280</v>
      </c>
      <c r="R1181" s="16">
        <v>18300</v>
      </c>
      <c r="S1181" s="16">
        <v>18380</v>
      </c>
      <c r="T1181" s="16">
        <v>18005</v>
      </c>
      <c r="U1181" s="15">
        <v>18148.7</v>
      </c>
      <c r="V1181" t="s">
        <v>19</v>
      </c>
      <c r="W1181" t="s">
        <v>28</v>
      </c>
      <c r="X1181">
        <v>4747</v>
      </c>
      <c r="Y1181" s="16">
        <f>VLOOKUP(Tabela1[[#This Row],[SKU]],SKU!A:D,4,0)</f>
        <v>18000</v>
      </c>
      <c r="Z1181" s="18">
        <f>IFERROR((Tabela1[[#This Row],[Média]]-Tabela1[[#This Row],[Meta]])/Tabela1[[#This Row],[Meta]],"")</f>
        <v>8.2611111111111513E-3</v>
      </c>
      <c r="AA1181" s="31">
        <f>Tabela1[[#This Row],[Média]]-Tabela1[[#This Row],[Meta]]</f>
        <v>148.70000000000073</v>
      </c>
      <c r="AB1181" s="6" t="str">
        <f>VLOOKUP(Tabela1[[#This Row],[SKU]],SKU!A:B,2,0)</f>
        <v>COXINHA DA ASA FG CG PCT</v>
      </c>
      <c r="AC1181" s="6" t="str">
        <f>VLOOKUP(Tabela1[[#This Row],[SKU]],SKU!A:C,3,0)</f>
        <v>ASA</v>
      </c>
    </row>
    <row r="1182" spans="1:29" x14ac:dyDescent="0.3">
      <c r="A1182" s="2">
        <f>INT(Tabela1[[#This Row],[Data e Hora2]])</f>
        <v>46295</v>
      </c>
      <c r="B1182" s="6" t="str">
        <f>UPPER(TEXT(Tabela1[[#This Row],[Data Corrigida]],"MMM"))</f>
        <v>SET</v>
      </c>
      <c r="C1182" t="s">
        <v>2626</v>
      </c>
      <c r="D1182" s="2" t="s">
        <v>2627</v>
      </c>
      <c r="E1182" s="1" t="s">
        <v>2620</v>
      </c>
      <c r="F1182" t="s">
        <v>24</v>
      </c>
      <c r="G1182" s="2" t="s">
        <v>2621</v>
      </c>
      <c r="H1182" t="s">
        <v>142</v>
      </c>
      <c r="I1182" t="s">
        <v>462</v>
      </c>
      <c r="J1182" s="6">
        <v>40762</v>
      </c>
      <c r="K1182" s="16">
        <v>10005</v>
      </c>
      <c r="L1182" s="16">
        <v>10055</v>
      </c>
      <c r="M1182" s="16">
        <v>10120</v>
      </c>
      <c r="N1182" s="16">
        <v>10145</v>
      </c>
      <c r="O1182" s="16">
        <v>10100</v>
      </c>
      <c r="P1182" s="16">
        <v>10150</v>
      </c>
      <c r="Q1182" s="16">
        <v>10075</v>
      </c>
      <c r="R1182" s="16">
        <v>10058</v>
      </c>
      <c r="S1182" s="16">
        <v>10145</v>
      </c>
      <c r="T1182" s="16">
        <v>10035</v>
      </c>
      <c r="U1182" s="15">
        <v>10088.799999999999</v>
      </c>
      <c r="V1182" t="s">
        <v>19</v>
      </c>
      <c r="W1182" t="s">
        <v>28</v>
      </c>
      <c r="X1182">
        <v>2247</v>
      </c>
      <c r="Y1182" s="16">
        <f>VLOOKUP(Tabela1[[#This Row],[SKU]],SKU!A:D,4,0)</f>
        <v>10000</v>
      </c>
      <c r="Z1182" s="18">
        <f>IFERROR((Tabela1[[#This Row],[Média]]-Tabela1[[#This Row],[Meta]])/Tabela1[[#This Row],[Meta]],"")</f>
        <v>8.8799999999999279E-3</v>
      </c>
      <c r="AA1182" s="31">
        <f>Tabela1[[#This Row],[Média]]-Tabela1[[#This Row],[Meta]]</f>
        <v>88.799999999999272</v>
      </c>
      <c r="AB1182" s="6" t="str">
        <f>VLOOKUP(Tabela1[[#This Row],[SKU]],SKU!A:B,2,0)</f>
        <v>COXA SBCX LQ FG LP</v>
      </c>
      <c r="AC1182" s="6" t="str">
        <f>VLOOKUP(Tabela1[[#This Row],[SKU]],SKU!A:C,3,0)</f>
        <v>PERNA</v>
      </c>
    </row>
    <row r="1183" spans="1:29" x14ac:dyDescent="0.3">
      <c r="A1183" s="2">
        <f>INT(Tabela1[[#This Row],[Data e Hora2]])</f>
        <v>46295</v>
      </c>
      <c r="B1183" s="6" t="str">
        <f>UPPER(TEXT(Tabela1[[#This Row],[Data Corrigida]],"MMM"))</f>
        <v>SET</v>
      </c>
      <c r="C1183" t="s">
        <v>2628</v>
      </c>
      <c r="D1183" s="2" t="s">
        <v>2629</v>
      </c>
      <c r="E1183" s="1" t="s">
        <v>2620</v>
      </c>
      <c r="F1183" t="s">
        <v>24</v>
      </c>
      <c r="G1183" s="2" t="s">
        <v>2621</v>
      </c>
      <c r="H1183" t="s">
        <v>142</v>
      </c>
      <c r="I1183" t="s">
        <v>462</v>
      </c>
      <c r="J1183" s="6">
        <v>42838</v>
      </c>
      <c r="K1183" s="16">
        <v>2066</v>
      </c>
      <c r="L1183" s="16">
        <v>1991</v>
      </c>
      <c r="M1183" s="16">
        <v>2061</v>
      </c>
      <c r="N1183" s="16">
        <v>2054</v>
      </c>
      <c r="O1183" s="16">
        <v>2048</v>
      </c>
      <c r="P1183" s="16">
        <v>2061</v>
      </c>
      <c r="Q1183" s="16">
        <v>2046</v>
      </c>
      <c r="R1183" s="16">
        <v>2057</v>
      </c>
      <c r="S1183" s="16">
        <v>2055</v>
      </c>
      <c r="T1183" s="16">
        <v>2063</v>
      </c>
      <c r="U1183" s="15">
        <v>2050.1999999999998</v>
      </c>
      <c r="V1183" t="s">
        <v>19</v>
      </c>
      <c r="W1183" t="s">
        <v>28</v>
      </c>
      <c r="X1183">
        <v>2559</v>
      </c>
      <c r="Y1183" s="16">
        <f>VLOOKUP(Tabela1[[#This Row],[SKU]],SKU!A:D,4,0)</f>
        <v>2000</v>
      </c>
      <c r="Z1183" s="18">
        <f>IFERROR((Tabela1[[#This Row],[Média]]-Tabela1[[#This Row],[Meta]])/Tabela1[[#This Row],[Meta]],"")</f>
        <v>2.5099999999999911E-2</v>
      </c>
      <c r="AA1183" s="31">
        <f>Tabela1[[#This Row],[Média]]-Tabela1[[#This Row],[Meta]]</f>
        <v>50.199999999999818</v>
      </c>
      <c r="AB1183" s="6" t="str">
        <f>VLOOKUP(Tabela1[[#This Row],[SKU]],SKU!A:B,2,0)</f>
        <v>COXA SBCX S/O FG 220-240g PB</v>
      </c>
      <c r="AC1183" s="6" t="str">
        <f>VLOOKUP(Tabela1[[#This Row],[SKU]],SKU!A:C,3,0)</f>
        <v>PERNA</v>
      </c>
    </row>
    <row r="1184" spans="1:29" x14ac:dyDescent="0.3">
      <c r="A1184" s="2">
        <f>INT(Tabela1[[#This Row],[Data e Hora2]])</f>
        <v>46295</v>
      </c>
      <c r="B1184" s="6" t="str">
        <f>UPPER(TEXT(Tabela1[[#This Row],[Data Corrigida]],"MMM"))</f>
        <v>SET</v>
      </c>
      <c r="C1184" t="s">
        <v>2630</v>
      </c>
      <c r="D1184" s="2" t="s">
        <v>2631</v>
      </c>
      <c r="E1184" s="1" t="s">
        <v>2620</v>
      </c>
      <c r="F1184" t="s">
        <v>24</v>
      </c>
      <c r="G1184" s="2" t="s">
        <v>2621</v>
      </c>
      <c r="H1184" t="s">
        <v>142</v>
      </c>
      <c r="I1184" t="s">
        <v>462</v>
      </c>
      <c r="J1184" s="6">
        <v>42846</v>
      </c>
      <c r="K1184" s="16">
        <v>1996</v>
      </c>
      <c r="L1184" s="16">
        <v>2012</v>
      </c>
      <c r="M1184" s="16">
        <v>2007</v>
      </c>
      <c r="N1184" s="16">
        <v>2006</v>
      </c>
      <c r="O1184" s="16">
        <v>2011</v>
      </c>
      <c r="P1184" s="16">
        <v>2001</v>
      </c>
      <c r="Q1184" s="16">
        <v>2005</v>
      </c>
      <c r="R1184" s="16">
        <v>2004</v>
      </c>
      <c r="S1184" s="16">
        <v>2003</v>
      </c>
      <c r="T1184" s="16">
        <v>2012</v>
      </c>
      <c r="U1184" s="15">
        <v>2005.7</v>
      </c>
      <c r="V1184" t="s">
        <v>19</v>
      </c>
      <c r="W1184" t="s">
        <v>28</v>
      </c>
      <c r="X1184">
        <v>2854</v>
      </c>
      <c r="Y1184" s="16">
        <f>VLOOKUP(Tabela1[[#This Row],[SKU]],SKU!A:D,4,0)</f>
        <v>2000</v>
      </c>
      <c r="Z1184" s="18">
        <f>IFERROR((Tabela1[[#This Row],[Média]]-Tabela1[[#This Row],[Meta]])/Tabela1[[#This Row],[Meta]],"")</f>
        <v>2.8500000000000227E-3</v>
      </c>
      <c r="AA1184" s="31">
        <f>Tabela1[[#This Row],[Média]]-Tabela1[[#This Row],[Meta]]</f>
        <v>5.7000000000000455</v>
      </c>
      <c r="AB1184" s="6" t="str">
        <f>VLOOKUP(Tabela1[[#This Row],[SKU]],SKU!A:B,2,0)</f>
        <v>COXA SBCX S/O FG 240-260g PB</v>
      </c>
      <c r="AC1184" s="6" t="str">
        <f>VLOOKUP(Tabela1[[#This Row],[SKU]],SKU!A:C,3,0)</f>
        <v>PERNA</v>
      </c>
    </row>
    <row r="1185" spans="1:29" x14ac:dyDescent="0.3">
      <c r="A1185" s="2">
        <f>INT(Tabela1[[#This Row],[Data e Hora2]])</f>
        <v>46295</v>
      </c>
      <c r="B1185" s="6" t="str">
        <f>UPPER(TEXT(Tabela1[[#This Row],[Data Corrigida]],"MMM"))</f>
        <v>SET</v>
      </c>
      <c r="C1185" t="s">
        <v>2632</v>
      </c>
      <c r="D1185" s="2" t="s">
        <v>2633</v>
      </c>
      <c r="E1185" s="1" t="s">
        <v>2620</v>
      </c>
      <c r="F1185" t="s">
        <v>24</v>
      </c>
      <c r="G1185" s="2" t="s">
        <v>2621</v>
      </c>
      <c r="H1185" t="s">
        <v>142</v>
      </c>
      <c r="I1185" t="s">
        <v>462</v>
      </c>
      <c r="J1185" s="6">
        <v>42854</v>
      </c>
      <c r="K1185" s="16">
        <v>2156</v>
      </c>
      <c r="L1185" s="16">
        <v>2160</v>
      </c>
      <c r="M1185" s="16">
        <v>2174</v>
      </c>
      <c r="N1185" s="16">
        <v>2122</v>
      </c>
      <c r="O1185" s="16">
        <v>2165</v>
      </c>
      <c r="P1185" s="16">
        <v>2147</v>
      </c>
      <c r="Q1185" s="16">
        <v>2155</v>
      </c>
      <c r="R1185" s="16">
        <v>2148</v>
      </c>
      <c r="S1185" s="16">
        <v>2174</v>
      </c>
      <c r="T1185" s="16">
        <v>2151</v>
      </c>
      <c r="U1185" s="15">
        <v>2155.1999999999998</v>
      </c>
      <c r="V1185" t="s">
        <v>19</v>
      </c>
      <c r="W1185" t="s">
        <v>28</v>
      </c>
      <c r="X1185">
        <v>3209</v>
      </c>
      <c r="Y1185" s="16">
        <f>VLOOKUP(Tabela1[[#This Row],[SKU]],SKU!A:D,4,0)</f>
        <v>2080</v>
      </c>
      <c r="Z1185" s="18">
        <f>IFERROR((Tabela1[[#This Row],[Média]]-Tabela1[[#This Row],[Meta]])/Tabela1[[#This Row],[Meta]],"")</f>
        <v>3.6153846153846064E-2</v>
      </c>
      <c r="AA1185" s="31">
        <f>Tabela1[[#This Row],[Média]]-Tabela1[[#This Row],[Meta]]</f>
        <v>75.199999999999818</v>
      </c>
      <c r="AB1185" s="6" t="str">
        <f>VLOOKUP(Tabela1[[#This Row],[SKU]],SKU!A:B,2,0)</f>
        <v>COXA SBCX S/O FG 260-280g PB</v>
      </c>
      <c r="AC1185" s="6" t="str">
        <f>VLOOKUP(Tabela1[[#This Row],[SKU]],SKU!A:C,3,0)</f>
        <v>PERNA</v>
      </c>
    </row>
    <row r="1186" spans="1:29" x14ac:dyDescent="0.3">
      <c r="A1186" s="2">
        <f>INT(Tabela1[[#This Row],[Data e Hora2]])</f>
        <v>46295</v>
      </c>
      <c r="B1186" s="6" t="str">
        <f>UPPER(TEXT(Tabela1[[#This Row],[Data Corrigida]],"MMM"))</f>
        <v>SET</v>
      </c>
      <c r="C1186" t="s">
        <v>2634</v>
      </c>
      <c r="D1186" s="2" t="s">
        <v>2635</v>
      </c>
      <c r="E1186" s="1" t="s">
        <v>2620</v>
      </c>
      <c r="F1186" t="s">
        <v>24</v>
      </c>
      <c r="G1186" s="2" t="s">
        <v>2621</v>
      </c>
      <c r="H1186" t="s">
        <v>142</v>
      </c>
      <c r="I1186" t="s">
        <v>462</v>
      </c>
      <c r="J1186" s="6">
        <v>54632</v>
      </c>
      <c r="K1186" s="16">
        <v>1003</v>
      </c>
      <c r="L1186" s="16">
        <v>1010</v>
      </c>
      <c r="M1186" s="16">
        <v>990</v>
      </c>
      <c r="N1186" s="16">
        <v>1009</v>
      </c>
      <c r="O1186" s="16">
        <v>1037</v>
      </c>
      <c r="P1186" s="16">
        <v>1042</v>
      </c>
      <c r="Q1186" s="16">
        <v>996</v>
      </c>
      <c r="R1186" s="16">
        <v>1005</v>
      </c>
      <c r="S1186" s="16">
        <v>1037</v>
      </c>
      <c r="T1186" s="16">
        <v>1058</v>
      </c>
      <c r="U1186" s="15">
        <v>1018.7</v>
      </c>
      <c r="V1186" t="s">
        <v>19</v>
      </c>
      <c r="W1186" t="s">
        <v>28</v>
      </c>
      <c r="X1186">
        <v>3501</v>
      </c>
      <c r="Y1186" s="16">
        <f>VLOOKUP(Tabela1[[#This Row],[SKU]],SKU!A:D,4,0)</f>
        <v>1000</v>
      </c>
      <c r="Z1186" s="18">
        <f>IFERROR((Tabela1[[#This Row],[Média]]-Tabela1[[#This Row],[Meta]])/Tabela1[[#This Row],[Meta]],"")</f>
        <v>1.8700000000000046E-2</v>
      </c>
      <c r="AA1186" s="31">
        <f>Tabela1[[#This Row],[Média]]-Tabela1[[#This Row],[Meta]]</f>
        <v>18.700000000000045</v>
      </c>
      <c r="AB1186" s="6" t="str">
        <f>VLOOKUP(Tabela1[[#This Row],[SKU]],SKU!A:B,2,0)</f>
        <v>COXA SBCX S/O BDJ CG</v>
      </c>
      <c r="AC1186" s="6" t="str">
        <f>VLOOKUP(Tabela1[[#This Row],[SKU]],SKU!A:C,3,0)</f>
        <v>PERNA</v>
      </c>
    </row>
    <row r="1187" spans="1:29" x14ac:dyDescent="0.3">
      <c r="A1187" s="2">
        <f>INT(Tabela1[[#This Row],[Data e Hora2]])</f>
        <v>46294</v>
      </c>
      <c r="B1187" s="6" t="str">
        <f>UPPER(TEXT(Tabela1[[#This Row],[Data Corrigida]],"MMM"))</f>
        <v>SET</v>
      </c>
      <c r="C1187" t="s">
        <v>2636</v>
      </c>
      <c r="D1187" s="2" t="s">
        <v>2637</v>
      </c>
      <c r="E1187" s="1" t="s">
        <v>2638</v>
      </c>
      <c r="F1187" t="s">
        <v>24</v>
      </c>
      <c r="G1187" s="2" t="s">
        <v>2639</v>
      </c>
      <c r="H1187" t="s">
        <v>26</v>
      </c>
      <c r="I1187" t="s">
        <v>27</v>
      </c>
      <c r="J1187" s="6">
        <v>197734</v>
      </c>
      <c r="K1187" s="16">
        <v>991</v>
      </c>
      <c r="L1187" s="16">
        <v>992</v>
      </c>
      <c r="M1187" s="16">
        <v>988</v>
      </c>
      <c r="N1187" s="16">
        <v>990</v>
      </c>
      <c r="O1187" s="16">
        <v>1000</v>
      </c>
      <c r="P1187" s="16">
        <v>1016</v>
      </c>
      <c r="Q1187" s="16">
        <v>976</v>
      </c>
      <c r="R1187" s="16">
        <v>994</v>
      </c>
      <c r="S1187" s="16">
        <v>1011</v>
      </c>
      <c r="T1187" s="16">
        <v>1023</v>
      </c>
      <c r="U1187" s="15">
        <v>998.1</v>
      </c>
      <c r="V1187" t="s">
        <v>19</v>
      </c>
      <c r="W1187" t="s">
        <v>28</v>
      </c>
      <c r="X1187">
        <v>1181</v>
      </c>
      <c r="Y1187" s="16">
        <f>VLOOKUP(Tabela1[[#This Row],[SKU]],SKU!A:D,4,0)</f>
        <v>1000</v>
      </c>
      <c r="Z1187" s="18">
        <f>IFERROR((Tabela1[[#This Row],[Média]]-Tabela1[[#This Row],[Meta]])/Tabela1[[#This Row],[Meta]],"")</f>
        <v>-1.8999999999999772E-3</v>
      </c>
      <c r="AA1187" s="31">
        <f>Tabela1[[#This Row],[Média]]-Tabela1[[#This Row],[Meta]]</f>
        <v>-1.8999999999999773</v>
      </c>
      <c r="AB1187" s="6" t="str">
        <f>VLOOKUP(Tabela1[[#This Row],[SKU]],SKU!A:B,2,0)</f>
        <v>FILEZINHO FRANGO IQF ALM SE</v>
      </c>
      <c r="AC1187" s="6" t="str">
        <f>VLOOKUP(Tabela1[[#This Row],[SKU]],SKU!A:C,3,0)</f>
        <v>SASSAMI</v>
      </c>
    </row>
    <row r="1188" spans="1:29" x14ac:dyDescent="0.3">
      <c r="A1188" s="2">
        <f>INT(Tabela1[[#This Row],[Data e Hora2]])</f>
        <v>46294</v>
      </c>
      <c r="B1188" s="6" t="str">
        <f>UPPER(TEXT(Tabela1[[#This Row],[Data Corrigida]],"MMM"))</f>
        <v>SET</v>
      </c>
      <c r="C1188" t="s">
        <v>2640</v>
      </c>
      <c r="D1188" s="2" t="s">
        <v>2641</v>
      </c>
      <c r="E1188" s="1" t="s">
        <v>2638</v>
      </c>
      <c r="F1188" t="s">
        <v>24</v>
      </c>
      <c r="G1188" s="2" t="s">
        <v>2639</v>
      </c>
      <c r="H1188" t="s">
        <v>26</v>
      </c>
      <c r="I1188" t="s">
        <v>27</v>
      </c>
      <c r="J1188" s="6">
        <v>40762</v>
      </c>
      <c r="K1188" s="16">
        <v>10020</v>
      </c>
      <c r="L1188" s="16">
        <v>10065</v>
      </c>
      <c r="M1188" s="16">
        <v>10050</v>
      </c>
      <c r="N1188" s="16">
        <v>10050</v>
      </c>
      <c r="O1188" s="16">
        <v>10040</v>
      </c>
      <c r="P1188" s="16">
        <v>10015</v>
      </c>
      <c r="Q1188" s="16">
        <v>10075</v>
      </c>
      <c r="R1188" s="16">
        <v>9990</v>
      </c>
      <c r="S1188" s="16">
        <v>9980</v>
      </c>
      <c r="T1188" s="16">
        <v>10015</v>
      </c>
      <c r="U1188" s="15">
        <v>10030</v>
      </c>
      <c r="V1188" t="s">
        <v>19</v>
      </c>
      <c r="W1188" t="s">
        <v>28</v>
      </c>
      <c r="X1188">
        <v>5945</v>
      </c>
      <c r="Y1188" s="16">
        <f>VLOOKUP(Tabela1[[#This Row],[SKU]],SKU!A:D,4,0)</f>
        <v>10000</v>
      </c>
      <c r="Z1188" s="18">
        <f>IFERROR((Tabela1[[#This Row],[Média]]-Tabela1[[#This Row],[Meta]])/Tabela1[[#This Row],[Meta]],"")</f>
        <v>3.0000000000000001E-3</v>
      </c>
      <c r="AA1188" s="31">
        <f>Tabela1[[#This Row],[Média]]-Tabela1[[#This Row],[Meta]]</f>
        <v>30</v>
      </c>
      <c r="AB1188" s="6" t="str">
        <f>VLOOKUP(Tabela1[[#This Row],[SKU]],SKU!A:B,2,0)</f>
        <v>COXA SBCX LQ FG LP</v>
      </c>
      <c r="AC1188" s="6" t="str">
        <f>VLOOKUP(Tabela1[[#This Row],[SKU]],SKU!A:C,3,0)</f>
        <v>PERNA</v>
      </c>
    </row>
    <row r="1189" spans="1:29" x14ac:dyDescent="0.3">
      <c r="A1189" s="2">
        <f>INT(Tabela1[[#This Row],[Data e Hora2]])</f>
        <v>46294</v>
      </c>
      <c r="B1189" s="6" t="str">
        <f>UPPER(TEXT(Tabela1[[#This Row],[Data Corrigida]],"MMM"))</f>
        <v>SET</v>
      </c>
      <c r="C1189" t="s">
        <v>2642</v>
      </c>
      <c r="D1189" s="2" t="s">
        <v>2643</v>
      </c>
      <c r="E1189" s="1" t="s">
        <v>2644</v>
      </c>
      <c r="F1189" t="s">
        <v>24</v>
      </c>
      <c r="G1189" s="2" t="s">
        <v>2639</v>
      </c>
      <c r="H1189" t="s">
        <v>26</v>
      </c>
      <c r="I1189" t="s">
        <v>27</v>
      </c>
      <c r="J1189" s="6">
        <v>13188</v>
      </c>
      <c r="K1189" s="16">
        <v>1007</v>
      </c>
      <c r="L1189" s="16">
        <v>1007</v>
      </c>
      <c r="M1189" s="16">
        <v>1008</v>
      </c>
      <c r="N1189" s="16">
        <v>1011</v>
      </c>
      <c r="O1189" s="16">
        <v>1003</v>
      </c>
      <c r="P1189" s="16">
        <v>998</v>
      </c>
      <c r="Q1189" s="16">
        <v>1016</v>
      </c>
      <c r="R1189" s="16">
        <v>1008</v>
      </c>
      <c r="S1189" s="16">
        <v>997</v>
      </c>
      <c r="T1189" s="16">
        <v>996</v>
      </c>
      <c r="U1189" s="15">
        <v>1005.1</v>
      </c>
      <c r="V1189" t="s">
        <v>19</v>
      </c>
      <c r="W1189" t="s">
        <v>19</v>
      </c>
      <c r="X1189">
        <v>10222</v>
      </c>
      <c r="Y1189" s="16">
        <f>VLOOKUP(Tabela1[[#This Row],[SKU]],SKU!A:D,4,0)</f>
        <v>1000</v>
      </c>
      <c r="Z1189" s="18">
        <f>IFERROR((Tabela1[[#This Row],[Média]]-Tabela1[[#This Row],[Meta]])/Tabela1[[#This Row],[Meta]],"")</f>
        <v>5.1000000000000229E-3</v>
      </c>
      <c r="AA1189" s="31">
        <f>Tabela1[[#This Row],[Média]]-Tabela1[[#This Row],[Meta]]</f>
        <v>5.1000000000000227</v>
      </c>
      <c r="AB1189" s="6" t="str">
        <f>VLOOKUP(Tabela1[[#This Row],[SKU]],SKU!A:B,2,0)</f>
        <v>SOBRECOXA CG BDJ SE</v>
      </c>
      <c r="AC1189" s="6" t="str">
        <f>VLOOKUP(Tabela1[[#This Row],[SKU]],SKU!A:C,3,0)</f>
        <v>PERNA</v>
      </c>
    </row>
    <row r="1190" spans="1:29" x14ac:dyDescent="0.3">
      <c r="A1190" s="2">
        <f>INT(Tabela1[[#This Row],[Data e Hora2]])</f>
        <v>46294</v>
      </c>
      <c r="B1190" s="6" t="str">
        <f>UPPER(TEXT(Tabela1[[#This Row],[Data Corrigida]],"MMM"))</f>
        <v>SET</v>
      </c>
      <c r="C1190" t="s">
        <v>2645</v>
      </c>
      <c r="D1190" s="2" t="s">
        <v>2646</v>
      </c>
      <c r="E1190" s="1" t="s">
        <v>2644</v>
      </c>
      <c r="F1190" t="s">
        <v>24</v>
      </c>
      <c r="G1190" s="2" t="s">
        <v>2639</v>
      </c>
      <c r="H1190" t="s">
        <v>26</v>
      </c>
      <c r="I1190" t="s">
        <v>27</v>
      </c>
      <c r="J1190" s="6">
        <v>15229</v>
      </c>
      <c r="K1190" s="16">
        <v>996</v>
      </c>
      <c r="L1190" s="16">
        <v>1036</v>
      </c>
      <c r="M1190" s="16">
        <v>998</v>
      </c>
      <c r="N1190" s="16">
        <v>1007</v>
      </c>
      <c r="O1190" s="16">
        <v>1001</v>
      </c>
      <c r="P1190" s="16">
        <v>1013</v>
      </c>
      <c r="Q1190" s="16">
        <v>1007</v>
      </c>
      <c r="R1190" s="16">
        <v>1017</v>
      </c>
      <c r="S1190" s="16">
        <v>1011</v>
      </c>
      <c r="T1190" s="16">
        <v>1014</v>
      </c>
      <c r="U1190" s="15">
        <v>1010</v>
      </c>
      <c r="V1190" t="s">
        <v>19</v>
      </c>
      <c r="W1190" t="s">
        <v>28</v>
      </c>
      <c r="X1190">
        <v>10376</v>
      </c>
      <c r="Y1190" s="16">
        <f>VLOOKUP(Tabela1[[#This Row],[SKU]],SKU!A:D,4,0)</f>
        <v>1000</v>
      </c>
      <c r="Z1190" s="18">
        <f>IFERROR((Tabela1[[#This Row],[Média]]-Tabela1[[#This Row],[Meta]])/Tabela1[[#This Row],[Meta]],"")</f>
        <v>0.01</v>
      </c>
      <c r="AA1190" s="31">
        <f>Tabela1[[#This Row],[Média]]-Tabela1[[#This Row],[Meta]]</f>
        <v>10</v>
      </c>
      <c r="AB1190" s="6" t="str">
        <f>VLOOKUP(Tabela1[[#This Row],[SKU]],SKU!A:B,2,0)</f>
        <v>COXA CG BDJ SE</v>
      </c>
      <c r="AC1190" s="6" t="str">
        <f>VLOOKUP(Tabela1[[#This Row],[SKU]],SKU!A:C,3,0)</f>
        <v>PERNA</v>
      </c>
    </row>
    <row r="1191" spans="1:29" x14ac:dyDescent="0.3">
      <c r="A1191" s="2">
        <f>INT(Tabela1[[#This Row],[Data e Hora2]])</f>
        <v>46294</v>
      </c>
      <c r="B1191" s="6" t="str">
        <f>UPPER(TEXT(Tabela1[[#This Row],[Data Corrigida]],"MMM"))</f>
        <v>SET</v>
      </c>
      <c r="C1191" t="s">
        <v>2647</v>
      </c>
      <c r="D1191" s="2" t="s">
        <v>2648</v>
      </c>
      <c r="E1191" s="1" t="s">
        <v>2644</v>
      </c>
      <c r="F1191" t="s">
        <v>24</v>
      </c>
      <c r="G1191" s="2" t="s">
        <v>2639</v>
      </c>
      <c r="H1191" t="s">
        <v>26</v>
      </c>
      <c r="I1191" t="s">
        <v>27</v>
      </c>
      <c r="J1191" s="6">
        <v>992014</v>
      </c>
      <c r="K1191" s="16">
        <v>719</v>
      </c>
      <c r="L1191" s="16">
        <v>710</v>
      </c>
      <c r="M1191" s="16">
        <v>712</v>
      </c>
      <c r="N1191" s="16">
        <v>712</v>
      </c>
      <c r="O1191" s="16">
        <v>716</v>
      </c>
      <c r="P1191" s="16">
        <v>725</v>
      </c>
      <c r="Q1191" s="16">
        <v>715</v>
      </c>
      <c r="R1191" s="16">
        <v>707</v>
      </c>
      <c r="S1191" s="16">
        <v>713</v>
      </c>
      <c r="T1191" s="16">
        <v>715</v>
      </c>
      <c r="U1191" s="15">
        <v>714.4</v>
      </c>
      <c r="V1191" t="s">
        <v>19</v>
      </c>
      <c r="W1191" t="s">
        <v>28</v>
      </c>
      <c r="X1191">
        <v>10547</v>
      </c>
      <c r="Y1191" s="16">
        <f>VLOOKUP(Tabela1[[#This Row],[SKU]],SKU!A:D,4,0)</f>
        <v>700</v>
      </c>
      <c r="Z1191" s="18">
        <f>IFERROR((Tabela1[[#This Row],[Média]]-Tabela1[[#This Row],[Meta]])/Tabela1[[#This Row],[Meta]],"")</f>
        <v>2.0571428571428539E-2</v>
      </c>
      <c r="AA1191" s="31">
        <f>Tabela1[[#This Row],[Média]]-Tabela1[[#This Row],[Meta]]</f>
        <v>14.399999999999977</v>
      </c>
      <c r="AB1191" s="6" t="str">
        <f>VLOOKUP(Tabela1[[#This Row],[SKU]],SKU!A:B,2,0)</f>
        <v>OSTRINHA CG PCT 700G SWIFT</v>
      </c>
      <c r="AC1191" s="6" t="str">
        <f>VLOOKUP(Tabela1[[#This Row],[SKU]],SKU!A:C,3,0)</f>
        <v>PERNA</v>
      </c>
    </row>
    <row r="1192" spans="1:29" x14ac:dyDescent="0.3">
      <c r="A1192" s="2">
        <f>INT(Tabela1[[#This Row],[Data e Hora2]])</f>
        <v>46294</v>
      </c>
      <c r="B1192" s="6" t="str">
        <f>UPPER(TEXT(Tabela1[[#This Row],[Data Corrigida]],"MMM"))</f>
        <v>SET</v>
      </c>
      <c r="C1192" t="s">
        <v>2649</v>
      </c>
      <c r="D1192" s="2" t="s">
        <v>2650</v>
      </c>
      <c r="E1192" s="1" t="s">
        <v>2644</v>
      </c>
      <c r="F1192" t="s">
        <v>24</v>
      </c>
      <c r="G1192" s="2" t="s">
        <v>2639</v>
      </c>
      <c r="H1192" t="s">
        <v>26</v>
      </c>
      <c r="I1192" t="s">
        <v>27</v>
      </c>
      <c r="J1192" s="6">
        <v>15105</v>
      </c>
      <c r="K1192" s="16">
        <v>1019</v>
      </c>
      <c r="L1192" s="16">
        <v>1046</v>
      </c>
      <c r="M1192" s="16">
        <v>995</v>
      </c>
      <c r="N1192" s="16">
        <v>1019</v>
      </c>
      <c r="O1192" s="16">
        <v>1031</v>
      </c>
      <c r="P1192" s="16">
        <v>1012</v>
      </c>
      <c r="Q1192" s="16">
        <v>1015</v>
      </c>
      <c r="R1192" s="16">
        <v>1003</v>
      </c>
      <c r="S1192" s="16">
        <v>1000</v>
      </c>
      <c r="T1192" s="16">
        <v>1012</v>
      </c>
      <c r="U1192" s="15">
        <v>1015.2</v>
      </c>
      <c r="V1192" t="s">
        <v>19</v>
      </c>
      <c r="W1192" t="s">
        <v>28</v>
      </c>
      <c r="X1192">
        <v>10945</v>
      </c>
      <c r="Y1192" s="16">
        <f>VLOOKUP(Tabela1[[#This Row],[SKU]],SKU!A:D,4,0)</f>
        <v>1000</v>
      </c>
      <c r="Z1192" s="18">
        <f>IFERROR((Tabela1[[#This Row],[Média]]-Tabela1[[#This Row],[Meta]])/Tabela1[[#This Row],[Meta]],"")</f>
        <v>1.5200000000000045E-2</v>
      </c>
      <c r="AA1192" s="31">
        <f>Tabela1[[#This Row],[Média]]-Tabela1[[#This Row],[Meta]]</f>
        <v>15.200000000000045</v>
      </c>
      <c r="AB1192" s="6" t="str">
        <f>VLOOKUP(Tabela1[[#This Row],[SKU]],SKU!A:B,2,0)</f>
        <v>FILE PEITO MET CG BDJ SE</v>
      </c>
      <c r="AC1192" s="6" t="str">
        <f>VLOOKUP(Tabela1[[#This Row],[SKU]],SKU!A:C,3,0)</f>
        <v>PEITO</v>
      </c>
    </row>
    <row r="1193" spans="1:29" x14ac:dyDescent="0.3">
      <c r="A1193" s="2">
        <f>INT(Tabela1[[#This Row],[Data e Hora2]])</f>
        <v>46294</v>
      </c>
      <c r="B1193" s="6" t="str">
        <f>UPPER(TEXT(Tabela1[[#This Row],[Data Corrigida]],"MMM"))</f>
        <v>SET</v>
      </c>
      <c r="C1193" t="s">
        <v>2651</v>
      </c>
      <c r="D1193" s="2" t="s">
        <v>2652</v>
      </c>
      <c r="E1193" s="1" t="s">
        <v>2644</v>
      </c>
      <c r="F1193" t="s">
        <v>24</v>
      </c>
      <c r="G1193" s="2" t="s">
        <v>2639</v>
      </c>
      <c r="H1193" t="s">
        <v>26</v>
      </c>
      <c r="I1193" t="s">
        <v>27</v>
      </c>
      <c r="J1193" s="6">
        <v>197734</v>
      </c>
      <c r="K1193" s="16">
        <v>1016</v>
      </c>
      <c r="L1193" s="16">
        <v>1007</v>
      </c>
      <c r="M1193" s="16">
        <v>1003</v>
      </c>
      <c r="N1193" s="16">
        <v>998</v>
      </c>
      <c r="O1193" s="16">
        <v>1012</v>
      </c>
      <c r="P1193" s="16">
        <v>1011</v>
      </c>
      <c r="Q1193" s="16">
        <v>999</v>
      </c>
      <c r="R1193" s="16">
        <v>1010</v>
      </c>
      <c r="S1193" s="16">
        <v>1005</v>
      </c>
      <c r="T1193" s="16">
        <v>1000</v>
      </c>
      <c r="U1193" s="15">
        <v>1006.1</v>
      </c>
      <c r="V1193" t="s">
        <v>19</v>
      </c>
      <c r="W1193" t="s">
        <v>28</v>
      </c>
      <c r="X1193">
        <v>21421</v>
      </c>
      <c r="Y1193" s="16">
        <f>VLOOKUP(Tabela1[[#This Row],[SKU]],SKU!A:D,4,0)</f>
        <v>1000</v>
      </c>
      <c r="Z1193" s="18">
        <f>IFERROR((Tabela1[[#This Row],[Média]]-Tabela1[[#This Row],[Meta]])/Tabela1[[#This Row],[Meta]],"")</f>
        <v>6.1000000000000229E-3</v>
      </c>
      <c r="AA1193" s="31">
        <f>Tabela1[[#This Row],[Média]]-Tabela1[[#This Row],[Meta]]</f>
        <v>6.1000000000000227</v>
      </c>
      <c r="AB1193" s="6" t="str">
        <f>VLOOKUP(Tabela1[[#This Row],[SKU]],SKU!A:B,2,0)</f>
        <v>FILEZINHO FRANGO IQF ALM SE</v>
      </c>
      <c r="AC1193" s="6" t="str">
        <f>VLOOKUP(Tabela1[[#This Row],[SKU]],SKU!A:C,3,0)</f>
        <v>SASSAMI</v>
      </c>
    </row>
    <row r="1194" spans="1:29" x14ac:dyDescent="0.3">
      <c r="A1194" s="2">
        <f>INT(Tabela1[[#This Row],[Data e Hora2]])</f>
        <v>46294</v>
      </c>
      <c r="B1194" s="6" t="str">
        <f>UPPER(TEXT(Tabela1[[#This Row],[Data Corrigida]],"MMM"))</f>
        <v>SET</v>
      </c>
      <c r="C1194" t="s">
        <v>2653</v>
      </c>
      <c r="D1194" s="2" t="s">
        <v>2654</v>
      </c>
      <c r="E1194" s="1" t="s">
        <v>2644</v>
      </c>
      <c r="F1194" t="s">
        <v>24</v>
      </c>
      <c r="G1194" s="2" t="s">
        <v>2639</v>
      </c>
      <c r="H1194" t="s">
        <v>26</v>
      </c>
      <c r="I1194" t="s">
        <v>27</v>
      </c>
      <c r="J1194" s="6">
        <v>995638</v>
      </c>
      <c r="K1194" s="16">
        <v>15005</v>
      </c>
      <c r="L1194" s="16">
        <v>15030</v>
      </c>
      <c r="M1194" s="16">
        <v>15005</v>
      </c>
      <c r="N1194" s="16">
        <v>15025</v>
      </c>
      <c r="O1194" s="16">
        <v>15040</v>
      </c>
      <c r="P1194" s="16">
        <v>15070</v>
      </c>
      <c r="Q1194" s="16">
        <v>15040</v>
      </c>
      <c r="R1194" s="16">
        <v>15005</v>
      </c>
      <c r="S1194" s="16">
        <v>15005</v>
      </c>
      <c r="T1194" s="16">
        <v>15038</v>
      </c>
      <c r="U1194" s="15">
        <v>15026.3</v>
      </c>
      <c r="V1194" t="s">
        <v>19</v>
      </c>
      <c r="W1194" t="s">
        <v>28</v>
      </c>
      <c r="X1194">
        <v>21886</v>
      </c>
      <c r="Y1194" s="16">
        <f>VLOOKUP(Tabela1[[#This Row],[SKU]],SKU!A:D,4,0)</f>
        <v>15000</v>
      </c>
      <c r="Z1194" s="18">
        <f>IFERROR((Tabela1[[#This Row],[Média]]-Tabela1[[#This Row],[Meta]])/Tabela1[[#This Row],[Meta]],"")</f>
        <v>1.7533333333332847E-3</v>
      </c>
      <c r="AA1194" s="31">
        <f>Tabela1[[#This Row],[Média]]-Tabela1[[#This Row],[Meta]]</f>
        <v>26.299999999999272</v>
      </c>
      <c r="AB1194" s="6" t="str">
        <f>VLOOKUP(Tabela1[[#This Row],[SKU]],SKU!A:B,2,0)</f>
        <v>MEIO DA ASA 40-50G LP</v>
      </c>
      <c r="AC1194" s="6" t="str">
        <f>VLOOKUP(Tabela1[[#This Row],[SKU]],SKU!A:C,3,0)</f>
        <v>ASA</v>
      </c>
    </row>
    <row r="1195" spans="1:29" x14ac:dyDescent="0.3">
      <c r="A1195" s="2">
        <f>INT(Tabela1[[#This Row],[Data e Hora2]])</f>
        <v>46294</v>
      </c>
      <c r="B1195" s="6" t="str">
        <f>UPPER(TEXT(Tabela1[[#This Row],[Data Corrigida]],"MMM"))</f>
        <v>SET</v>
      </c>
      <c r="C1195" t="s">
        <v>2655</v>
      </c>
      <c r="D1195" s="2" t="s">
        <v>2656</v>
      </c>
      <c r="E1195" s="1" t="s">
        <v>2644</v>
      </c>
      <c r="F1195" t="s">
        <v>24</v>
      </c>
      <c r="G1195" s="2" t="s">
        <v>2639</v>
      </c>
      <c r="H1195" t="s">
        <v>26</v>
      </c>
      <c r="I1195" t="s">
        <v>27</v>
      </c>
      <c r="J1195" s="6">
        <v>13188</v>
      </c>
      <c r="K1195" s="16">
        <v>1016</v>
      </c>
      <c r="L1195" s="16">
        <v>1009</v>
      </c>
      <c r="M1195" s="16">
        <v>1002</v>
      </c>
      <c r="N1195" s="16">
        <v>1015</v>
      </c>
      <c r="O1195" s="16">
        <v>1006</v>
      </c>
      <c r="P1195" s="16">
        <v>1005</v>
      </c>
      <c r="Q1195" s="16">
        <v>999</v>
      </c>
      <c r="R1195" s="16">
        <v>1010</v>
      </c>
      <c r="S1195" s="16">
        <v>1003</v>
      </c>
      <c r="T1195" s="16">
        <v>1004</v>
      </c>
      <c r="U1195" s="15">
        <v>1006.9</v>
      </c>
      <c r="V1195" t="s">
        <v>19</v>
      </c>
      <c r="W1195" t="s">
        <v>28</v>
      </c>
      <c r="X1195">
        <v>21955</v>
      </c>
      <c r="Y1195" s="16">
        <f>VLOOKUP(Tabela1[[#This Row],[SKU]],SKU!A:D,4,0)</f>
        <v>1000</v>
      </c>
      <c r="Z1195" s="18">
        <f>IFERROR((Tabela1[[#This Row],[Média]]-Tabela1[[#This Row],[Meta]])/Tabela1[[#This Row],[Meta]],"")</f>
        <v>6.8999999999999773E-3</v>
      </c>
      <c r="AA1195" s="31">
        <f>Tabela1[[#This Row],[Média]]-Tabela1[[#This Row],[Meta]]</f>
        <v>6.8999999999999773</v>
      </c>
      <c r="AB1195" s="6" t="str">
        <f>VLOOKUP(Tabela1[[#This Row],[SKU]],SKU!A:B,2,0)</f>
        <v>SOBRECOXA CG BDJ SE</v>
      </c>
      <c r="AC1195" s="6" t="str">
        <f>VLOOKUP(Tabela1[[#This Row],[SKU]],SKU!A:C,3,0)</f>
        <v>PERNA</v>
      </c>
    </row>
    <row r="1196" spans="1:29" x14ac:dyDescent="0.3">
      <c r="A1196" s="2">
        <f>INT(Tabela1[[#This Row],[Data e Hora2]])</f>
        <v>46294</v>
      </c>
      <c r="B1196" s="6" t="str">
        <f>UPPER(TEXT(Tabela1[[#This Row],[Data Corrigida]],"MMM"))</f>
        <v>SET</v>
      </c>
      <c r="C1196" t="s">
        <v>2657</v>
      </c>
      <c r="D1196" s="2" t="s">
        <v>2658</v>
      </c>
      <c r="E1196" s="1" t="s">
        <v>2644</v>
      </c>
      <c r="F1196" t="s">
        <v>24</v>
      </c>
      <c r="G1196" s="2" t="s">
        <v>2639</v>
      </c>
      <c r="H1196" t="s">
        <v>26</v>
      </c>
      <c r="I1196" t="s">
        <v>27</v>
      </c>
      <c r="J1196" s="6">
        <v>15229</v>
      </c>
      <c r="K1196" s="16">
        <v>1010</v>
      </c>
      <c r="L1196" s="16">
        <v>1013</v>
      </c>
      <c r="M1196" s="16">
        <v>1008</v>
      </c>
      <c r="N1196" s="16">
        <v>1001</v>
      </c>
      <c r="O1196" s="16">
        <v>1000</v>
      </c>
      <c r="P1196" s="16">
        <v>1013</v>
      </c>
      <c r="Q1196" s="16">
        <v>1015</v>
      </c>
      <c r="R1196" s="16">
        <v>1003</v>
      </c>
      <c r="S1196" s="16">
        <v>1001</v>
      </c>
      <c r="T1196" s="16">
        <v>1004</v>
      </c>
      <c r="U1196" s="15">
        <v>1006.8</v>
      </c>
      <c r="V1196" t="s">
        <v>19</v>
      </c>
      <c r="W1196" t="s">
        <v>28</v>
      </c>
      <c r="X1196">
        <v>22110</v>
      </c>
      <c r="Y1196" s="16">
        <f>VLOOKUP(Tabela1[[#This Row],[SKU]],SKU!A:D,4,0)</f>
        <v>1000</v>
      </c>
      <c r="Z1196" s="18">
        <f>IFERROR((Tabela1[[#This Row],[Média]]-Tabela1[[#This Row],[Meta]])/Tabela1[[#This Row],[Meta]],"")</f>
        <v>6.7999999999999545E-3</v>
      </c>
      <c r="AA1196" s="31">
        <f>Tabela1[[#This Row],[Média]]-Tabela1[[#This Row],[Meta]]</f>
        <v>6.7999999999999545</v>
      </c>
      <c r="AB1196" s="6" t="str">
        <f>VLOOKUP(Tabela1[[#This Row],[SKU]],SKU!A:B,2,0)</f>
        <v>COXA CG BDJ SE</v>
      </c>
      <c r="AC1196" s="6" t="str">
        <f>VLOOKUP(Tabela1[[#This Row],[SKU]],SKU!A:C,3,0)</f>
        <v>PERNA</v>
      </c>
    </row>
    <row r="1197" spans="1:29" x14ac:dyDescent="0.3">
      <c r="A1197" s="2">
        <f>INT(Tabela1[[#This Row],[Data e Hora2]])</f>
        <v>46294</v>
      </c>
      <c r="B1197" s="6" t="str">
        <f>UPPER(TEXT(Tabela1[[#This Row],[Data Corrigida]],"MMM"))</f>
        <v>SET</v>
      </c>
      <c r="C1197" t="s">
        <v>2659</v>
      </c>
      <c r="D1197" s="2" t="s">
        <v>2660</v>
      </c>
      <c r="E1197" s="1" t="s">
        <v>2644</v>
      </c>
      <c r="F1197" t="s">
        <v>24</v>
      </c>
      <c r="G1197" s="2" t="s">
        <v>2639</v>
      </c>
      <c r="H1197" t="s">
        <v>26</v>
      </c>
      <c r="I1197" t="s">
        <v>27</v>
      </c>
      <c r="J1197" s="6">
        <v>40762</v>
      </c>
      <c r="K1197" s="16">
        <v>10120</v>
      </c>
      <c r="L1197" s="16">
        <v>10000</v>
      </c>
      <c r="M1197" s="16">
        <v>9960</v>
      </c>
      <c r="N1197" s="16">
        <v>10020</v>
      </c>
      <c r="O1197" s="16">
        <v>9970</v>
      </c>
      <c r="P1197" s="16">
        <v>10005</v>
      </c>
      <c r="Q1197" s="16">
        <v>10020</v>
      </c>
      <c r="R1197" s="16">
        <v>10105</v>
      </c>
      <c r="S1197" s="16">
        <v>10065</v>
      </c>
      <c r="T1197" s="16">
        <v>9985</v>
      </c>
      <c r="U1197" s="15">
        <v>10025</v>
      </c>
      <c r="V1197" t="s">
        <v>19</v>
      </c>
      <c r="W1197" t="s">
        <v>28</v>
      </c>
      <c r="X1197">
        <v>22451</v>
      </c>
      <c r="Y1197" s="16">
        <f>VLOOKUP(Tabela1[[#This Row],[SKU]],SKU!A:D,4,0)</f>
        <v>10000</v>
      </c>
      <c r="Z1197" s="18">
        <f>IFERROR((Tabela1[[#This Row],[Média]]-Tabela1[[#This Row],[Meta]])/Tabela1[[#This Row],[Meta]],"")</f>
        <v>2.5000000000000001E-3</v>
      </c>
      <c r="AA1197" s="31">
        <f>Tabela1[[#This Row],[Média]]-Tabela1[[#This Row],[Meta]]</f>
        <v>25</v>
      </c>
      <c r="AB1197" s="6" t="str">
        <f>VLOOKUP(Tabela1[[#This Row],[SKU]],SKU!A:B,2,0)</f>
        <v>COXA SBCX LQ FG LP</v>
      </c>
      <c r="AC1197" s="6" t="str">
        <f>VLOOKUP(Tabela1[[#This Row],[SKU]],SKU!A:C,3,0)</f>
        <v>PERNA</v>
      </c>
    </row>
    <row r="1198" spans="1:29" x14ac:dyDescent="0.3">
      <c r="A1198" s="2">
        <f>INT(Tabela1[[#This Row],[Data e Hora2]])</f>
        <v>46294</v>
      </c>
      <c r="B1198" s="6" t="str">
        <f>UPPER(TEXT(Tabela1[[#This Row],[Data Corrigida]],"MMM"))</f>
        <v>SET</v>
      </c>
      <c r="C1198" t="s">
        <v>2661</v>
      </c>
      <c r="D1198" s="2" t="s">
        <v>2662</v>
      </c>
      <c r="E1198" s="1" t="s">
        <v>2663</v>
      </c>
      <c r="F1198" t="s">
        <v>24</v>
      </c>
      <c r="G1198" s="2" t="s">
        <v>2639</v>
      </c>
      <c r="H1198" t="s">
        <v>26</v>
      </c>
      <c r="I1198" t="s">
        <v>27</v>
      </c>
      <c r="J1198" s="6">
        <v>42820</v>
      </c>
      <c r="K1198" s="16">
        <v>2067</v>
      </c>
      <c r="L1198" s="16">
        <v>2005</v>
      </c>
      <c r="M1198" s="16">
        <v>2034</v>
      </c>
      <c r="N1198" s="16">
        <v>2066</v>
      </c>
      <c r="O1198" s="16">
        <v>2038</v>
      </c>
      <c r="P1198" s="16">
        <v>2009</v>
      </c>
      <c r="Q1198" s="16">
        <v>1997</v>
      </c>
      <c r="R1198" s="16">
        <v>2058</v>
      </c>
      <c r="S1198" s="16">
        <v>2033</v>
      </c>
      <c r="T1198" s="16">
        <v>2016</v>
      </c>
      <c r="U1198" s="15">
        <v>2032.3</v>
      </c>
      <c r="V1198" t="s">
        <v>19</v>
      </c>
      <c r="W1198" t="s">
        <v>28</v>
      </c>
      <c r="X1198">
        <v>25011</v>
      </c>
      <c r="Y1198" s="16">
        <f>VLOOKUP(Tabela1[[#This Row],[SKU]],SKU!A:D,4,0)</f>
        <v>2000</v>
      </c>
      <c r="Z1198" s="18">
        <f>IFERROR((Tabela1[[#This Row],[Média]]-Tabela1[[#This Row],[Meta]])/Tabela1[[#This Row],[Meta]],"")</f>
        <v>1.6149999999999977E-2</v>
      </c>
      <c r="AA1198" s="31">
        <f>Tabela1[[#This Row],[Média]]-Tabela1[[#This Row],[Meta]]</f>
        <v>32.299999999999955</v>
      </c>
      <c r="AB1198" s="6" t="str">
        <f>VLOOKUP(Tabela1[[#This Row],[SKU]],SKU!A:B,2,0)</f>
        <v>COXA SBCX S/O FG 200-220g PB</v>
      </c>
      <c r="AC1198" s="6" t="str">
        <f>VLOOKUP(Tabela1[[#This Row],[SKU]],SKU!A:C,3,0)</f>
        <v>PERNA</v>
      </c>
    </row>
    <row r="1199" spans="1:29" x14ac:dyDescent="0.3">
      <c r="A1199" s="2">
        <f>INT(Tabela1[[#This Row],[Data e Hora2]])</f>
        <v>46294</v>
      </c>
      <c r="B1199" s="6" t="str">
        <f>UPPER(TEXT(Tabela1[[#This Row],[Data Corrigida]],"MMM"))</f>
        <v>SET</v>
      </c>
      <c r="C1199" t="s">
        <v>2664</v>
      </c>
      <c r="D1199" s="2" t="s">
        <v>2665</v>
      </c>
      <c r="E1199" s="1" t="s">
        <v>2663</v>
      </c>
      <c r="F1199" t="s">
        <v>24</v>
      </c>
      <c r="G1199" s="2" t="s">
        <v>2639</v>
      </c>
      <c r="H1199" t="s">
        <v>26</v>
      </c>
      <c r="I1199" t="s">
        <v>27</v>
      </c>
      <c r="J1199" s="6">
        <v>42838</v>
      </c>
      <c r="K1199" s="16">
        <v>2020</v>
      </c>
      <c r="L1199" s="16">
        <v>2038</v>
      </c>
      <c r="M1199" s="16">
        <v>2270</v>
      </c>
      <c r="N1199" s="16">
        <v>2034</v>
      </c>
      <c r="O1199" s="16">
        <v>2011</v>
      </c>
      <c r="P1199" s="16">
        <v>2017</v>
      </c>
      <c r="Q1199" s="16">
        <v>2019</v>
      </c>
      <c r="R1199" s="16">
        <v>2017</v>
      </c>
      <c r="S1199" s="16">
        <v>2041</v>
      </c>
      <c r="T1199" s="16">
        <v>2033</v>
      </c>
      <c r="U1199" s="15">
        <v>2050</v>
      </c>
      <c r="V1199" t="s">
        <v>19</v>
      </c>
      <c r="W1199" t="s">
        <v>19</v>
      </c>
      <c r="X1199">
        <v>25357</v>
      </c>
      <c r="Y1199" s="16">
        <f>VLOOKUP(Tabela1[[#This Row],[SKU]],SKU!A:D,4,0)</f>
        <v>2000</v>
      </c>
      <c r="Z1199" s="18">
        <f>IFERROR((Tabela1[[#This Row],[Média]]-Tabela1[[#This Row],[Meta]])/Tabela1[[#This Row],[Meta]],"")</f>
        <v>2.5000000000000001E-2</v>
      </c>
      <c r="AA1199" s="31">
        <f>Tabela1[[#This Row],[Média]]-Tabela1[[#This Row],[Meta]]</f>
        <v>50</v>
      </c>
      <c r="AB1199" s="6" t="str">
        <f>VLOOKUP(Tabela1[[#This Row],[SKU]],SKU!A:B,2,0)</f>
        <v>COXA SBCX S/O FG 220-240g PB</v>
      </c>
      <c r="AC1199" s="6" t="str">
        <f>VLOOKUP(Tabela1[[#This Row],[SKU]],SKU!A:C,3,0)</f>
        <v>PERNA</v>
      </c>
    </row>
    <row r="1200" spans="1:29" x14ac:dyDescent="0.3">
      <c r="A1200" s="2">
        <f>INT(Tabela1[[#This Row],[Data e Hora2]])</f>
        <v>46294</v>
      </c>
      <c r="B1200" s="6" t="str">
        <f>UPPER(TEXT(Tabela1[[#This Row],[Data Corrigida]],"MMM"))</f>
        <v>SET</v>
      </c>
      <c r="C1200" t="s">
        <v>2666</v>
      </c>
      <c r="D1200" s="2" t="s">
        <v>2667</v>
      </c>
      <c r="E1200" s="1" t="s">
        <v>2663</v>
      </c>
      <c r="F1200" t="s">
        <v>24</v>
      </c>
      <c r="G1200" s="2" t="s">
        <v>2639</v>
      </c>
      <c r="H1200" t="s">
        <v>26</v>
      </c>
      <c r="I1200" t="s">
        <v>27</v>
      </c>
      <c r="J1200" s="6">
        <v>50580</v>
      </c>
      <c r="K1200" s="16">
        <v>2043</v>
      </c>
      <c r="L1200" s="16">
        <v>2006</v>
      </c>
      <c r="M1200" s="16">
        <v>2012</v>
      </c>
      <c r="N1200" s="16">
        <v>2012</v>
      </c>
      <c r="O1200" s="16">
        <v>2035</v>
      </c>
      <c r="P1200" s="16">
        <v>2023</v>
      </c>
      <c r="Q1200" s="16">
        <v>2011</v>
      </c>
      <c r="R1200" s="16">
        <v>2034</v>
      </c>
      <c r="S1200" s="16">
        <v>2017</v>
      </c>
      <c r="T1200" s="16">
        <v>2063</v>
      </c>
      <c r="U1200" s="15">
        <v>2025.6</v>
      </c>
      <c r="V1200" t="s">
        <v>19</v>
      </c>
      <c r="W1200" t="s">
        <v>28</v>
      </c>
      <c r="X1200">
        <v>25888</v>
      </c>
      <c r="Y1200" s="16">
        <f>VLOOKUP(Tabela1[[#This Row],[SKU]],SKU!A:D,4,0)</f>
        <v>2000</v>
      </c>
      <c r="Z1200" s="18">
        <f>IFERROR((Tabela1[[#This Row],[Média]]-Tabela1[[#This Row],[Meta]])/Tabela1[[#This Row],[Meta]],"")</f>
        <v>1.2799999999999954E-2</v>
      </c>
      <c r="AA1200" s="31">
        <f>Tabela1[[#This Row],[Média]]-Tabela1[[#This Row],[Meta]]</f>
        <v>25.599999999999909</v>
      </c>
      <c r="AB1200" s="6" t="str">
        <f>VLOOKUP(Tabela1[[#This Row],[SKU]],SKU!A:B,2,0)</f>
        <v>COXA SBCX S/O FG 200g UP PB</v>
      </c>
      <c r="AC1200" s="6" t="str">
        <f>VLOOKUP(Tabela1[[#This Row],[SKU]],SKU!A:C,3,0)</f>
        <v>PERNA</v>
      </c>
    </row>
    <row r="1201" spans="1:29" x14ac:dyDescent="0.3">
      <c r="A1201" s="2">
        <f>INT(Tabela1[[#This Row],[Data e Hora2]])</f>
        <v>46294</v>
      </c>
      <c r="B1201" s="6" t="str">
        <f>UPPER(TEXT(Tabela1[[#This Row],[Data Corrigida]],"MMM"))</f>
        <v>SET</v>
      </c>
      <c r="C1201" t="s">
        <v>2668</v>
      </c>
      <c r="D1201" s="2" t="s">
        <v>2669</v>
      </c>
      <c r="E1201" s="1" t="s">
        <v>2663</v>
      </c>
      <c r="F1201" t="s">
        <v>24</v>
      </c>
      <c r="G1201" s="2" t="s">
        <v>2639</v>
      </c>
      <c r="H1201" t="s">
        <v>26</v>
      </c>
      <c r="I1201" t="s">
        <v>27</v>
      </c>
      <c r="J1201" s="6">
        <v>42846</v>
      </c>
      <c r="K1201" s="16">
        <v>2036</v>
      </c>
      <c r="L1201" s="16">
        <v>2024</v>
      </c>
      <c r="M1201" s="16">
        <v>1998</v>
      </c>
      <c r="N1201" s="16">
        <v>2015</v>
      </c>
      <c r="O1201" s="16">
        <v>2015</v>
      </c>
      <c r="P1201" s="16">
        <v>2018</v>
      </c>
      <c r="Q1201" s="16">
        <v>2000</v>
      </c>
      <c r="R1201" s="16">
        <v>2016</v>
      </c>
      <c r="S1201" s="16">
        <v>2010</v>
      </c>
      <c r="T1201" s="16">
        <v>1999</v>
      </c>
      <c r="U1201" s="15">
        <v>2013.1</v>
      </c>
      <c r="V1201" t="s">
        <v>19</v>
      </c>
      <c r="W1201" t="s">
        <v>28</v>
      </c>
      <c r="X1201">
        <v>217</v>
      </c>
      <c r="Y1201" s="16">
        <f>VLOOKUP(Tabela1[[#This Row],[SKU]],SKU!A:D,4,0)</f>
        <v>2000</v>
      </c>
      <c r="Z1201" s="18">
        <f>IFERROR((Tabela1[[#This Row],[Média]]-Tabela1[[#This Row],[Meta]])/Tabela1[[#This Row],[Meta]],"")</f>
        <v>6.5499999999999543E-3</v>
      </c>
      <c r="AA1201" s="31">
        <f>Tabela1[[#This Row],[Média]]-Tabela1[[#This Row],[Meta]]</f>
        <v>13.099999999999909</v>
      </c>
      <c r="AB1201" s="6" t="str">
        <f>VLOOKUP(Tabela1[[#This Row],[SKU]],SKU!A:B,2,0)</f>
        <v>COXA SBCX S/O FG 240-260g PB</v>
      </c>
      <c r="AC1201" s="6" t="str">
        <f>VLOOKUP(Tabela1[[#This Row],[SKU]],SKU!A:C,3,0)</f>
        <v>PERNA</v>
      </c>
    </row>
    <row r="1202" spans="1:29" x14ac:dyDescent="0.3">
      <c r="A1202" s="2">
        <f>INT(Tabela1[[#This Row],[Data e Hora2]])</f>
        <v>46294</v>
      </c>
      <c r="B1202" s="6" t="str">
        <f>UPPER(TEXT(Tabela1[[#This Row],[Data Corrigida]],"MMM"))</f>
        <v>SET</v>
      </c>
      <c r="C1202" t="s">
        <v>2670</v>
      </c>
      <c r="D1202" s="2" t="s">
        <v>2671</v>
      </c>
      <c r="E1202" s="1" t="s">
        <v>2663</v>
      </c>
      <c r="F1202" t="s">
        <v>24</v>
      </c>
      <c r="G1202" s="2" t="s">
        <v>2639</v>
      </c>
      <c r="H1202" t="s">
        <v>26</v>
      </c>
      <c r="I1202" t="s">
        <v>27</v>
      </c>
      <c r="J1202" s="6">
        <v>42854</v>
      </c>
      <c r="K1202" s="16">
        <v>2103</v>
      </c>
      <c r="L1202" s="16">
        <v>2099</v>
      </c>
      <c r="M1202" s="16">
        <v>2103</v>
      </c>
      <c r="N1202" s="16">
        <v>2105</v>
      </c>
      <c r="O1202" s="16">
        <v>2091</v>
      </c>
      <c r="P1202" s="16">
        <v>2098</v>
      </c>
      <c r="Q1202" s="16">
        <v>2015</v>
      </c>
      <c r="R1202" s="16">
        <v>2099</v>
      </c>
      <c r="S1202" s="16">
        <v>2083</v>
      </c>
      <c r="T1202" s="16">
        <v>2095</v>
      </c>
      <c r="U1202" s="15">
        <v>2089.1</v>
      </c>
      <c r="V1202" t="s">
        <v>19</v>
      </c>
      <c r="W1202" t="s">
        <v>19</v>
      </c>
      <c r="X1202">
        <v>26377</v>
      </c>
      <c r="Y1202" s="16">
        <f>VLOOKUP(Tabela1[[#This Row],[SKU]],SKU!A:D,4,0)</f>
        <v>2080</v>
      </c>
      <c r="Z1202" s="18">
        <f>IFERROR((Tabela1[[#This Row],[Média]]-Tabela1[[#This Row],[Meta]])/Tabela1[[#This Row],[Meta]],"")</f>
        <v>4.3749999999999562E-3</v>
      </c>
      <c r="AA1202" s="31">
        <f>Tabela1[[#This Row],[Média]]-Tabela1[[#This Row],[Meta]]</f>
        <v>9.0999999999999091</v>
      </c>
      <c r="AB1202" s="6" t="str">
        <f>VLOOKUP(Tabela1[[#This Row],[SKU]],SKU!A:B,2,0)</f>
        <v>COXA SBCX S/O FG 260-280g PB</v>
      </c>
      <c r="AC1202" s="6" t="str">
        <f>VLOOKUP(Tabela1[[#This Row],[SKU]],SKU!A:C,3,0)</f>
        <v>PERNA</v>
      </c>
    </row>
    <row r="1203" spans="1:29" x14ac:dyDescent="0.3">
      <c r="A1203" s="2">
        <f>INT(Tabela1[[#This Row],[Data e Hora2]])</f>
        <v>46294</v>
      </c>
      <c r="B1203" s="6" t="str">
        <f>UPPER(TEXT(Tabela1[[#This Row],[Data Corrigida]],"MMM"))</f>
        <v>SET</v>
      </c>
      <c r="C1203" t="s">
        <v>2672</v>
      </c>
      <c r="D1203" s="2" t="s">
        <v>2673</v>
      </c>
      <c r="E1203" s="1" t="s">
        <v>2663</v>
      </c>
      <c r="F1203" t="s">
        <v>24</v>
      </c>
      <c r="G1203" s="2" t="s">
        <v>2639</v>
      </c>
      <c r="H1203" t="s">
        <v>26</v>
      </c>
      <c r="I1203" t="s">
        <v>27</v>
      </c>
      <c r="J1203" s="6">
        <v>42862</v>
      </c>
      <c r="K1203" s="16">
        <v>2003</v>
      </c>
      <c r="L1203" s="16">
        <v>2003</v>
      </c>
      <c r="M1203" s="16">
        <v>2026</v>
      </c>
      <c r="N1203" s="16">
        <v>2013</v>
      </c>
      <c r="O1203" s="16">
        <v>2006</v>
      </c>
      <c r="P1203" s="16">
        <v>2030</v>
      </c>
      <c r="Q1203" s="16">
        <v>2005</v>
      </c>
      <c r="R1203" s="16">
        <v>2006</v>
      </c>
      <c r="S1203" s="16">
        <v>2023</v>
      </c>
      <c r="T1203" s="16">
        <v>2021</v>
      </c>
      <c r="U1203" s="15">
        <v>2013.6</v>
      </c>
      <c r="V1203" t="s">
        <v>19</v>
      </c>
      <c r="W1203" t="s">
        <v>28</v>
      </c>
      <c r="X1203">
        <v>27781</v>
      </c>
      <c r="Y1203" s="16">
        <f>VLOOKUP(Tabela1[[#This Row],[SKU]],SKU!A:D,4,0)</f>
        <v>2000</v>
      </c>
      <c r="Z1203" s="18">
        <f>IFERROR((Tabela1[[#This Row],[Média]]-Tabela1[[#This Row],[Meta]])/Tabela1[[#This Row],[Meta]],"")</f>
        <v>6.7999999999999545E-3</v>
      </c>
      <c r="AA1203" s="31">
        <f>Tabela1[[#This Row],[Média]]-Tabela1[[#This Row],[Meta]]</f>
        <v>13.599999999999909</v>
      </c>
      <c r="AB1203" s="6" t="str">
        <f>VLOOKUP(Tabela1[[#This Row],[SKU]],SKU!A:B,2,0)</f>
        <v>COXA SBCX S/O FG 280-300g PB</v>
      </c>
      <c r="AC1203" s="6" t="str">
        <f>VLOOKUP(Tabela1[[#This Row],[SKU]],SKU!A:C,3,0)</f>
        <v>PERNA</v>
      </c>
    </row>
    <row r="1204" spans="1:29" x14ac:dyDescent="0.3">
      <c r="A1204" s="2">
        <f>INT(Tabela1[[#This Row],[Data e Hora2]])</f>
        <v>46294</v>
      </c>
      <c r="B1204" s="6" t="str">
        <f>UPPER(TEXT(Tabela1[[#This Row],[Data Corrigida]],"MMM"))</f>
        <v>SET</v>
      </c>
      <c r="C1204" t="s">
        <v>2674</v>
      </c>
      <c r="D1204" s="2" t="s">
        <v>2675</v>
      </c>
      <c r="E1204" s="1" t="s">
        <v>2663</v>
      </c>
      <c r="F1204" t="s">
        <v>24</v>
      </c>
      <c r="G1204" s="2" t="s">
        <v>2639</v>
      </c>
      <c r="H1204" t="s">
        <v>26</v>
      </c>
      <c r="I1204" t="s">
        <v>27</v>
      </c>
      <c r="J1204" s="6">
        <v>15105</v>
      </c>
      <c r="K1204" s="16">
        <v>1043</v>
      </c>
      <c r="L1204" s="16">
        <v>1027</v>
      </c>
      <c r="M1204" s="16">
        <v>1018</v>
      </c>
      <c r="N1204" s="16">
        <v>1033</v>
      </c>
      <c r="O1204" s="16">
        <v>1006</v>
      </c>
      <c r="P1204" s="16">
        <v>988</v>
      </c>
      <c r="Q1204" s="16">
        <v>1003</v>
      </c>
      <c r="R1204" s="16">
        <v>1034</v>
      </c>
      <c r="S1204" s="16">
        <v>1029</v>
      </c>
      <c r="T1204" s="16">
        <v>1002</v>
      </c>
      <c r="U1204" s="15">
        <v>1018.3</v>
      </c>
      <c r="V1204" t="s">
        <v>19</v>
      </c>
      <c r="W1204" t="s">
        <v>28</v>
      </c>
      <c r="X1204">
        <v>28006</v>
      </c>
      <c r="Y1204" s="16">
        <f>VLOOKUP(Tabela1[[#This Row],[SKU]],SKU!A:D,4,0)</f>
        <v>1000</v>
      </c>
      <c r="Z1204" s="18">
        <f>IFERROR((Tabela1[[#This Row],[Média]]-Tabela1[[#This Row],[Meta]])/Tabela1[[#This Row],[Meta]],"")</f>
        <v>1.8299999999999955E-2</v>
      </c>
      <c r="AA1204" s="31">
        <f>Tabela1[[#This Row],[Média]]-Tabela1[[#This Row],[Meta]]</f>
        <v>18.299999999999955</v>
      </c>
      <c r="AB1204" s="6" t="str">
        <f>VLOOKUP(Tabela1[[#This Row],[SKU]],SKU!A:B,2,0)</f>
        <v>FILE PEITO MET CG BDJ SE</v>
      </c>
      <c r="AC1204" s="6" t="str">
        <f>VLOOKUP(Tabela1[[#This Row],[SKU]],SKU!A:C,3,0)</f>
        <v>PEITO</v>
      </c>
    </row>
    <row r="1205" spans="1:29" x14ac:dyDescent="0.3">
      <c r="A1205" s="2">
        <f>INT(Tabela1[[#This Row],[Data e Hora2]])</f>
        <v>46294</v>
      </c>
      <c r="B1205" s="6" t="str">
        <f>UPPER(TEXT(Tabela1[[#This Row],[Data Corrigida]],"MMM"))</f>
        <v>SET</v>
      </c>
      <c r="C1205" t="s">
        <v>2676</v>
      </c>
      <c r="D1205" s="2" t="s">
        <v>2677</v>
      </c>
      <c r="E1205" s="1" t="s">
        <v>2678</v>
      </c>
      <c r="F1205" t="s">
        <v>24</v>
      </c>
      <c r="G1205" s="2" t="s">
        <v>2639</v>
      </c>
      <c r="H1205" t="s">
        <v>26</v>
      </c>
      <c r="I1205" t="s">
        <v>57</v>
      </c>
      <c r="J1205" s="6">
        <v>50580</v>
      </c>
      <c r="K1205" s="16">
        <v>2025</v>
      </c>
      <c r="L1205" s="16">
        <v>2012</v>
      </c>
      <c r="M1205" s="16">
        <v>2048</v>
      </c>
      <c r="N1205" s="16">
        <v>2021</v>
      </c>
      <c r="O1205" s="16">
        <v>2030</v>
      </c>
      <c r="P1205" s="16">
        <v>2011</v>
      </c>
      <c r="Q1205" s="16">
        <v>2012</v>
      </c>
      <c r="R1205" s="16">
        <v>2013</v>
      </c>
      <c r="S1205" s="16">
        <v>2006</v>
      </c>
      <c r="T1205" s="16">
        <v>1998</v>
      </c>
      <c r="U1205" s="15">
        <v>2017.6</v>
      </c>
      <c r="V1205" t="s">
        <v>19</v>
      </c>
      <c r="W1205" t="s">
        <v>19</v>
      </c>
      <c r="X1205">
        <v>134</v>
      </c>
      <c r="Y1205" s="16">
        <f>VLOOKUP(Tabela1[[#This Row],[SKU]],SKU!A:D,4,0)</f>
        <v>2000</v>
      </c>
      <c r="Z1205" s="18">
        <f>IFERROR((Tabela1[[#This Row],[Média]]-Tabela1[[#This Row],[Meta]])/Tabela1[[#This Row],[Meta]],"")</f>
        <v>8.7999999999999537E-3</v>
      </c>
      <c r="AA1205" s="31">
        <f>Tabela1[[#This Row],[Média]]-Tabela1[[#This Row],[Meta]]</f>
        <v>17.599999999999909</v>
      </c>
      <c r="AB1205" s="6" t="str">
        <f>VLOOKUP(Tabela1[[#This Row],[SKU]],SKU!A:B,2,0)</f>
        <v>COXA SBCX S/O FG 200g UP PB</v>
      </c>
      <c r="AC1205" s="6" t="str">
        <f>VLOOKUP(Tabela1[[#This Row],[SKU]],SKU!A:C,3,0)</f>
        <v>PERNA</v>
      </c>
    </row>
    <row r="1206" spans="1:29" x14ac:dyDescent="0.3">
      <c r="A1206" s="2">
        <f>INT(Tabela1[[#This Row],[Data e Hora2]])</f>
        <v>46294</v>
      </c>
      <c r="B1206" s="6" t="str">
        <f>UPPER(TEXT(Tabela1[[#This Row],[Data Corrigida]],"MMM"))</f>
        <v>SET</v>
      </c>
      <c r="C1206" t="s">
        <v>2679</v>
      </c>
      <c r="D1206" s="2" t="s">
        <v>2680</v>
      </c>
      <c r="E1206" s="1" t="s">
        <v>2678</v>
      </c>
      <c r="F1206" t="s">
        <v>24</v>
      </c>
      <c r="G1206" s="2" t="s">
        <v>2639</v>
      </c>
      <c r="H1206" t="s">
        <v>26</v>
      </c>
      <c r="I1206" t="s">
        <v>57</v>
      </c>
      <c r="J1206" s="6">
        <v>42854</v>
      </c>
      <c r="K1206" s="16">
        <v>2111</v>
      </c>
      <c r="L1206" s="16">
        <v>2019</v>
      </c>
      <c r="M1206" s="16">
        <v>2090</v>
      </c>
      <c r="N1206" s="16">
        <v>2086</v>
      </c>
      <c r="O1206" s="16">
        <v>2088</v>
      </c>
      <c r="P1206" s="16">
        <v>2093</v>
      </c>
      <c r="Q1206" s="16">
        <v>2115</v>
      </c>
      <c r="R1206" s="16">
        <v>2082</v>
      </c>
      <c r="S1206" s="16">
        <v>2017</v>
      </c>
      <c r="T1206" s="16">
        <v>2107</v>
      </c>
      <c r="U1206" s="15">
        <v>2080.8000000000002</v>
      </c>
      <c r="V1206" t="s">
        <v>19</v>
      </c>
      <c r="W1206" t="s">
        <v>19</v>
      </c>
      <c r="X1206">
        <v>101</v>
      </c>
      <c r="Y1206" s="16">
        <f>VLOOKUP(Tabela1[[#This Row],[SKU]],SKU!A:D,4,0)</f>
        <v>2080</v>
      </c>
      <c r="Z1206" s="18">
        <f>IFERROR((Tabela1[[#This Row],[Média]]-Tabela1[[#This Row],[Meta]])/Tabela1[[#This Row],[Meta]],"")</f>
        <v>3.8461538461547206E-4</v>
      </c>
      <c r="AA1206" s="31">
        <f>Tabela1[[#This Row],[Média]]-Tabela1[[#This Row],[Meta]]</f>
        <v>0.8000000000001819</v>
      </c>
      <c r="AB1206" s="6" t="str">
        <f>VLOOKUP(Tabela1[[#This Row],[SKU]],SKU!A:B,2,0)</f>
        <v>COXA SBCX S/O FG 260-280g PB</v>
      </c>
      <c r="AC1206" s="6" t="str">
        <f>VLOOKUP(Tabela1[[#This Row],[SKU]],SKU!A:C,3,0)</f>
        <v>PERNA</v>
      </c>
    </row>
    <row r="1207" spans="1:29" x14ac:dyDescent="0.3">
      <c r="A1207" s="2">
        <f>INT(Tabela1[[#This Row],[Data e Hora2]])</f>
        <v>46294</v>
      </c>
      <c r="B1207" s="6" t="str">
        <f>UPPER(TEXT(Tabela1[[#This Row],[Data Corrigida]],"MMM"))</f>
        <v>SET</v>
      </c>
      <c r="C1207" t="s">
        <v>2681</v>
      </c>
      <c r="D1207" s="2" t="s">
        <v>2682</v>
      </c>
      <c r="E1207" s="1" t="s">
        <v>2678</v>
      </c>
      <c r="F1207" t="s">
        <v>24</v>
      </c>
      <c r="G1207" s="2" t="s">
        <v>2639</v>
      </c>
      <c r="H1207" t="s">
        <v>26</v>
      </c>
      <c r="I1207" t="s">
        <v>57</v>
      </c>
      <c r="J1207" s="6">
        <v>42862</v>
      </c>
      <c r="K1207" s="16">
        <v>2003</v>
      </c>
      <c r="L1207" s="16">
        <v>2019</v>
      </c>
      <c r="M1207" s="16">
        <v>2018</v>
      </c>
      <c r="N1207" s="16">
        <v>2026</v>
      </c>
      <c r="O1207" s="16">
        <v>2000</v>
      </c>
      <c r="P1207" s="16">
        <v>1993</v>
      </c>
      <c r="Q1207" s="16">
        <v>2007</v>
      </c>
      <c r="R1207" s="16">
        <v>2029</v>
      </c>
      <c r="S1207" s="16">
        <v>2008</v>
      </c>
      <c r="T1207" s="16">
        <v>2028</v>
      </c>
      <c r="U1207" s="15">
        <v>2013.1</v>
      </c>
      <c r="V1207" t="s">
        <v>19</v>
      </c>
      <c r="W1207" t="s">
        <v>19</v>
      </c>
      <c r="X1207">
        <v>246</v>
      </c>
      <c r="Y1207" s="16">
        <f>VLOOKUP(Tabela1[[#This Row],[SKU]],SKU!A:D,4,0)</f>
        <v>2000</v>
      </c>
      <c r="Z1207" s="18">
        <f>IFERROR((Tabela1[[#This Row],[Média]]-Tabela1[[#This Row],[Meta]])/Tabela1[[#This Row],[Meta]],"")</f>
        <v>6.5499999999999543E-3</v>
      </c>
      <c r="AA1207" s="31">
        <f>Tabela1[[#This Row],[Média]]-Tabela1[[#This Row],[Meta]]</f>
        <v>13.099999999999909</v>
      </c>
      <c r="AB1207" s="6" t="str">
        <f>VLOOKUP(Tabela1[[#This Row],[SKU]],SKU!A:B,2,0)</f>
        <v>COXA SBCX S/O FG 280-300g PB</v>
      </c>
      <c r="AC1207" s="6" t="str">
        <f>VLOOKUP(Tabela1[[#This Row],[SKU]],SKU!A:C,3,0)</f>
        <v>PERNA</v>
      </c>
    </row>
    <row r="1208" spans="1:29" x14ac:dyDescent="0.3">
      <c r="A1208" s="2">
        <f>INT(Tabela1[[#This Row],[Data e Hora2]])</f>
        <v>46294</v>
      </c>
      <c r="B1208" s="6" t="str">
        <f>UPPER(TEXT(Tabela1[[#This Row],[Data Corrigida]],"MMM"))</f>
        <v>SET</v>
      </c>
      <c r="C1208" t="s">
        <v>2683</v>
      </c>
      <c r="D1208" s="2" t="s">
        <v>2684</v>
      </c>
      <c r="E1208" s="1" t="s">
        <v>2685</v>
      </c>
      <c r="F1208" t="s">
        <v>24</v>
      </c>
      <c r="G1208" s="2" t="s">
        <v>2639</v>
      </c>
      <c r="H1208" t="s">
        <v>26</v>
      </c>
      <c r="I1208" t="s">
        <v>57</v>
      </c>
      <c r="J1208" s="6">
        <v>42846</v>
      </c>
      <c r="K1208" s="16">
        <v>2026</v>
      </c>
      <c r="L1208" s="16">
        <v>1997</v>
      </c>
      <c r="M1208" s="16">
        <v>2007</v>
      </c>
      <c r="N1208" s="16">
        <v>2008</v>
      </c>
      <c r="O1208" s="16">
        <v>1788</v>
      </c>
      <c r="P1208" s="16">
        <v>2008</v>
      </c>
      <c r="Q1208" s="16">
        <v>2010</v>
      </c>
      <c r="R1208" s="16">
        <v>2010</v>
      </c>
      <c r="S1208" s="16">
        <v>2000</v>
      </c>
      <c r="T1208" s="16">
        <v>1995</v>
      </c>
      <c r="U1208" s="15">
        <v>1984.9</v>
      </c>
      <c r="V1208" t="s">
        <v>19</v>
      </c>
      <c r="W1208" t="s">
        <v>28</v>
      </c>
      <c r="X1208">
        <v>288</v>
      </c>
      <c r="Y1208" s="16">
        <f>VLOOKUP(Tabela1[[#This Row],[SKU]],SKU!A:D,4,0)</f>
        <v>2000</v>
      </c>
      <c r="Z1208" s="18">
        <f>IFERROR((Tabela1[[#This Row],[Média]]-Tabela1[[#This Row],[Meta]])/Tabela1[[#This Row],[Meta]],"")</f>
        <v>-7.5499999999999543E-3</v>
      </c>
      <c r="AA1208" s="31">
        <f>Tabela1[[#This Row],[Média]]-Tabela1[[#This Row],[Meta]]</f>
        <v>-15.099999999999909</v>
      </c>
      <c r="AB1208" s="6" t="str">
        <f>VLOOKUP(Tabela1[[#This Row],[SKU]],SKU!A:B,2,0)</f>
        <v>COXA SBCX S/O FG 240-260g PB</v>
      </c>
      <c r="AC1208" s="6" t="str">
        <f>VLOOKUP(Tabela1[[#This Row],[SKU]],SKU!A:C,3,0)</f>
        <v>PERNA</v>
      </c>
    </row>
    <row r="1209" spans="1:29" x14ac:dyDescent="0.3">
      <c r="A1209" s="2">
        <f>INT(Tabela1[[#This Row],[Data e Hora2]])</f>
        <v>46294</v>
      </c>
      <c r="B1209" s="6" t="str">
        <f>UPPER(TEXT(Tabela1[[#This Row],[Data Corrigida]],"MMM"))</f>
        <v>SET</v>
      </c>
      <c r="C1209" t="s">
        <v>2686</v>
      </c>
      <c r="D1209" s="2" t="s">
        <v>2687</v>
      </c>
      <c r="E1209" s="1" t="s">
        <v>2685</v>
      </c>
      <c r="F1209" t="s">
        <v>24</v>
      </c>
      <c r="G1209" s="2" t="s">
        <v>2639</v>
      </c>
      <c r="H1209" t="s">
        <v>26</v>
      </c>
      <c r="I1209" t="s">
        <v>57</v>
      </c>
      <c r="J1209" s="6">
        <v>42838</v>
      </c>
      <c r="K1209" s="16">
        <v>2020</v>
      </c>
      <c r="L1209" s="16">
        <v>2022</v>
      </c>
      <c r="M1209" s="16">
        <v>2027</v>
      </c>
      <c r="N1209" s="16">
        <v>2025</v>
      </c>
      <c r="O1209" s="16">
        <v>2038</v>
      </c>
      <c r="P1209" s="16">
        <v>2044</v>
      </c>
      <c r="Q1209" s="16">
        <v>2020</v>
      </c>
      <c r="R1209" s="16">
        <v>2000</v>
      </c>
      <c r="S1209" s="16">
        <v>2069</v>
      </c>
      <c r="T1209" s="16">
        <v>2013</v>
      </c>
      <c r="U1209" s="15">
        <v>2027.8</v>
      </c>
      <c r="V1209" t="s">
        <v>19</v>
      </c>
      <c r="W1209" t="s">
        <v>28</v>
      </c>
      <c r="X1209">
        <v>515</v>
      </c>
      <c r="Y1209" s="16">
        <f>VLOOKUP(Tabela1[[#This Row],[SKU]],SKU!A:D,4,0)</f>
        <v>2000</v>
      </c>
      <c r="Z1209" s="18">
        <f>IFERROR((Tabela1[[#This Row],[Média]]-Tabela1[[#This Row],[Meta]])/Tabela1[[#This Row],[Meta]],"")</f>
        <v>1.3899999999999977E-2</v>
      </c>
      <c r="AA1209" s="31">
        <f>Tabela1[[#This Row],[Média]]-Tabela1[[#This Row],[Meta]]</f>
        <v>27.799999999999955</v>
      </c>
      <c r="AB1209" s="6" t="str">
        <f>VLOOKUP(Tabela1[[#This Row],[SKU]],SKU!A:B,2,0)</f>
        <v>COXA SBCX S/O FG 220-240g PB</v>
      </c>
      <c r="AC1209" s="6" t="str">
        <f>VLOOKUP(Tabela1[[#This Row],[SKU]],SKU!A:C,3,0)</f>
        <v>PERNA</v>
      </c>
    </row>
    <row r="1210" spans="1:29" x14ac:dyDescent="0.3">
      <c r="A1210" s="2">
        <f>INT(Tabela1[[#This Row],[Data e Hora2]])</f>
        <v>46294</v>
      </c>
      <c r="B1210" s="6" t="str">
        <f>UPPER(TEXT(Tabela1[[#This Row],[Data Corrigida]],"MMM"))</f>
        <v>SET</v>
      </c>
      <c r="C1210" t="s">
        <v>2688</v>
      </c>
      <c r="D1210" s="2" t="s">
        <v>2689</v>
      </c>
      <c r="E1210" s="1" t="s">
        <v>2685</v>
      </c>
      <c r="F1210" t="s">
        <v>24</v>
      </c>
      <c r="G1210" s="2" t="s">
        <v>2639</v>
      </c>
      <c r="H1210" t="s">
        <v>26</v>
      </c>
      <c r="I1210" t="s">
        <v>57</v>
      </c>
      <c r="J1210" s="6">
        <v>42820</v>
      </c>
      <c r="K1210" s="16">
        <v>2044</v>
      </c>
      <c r="L1210" s="16">
        <v>2034</v>
      </c>
      <c r="M1210" s="16">
        <v>2080</v>
      </c>
      <c r="N1210" s="16">
        <v>2081</v>
      </c>
      <c r="O1210" s="16">
        <v>2019</v>
      </c>
      <c r="P1210" s="16">
        <v>2042</v>
      </c>
      <c r="Q1210" s="16">
        <v>2041</v>
      </c>
      <c r="R1210" s="16">
        <v>2015</v>
      </c>
      <c r="S1210" s="16">
        <v>2033</v>
      </c>
      <c r="T1210" s="16">
        <v>2010</v>
      </c>
      <c r="U1210" s="15">
        <v>2039.9</v>
      </c>
      <c r="V1210" t="s">
        <v>19</v>
      </c>
      <c r="W1210" t="s">
        <v>28</v>
      </c>
      <c r="X1210">
        <v>830</v>
      </c>
      <c r="Y1210" s="16">
        <f>VLOOKUP(Tabela1[[#This Row],[SKU]],SKU!A:D,4,0)</f>
        <v>2000</v>
      </c>
      <c r="Z1210" s="18">
        <f>IFERROR((Tabela1[[#This Row],[Média]]-Tabela1[[#This Row],[Meta]])/Tabela1[[#This Row],[Meta]],"")</f>
        <v>1.9950000000000044E-2</v>
      </c>
      <c r="AA1210" s="31">
        <f>Tabela1[[#This Row],[Média]]-Tabela1[[#This Row],[Meta]]</f>
        <v>39.900000000000091</v>
      </c>
      <c r="AB1210" s="6" t="str">
        <f>VLOOKUP(Tabela1[[#This Row],[SKU]],SKU!A:B,2,0)</f>
        <v>COXA SBCX S/O FG 200-220g PB</v>
      </c>
      <c r="AC1210" s="6" t="str">
        <f>VLOOKUP(Tabela1[[#This Row],[SKU]],SKU!A:C,3,0)</f>
        <v>PERNA</v>
      </c>
    </row>
    <row r="1211" spans="1:29" x14ac:dyDescent="0.3">
      <c r="A1211" s="2">
        <f>INT(Tabela1[[#This Row],[Data e Hora2]])</f>
        <v>46294</v>
      </c>
      <c r="B1211" s="6" t="str">
        <f>UPPER(TEXT(Tabela1[[#This Row],[Data Corrigida]],"MMM"))</f>
        <v>SET</v>
      </c>
      <c r="C1211" t="s">
        <v>2690</v>
      </c>
      <c r="D1211" s="2" t="s">
        <v>2691</v>
      </c>
      <c r="E1211" s="1" t="s">
        <v>2685</v>
      </c>
      <c r="F1211" t="s">
        <v>24</v>
      </c>
      <c r="G1211" s="2" t="s">
        <v>2639</v>
      </c>
      <c r="H1211" t="s">
        <v>26</v>
      </c>
      <c r="I1211" t="s">
        <v>57</v>
      </c>
      <c r="J1211" s="6">
        <v>42811</v>
      </c>
      <c r="K1211" s="16">
        <v>2037</v>
      </c>
      <c r="L1211" s="16">
        <v>2055</v>
      </c>
      <c r="M1211" s="16">
        <v>2029</v>
      </c>
      <c r="N1211" s="16">
        <v>2038</v>
      </c>
      <c r="O1211" s="16">
        <v>2036</v>
      </c>
      <c r="P1211" s="16">
        <v>2017</v>
      </c>
      <c r="Q1211" s="16">
        <v>2038</v>
      </c>
      <c r="R1211" s="16">
        <v>2035</v>
      </c>
      <c r="S1211" s="16">
        <v>2041</v>
      </c>
      <c r="T1211" s="16">
        <v>2010</v>
      </c>
      <c r="U1211" s="15">
        <v>2033.6</v>
      </c>
      <c r="V1211" t="s">
        <v>19</v>
      </c>
      <c r="W1211" t="s">
        <v>28</v>
      </c>
      <c r="X1211">
        <v>1029</v>
      </c>
      <c r="Y1211" s="16">
        <f>VLOOKUP(Tabela1[[#This Row],[SKU]],SKU!A:D,4,0)</f>
        <v>2000</v>
      </c>
      <c r="Z1211" s="18">
        <f>IFERROR((Tabela1[[#This Row],[Média]]-Tabela1[[#This Row],[Meta]])/Tabela1[[#This Row],[Meta]],"")</f>
        <v>1.6799999999999954E-2</v>
      </c>
      <c r="AA1211" s="31">
        <f>Tabela1[[#This Row],[Média]]-Tabela1[[#This Row],[Meta]]</f>
        <v>33.599999999999909</v>
      </c>
      <c r="AB1211" s="6" t="str">
        <f>VLOOKUP(Tabela1[[#This Row],[SKU]],SKU!A:B,2,0)</f>
        <v>COXA SBCX S/O FG 180-200g PB</v>
      </c>
      <c r="AC1211" s="6" t="str">
        <f>VLOOKUP(Tabela1[[#This Row],[SKU]],SKU!A:C,3,0)</f>
        <v>PERNA</v>
      </c>
    </row>
    <row r="1212" spans="1:29" x14ac:dyDescent="0.3">
      <c r="A1212" s="2">
        <f>INT(Tabela1[[#This Row],[Data e Hora2]])</f>
        <v>46294</v>
      </c>
      <c r="B1212" s="6" t="str">
        <f>UPPER(TEXT(Tabela1[[#This Row],[Data Corrigida]],"MMM"))</f>
        <v>SET</v>
      </c>
      <c r="C1212" t="s">
        <v>2692</v>
      </c>
      <c r="D1212" s="2" t="s">
        <v>2693</v>
      </c>
      <c r="E1212" s="1" t="s">
        <v>2685</v>
      </c>
      <c r="F1212" t="s">
        <v>24</v>
      </c>
      <c r="G1212" s="2" t="s">
        <v>2639</v>
      </c>
      <c r="H1212" t="s">
        <v>26</v>
      </c>
      <c r="I1212" t="s">
        <v>57</v>
      </c>
      <c r="J1212" s="6">
        <v>15229</v>
      </c>
      <c r="K1212" s="16">
        <v>1017</v>
      </c>
      <c r="L1212" s="16">
        <v>1004</v>
      </c>
      <c r="M1212" s="16">
        <v>1012</v>
      </c>
      <c r="N1212" s="16">
        <v>1016</v>
      </c>
      <c r="O1212" s="16">
        <v>1010</v>
      </c>
      <c r="P1212" s="16">
        <v>1017</v>
      </c>
      <c r="Q1212" s="16">
        <v>1015</v>
      </c>
      <c r="R1212" s="16">
        <v>1008</v>
      </c>
      <c r="S1212" s="16">
        <v>1016</v>
      </c>
      <c r="T1212" s="16">
        <v>1018</v>
      </c>
      <c r="U1212" s="15">
        <v>1013.3</v>
      </c>
      <c r="V1212" t="s">
        <v>19</v>
      </c>
      <c r="W1212" t="s">
        <v>28</v>
      </c>
      <c r="X1212">
        <v>1304</v>
      </c>
      <c r="Y1212" s="16">
        <f>VLOOKUP(Tabela1[[#This Row],[SKU]],SKU!A:D,4,0)</f>
        <v>1000</v>
      </c>
      <c r="Z1212" s="18">
        <f>IFERROR((Tabela1[[#This Row],[Média]]-Tabela1[[#This Row],[Meta]])/Tabela1[[#This Row],[Meta]],"")</f>
        <v>1.3299999999999954E-2</v>
      </c>
      <c r="AA1212" s="31">
        <f>Tabela1[[#This Row],[Média]]-Tabela1[[#This Row],[Meta]]</f>
        <v>13.299999999999955</v>
      </c>
      <c r="AB1212" s="6" t="str">
        <f>VLOOKUP(Tabela1[[#This Row],[SKU]],SKU!A:B,2,0)</f>
        <v>COXA CG BDJ SE</v>
      </c>
      <c r="AC1212" s="6" t="str">
        <f>VLOOKUP(Tabela1[[#This Row],[SKU]],SKU!A:C,3,0)</f>
        <v>PERNA</v>
      </c>
    </row>
    <row r="1213" spans="1:29" x14ac:dyDescent="0.3">
      <c r="A1213" s="2">
        <f>INT(Tabela1[[#This Row],[Data e Hora2]])</f>
        <v>46294</v>
      </c>
      <c r="B1213" s="6" t="str">
        <f>UPPER(TEXT(Tabela1[[#This Row],[Data Corrigida]],"MMM"))</f>
        <v>SET</v>
      </c>
      <c r="C1213" t="s">
        <v>2694</v>
      </c>
      <c r="D1213" s="2" t="s">
        <v>2695</v>
      </c>
      <c r="E1213" s="1" t="s">
        <v>2685</v>
      </c>
      <c r="F1213" t="s">
        <v>24</v>
      </c>
      <c r="G1213" s="2" t="s">
        <v>2639</v>
      </c>
      <c r="H1213" t="s">
        <v>26</v>
      </c>
      <c r="I1213" t="s">
        <v>57</v>
      </c>
      <c r="J1213" s="6">
        <v>15105</v>
      </c>
      <c r="K1213" s="16">
        <v>1011</v>
      </c>
      <c r="L1213" s="16">
        <v>1074</v>
      </c>
      <c r="M1213" s="16">
        <v>1002</v>
      </c>
      <c r="N1213" s="16">
        <v>1022</v>
      </c>
      <c r="O1213" s="16">
        <v>1060</v>
      </c>
      <c r="P1213" s="16">
        <v>1031</v>
      </c>
      <c r="Q1213" s="16">
        <v>1045</v>
      </c>
      <c r="R1213" s="16">
        <v>985</v>
      </c>
      <c r="S1213" s="16">
        <v>1018</v>
      </c>
      <c r="T1213" s="16">
        <v>1028</v>
      </c>
      <c r="U1213" s="15">
        <v>1027.5999999999999</v>
      </c>
      <c r="V1213" t="s">
        <v>19</v>
      </c>
      <c r="W1213" t="s">
        <v>28</v>
      </c>
      <c r="X1213">
        <v>255</v>
      </c>
      <c r="Y1213" s="16">
        <f>VLOOKUP(Tabela1[[#This Row],[SKU]],SKU!A:D,4,0)</f>
        <v>1000</v>
      </c>
      <c r="Z1213" s="18">
        <f>IFERROR((Tabela1[[#This Row],[Média]]-Tabela1[[#This Row],[Meta]])/Tabela1[[#This Row],[Meta]],"")</f>
        <v>2.7599999999999909E-2</v>
      </c>
      <c r="AA1213" s="31">
        <f>Tabela1[[#This Row],[Média]]-Tabela1[[#This Row],[Meta]]</f>
        <v>27.599999999999909</v>
      </c>
      <c r="AB1213" s="6" t="str">
        <f>VLOOKUP(Tabela1[[#This Row],[SKU]],SKU!A:B,2,0)</f>
        <v>FILE PEITO MET CG BDJ SE</v>
      </c>
      <c r="AC1213" s="6" t="str">
        <f>VLOOKUP(Tabela1[[#This Row],[SKU]],SKU!A:C,3,0)</f>
        <v>PEITO</v>
      </c>
    </row>
    <row r="1214" spans="1:29" x14ac:dyDescent="0.3">
      <c r="A1214" s="2">
        <f>INT(Tabela1[[#This Row],[Data e Hora2]])</f>
        <v>46294</v>
      </c>
      <c r="B1214" s="6" t="str">
        <f>UPPER(TEXT(Tabela1[[#This Row],[Data Corrigida]],"MMM"))</f>
        <v>SET</v>
      </c>
      <c r="C1214" t="s">
        <v>2696</v>
      </c>
      <c r="D1214" s="2" t="s">
        <v>2697</v>
      </c>
      <c r="E1214" s="1" t="s">
        <v>2685</v>
      </c>
      <c r="F1214" t="s">
        <v>24</v>
      </c>
      <c r="G1214" s="2" t="s">
        <v>2639</v>
      </c>
      <c r="H1214" t="s">
        <v>26</v>
      </c>
      <c r="I1214" t="s">
        <v>57</v>
      </c>
      <c r="J1214" s="6">
        <v>15105</v>
      </c>
      <c r="K1214" s="16">
        <v>1029</v>
      </c>
      <c r="L1214" s="16">
        <v>1017</v>
      </c>
      <c r="M1214" s="16">
        <v>1092</v>
      </c>
      <c r="N1214" s="16">
        <v>1096</v>
      </c>
      <c r="O1214" s="16">
        <v>1030</v>
      </c>
      <c r="P1214" s="16">
        <v>1008</v>
      </c>
      <c r="Q1214" s="16">
        <v>1095</v>
      </c>
      <c r="R1214" s="16">
        <v>1025</v>
      </c>
      <c r="S1214" s="16">
        <v>1017</v>
      </c>
      <c r="T1214" s="16">
        <v>1031</v>
      </c>
      <c r="U1214" s="15">
        <v>1044</v>
      </c>
      <c r="V1214" t="s">
        <v>19</v>
      </c>
      <c r="W1214" t="s">
        <v>28</v>
      </c>
      <c r="X1214">
        <v>316</v>
      </c>
      <c r="Y1214" s="16">
        <f>VLOOKUP(Tabela1[[#This Row],[SKU]],SKU!A:D,4,0)</f>
        <v>1000</v>
      </c>
      <c r="Z1214" s="18">
        <f>IFERROR((Tabela1[[#This Row],[Média]]-Tabela1[[#This Row],[Meta]])/Tabela1[[#This Row],[Meta]],"")</f>
        <v>4.3999999999999997E-2</v>
      </c>
      <c r="AA1214" s="31">
        <f>Tabela1[[#This Row],[Média]]-Tabela1[[#This Row],[Meta]]</f>
        <v>44</v>
      </c>
      <c r="AB1214" s="6" t="str">
        <f>VLOOKUP(Tabela1[[#This Row],[SKU]],SKU!A:B,2,0)</f>
        <v>FILE PEITO MET CG BDJ SE</v>
      </c>
      <c r="AC1214" s="6" t="str">
        <f>VLOOKUP(Tabela1[[#This Row],[SKU]],SKU!A:C,3,0)</f>
        <v>PEITO</v>
      </c>
    </row>
    <row r="1215" spans="1:29" x14ac:dyDescent="0.3">
      <c r="A1215" s="2">
        <f>INT(Tabela1[[#This Row],[Data e Hora2]])</f>
        <v>46294</v>
      </c>
      <c r="B1215" s="6" t="str">
        <f>UPPER(TEXT(Tabela1[[#This Row],[Data Corrigida]],"MMM"))</f>
        <v>SET</v>
      </c>
      <c r="C1215" t="s">
        <v>2698</v>
      </c>
      <c r="D1215" s="2" t="s">
        <v>2699</v>
      </c>
      <c r="E1215" s="1" t="s">
        <v>2685</v>
      </c>
      <c r="F1215" t="s">
        <v>24</v>
      </c>
      <c r="G1215" s="2" t="s">
        <v>2639</v>
      </c>
      <c r="H1215" t="s">
        <v>26</v>
      </c>
      <c r="I1215" t="s">
        <v>57</v>
      </c>
      <c r="J1215" s="6">
        <v>15105</v>
      </c>
      <c r="K1215" s="16">
        <v>1004</v>
      </c>
      <c r="L1215" s="16">
        <v>1001</v>
      </c>
      <c r="M1215" s="16">
        <v>1028</v>
      </c>
      <c r="N1215" s="16">
        <v>1108</v>
      </c>
      <c r="O1215" s="16">
        <v>1040</v>
      </c>
      <c r="P1215" s="16">
        <v>1026</v>
      </c>
      <c r="Q1215" s="16">
        <v>1052</v>
      </c>
      <c r="R1215" s="16">
        <v>1021</v>
      </c>
      <c r="S1215" s="16">
        <v>1005</v>
      </c>
      <c r="T1215" s="16">
        <v>1037</v>
      </c>
      <c r="U1215" s="15">
        <v>1032.2</v>
      </c>
      <c r="V1215" t="s">
        <v>19</v>
      </c>
      <c r="W1215" t="s">
        <v>28</v>
      </c>
      <c r="X1215">
        <v>206</v>
      </c>
      <c r="Y1215" s="16">
        <f>VLOOKUP(Tabela1[[#This Row],[SKU]],SKU!A:D,4,0)</f>
        <v>1000</v>
      </c>
      <c r="Z1215" s="18">
        <f>IFERROR((Tabela1[[#This Row],[Média]]-Tabela1[[#This Row],[Meta]])/Tabela1[[#This Row],[Meta]],"")</f>
        <v>3.2200000000000048E-2</v>
      </c>
      <c r="AA1215" s="31">
        <f>Tabela1[[#This Row],[Média]]-Tabela1[[#This Row],[Meta]]</f>
        <v>32.200000000000045</v>
      </c>
      <c r="AB1215" s="6" t="str">
        <f>VLOOKUP(Tabela1[[#This Row],[SKU]],SKU!A:B,2,0)</f>
        <v>FILE PEITO MET CG BDJ SE</v>
      </c>
      <c r="AC1215" s="6" t="str">
        <f>VLOOKUP(Tabela1[[#This Row],[SKU]],SKU!A:C,3,0)</f>
        <v>PEITO</v>
      </c>
    </row>
    <row r="1216" spans="1:29" x14ac:dyDescent="0.3">
      <c r="A1216" s="2">
        <f>INT(Tabela1[[#This Row],[Data e Hora2]])</f>
        <v>46294</v>
      </c>
      <c r="B1216" s="6" t="str">
        <f>UPPER(TEXT(Tabela1[[#This Row],[Data Corrigida]],"MMM"))</f>
        <v>SET</v>
      </c>
      <c r="C1216" t="s">
        <v>2700</v>
      </c>
      <c r="D1216" s="2" t="s">
        <v>2701</v>
      </c>
      <c r="E1216" s="1" t="s">
        <v>2702</v>
      </c>
      <c r="F1216" t="s">
        <v>24</v>
      </c>
      <c r="G1216" s="2" t="s">
        <v>2639</v>
      </c>
      <c r="H1216" t="s">
        <v>26</v>
      </c>
      <c r="I1216" t="s">
        <v>57</v>
      </c>
      <c r="J1216" s="6">
        <v>15229</v>
      </c>
      <c r="K1216" s="16">
        <v>1004</v>
      </c>
      <c r="L1216" s="16">
        <v>1003</v>
      </c>
      <c r="M1216" s="16">
        <v>1012</v>
      </c>
      <c r="N1216" s="16">
        <v>1004</v>
      </c>
      <c r="O1216" s="16">
        <v>1002</v>
      </c>
      <c r="P1216" s="16">
        <v>1000</v>
      </c>
      <c r="Q1216" s="16">
        <v>1020</v>
      </c>
      <c r="R1216" s="16">
        <v>1011</v>
      </c>
      <c r="S1216" s="16">
        <v>1018</v>
      </c>
      <c r="T1216" s="16">
        <v>1007</v>
      </c>
      <c r="U1216" s="15">
        <v>1008.1</v>
      </c>
      <c r="V1216" t="s">
        <v>19</v>
      </c>
      <c r="W1216" t="s">
        <v>28</v>
      </c>
      <c r="X1216">
        <v>156</v>
      </c>
      <c r="Y1216" s="16">
        <f>VLOOKUP(Tabela1[[#This Row],[SKU]],SKU!A:D,4,0)</f>
        <v>1000</v>
      </c>
      <c r="Z1216" s="18">
        <f>IFERROR((Tabela1[[#This Row],[Média]]-Tabela1[[#This Row],[Meta]])/Tabela1[[#This Row],[Meta]],"")</f>
        <v>8.1000000000000221E-3</v>
      </c>
      <c r="AA1216" s="31">
        <f>Tabela1[[#This Row],[Média]]-Tabela1[[#This Row],[Meta]]</f>
        <v>8.1000000000000227</v>
      </c>
      <c r="AB1216" s="6" t="str">
        <f>VLOOKUP(Tabela1[[#This Row],[SKU]],SKU!A:B,2,0)</f>
        <v>COXA CG BDJ SE</v>
      </c>
      <c r="AC1216" s="6" t="str">
        <f>VLOOKUP(Tabela1[[#This Row],[SKU]],SKU!A:C,3,0)</f>
        <v>PERNA</v>
      </c>
    </row>
    <row r="1217" spans="1:29" x14ac:dyDescent="0.3">
      <c r="A1217" s="2">
        <f>INT(Tabela1[[#This Row],[Data e Hora2]])</f>
        <v>46294</v>
      </c>
      <c r="B1217" s="6" t="str">
        <f>UPPER(TEXT(Tabela1[[#This Row],[Data Corrigida]],"MMM"))</f>
        <v>SET</v>
      </c>
      <c r="C1217" t="s">
        <v>2703</v>
      </c>
      <c r="D1217" s="2" t="s">
        <v>2704</v>
      </c>
      <c r="E1217" s="1" t="s">
        <v>2705</v>
      </c>
      <c r="F1217" t="s">
        <v>24</v>
      </c>
      <c r="G1217" s="2" t="s">
        <v>2639</v>
      </c>
      <c r="H1217" t="s">
        <v>26</v>
      </c>
      <c r="I1217" t="s">
        <v>57</v>
      </c>
      <c r="J1217" s="6">
        <v>40762</v>
      </c>
      <c r="K1217" s="16">
        <v>10065</v>
      </c>
      <c r="L1217" s="16">
        <v>9995</v>
      </c>
      <c r="M1217" s="16">
        <v>9990</v>
      </c>
      <c r="N1217" s="16">
        <v>10045</v>
      </c>
      <c r="O1217" s="16">
        <v>10000</v>
      </c>
      <c r="P1217" s="16">
        <v>9955</v>
      </c>
      <c r="Q1217" s="16">
        <v>10085</v>
      </c>
      <c r="R1217" s="16">
        <v>10050</v>
      </c>
      <c r="S1217" s="16">
        <v>10010</v>
      </c>
      <c r="T1217" s="16">
        <v>10000</v>
      </c>
      <c r="U1217" s="15">
        <v>10019.5</v>
      </c>
      <c r="V1217" t="s">
        <v>19</v>
      </c>
      <c r="W1217" t="s">
        <v>28</v>
      </c>
      <c r="X1217">
        <v>403</v>
      </c>
      <c r="Y1217" s="16">
        <f>VLOOKUP(Tabela1[[#This Row],[SKU]],SKU!A:D,4,0)</f>
        <v>10000</v>
      </c>
      <c r="Z1217" s="18">
        <f>IFERROR((Tabela1[[#This Row],[Média]]-Tabela1[[#This Row],[Meta]])/Tabela1[[#This Row],[Meta]],"")</f>
        <v>1.9499999999999999E-3</v>
      </c>
      <c r="AA1217" s="31">
        <f>Tabela1[[#This Row],[Média]]-Tabela1[[#This Row],[Meta]]</f>
        <v>19.5</v>
      </c>
      <c r="AB1217" s="6" t="str">
        <f>VLOOKUP(Tabela1[[#This Row],[SKU]],SKU!A:B,2,0)</f>
        <v>COXA SBCX LQ FG LP</v>
      </c>
      <c r="AC1217" s="6" t="str">
        <f>VLOOKUP(Tabela1[[#This Row],[SKU]],SKU!A:C,3,0)</f>
        <v>PERNA</v>
      </c>
    </row>
    <row r="1218" spans="1:29" x14ac:dyDescent="0.3">
      <c r="A1218" s="2">
        <f>INT(Tabela1[[#This Row],[Data e Hora2]])</f>
        <v>46294</v>
      </c>
      <c r="B1218" s="6" t="str">
        <f>UPPER(TEXT(Tabela1[[#This Row],[Data Corrigida]],"MMM"))</f>
        <v>SET</v>
      </c>
      <c r="C1218" t="s">
        <v>2706</v>
      </c>
      <c r="D1218" s="2" t="s">
        <v>2707</v>
      </c>
      <c r="E1218" s="1" t="s">
        <v>2705</v>
      </c>
      <c r="F1218" t="s">
        <v>24</v>
      </c>
      <c r="G1218" s="2" t="s">
        <v>2639</v>
      </c>
      <c r="H1218" t="s">
        <v>26</v>
      </c>
      <c r="I1218" t="s">
        <v>57</v>
      </c>
      <c r="J1218" s="6">
        <v>963925</v>
      </c>
      <c r="K1218" s="16">
        <v>18045</v>
      </c>
      <c r="L1218" s="16">
        <v>18055</v>
      </c>
      <c r="M1218" s="16">
        <v>18200</v>
      </c>
      <c r="N1218" s="16">
        <v>18350</v>
      </c>
      <c r="O1218" s="16">
        <v>18400</v>
      </c>
      <c r="P1218" s="16">
        <v>18005</v>
      </c>
      <c r="Q1218" s="16">
        <v>18240</v>
      </c>
      <c r="R1218" s="16">
        <v>18080</v>
      </c>
      <c r="S1218" s="16">
        <v>18055</v>
      </c>
      <c r="T1218" s="16">
        <v>18075</v>
      </c>
      <c r="U1218" s="15">
        <v>18150.5</v>
      </c>
      <c r="V1218" t="s">
        <v>19</v>
      </c>
      <c r="W1218" t="s">
        <v>28</v>
      </c>
      <c r="X1218">
        <v>532</v>
      </c>
      <c r="Y1218" s="16">
        <f>VLOOKUP(Tabela1[[#This Row],[SKU]],SKU!A:D,4,0)</f>
        <v>18000</v>
      </c>
      <c r="Z1218" s="18">
        <f>IFERROR((Tabela1[[#This Row],[Média]]-Tabela1[[#This Row],[Meta]])/Tabela1[[#This Row],[Meta]],"")</f>
        <v>8.3611111111111108E-3</v>
      </c>
      <c r="AA1218" s="31">
        <f>Tabela1[[#This Row],[Média]]-Tabela1[[#This Row],[Meta]]</f>
        <v>150.5</v>
      </c>
      <c r="AB1218" s="6" t="str">
        <f>VLOOKUP(Tabela1[[#This Row],[SKU]],SKU!A:B,2,0)</f>
        <v>COXINHA DA ASA FG CG PCT</v>
      </c>
      <c r="AC1218" s="6" t="str">
        <f>VLOOKUP(Tabela1[[#This Row],[SKU]],SKU!A:C,3,0)</f>
        <v>ASA</v>
      </c>
    </row>
    <row r="1219" spans="1:29" x14ac:dyDescent="0.3">
      <c r="A1219" s="2">
        <f>INT(Tabela1[[#This Row],[Data e Hora2]])</f>
        <v>46294</v>
      </c>
      <c r="B1219" s="6" t="str">
        <f>UPPER(TEXT(Tabela1[[#This Row],[Data Corrigida]],"MMM"))</f>
        <v>SET</v>
      </c>
      <c r="C1219" t="s">
        <v>2708</v>
      </c>
      <c r="D1219" s="2" t="s">
        <v>2709</v>
      </c>
      <c r="E1219" s="1" t="s">
        <v>2705</v>
      </c>
      <c r="F1219" t="s">
        <v>24</v>
      </c>
      <c r="G1219" s="2" t="s">
        <v>2639</v>
      </c>
      <c r="H1219" t="s">
        <v>26</v>
      </c>
      <c r="I1219" t="s">
        <v>57</v>
      </c>
      <c r="J1219" s="6">
        <v>15105</v>
      </c>
      <c r="K1219" s="16">
        <v>1029</v>
      </c>
      <c r="L1219" s="16">
        <v>1014</v>
      </c>
      <c r="M1219" s="16">
        <v>1044</v>
      </c>
      <c r="N1219" s="16">
        <v>998</v>
      </c>
      <c r="O1219" s="16">
        <v>1000</v>
      </c>
      <c r="P1219" s="16">
        <v>1042</v>
      </c>
      <c r="Q1219" s="16">
        <v>1017</v>
      </c>
      <c r="R1219" s="16">
        <v>1031</v>
      </c>
      <c r="S1219" s="16">
        <v>1004</v>
      </c>
      <c r="T1219" s="16">
        <v>994</v>
      </c>
      <c r="U1219" s="15">
        <v>1017.3</v>
      </c>
      <c r="V1219" t="s">
        <v>19</v>
      </c>
      <c r="W1219" t="s">
        <v>28</v>
      </c>
      <c r="X1219">
        <v>163</v>
      </c>
      <c r="Y1219" s="16">
        <f>VLOOKUP(Tabela1[[#This Row],[SKU]],SKU!A:D,4,0)</f>
        <v>1000</v>
      </c>
      <c r="Z1219" s="18">
        <f>IFERROR((Tabela1[[#This Row],[Média]]-Tabela1[[#This Row],[Meta]])/Tabela1[[#This Row],[Meta]],"")</f>
        <v>1.7299999999999954E-2</v>
      </c>
      <c r="AA1219" s="31">
        <f>Tabela1[[#This Row],[Média]]-Tabela1[[#This Row],[Meta]]</f>
        <v>17.299999999999955</v>
      </c>
      <c r="AB1219" s="6" t="str">
        <f>VLOOKUP(Tabela1[[#This Row],[SKU]],SKU!A:B,2,0)</f>
        <v>FILE PEITO MET CG BDJ SE</v>
      </c>
      <c r="AC1219" s="6" t="str">
        <f>VLOOKUP(Tabela1[[#This Row],[SKU]],SKU!A:C,3,0)</f>
        <v>PEITO</v>
      </c>
    </row>
    <row r="1220" spans="1:29" x14ac:dyDescent="0.3">
      <c r="A1220" s="2">
        <f>INT(Tabela1[[#This Row],[Data e Hora2]])</f>
        <v>46294</v>
      </c>
      <c r="B1220" s="6" t="str">
        <f>UPPER(TEXT(Tabela1[[#This Row],[Data Corrigida]],"MMM"))</f>
        <v>SET</v>
      </c>
      <c r="C1220" t="s">
        <v>2710</v>
      </c>
      <c r="D1220" s="2" t="s">
        <v>2711</v>
      </c>
      <c r="E1220" s="1" t="s">
        <v>2712</v>
      </c>
      <c r="F1220" t="s">
        <v>24</v>
      </c>
      <c r="G1220" s="2" t="s">
        <v>2639</v>
      </c>
      <c r="H1220" t="s">
        <v>142</v>
      </c>
      <c r="I1220" t="s">
        <v>462</v>
      </c>
      <c r="J1220" s="6">
        <v>197742</v>
      </c>
      <c r="K1220" s="16">
        <v>999</v>
      </c>
      <c r="L1220" s="16">
        <v>995</v>
      </c>
      <c r="M1220" s="16">
        <v>1015</v>
      </c>
      <c r="N1220" s="16">
        <v>988</v>
      </c>
      <c r="O1220" s="16">
        <v>1003</v>
      </c>
      <c r="P1220" s="16">
        <v>994</v>
      </c>
      <c r="Q1220" s="16">
        <v>992</v>
      </c>
      <c r="R1220" s="16">
        <v>996</v>
      </c>
      <c r="S1220" s="16">
        <v>1026</v>
      </c>
      <c r="T1220" s="16">
        <v>1012</v>
      </c>
      <c r="U1220" s="15">
        <v>1002</v>
      </c>
      <c r="V1220" t="s">
        <v>19</v>
      </c>
      <c r="W1220" t="s">
        <v>28</v>
      </c>
      <c r="X1220">
        <v>183</v>
      </c>
      <c r="Y1220" s="16">
        <f>VLOOKUP(Tabela1[[#This Row],[SKU]],SKU!A:D,4,0)</f>
        <v>1000</v>
      </c>
      <c r="Z1220" s="18">
        <f>IFERROR((Tabela1[[#This Row],[Média]]-Tabela1[[#This Row],[Meta]])/Tabela1[[#This Row],[Meta]],"")</f>
        <v>2E-3</v>
      </c>
      <c r="AA1220" s="31">
        <f>Tabela1[[#This Row],[Média]]-Tabela1[[#This Row],[Meta]]</f>
        <v>2</v>
      </c>
      <c r="AB1220" s="6" t="str">
        <f>VLOOKUP(Tabela1[[#This Row],[SKU]],SKU!A:B,2,0)</f>
        <v>COXINHA ASA IQF ALM SE</v>
      </c>
      <c r="AC1220" s="6" t="str">
        <f>VLOOKUP(Tabela1[[#This Row],[SKU]],SKU!A:C,3,0)</f>
        <v>ASA</v>
      </c>
    </row>
    <row r="1221" spans="1:29" x14ac:dyDescent="0.3">
      <c r="A1221" s="2">
        <f>INT(Tabela1[[#This Row],[Data e Hora2]])</f>
        <v>46294</v>
      </c>
      <c r="B1221" s="6" t="str">
        <f>UPPER(TEXT(Tabela1[[#This Row],[Data Corrigida]],"MMM"))</f>
        <v>SET</v>
      </c>
      <c r="C1221" t="s">
        <v>2713</v>
      </c>
      <c r="D1221" s="2" t="s">
        <v>2714</v>
      </c>
      <c r="E1221" s="1" t="s">
        <v>2715</v>
      </c>
      <c r="F1221" t="s">
        <v>24</v>
      </c>
      <c r="G1221" s="2" t="s">
        <v>2639</v>
      </c>
      <c r="H1221" t="s">
        <v>142</v>
      </c>
      <c r="I1221" t="s">
        <v>462</v>
      </c>
      <c r="J1221" s="6">
        <v>42854</v>
      </c>
      <c r="K1221" s="16">
        <v>2147</v>
      </c>
      <c r="L1221" s="16">
        <v>2181</v>
      </c>
      <c r="M1221" s="16">
        <v>2155</v>
      </c>
      <c r="N1221" s="16">
        <v>2115</v>
      </c>
      <c r="O1221" s="16">
        <v>2151</v>
      </c>
      <c r="P1221" s="16">
        <v>2108</v>
      </c>
      <c r="Q1221" s="16">
        <v>2150</v>
      </c>
      <c r="R1221" s="16">
        <v>2143</v>
      </c>
      <c r="S1221" s="16">
        <v>2164</v>
      </c>
      <c r="T1221" s="16">
        <v>2209</v>
      </c>
      <c r="U1221" s="15">
        <v>2152.3000000000002</v>
      </c>
      <c r="V1221" t="s">
        <v>19</v>
      </c>
      <c r="W1221" t="s">
        <v>28</v>
      </c>
      <c r="X1221">
        <v>256</v>
      </c>
      <c r="Y1221" s="16">
        <f>VLOOKUP(Tabela1[[#This Row],[SKU]],SKU!A:D,4,0)</f>
        <v>2080</v>
      </c>
      <c r="Z1221" s="18">
        <f>IFERROR((Tabela1[[#This Row],[Média]]-Tabela1[[#This Row],[Meta]])/Tabela1[[#This Row],[Meta]],"")</f>
        <v>3.4759615384615472E-2</v>
      </c>
      <c r="AA1221" s="31">
        <f>Tabela1[[#This Row],[Média]]-Tabela1[[#This Row],[Meta]]</f>
        <v>72.300000000000182</v>
      </c>
      <c r="AB1221" s="6" t="str">
        <f>VLOOKUP(Tabela1[[#This Row],[SKU]],SKU!A:B,2,0)</f>
        <v>COXA SBCX S/O FG 260-280g PB</v>
      </c>
      <c r="AC1221" s="6" t="str">
        <f>VLOOKUP(Tabela1[[#This Row],[SKU]],SKU!A:C,3,0)</f>
        <v>PERNA</v>
      </c>
    </row>
    <row r="1222" spans="1:29" x14ac:dyDescent="0.3">
      <c r="A1222" s="2">
        <f>INT(Tabela1[[#This Row],[Data e Hora2]])</f>
        <v>46294</v>
      </c>
      <c r="B1222" s="6" t="str">
        <f>UPPER(TEXT(Tabela1[[#This Row],[Data Corrigida]],"MMM"))</f>
        <v>SET</v>
      </c>
      <c r="C1222" t="s">
        <v>2716</v>
      </c>
      <c r="D1222" s="2" t="s">
        <v>2717</v>
      </c>
      <c r="E1222" s="1" t="s">
        <v>2715</v>
      </c>
      <c r="F1222" t="s">
        <v>24</v>
      </c>
      <c r="G1222" s="2" t="s">
        <v>2639</v>
      </c>
      <c r="H1222" t="s">
        <v>142</v>
      </c>
      <c r="I1222" t="s">
        <v>462</v>
      </c>
      <c r="J1222" s="6">
        <v>42862</v>
      </c>
      <c r="K1222" s="16">
        <v>2018</v>
      </c>
      <c r="L1222" s="16">
        <v>2062</v>
      </c>
      <c r="M1222" s="16">
        <v>2008</v>
      </c>
      <c r="N1222" s="16">
        <v>1982</v>
      </c>
      <c r="O1222" s="16">
        <v>2042</v>
      </c>
      <c r="P1222" s="16">
        <v>2081</v>
      </c>
      <c r="Q1222" s="16">
        <v>2052</v>
      </c>
      <c r="R1222" s="16">
        <v>1997</v>
      </c>
      <c r="S1222" s="16">
        <v>2058</v>
      </c>
      <c r="T1222" s="16">
        <v>2054</v>
      </c>
      <c r="U1222" s="15">
        <v>2035.4</v>
      </c>
      <c r="V1222" t="s">
        <v>19</v>
      </c>
      <c r="W1222" t="s">
        <v>28</v>
      </c>
      <c r="X1222">
        <v>297</v>
      </c>
      <c r="Y1222" s="16">
        <f>VLOOKUP(Tabela1[[#This Row],[SKU]],SKU!A:D,4,0)</f>
        <v>2000</v>
      </c>
      <c r="Z1222" s="18">
        <f>IFERROR((Tabela1[[#This Row],[Média]]-Tabela1[[#This Row],[Meta]])/Tabela1[[#This Row],[Meta]],"")</f>
        <v>1.7700000000000046E-2</v>
      </c>
      <c r="AA1222" s="31">
        <f>Tabela1[[#This Row],[Média]]-Tabela1[[#This Row],[Meta]]</f>
        <v>35.400000000000091</v>
      </c>
      <c r="AB1222" s="6" t="str">
        <f>VLOOKUP(Tabela1[[#This Row],[SKU]],SKU!A:B,2,0)</f>
        <v>COXA SBCX S/O FG 280-300g PB</v>
      </c>
      <c r="AC1222" s="6" t="str">
        <f>VLOOKUP(Tabela1[[#This Row],[SKU]],SKU!A:C,3,0)</f>
        <v>PERNA</v>
      </c>
    </row>
    <row r="1223" spans="1:29" x14ac:dyDescent="0.3">
      <c r="A1223" s="2">
        <f>INT(Tabela1[[#This Row],[Data e Hora2]])</f>
        <v>46294</v>
      </c>
      <c r="B1223" s="6" t="str">
        <f>UPPER(TEXT(Tabela1[[#This Row],[Data Corrigida]],"MMM"))</f>
        <v>SET</v>
      </c>
      <c r="C1223" t="s">
        <v>2718</v>
      </c>
      <c r="D1223" s="2" t="s">
        <v>2719</v>
      </c>
      <c r="E1223" s="1" t="s">
        <v>2715</v>
      </c>
      <c r="F1223" t="s">
        <v>24</v>
      </c>
      <c r="G1223" s="2" t="s">
        <v>2639</v>
      </c>
      <c r="H1223" t="s">
        <v>142</v>
      </c>
      <c r="I1223" t="s">
        <v>462</v>
      </c>
      <c r="J1223" s="6">
        <v>15105</v>
      </c>
      <c r="K1223" s="16">
        <v>1032</v>
      </c>
      <c r="L1223" s="16">
        <v>1032</v>
      </c>
      <c r="M1223" s="16">
        <v>1029</v>
      </c>
      <c r="N1223" s="16">
        <v>1029</v>
      </c>
      <c r="O1223" s="16">
        <v>1005</v>
      </c>
      <c r="P1223" s="16">
        <v>1026</v>
      </c>
      <c r="Q1223" s="16">
        <v>1018</v>
      </c>
      <c r="R1223" s="16">
        <v>1013</v>
      </c>
      <c r="S1223" s="16">
        <v>1041</v>
      </c>
      <c r="T1223" s="16">
        <v>1104</v>
      </c>
      <c r="U1223" s="15">
        <v>1032.9000000000001</v>
      </c>
      <c r="V1223" t="s">
        <v>19</v>
      </c>
      <c r="W1223" t="s">
        <v>28</v>
      </c>
      <c r="X1223">
        <v>365</v>
      </c>
      <c r="Y1223" s="16">
        <f>VLOOKUP(Tabela1[[#This Row],[SKU]],SKU!A:D,4,0)</f>
        <v>1000</v>
      </c>
      <c r="Z1223" s="18">
        <f>IFERROR((Tabela1[[#This Row],[Média]]-Tabela1[[#This Row],[Meta]])/Tabela1[[#This Row],[Meta]],"")</f>
        <v>3.2900000000000089E-2</v>
      </c>
      <c r="AA1223" s="31">
        <f>Tabela1[[#This Row],[Média]]-Tabela1[[#This Row],[Meta]]</f>
        <v>32.900000000000091</v>
      </c>
      <c r="AB1223" s="6" t="str">
        <f>VLOOKUP(Tabela1[[#This Row],[SKU]],SKU!A:B,2,0)</f>
        <v>FILE PEITO MET CG BDJ SE</v>
      </c>
      <c r="AC1223" s="6" t="str">
        <f>VLOOKUP(Tabela1[[#This Row],[SKU]],SKU!A:C,3,0)</f>
        <v>PEITO</v>
      </c>
    </row>
    <row r="1224" spans="1:29" x14ac:dyDescent="0.3">
      <c r="A1224" s="2">
        <f>INT(Tabela1[[#This Row],[Data e Hora2]])</f>
        <v>46293</v>
      </c>
      <c r="B1224" s="6" t="str">
        <f>UPPER(TEXT(Tabela1[[#This Row],[Data Corrigida]],"MMM"))</f>
        <v>SET</v>
      </c>
      <c r="C1224" t="s">
        <v>2720</v>
      </c>
      <c r="D1224" s="2" t="s">
        <v>2721</v>
      </c>
      <c r="E1224" s="1" t="s">
        <v>2715</v>
      </c>
      <c r="F1224" t="s">
        <v>24</v>
      </c>
      <c r="G1224" s="2" t="s">
        <v>2561</v>
      </c>
      <c r="H1224" t="s">
        <v>142</v>
      </c>
      <c r="I1224" t="s">
        <v>462</v>
      </c>
      <c r="J1224" s="6">
        <v>50580</v>
      </c>
      <c r="K1224" s="16">
        <v>1989</v>
      </c>
      <c r="L1224" s="16">
        <v>2047</v>
      </c>
      <c r="M1224" s="16">
        <v>2186</v>
      </c>
      <c r="N1224" s="16">
        <v>2027</v>
      </c>
      <c r="O1224" s="16">
        <v>1994</v>
      </c>
      <c r="P1224" s="16">
        <v>1974</v>
      </c>
      <c r="Q1224" s="16">
        <v>2034</v>
      </c>
      <c r="R1224" s="16">
        <v>2027</v>
      </c>
      <c r="S1224" s="16">
        <v>2083</v>
      </c>
      <c r="T1224" s="16">
        <v>2217</v>
      </c>
      <c r="U1224" s="15">
        <v>2057.8000000000002</v>
      </c>
      <c r="V1224" t="s">
        <v>19</v>
      </c>
      <c r="W1224" t="s">
        <v>28</v>
      </c>
      <c r="X1224">
        <v>77644</v>
      </c>
      <c r="Y1224" s="16">
        <f>VLOOKUP(Tabela1[[#This Row],[SKU]],SKU!A:D,4,0)</f>
        <v>2000</v>
      </c>
      <c r="Z1224" s="18">
        <f>IFERROR((Tabela1[[#This Row],[Média]]-Tabela1[[#This Row],[Meta]])/Tabela1[[#This Row],[Meta]],"")</f>
        <v>2.8900000000000092E-2</v>
      </c>
      <c r="AA1224" s="31">
        <f>Tabela1[[#This Row],[Média]]-Tabela1[[#This Row],[Meta]]</f>
        <v>57.800000000000182</v>
      </c>
      <c r="AB1224" s="6" t="str">
        <f>VLOOKUP(Tabela1[[#This Row],[SKU]],SKU!A:B,2,0)</f>
        <v>COXA SBCX S/O FG 200g UP PB</v>
      </c>
      <c r="AC1224" s="6" t="str">
        <f>VLOOKUP(Tabela1[[#This Row],[SKU]],SKU!A:C,3,0)</f>
        <v>PERNA</v>
      </c>
    </row>
    <row r="1225" spans="1:29" x14ac:dyDescent="0.3">
      <c r="A1225" s="2">
        <f>INT(Tabela1[[#This Row],[Data e Hora2]])</f>
        <v>46290</v>
      </c>
      <c r="B1225" s="6" t="str">
        <f>UPPER(TEXT(Tabela1[[#This Row],[Data Corrigida]],"MMM"))</f>
        <v>SET</v>
      </c>
      <c r="C1225" t="s">
        <v>2722</v>
      </c>
      <c r="D1225" s="2" t="s">
        <v>2723</v>
      </c>
      <c r="E1225" s="1" t="s">
        <v>2715</v>
      </c>
      <c r="F1225" t="s">
        <v>24</v>
      </c>
      <c r="G1225" s="2" t="s">
        <v>2442</v>
      </c>
      <c r="H1225" t="s">
        <v>142</v>
      </c>
      <c r="I1225" t="s">
        <v>462</v>
      </c>
      <c r="J1225" s="6">
        <v>992014</v>
      </c>
      <c r="K1225" s="16">
        <v>700</v>
      </c>
      <c r="L1225" s="16">
        <v>668</v>
      </c>
      <c r="M1225" s="16">
        <v>678</v>
      </c>
      <c r="N1225" s="16">
        <v>694</v>
      </c>
      <c r="O1225" s="16">
        <v>698</v>
      </c>
      <c r="P1225" s="16">
        <v>700</v>
      </c>
      <c r="Q1225" s="16">
        <v>699</v>
      </c>
      <c r="R1225" s="16">
        <v>696</v>
      </c>
      <c r="S1225" s="16">
        <v>698</v>
      </c>
      <c r="T1225" s="16">
        <v>700</v>
      </c>
      <c r="U1225" s="15">
        <v>693.1</v>
      </c>
      <c r="V1225" t="s">
        <v>19</v>
      </c>
      <c r="W1225" t="s">
        <v>28</v>
      </c>
      <c r="X1225">
        <v>324318</v>
      </c>
      <c r="Y1225" s="16">
        <f>VLOOKUP(Tabela1[[#This Row],[SKU]],SKU!A:D,4,0)</f>
        <v>700</v>
      </c>
      <c r="Z1225" s="18">
        <f>IFERROR((Tabela1[[#This Row],[Média]]-Tabela1[[#This Row],[Meta]])/Tabela1[[#This Row],[Meta]],"")</f>
        <v>-9.8571428571428248E-3</v>
      </c>
      <c r="AA1225" s="31">
        <f>Tabela1[[#This Row],[Média]]-Tabela1[[#This Row],[Meta]]</f>
        <v>-6.8999999999999773</v>
      </c>
      <c r="AB1225" s="6" t="str">
        <f>VLOOKUP(Tabela1[[#This Row],[SKU]],SKU!A:B,2,0)</f>
        <v>OSTRINHA CG PCT 700G SWIFT</v>
      </c>
      <c r="AC1225" s="6" t="str">
        <f>VLOOKUP(Tabela1[[#This Row],[SKU]],SKU!A:C,3,0)</f>
        <v>PERNA</v>
      </c>
    </row>
    <row r="1226" spans="1:29" x14ac:dyDescent="0.3">
      <c r="A1226" s="2">
        <f>INT(Tabela1[[#This Row],[Data e Hora2]])</f>
        <v>46290</v>
      </c>
      <c r="B1226" s="6" t="str">
        <f>UPPER(TEXT(Tabela1[[#This Row],[Data Corrigida]],"MMM"))</f>
        <v>SET</v>
      </c>
      <c r="C1226" t="s">
        <v>2724</v>
      </c>
      <c r="D1226" s="2" t="s">
        <v>2725</v>
      </c>
      <c r="E1226" s="1" t="s">
        <v>2715</v>
      </c>
      <c r="F1226" t="s">
        <v>24</v>
      </c>
      <c r="G1226" s="2" t="s">
        <v>2442</v>
      </c>
      <c r="H1226" t="s">
        <v>142</v>
      </c>
      <c r="I1226" t="s">
        <v>462</v>
      </c>
      <c r="J1226" s="6">
        <v>15849</v>
      </c>
      <c r="K1226" s="16">
        <v>1009</v>
      </c>
      <c r="L1226" s="16">
        <v>1004</v>
      </c>
      <c r="M1226" s="16">
        <v>1014</v>
      </c>
      <c r="N1226" s="16">
        <v>1001</v>
      </c>
      <c r="O1226" s="16">
        <v>1015</v>
      </c>
      <c r="P1226" s="16">
        <v>999</v>
      </c>
      <c r="Q1226" s="16">
        <v>997</v>
      </c>
      <c r="R1226" s="16">
        <v>1025</v>
      </c>
      <c r="S1226" s="16">
        <v>993</v>
      </c>
      <c r="T1226" s="16">
        <v>1026</v>
      </c>
      <c r="U1226" s="15">
        <v>1008.3</v>
      </c>
      <c r="V1226" t="s">
        <v>19</v>
      </c>
      <c r="W1226" t="s">
        <v>28</v>
      </c>
      <c r="X1226">
        <v>327536</v>
      </c>
      <c r="Y1226" s="16">
        <f>VLOOKUP(Tabela1[[#This Row],[SKU]],SKU!A:D,4,0)</f>
        <v>1000</v>
      </c>
      <c r="Z1226" s="18">
        <f>IFERROR((Tabela1[[#This Row],[Média]]-Tabela1[[#This Row],[Meta]])/Tabela1[[#This Row],[Meta]],"")</f>
        <v>8.299999999999955E-3</v>
      </c>
      <c r="AA1226" s="31">
        <f>Tabela1[[#This Row],[Média]]-Tabela1[[#This Row],[Meta]]</f>
        <v>8.2999999999999545</v>
      </c>
      <c r="AB1226" s="6" t="str">
        <f>VLOOKUP(Tabela1[[#This Row],[SKU]],SKU!A:B,2,0)</f>
        <v>FILEZINHO PEITO CG BDJ SE</v>
      </c>
      <c r="AC1226" s="6" t="str">
        <f>VLOOKUP(Tabela1[[#This Row],[SKU]],SKU!A:C,3,0)</f>
        <v>SASSAMI</v>
      </c>
    </row>
    <row r="1227" spans="1:29" x14ac:dyDescent="0.3">
      <c r="A1227" s="2">
        <f>INT(Tabela1[[#This Row],[Data e Hora2]])</f>
        <v>46295</v>
      </c>
      <c r="B1227" s="6" t="str">
        <f>UPPER(TEXT(Tabela1[[#This Row],[Data Corrigida]],"MMM"))</f>
        <v>SET</v>
      </c>
      <c r="C1227" s="26" t="s">
        <v>2726</v>
      </c>
      <c r="D1227" s="2" t="s">
        <v>2727</v>
      </c>
      <c r="E1227" s="1" t="s">
        <v>2728</v>
      </c>
      <c r="F1227" t="s">
        <v>24</v>
      </c>
      <c r="G1227" s="2" t="s">
        <v>2621</v>
      </c>
      <c r="H1227" t="s">
        <v>26</v>
      </c>
      <c r="I1227" t="s">
        <v>27</v>
      </c>
      <c r="J1227" s="6">
        <v>15229</v>
      </c>
      <c r="K1227" s="16">
        <v>1019</v>
      </c>
      <c r="L1227" s="16">
        <v>1021</v>
      </c>
      <c r="M1227" s="16">
        <v>1013</v>
      </c>
      <c r="N1227" s="16">
        <v>1020</v>
      </c>
      <c r="O1227" s="16">
        <v>1019</v>
      </c>
      <c r="P1227" s="16">
        <v>1012</v>
      </c>
      <c r="Q1227" s="16">
        <v>1009</v>
      </c>
      <c r="R1227" s="16">
        <v>1004</v>
      </c>
      <c r="S1227" s="16">
        <v>1017</v>
      </c>
      <c r="T1227" s="16">
        <v>1007</v>
      </c>
      <c r="U1227" s="15">
        <v>1014.1</v>
      </c>
      <c r="V1227" t="s">
        <v>19</v>
      </c>
      <c r="W1227" t="s">
        <v>28</v>
      </c>
      <c r="X1227">
        <v>9055</v>
      </c>
      <c r="Y1227" s="16">
        <f>VLOOKUP(Tabela1[[#This Row],[SKU]],SKU!A:D,4,0)</f>
        <v>1000</v>
      </c>
      <c r="Z1227" s="18">
        <f>IFERROR((Tabela1[[#This Row],[Média]]-Tabela1[[#This Row],[Meta]])/Tabela1[[#This Row],[Meta]],"")</f>
        <v>1.4100000000000022E-2</v>
      </c>
      <c r="AA1227" s="31">
        <f>Tabela1[[#This Row],[Média]]-Tabela1[[#This Row],[Meta]]</f>
        <v>14.100000000000023</v>
      </c>
      <c r="AB1227" s="6" t="str">
        <f>VLOOKUP(Tabela1[[#This Row],[SKU]],SKU!A:B,2,0)</f>
        <v>COXA CG BDJ SE</v>
      </c>
      <c r="AC1227" s="6" t="str">
        <f>VLOOKUP(Tabela1[[#This Row],[SKU]],SKU!A:C,3,0)</f>
        <v>PERNA</v>
      </c>
    </row>
    <row r="1228" spans="1:29" x14ac:dyDescent="0.3">
      <c r="A1228" s="2">
        <f>INT(Tabela1[[#This Row],[Data e Hora2]])</f>
        <v>46295</v>
      </c>
      <c r="B1228" s="6" t="str">
        <f>UPPER(TEXT(Tabela1[[#This Row],[Data Corrigida]],"MMM"))</f>
        <v>SET</v>
      </c>
      <c r="C1228" t="s">
        <v>2729</v>
      </c>
      <c r="D1228" s="2" t="s">
        <v>2730</v>
      </c>
      <c r="E1228" s="1" t="s">
        <v>2728</v>
      </c>
      <c r="F1228" t="s">
        <v>24</v>
      </c>
      <c r="G1228" s="2" t="s">
        <v>2621</v>
      </c>
      <c r="H1228" t="s">
        <v>26</v>
      </c>
      <c r="I1228" t="s">
        <v>27</v>
      </c>
      <c r="J1228" s="6">
        <v>40762</v>
      </c>
      <c r="K1228" s="16">
        <v>9980</v>
      </c>
      <c r="L1228" s="16">
        <v>10055</v>
      </c>
      <c r="M1228" s="16">
        <v>9990</v>
      </c>
      <c r="N1228" s="16">
        <v>10035</v>
      </c>
      <c r="O1228" s="16">
        <v>10065</v>
      </c>
      <c r="P1228" s="16">
        <v>10000</v>
      </c>
      <c r="Q1228" s="16">
        <v>10065</v>
      </c>
      <c r="R1228" s="16">
        <v>10000</v>
      </c>
      <c r="S1228" s="16">
        <v>9950</v>
      </c>
      <c r="T1228" s="16">
        <v>10085</v>
      </c>
      <c r="U1228" s="15">
        <v>10022.5</v>
      </c>
      <c r="V1228" t="s">
        <v>19</v>
      </c>
      <c r="W1228" t="s">
        <v>28</v>
      </c>
      <c r="X1228">
        <v>9628</v>
      </c>
      <c r="Y1228" s="16">
        <f>VLOOKUP(Tabela1[[#This Row],[SKU]],SKU!A:D,4,0)</f>
        <v>10000</v>
      </c>
      <c r="Z1228" s="18">
        <f>IFERROR((Tabela1[[#This Row],[Média]]-Tabela1[[#This Row],[Meta]])/Tabela1[[#This Row],[Meta]],"")</f>
        <v>2.2499999999999998E-3</v>
      </c>
      <c r="AA1228" s="31">
        <f>Tabela1[[#This Row],[Média]]-Tabela1[[#This Row],[Meta]]</f>
        <v>22.5</v>
      </c>
      <c r="AB1228" s="6" t="str">
        <f>VLOOKUP(Tabela1[[#This Row],[SKU]],SKU!A:B,2,0)</f>
        <v>COXA SBCX LQ FG LP</v>
      </c>
      <c r="AC1228" s="6" t="str">
        <f>VLOOKUP(Tabela1[[#This Row],[SKU]],SKU!A:C,3,0)</f>
        <v>PERNA</v>
      </c>
    </row>
    <row r="1229" spans="1:29" x14ac:dyDescent="0.3">
      <c r="A1229" s="2">
        <f>INT(Tabela1[[#This Row],[Data e Hora2]])</f>
        <v>46295</v>
      </c>
      <c r="B1229" s="6" t="str">
        <f>UPPER(TEXT(Tabela1[[#This Row],[Data Corrigida]],"MMM"))</f>
        <v>SET</v>
      </c>
      <c r="C1229" t="s">
        <v>2731</v>
      </c>
      <c r="D1229" s="2" t="s">
        <v>2732</v>
      </c>
      <c r="E1229" s="1" t="s">
        <v>2728</v>
      </c>
      <c r="F1229" t="s">
        <v>24</v>
      </c>
      <c r="G1229" s="2" t="s">
        <v>2621</v>
      </c>
      <c r="H1229" t="s">
        <v>26</v>
      </c>
      <c r="I1229" t="s">
        <v>27</v>
      </c>
      <c r="J1229" s="6">
        <v>13188</v>
      </c>
      <c r="K1229" s="16">
        <v>1014</v>
      </c>
      <c r="L1229" s="16">
        <v>1011</v>
      </c>
      <c r="M1229" s="16">
        <v>1006</v>
      </c>
      <c r="N1229" s="16">
        <v>1008</v>
      </c>
      <c r="O1229" s="16">
        <v>1003</v>
      </c>
      <c r="P1229" s="16">
        <v>1016</v>
      </c>
      <c r="Q1229" s="16">
        <v>1011</v>
      </c>
      <c r="R1229" s="16">
        <v>1012</v>
      </c>
      <c r="S1229" s="16">
        <v>1023</v>
      </c>
      <c r="T1229" s="16">
        <v>1018</v>
      </c>
      <c r="U1229" s="15">
        <v>1012.2</v>
      </c>
      <c r="V1229" t="s">
        <v>19</v>
      </c>
      <c r="W1229" t="s">
        <v>28</v>
      </c>
      <c r="X1229">
        <v>10018</v>
      </c>
      <c r="Y1229" s="16">
        <f>VLOOKUP(Tabela1[[#This Row],[SKU]],SKU!A:D,4,0)</f>
        <v>1000</v>
      </c>
      <c r="Z1229" s="18">
        <f>IFERROR((Tabela1[[#This Row],[Média]]-Tabela1[[#This Row],[Meta]])/Tabela1[[#This Row],[Meta]],"")</f>
        <v>1.2200000000000046E-2</v>
      </c>
      <c r="AA1229" s="31">
        <f>Tabela1[[#This Row],[Média]]-Tabela1[[#This Row],[Meta]]</f>
        <v>12.200000000000045</v>
      </c>
      <c r="AB1229" s="6" t="str">
        <f>VLOOKUP(Tabela1[[#This Row],[SKU]],SKU!A:B,2,0)</f>
        <v>SOBRECOXA CG BDJ SE</v>
      </c>
      <c r="AC1229" s="6" t="str">
        <f>VLOOKUP(Tabela1[[#This Row],[SKU]],SKU!A:C,3,0)</f>
        <v>PERNA</v>
      </c>
    </row>
    <row r="1230" spans="1:29" x14ac:dyDescent="0.3">
      <c r="A1230" s="2">
        <f>INT(Tabela1[[#This Row],[Data e Hora2]])</f>
        <v>46295</v>
      </c>
      <c r="B1230" s="6" t="str">
        <f>UPPER(TEXT(Tabela1[[#This Row],[Data Corrigida]],"MMM"))</f>
        <v>SET</v>
      </c>
      <c r="C1230" t="s">
        <v>2733</v>
      </c>
      <c r="D1230" s="2" t="s">
        <v>2734</v>
      </c>
      <c r="E1230" s="1" t="s">
        <v>2728</v>
      </c>
      <c r="F1230" t="s">
        <v>24</v>
      </c>
      <c r="G1230" s="2" t="s">
        <v>2621</v>
      </c>
      <c r="H1230" t="s">
        <v>26</v>
      </c>
      <c r="I1230" t="s">
        <v>27</v>
      </c>
      <c r="J1230" s="6">
        <v>15849</v>
      </c>
      <c r="K1230" s="16">
        <v>1008</v>
      </c>
      <c r="L1230" s="16">
        <v>1007</v>
      </c>
      <c r="M1230" s="16">
        <v>1014</v>
      </c>
      <c r="N1230" s="16">
        <v>1006</v>
      </c>
      <c r="O1230" s="16">
        <v>998</v>
      </c>
      <c r="P1230" s="16">
        <v>1013</v>
      </c>
      <c r="Q1230" s="16">
        <v>1018</v>
      </c>
      <c r="R1230" s="16">
        <v>1014</v>
      </c>
      <c r="S1230" s="16">
        <v>1008</v>
      </c>
      <c r="T1230" s="16">
        <v>1012</v>
      </c>
      <c r="U1230" s="15">
        <v>1009.8</v>
      </c>
      <c r="V1230" t="s">
        <v>19</v>
      </c>
      <c r="W1230" t="s">
        <v>19</v>
      </c>
      <c r="X1230">
        <v>10103</v>
      </c>
      <c r="Y1230" s="16">
        <f>VLOOKUP(Tabela1[[#This Row],[SKU]],SKU!A:D,4,0)</f>
        <v>1000</v>
      </c>
      <c r="Z1230" s="18">
        <f>IFERROR((Tabela1[[#This Row],[Média]]-Tabela1[[#This Row],[Meta]])/Tabela1[[#This Row],[Meta]],"")</f>
        <v>9.7999999999999546E-3</v>
      </c>
      <c r="AA1230" s="31">
        <f>Tabela1[[#This Row],[Média]]-Tabela1[[#This Row],[Meta]]</f>
        <v>9.7999999999999545</v>
      </c>
      <c r="AB1230" s="6" t="str">
        <f>VLOOKUP(Tabela1[[#This Row],[SKU]],SKU!A:B,2,0)</f>
        <v>FILEZINHO PEITO CG BDJ SE</v>
      </c>
      <c r="AC1230" s="6" t="str">
        <f>VLOOKUP(Tabela1[[#This Row],[SKU]],SKU!A:C,3,0)</f>
        <v>SASSAMI</v>
      </c>
    </row>
    <row r="1231" spans="1:29" x14ac:dyDescent="0.3">
      <c r="A1231" s="2">
        <f>INT(Tabela1[[#This Row],[Data e Hora2]])</f>
        <v>46295</v>
      </c>
      <c r="B1231" s="6" t="str">
        <f>UPPER(TEXT(Tabela1[[#This Row],[Data Corrigida]],"MMM"))</f>
        <v>SET</v>
      </c>
      <c r="C1231" t="s">
        <v>2735</v>
      </c>
      <c r="D1231" s="2" t="s">
        <v>2736</v>
      </c>
      <c r="E1231" s="1" t="s">
        <v>2728</v>
      </c>
      <c r="F1231" t="s">
        <v>24</v>
      </c>
      <c r="G1231" s="2" t="s">
        <v>2621</v>
      </c>
      <c r="H1231" t="s">
        <v>26</v>
      </c>
      <c r="I1231" t="s">
        <v>27</v>
      </c>
      <c r="J1231" s="6">
        <v>15105</v>
      </c>
      <c r="K1231" s="16">
        <v>1047</v>
      </c>
      <c r="L1231" s="16">
        <v>1010</v>
      </c>
      <c r="M1231" s="16">
        <v>1023</v>
      </c>
      <c r="N1231" s="16">
        <v>1039</v>
      </c>
      <c r="O1231" s="16">
        <v>1001</v>
      </c>
      <c r="P1231" s="16">
        <v>998</v>
      </c>
      <c r="Q1231" s="16">
        <v>1030</v>
      </c>
      <c r="R1231" s="16">
        <v>1062</v>
      </c>
      <c r="S1231" s="16">
        <v>1061</v>
      </c>
      <c r="T1231" s="16">
        <v>1031</v>
      </c>
      <c r="U1231" s="15">
        <v>1030.2</v>
      </c>
      <c r="V1231" t="s">
        <v>19</v>
      </c>
      <c r="W1231" t="s">
        <v>28</v>
      </c>
      <c r="X1231">
        <v>10330</v>
      </c>
      <c r="Y1231" s="16">
        <f>VLOOKUP(Tabela1[[#This Row],[SKU]],SKU!A:D,4,0)</f>
        <v>1000</v>
      </c>
      <c r="Z1231" s="18">
        <f>IFERROR((Tabela1[[#This Row],[Média]]-Tabela1[[#This Row],[Meta]])/Tabela1[[#This Row],[Meta]],"")</f>
        <v>3.0200000000000046E-2</v>
      </c>
      <c r="AA1231" s="31">
        <f>Tabela1[[#This Row],[Média]]-Tabela1[[#This Row],[Meta]]</f>
        <v>30.200000000000045</v>
      </c>
      <c r="AB1231" s="6" t="str">
        <f>VLOOKUP(Tabela1[[#This Row],[SKU]],SKU!A:B,2,0)</f>
        <v>FILE PEITO MET CG BDJ SE</v>
      </c>
      <c r="AC1231" s="6" t="str">
        <f>VLOOKUP(Tabela1[[#This Row],[SKU]],SKU!A:C,3,0)</f>
        <v>PEITO</v>
      </c>
    </row>
    <row r="1232" spans="1:29" x14ac:dyDescent="0.3">
      <c r="A1232" s="2">
        <f>INT(Tabela1[[#This Row],[Data e Hora2]])</f>
        <v>46295</v>
      </c>
      <c r="B1232" s="6" t="str">
        <f>UPPER(TEXT(Tabela1[[#This Row],[Data Corrigida]],"MMM"))</f>
        <v>SET</v>
      </c>
      <c r="C1232" t="s">
        <v>2737</v>
      </c>
      <c r="D1232" s="2" t="s">
        <v>2738</v>
      </c>
      <c r="E1232" s="1" t="s">
        <v>2728</v>
      </c>
      <c r="F1232" t="s">
        <v>24</v>
      </c>
      <c r="G1232" s="2" t="s">
        <v>2621</v>
      </c>
      <c r="H1232" t="s">
        <v>26</v>
      </c>
      <c r="I1232" t="s">
        <v>27</v>
      </c>
      <c r="J1232" s="6">
        <v>209319</v>
      </c>
      <c r="K1232" s="16">
        <v>1009</v>
      </c>
      <c r="L1232" s="16">
        <v>1042</v>
      </c>
      <c r="M1232" s="16">
        <v>1058</v>
      </c>
      <c r="N1232" s="16">
        <v>1077</v>
      </c>
      <c r="O1232" s="16">
        <v>1050</v>
      </c>
      <c r="P1232" s="16">
        <v>1007</v>
      </c>
      <c r="Q1232" s="16">
        <v>1010</v>
      </c>
      <c r="R1232" s="16">
        <v>1009</v>
      </c>
      <c r="S1232" s="16">
        <v>1077</v>
      </c>
      <c r="T1232" s="16">
        <v>1043</v>
      </c>
      <c r="U1232" s="15">
        <v>1038.2</v>
      </c>
      <c r="V1232" t="s">
        <v>19</v>
      </c>
      <c r="W1232" t="s">
        <v>28</v>
      </c>
      <c r="X1232">
        <v>13610</v>
      </c>
      <c r="Y1232" s="16">
        <f>VLOOKUP(Tabela1[[#This Row],[SKU]],SKU!A:D,4,0)</f>
        <v>1000</v>
      </c>
      <c r="Z1232" s="18">
        <f>IFERROR((Tabela1[[#This Row],[Média]]-Tabela1[[#This Row],[Meta]])/Tabela1[[#This Row],[Meta]],"")</f>
        <v>3.8200000000000046E-2</v>
      </c>
      <c r="AA1232" s="31">
        <f>Tabela1[[#This Row],[Média]]-Tabela1[[#This Row],[Meta]]</f>
        <v>38.200000000000045</v>
      </c>
      <c r="AB1232" s="6" t="str">
        <f>VLOOKUP(Tabela1[[#This Row],[SKU]],SKU!A:B,2,0)</f>
        <v>SOBRECOXA IQF ALM 1KG</v>
      </c>
      <c r="AC1232" s="6" t="str">
        <f>VLOOKUP(Tabela1[[#This Row],[SKU]],SKU!A:C,3,0)</f>
        <v>PERNA</v>
      </c>
    </row>
    <row r="1233" spans="1:29" x14ac:dyDescent="0.3">
      <c r="A1233" s="2">
        <f>INT(Tabela1[[#This Row],[Data e Hora2]])</f>
        <v>46295</v>
      </c>
      <c r="B1233" s="6" t="str">
        <f>UPPER(TEXT(Tabela1[[#This Row],[Data Corrigida]],"MMM"))</f>
        <v>SET</v>
      </c>
      <c r="C1233" t="s">
        <v>2739</v>
      </c>
      <c r="D1233" s="2" t="s">
        <v>2740</v>
      </c>
      <c r="E1233" s="1" t="s">
        <v>2728</v>
      </c>
      <c r="F1233" t="s">
        <v>24</v>
      </c>
      <c r="G1233" s="2" t="s">
        <v>2621</v>
      </c>
      <c r="H1233" t="s">
        <v>26</v>
      </c>
      <c r="I1233" t="s">
        <v>27</v>
      </c>
      <c r="J1233" s="6">
        <v>42854</v>
      </c>
      <c r="K1233" s="16">
        <v>2088</v>
      </c>
      <c r="L1233" s="16">
        <v>2095</v>
      </c>
      <c r="M1233" s="16">
        <v>2092</v>
      </c>
      <c r="N1233" s="16">
        <v>2116</v>
      </c>
      <c r="O1233" s="16">
        <v>2086</v>
      </c>
      <c r="P1233" s="16">
        <v>2100</v>
      </c>
      <c r="Q1233" s="16">
        <v>2070</v>
      </c>
      <c r="R1233" s="16">
        <v>2091</v>
      </c>
      <c r="S1233" s="16">
        <v>2037</v>
      </c>
      <c r="T1233" s="16">
        <v>2115</v>
      </c>
      <c r="U1233" s="15">
        <v>2089</v>
      </c>
      <c r="V1233" t="s">
        <v>19</v>
      </c>
      <c r="W1233" t="s">
        <v>28</v>
      </c>
      <c r="X1233">
        <v>12258</v>
      </c>
      <c r="Y1233" s="16">
        <f>VLOOKUP(Tabela1[[#This Row],[SKU]],SKU!A:D,4,0)</f>
        <v>2080</v>
      </c>
      <c r="Z1233" s="18">
        <f>IFERROR((Tabela1[[#This Row],[Média]]-Tabela1[[#This Row],[Meta]])/Tabela1[[#This Row],[Meta]],"")</f>
        <v>4.3269230769230772E-3</v>
      </c>
      <c r="AA1233" s="31">
        <f>Tabela1[[#This Row],[Média]]-Tabela1[[#This Row],[Meta]]</f>
        <v>9</v>
      </c>
      <c r="AB1233" s="6" t="str">
        <f>VLOOKUP(Tabela1[[#This Row],[SKU]],SKU!A:B,2,0)</f>
        <v>COXA SBCX S/O FG 260-280g PB</v>
      </c>
      <c r="AC1233" s="6" t="str">
        <f>VLOOKUP(Tabela1[[#This Row],[SKU]],SKU!A:C,3,0)</f>
        <v>PERNA</v>
      </c>
    </row>
    <row r="1234" spans="1:29" x14ac:dyDescent="0.3">
      <c r="A1234" s="2">
        <f>INT(Tabela1[[#This Row],[Data e Hora2]])</f>
        <v>46295</v>
      </c>
      <c r="B1234" s="6" t="str">
        <f>UPPER(TEXT(Tabela1[[#This Row],[Data Corrigida]],"MMM"))</f>
        <v>SET</v>
      </c>
      <c r="C1234" t="s">
        <v>2741</v>
      </c>
      <c r="D1234" s="2" t="s">
        <v>2742</v>
      </c>
      <c r="E1234" s="1" t="s">
        <v>2743</v>
      </c>
      <c r="F1234" t="s">
        <v>24</v>
      </c>
      <c r="G1234" s="2" t="s">
        <v>2621</v>
      </c>
      <c r="H1234" t="s">
        <v>26</v>
      </c>
      <c r="I1234" t="s">
        <v>27</v>
      </c>
      <c r="J1234" s="6">
        <v>42862</v>
      </c>
      <c r="K1234" s="16">
        <v>1989</v>
      </c>
      <c r="L1234" s="16">
        <v>1999</v>
      </c>
      <c r="M1234" s="16">
        <v>2020</v>
      </c>
      <c r="N1234" s="16">
        <v>1997</v>
      </c>
      <c r="O1234" s="16">
        <v>2020</v>
      </c>
      <c r="P1234" s="16">
        <v>2007</v>
      </c>
      <c r="Q1234" s="16">
        <v>2018</v>
      </c>
      <c r="R1234" s="16">
        <v>2015</v>
      </c>
      <c r="S1234" s="16">
        <v>2012</v>
      </c>
      <c r="T1234" s="16">
        <v>2002</v>
      </c>
      <c r="U1234" s="15">
        <v>2007.9</v>
      </c>
      <c r="V1234" t="s">
        <v>19</v>
      </c>
      <c r="W1234" t="s">
        <v>28</v>
      </c>
      <c r="X1234">
        <v>21377</v>
      </c>
      <c r="Y1234" s="16">
        <f>VLOOKUP(Tabela1[[#This Row],[SKU]],SKU!A:D,4,0)</f>
        <v>2000</v>
      </c>
      <c r="Z1234" s="18">
        <f>IFERROR((Tabela1[[#This Row],[Média]]-Tabela1[[#This Row],[Meta]])/Tabela1[[#This Row],[Meta]],"")</f>
        <v>3.9500000000000455E-3</v>
      </c>
      <c r="AA1234" s="31">
        <f>Tabela1[[#This Row],[Média]]-Tabela1[[#This Row],[Meta]]</f>
        <v>7.9000000000000909</v>
      </c>
      <c r="AB1234" s="6" t="str">
        <f>VLOOKUP(Tabela1[[#This Row],[SKU]],SKU!A:B,2,0)</f>
        <v>COXA SBCX S/O FG 280-300g PB</v>
      </c>
      <c r="AC1234" s="6" t="str">
        <f>VLOOKUP(Tabela1[[#This Row],[SKU]],SKU!A:C,3,0)</f>
        <v>PERNA</v>
      </c>
    </row>
    <row r="1235" spans="1:29" x14ac:dyDescent="0.3">
      <c r="A1235" s="2">
        <f>INT(Tabela1[[#This Row],[Data e Hora2]])</f>
        <v>46295</v>
      </c>
      <c r="B1235" s="6" t="str">
        <f>UPPER(TEXT(Tabela1[[#This Row],[Data Corrigida]],"MMM"))</f>
        <v>SET</v>
      </c>
      <c r="C1235" t="s">
        <v>2744</v>
      </c>
      <c r="D1235" s="2" t="s">
        <v>2745</v>
      </c>
      <c r="E1235" s="1" t="s">
        <v>2743</v>
      </c>
      <c r="F1235" t="s">
        <v>24</v>
      </c>
      <c r="G1235" s="2" t="s">
        <v>2621</v>
      </c>
      <c r="H1235" t="s">
        <v>26</v>
      </c>
      <c r="I1235" t="s">
        <v>27</v>
      </c>
      <c r="J1235" s="6">
        <v>42820</v>
      </c>
      <c r="K1235" s="16">
        <v>2066</v>
      </c>
      <c r="L1235" s="16">
        <v>2031</v>
      </c>
      <c r="M1235" s="16">
        <v>2030</v>
      </c>
      <c r="N1235" s="16">
        <v>2042</v>
      </c>
      <c r="O1235" s="16">
        <v>2020</v>
      </c>
      <c r="P1235" s="16">
        <v>2078</v>
      </c>
      <c r="Q1235" s="16">
        <v>2021</v>
      </c>
      <c r="R1235" s="16">
        <v>2050</v>
      </c>
      <c r="S1235" s="16">
        <v>2045</v>
      </c>
      <c r="T1235" s="16">
        <v>2066</v>
      </c>
      <c r="U1235" s="15">
        <v>2044.9</v>
      </c>
      <c r="V1235" t="s">
        <v>19</v>
      </c>
      <c r="W1235" t="s">
        <v>28</v>
      </c>
      <c r="X1235">
        <v>12495</v>
      </c>
      <c r="Y1235" s="16">
        <f>VLOOKUP(Tabela1[[#This Row],[SKU]],SKU!A:D,4,0)</f>
        <v>2000</v>
      </c>
      <c r="Z1235" s="18">
        <f>IFERROR((Tabela1[[#This Row],[Média]]-Tabela1[[#This Row],[Meta]])/Tabela1[[#This Row],[Meta]],"")</f>
        <v>2.2450000000000046E-2</v>
      </c>
      <c r="AA1235" s="31">
        <f>Tabela1[[#This Row],[Média]]-Tabela1[[#This Row],[Meta]]</f>
        <v>44.900000000000091</v>
      </c>
      <c r="AB1235" s="6" t="str">
        <f>VLOOKUP(Tabela1[[#This Row],[SKU]],SKU!A:B,2,0)</f>
        <v>COXA SBCX S/O FG 200-220g PB</v>
      </c>
      <c r="AC1235" s="6" t="str">
        <f>VLOOKUP(Tabela1[[#This Row],[SKU]],SKU!A:C,3,0)</f>
        <v>PERNA</v>
      </c>
    </row>
    <row r="1236" spans="1:29" x14ac:dyDescent="0.3">
      <c r="A1236" s="2">
        <f>INT(Tabela1[[#This Row],[Data e Hora2]])</f>
        <v>46295</v>
      </c>
      <c r="B1236" s="6" t="str">
        <f>UPPER(TEXT(Tabela1[[#This Row],[Data Corrigida]],"MMM"))</f>
        <v>SET</v>
      </c>
      <c r="C1236" t="s">
        <v>2746</v>
      </c>
      <c r="D1236" s="2" t="s">
        <v>2747</v>
      </c>
      <c r="E1236" s="1" t="s">
        <v>2743</v>
      </c>
      <c r="F1236" t="s">
        <v>24</v>
      </c>
      <c r="G1236" s="2" t="s">
        <v>2621</v>
      </c>
      <c r="H1236" t="s">
        <v>26</v>
      </c>
      <c r="I1236" t="s">
        <v>27</v>
      </c>
      <c r="J1236" s="6">
        <v>42838</v>
      </c>
      <c r="K1236" s="16">
        <v>2020</v>
      </c>
      <c r="L1236" s="16">
        <v>1956</v>
      </c>
      <c r="M1236" s="16">
        <v>2013</v>
      </c>
      <c r="N1236" s="16">
        <v>2027</v>
      </c>
      <c r="O1236" s="16">
        <v>2016</v>
      </c>
      <c r="P1236" s="16">
        <v>2041</v>
      </c>
      <c r="Q1236" s="16">
        <v>1992</v>
      </c>
      <c r="R1236" s="16">
        <v>2009</v>
      </c>
      <c r="S1236" s="16">
        <v>2029</v>
      </c>
      <c r="T1236" s="16">
        <v>2032</v>
      </c>
      <c r="U1236" s="15">
        <v>2013.5</v>
      </c>
      <c r="V1236" t="s">
        <v>19</v>
      </c>
      <c r="W1236" t="s">
        <v>28</v>
      </c>
      <c r="X1236">
        <v>21662</v>
      </c>
      <c r="Y1236" s="16">
        <f>VLOOKUP(Tabela1[[#This Row],[SKU]],SKU!A:D,4,0)</f>
        <v>2000</v>
      </c>
      <c r="Z1236" s="18">
        <f>IFERROR((Tabela1[[#This Row],[Média]]-Tabela1[[#This Row],[Meta]])/Tabela1[[#This Row],[Meta]],"")</f>
        <v>6.7499999999999999E-3</v>
      </c>
      <c r="AA1236" s="31">
        <f>Tabela1[[#This Row],[Média]]-Tabela1[[#This Row],[Meta]]</f>
        <v>13.5</v>
      </c>
      <c r="AB1236" s="6" t="str">
        <f>VLOOKUP(Tabela1[[#This Row],[SKU]],SKU!A:B,2,0)</f>
        <v>COXA SBCX S/O FG 220-240g PB</v>
      </c>
      <c r="AC1236" s="6" t="str">
        <f>VLOOKUP(Tabela1[[#This Row],[SKU]],SKU!A:C,3,0)</f>
        <v>PERNA</v>
      </c>
    </row>
    <row r="1237" spans="1:29" x14ac:dyDescent="0.3">
      <c r="A1237" s="2">
        <f>INT(Tabela1[[#This Row],[Data e Hora2]])</f>
        <v>46295</v>
      </c>
      <c r="B1237" s="6" t="str">
        <f>UPPER(TEXT(Tabela1[[#This Row],[Data Corrigida]],"MMM"))</f>
        <v>SET</v>
      </c>
      <c r="C1237" t="s">
        <v>2748</v>
      </c>
      <c r="D1237" s="2" t="s">
        <v>2749</v>
      </c>
      <c r="E1237" s="1" t="s">
        <v>2743</v>
      </c>
      <c r="F1237" t="s">
        <v>24</v>
      </c>
      <c r="G1237" s="2" t="s">
        <v>2621</v>
      </c>
      <c r="H1237" t="s">
        <v>26</v>
      </c>
      <c r="I1237" t="s">
        <v>27</v>
      </c>
      <c r="J1237" s="6">
        <v>50580</v>
      </c>
      <c r="K1237" s="16">
        <v>2014</v>
      </c>
      <c r="L1237" s="16">
        <v>2009</v>
      </c>
      <c r="M1237" s="16">
        <v>2000</v>
      </c>
      <c r="N1237" s="16">
        <v>2047</v>
      </c>
      <c r="O1237" s="16">
        <v>2021</v>
      </c>
      <c r="P1237" s="16">
        <v>2019</v>
      </c>
      <c r="Q1237" s="16">
        <v>2039</v>
      </c>
      <c r="R1237" s="16">
        <v>2044</v>
      </c>
      <c r="S1237" s="16">
        <v>2126</v>
      </c>
      <c r="T1237" s="16">
        <v>2025</v>
      </c>
      <c r="U1237" s="15">
        <v>2034.4</v>
      </c>
      <c r="V1237" t="s">
        <v>19</v>
      </c>
      <c r="W1237" t="s">
        <v>28</v>
      </c>
      <c r="X1237">
        <v>21737</v>
      </c>
      <c r="Y1237" s="16">
        <f>VLOOKUP(Tabela1[[#This Row],[SKU]],SKU!A:D,4,0)</f>
        <v>2000</v>
      </c>
      <c r="Z1237" s="18">
        <f>IFERROR((Tabela1[[#This Row],[Média]]-Tabela1[[#This Row],[Meta]])/Tabela1[[#This Row],[Meta]],"")</f>
        <v>1.7200000000000045E-2</v>
      </c>
      <c r="AA1237" s="31">
        <f>Tabela1[[#This Row],[Média]]-Tabela1[[#This Row],[Meta]]</f>
        <v>34.400000000000091</v>
      </c>
      <c r="AB1237" s="6" t="str">
        <f>VLOOKUP(Tabela1[[#This Row],[SKU]],SKU!A:B,2,0)</f>
        <v>COXA SBCX S/O FG 200g UP PB</v>
      </c>
      <c r="AC1237" s="6" t="str">
        <f>VLOOKUP(Tabela1[[#This Row],[SKU]],SKU!A:C,3,0)</f>
        <v>PERNA</v>
      </c>
    </row>
    <row r="1238" spans="1:29" x14ac:dyDescent="0.3">
      <c r="A1238" s="2">
        <f>INT(Tabela1[[#This Row],[Data e Hora2]])</f>
        <v>46295</v>
      </c>
      <c r="B1238" s="6" t="str">
        <f>UPPER(TEXT(Tabela1[[#This Row],[Data Corrigida]],"MMM"))</f>
        <v>SET</v>
      </c>
      <c r="C1238" t="s">
        <v>2750</v>
      </c>
      <c r="D1238" s="2" t="s">
        <v>2751</v>
      </c>
      <c r="E1238" s="1" t="s">
        <v>2743</v>
      </c>
      <c r="F1238" t="s">
        <v>24</v>
      </c>
      <c r="G1238" s="2" t="s">
        <v>2621</v>
      </c>
      <c r="H1238" t="s">
        <v>26</v>
      </c>
      <c r="I1238" t="s">
        <v>27</v>
      </c>
      <c r="J1238" s="6">
        <v>42846</v>
      </c>
      <c r="K1238" s="16">
        <v>2005</v>
      </c>
      <c r="L1238" s="16">
        <v>2009</v>
      </c>
      <c r="M1238" s="16">
        <v>2029</v>
      </c>
      <c r="N1238" s="16">
        <v>2002</v>
      </c>
      <c r="O1238" s="16">
        <v>2023</v>
      </c>
      <c r="P1238" s="16">
        <v>2008</v>
      </c>
      <c r="Q1238" s="16">
        <v>2006</v>
      </c>
      <c r="R1238" s="16">
        <v>2016</v>
      </c>
      <c r="S1238" s="16">
        <v>2009</v>
      </c>
      <c r="T1238" s="16">
        <v>2011</v>
      </c>
      <c r="U1238" s="15">
        <v>2011.8</v>
      </c>
      <c r="V1238" t="s">
        <v>19</v>
      </c>
      <c r="W1238" t="s">
        <v>28</v>
      </c>
      <c r="X1238">
        <v>22233</v>
      </c>
      <c r="Y1238" s="16">
        <f>VLOOKUP(Tabela1[[#This Row],[SKU]],SKU!A:D,4,0)</f>
        <v>2000</v>
      </c>
      <c r="Z1238" s="18">
        <f>IFERROR((Tabela1[[#This Row],[Média]]-Tabela1[[#This Row],[Meta]])/Tabela1[[#This Row],[Meta]],"")</f>
        <v>5.8999999999999773E-3</v>
      </c>
      <c r="AA1238" s="31">
        <f>Tabela1[[#This Row],[Média]]-Tabela1[[#This Row],[Meta]]</f>
        <v>11.799999999999955</v>
      </c>
      <c r="AB1238" s="6" t="str">
        <f>VLOOKUP(Tabela1[[#This Row],[SKU]],SKU!A:B,2,0)</f>
        <v>COXA SBCX S/O FG 240-260g PB</v>
      </c>
      <c r="AC1238" s="6" t="str">
        <f>VLOOKUP(Tabela1[[#This Row],[SKU]],SKU!A:C,3,0)</f>
        <v>PERNA</v>
      </c>
    </row>
    <row r="1239" spans="1:29" x14ac:dyDescent="0.3">
      <c r="A1239" s="2">
        <f>INT(Tabela1[[#This Row],[Data e Hora2]])</f>
        <v>46295</v>
      </c>
      <c r="B1239" s="6" t="str">
        <f>UPPER(TEXT(Tabela1[[#This Row],[Data Corrigida]],"MMM"))</f>
        <v>SET</v>
      </c>
      <c r="C1239" t="s">
        <v>2752</v>
      </c>
      <c r="D1239" s="2" t="s">
        <v>2753</v>
      </c>
      <c r="E1239" s="1" t="s">
        <v>2743</v>
      </c>
      <c r="F1239" t="s">
        <v>24</v>
      </c>
      <c r="G1239" s="2" t="s">
        <v>2621</v>
      </c>
      <c r="H1239" t="s">
        <v>26</v>
      </c>
      <c r="I1239" t="s">
        <v>27</v>
      </c>
      <c r="J1239" s="6">
        <v>15229</v>
      </c>
      <c r="K1239" s="16">
        <v>995</v>
      </c>
      <c r="L1239" s="16">
        <v>995</v>
      </c>
      <c r="M1239" s="16">
        <v>1017</v>
      </c>
      <c r="N1239" s="16">
        <v>1015</v>
      </c>
      <c r="O1239" s="16">
        <v>1017</v>
      </c>
      <c r="P1239" s="16">
        <v>917</v>
      </c>
      <c r="Q1239" s="16">
        <v>1014</v>
      </c>
      <c r="R1239" s="16">
        <v>1006</v>
      </c>
      <c r="S1239" s="16">
        <v>1009</v>
      </c>
      <c r="T1239" s="16">
        <v>1005</v>
      </c>
      <c r="U1239" s="15">
        <v>999</v>
      </c>
      <c r="V1239" t="s">
        <v>19</v>
      </c>
      <c r="W1239" t="s">
        <v>28</v>
      </c>
      <c r="X1239">
        <v>27121</v>
      </c>
      <c r="Y1239" s="16">
        <f>VLOOKUP(Tabela1[[#This Row],[SKU]],SKU!A:D,4,0)</f>
        <v>1000</v>
      </c>
      <c r="Z1239" s="18">
        <f>IFERROR((Tabela1[[#This Row],[Média]]-Tabela1[[#This Row],[Meta]])/Tabela1[[#This Row],[Meta]],"")</f>
        <v>-1E-3</v>
      </c>
      <c r="AA1239" s="31">
        <f>Tabela1[[#This Row],[Média]]-Tabela1[[#This Row],[Meta]]</f>
        <v>-1</v>
      </c>
      <c r="AB1239" s="6" t="str">
        <f>VLOOKUP(Tabela1[[#This Row],[SKU]],SKU!A:B,2,0)</f>
        <v>COXA CG BDJ SE</v>
      </c>
      <c r="AC1239" s="6" t="str">
        <f>VLOOKUP(Tabela1[[#This Row],[SKU]],SKU!A:C,3,0)</f>
        <v>PERNA</v>
      </c>
    </row>
    <row r="1240" spans="1:29" x14ac:dyDescent="0.3">
      <c r="A1240" s="2">
        <f>INT(Tabela1[[#This Row],[Data e Hora2]])</f>
        <v>46295</v>
      </c>
      <c r="B1240" s="6" t="str">
        <f>UPPER(TEXT(Tabela1[[#This Row],[Data Corrigida]],"MMM"))</f>
        <v>SET</v>
      </c>
      <c r="C1240" t="s">
        <v>2754</v>
      </c>
      <c r="D1240" s="2" t="s">
        <v>2755</v>
      </c>
      <c r="E1240" s="1" t="s">
        <v>2743</v>
      </c>
      <c r="F1240" t="s">
        <v>24</v>
      </c>
      <c r="G1240" s="2" t="s">
        <v>2621</v>
      </c>
      <c r="H1240" t="s">
        <v>26</v>
      </c>
      <c r="I1240" t="s">
        <v>27</v>
      </c>
      <c r="J1240" s="6">
        <v>40762</v>
      </c>
      <c r="K1240" s="16">
        <v>10010</v>
      </c>
      <c r="L1240" s="16">
        <v>8975</v>
      </c>
      <c r="M1240" s="16">
        <v>8890</v>
      </c>
      <c r="N1240" s="16">
        <v>9050</v>
      </c>
      <c r="O1240" s="16">
        <v>8945</v>
      </c>
      <c r="P1240" s="16">
        <v>10090</v>
      </c>
      <c r="Q1240" s="16">
        <v>10060</v>
      </c>
      <c r="R1240" s="16">
        <v>9950</v>
      </c>
      <c r="S1240" s="16">
        <v>8895</v>
      </c>
      <c r="T1240" s="16">
        <v>8930</v>
      </c>
      <c r="U1240" s="15">
        <v>9379.5</v>
      </c>
      <c r="V1240" t="s">
        <v>19</v>
      </c>
      <c r="W1240" t="s">
        <v>28</v>
      </c>
      <c r="X1240">
        <v>1103</v>
      </c>
      <c r="Y1240" s="16">
        <f>VLOOKUP(Tabela1[[#This Row],[SKU]],SKU!A:D,4,0)</f>
        <v>10000</v>
      </c>
      <c r="Z1240" s="18">
        <f>IFERROR((Tabela1[[#This Row],[Média]]-Tabela1[[#This Row],[Meta]])/Tabela1[[#This Row],[Meta]],"")</f>
        <v>-6.2050000000000001E-2</v>
      </c>
      <c r="AA1240" s="31">
        <f>Tabela1[[#This Row],[Média]]-Tabela1[[#This Row],[Meta]]</f>
        <v>-620.5</v>
      </c>
      <c r="AB1240" s="6" t="str">
        <f>VLOOKUP(Tabela1[[#This Row],[SKU]],SKU!A:B,2,0)</f>
        <v>COXA SBCX LQ FG LP</v>
      </c>
      <c r="AC1240" s="6" t="str">
        <f>VLOOKUP(Tabela1[[#This Row],[SKU]],SKU!A:C,3,0)</f>
        <v>PERNA</v>
      </c>
    </row>
    <row r="1241" spans="1:29" x14ac:dyDescent="0.3">
      <c r="A1241" s="2">
        <f>INT(Tabela1[[#This Row],[Data e Hora2]])</f>
        <v>46295</v>
      </c>
      <c r="B1241" s="6" t="str">
        <f>UPPER(TEXT(Tabela1[[#This Row],[Data Corrigida]],"MMM"))</f>
        <v>SET</v>
      </c>
      <c r="C1241" t="s">
        <v>2756</v>
      </c>
      <c r="D1241" s="2" t="s">
        <v>2757</v>
      </c>
      <c r="E1241" s="1" t="s">
        <v>2743</v>
      </c>
      <c r="F1241" t="s">
        <v>24</v>
      </c>
      <c r="G1241" s="2" t="s">
        <v>2621</v>
      </c>
      <c r="H1241" t="s">
        <v>26</v>
      </c>
      <c r="I1241" t="s">
        <v>27</v>
      </c>
      <c r="J1241" s="6">
        <v>15849</v>
      </c>
      <c r="K1241" s="16">
        <v>1010</v>
      </c>
      <c r="L1241" s="16">
        <v>1016</v>
      </c>
      <c r="M1241" s="16">
        <v>1014</v>
      </c>
      <c r="N1241" s="16">
        <v>1008</v>
      </c>
      <c r="O1241" s="16">
        <v>1005</v>
      </c>
      <c r="P1241" s="16">
        <v>1005</v>
      </c>
      <c r="Q1241" s="16">
        <v>1014</v>
      </c>
      <c r="R1241" s="16">
        <v>1008</v>
      </c>
      <c r="S1241" s="16">
        <v>1007</v>
      </c>
      <c r="T1241" s="16">
        <v>1001</v>
      </c>
      <c r="U1241" s="15">
        <v>1008.8</v>
      </c>
      <c r="V1241" t="s">
        <v>19</v>
      </c>
      <c r="W1241" t="s">
        <v>19</v>
      </c>
      <c r="X1241">
        <v>27973</v>
      </c>
      <c r="Y1241" s="16">
        <f>VLOOKUP(Tabela1[[#This Row],[SKU]],SKU!A:D,4,0)</f>
        <v>1000</v>
      </c>
      <c r="Z1241" s="18">
        <f>IFERROR((Tabela1[[#This Row],[Média]]-Tabela1[[#This Row],[Meta]])/Tabela1[[#This Row],[Meta]],"")</f>
        <v>8.7999999999999537E-3</v>
      </c>
      <c r="AA1241" s="31">
        <f>Tabela1[[#This Row],[Média]]-Tabela1[[#This Row],[Meta]]</f>
        <v>8.7999999999999545</v>
      </c>
      <c r="AB1241" s="6" t="str">
        <f>VLOOKUP(Tabela1[[#This Row],[SKU]],SKU!A:B,2,0)</f>
        <v>FILEZINHO PEITO CG BDJ SE</v>
      </c>
      <c r="AC1241" s="6" t="str">
        <f>VLOOKUP(Tabela1[[#This Row],[SKU]],SKU!A:C,3,0)</f>
        <v>SASSAMI</v>
      </c>
    </row>
    <row r="1242" spans="1:29" x14ac:dyDescent="0.3">
      <c r="A1242" s="2">
        <f>INT(Tabela1[[#This Row],[Data e Hora2]])</f>
        <v>46295</v>
      </c>
      <c r="B1242" s="6" t="str">
        <f>UPPER(TEXT(Tabela1[[#This Row],[Data Corrigida]],"MMM"))</f>
        <v>SET</v>
      </c>
      <c r="C1242" t="s">
        <v>2758</v>
      </c>
      <c r="D1242" s="2" t="s">
        <v>2759</v>
      </c>
      <c r="E1242" s="1" t="s">
        <v>2743</v>
      </c>
      <c r="F1242" t="s">
        <v>24</v>
      </c>
      <c r="G1242" s="2" t="s">
        <v>2621</v>
      </c>
      <c r="H1242" t="s">
        <v>26</v>
      </c>
      <c r="I1242" t="s">
        <v>27</v>
      </c>
      <c r="J1242" s="6">
        <v>15105</v>
      </c>
      <c r="K1242" s="16">
        <v>1029</v>
      </c>
      <c r="L1242" s="16">
        <v>991</v>
      </c>
      <c r="M1242" s="16">
        <v>995</v>
      </c>
      <c r="N1242" s="16">
        <v>992</v>
      </c>
      <c r="O1242" s="16">
        <v>1002</v>
      </c>
      <c r="P1242" s="16">
        <v>1032</v>
      </c>
      <c r="Q1242" s="16">
        <v>1001</v>
      </c>
      <c r="R1242" s="16">
        <v>995</v>
      </c>
      <c r="S1242" s="16">
        <v>999</v>
      </c>
      <c r="T1242" s="16">
        <v>1011</v>
      </c>
      <c r="U1242" s="15">
        <v>1004.7</v>
      </c>
      <c r="V1242" t="s">
        <v>19</v>
      </c>
      <c r="W1242" t="s">
        <v>28</v>
      </c>
      <c r="X1242">
        <v>28194</v>
      </c>
      <c r="Y1242" s="16">
        <f>VLOOKUP(Tabela1[[#This Row],[SKU]],SKU!A:D,4,0)</f>
        <v>1000</v>
      </c>
      <c r="Z1242" s="18">
        <f>IFERROR((Tabela1[[#This Row],[Média]]-Tabela1[[#This Row],[Meta]])/Tabela1[[#This Row],[Meta]],"")</f>
        <v>4.7000000000000453E-3</v>
      </c>
      <c r="AA1242" s="31">
        <f>Tabela1[[#This Row],[Média]]-Tabela1[[#This Row],[Meta]]</f>
        <v>4.7000000000000455</v>
      </c>
      <c r="AB1242" s="6" t="str">
        <f>VLOOKUP(Tabela1[[#This Row],[SKU]],SKU!A:B,2,0)</f>
        <v>FILE PEITO MET CG BDJ SE</v>
      </c>
      <c r="AC1242" s="6" t="str">
        <f>VLOOKUP(Tabela1[[#This Row],[SKU]],SKU!A:C,3,0)</f>
        <v>PEITO</v>
      </c>
    </row>
    <row r="1243" spans="1:29" x14ac:dyDescent="0.3">
      <c r="A1243" s="2">
        <f>INT(Tabela1[[#This Row],[Data e Hora2]])</f>
        <v>46295</v>
      </c>
      <c r="B1243" s="6" t="str">
        <f>UPPER(TEXT(Tabela1[[#This Row],[Data Corrigida]],"MMM"))</f>
        <v>SET</v>
      </c>
      <c r="C1243" t="s">
        <v>2760</v>
      </c>
      <c r="D1243" s="2" t="s">
        <v>2761</v>
      </c>
      <c r="E1243" s="1" t="s">
        <v>2743</v>
      </c>
      <c r="F1243" t="s">
        <v>24</v>
      </c>
      <c r="G1243" s="2" t="s">
        <v>2621</v>
      </c>
      <c r="H1243" t="s">
        <v>26</v>
      </c>
      <c r="I1243" t="s">
        <v>27</v>
      </c>
      <c r="J1243" s="6">
        <v>995638</v>
      </c>
      <c r="K1243" s="16">
        <v>15005</v>
      </c>
      <c r="L1243" s="16">
        <v>15035</v>
      </c>
      <c r="M1243" s="16">
        <v>15025</v>
      </c>
      <c r="N1243" s="16">
        <v>15040</v>
      </c>
      <c r="O1243" s="16">
        <v>15005</v>
      </c>
      <c r="P1243" s="16">
        <v>15050</v>
      </c>
      <c r="Q1243" s="16">
        <v>15070</v>
      </c>
      <c r="R1243" s="16">
        <v>15045</v>
      </c>
      <c r="S1243" s="16">
        <v>15005</v>
      </c>
      <c r="T1243" s="16">
        <v>15050</v>
      </c>
      <c r="U1243" s="15">
        <v>15033</v>
      </c>
      <c r="V1243" t="s">
        <v>19</v>
      </c>
      <c r="W1243" t="s">
        <v>28</v>
      </c>
      <c r="X1243">
        <v>28649</v>
      </c>
      <c r="Y1243" s="16">
        <f>VLOOKUP(Tabela1[[#This Row],[SKU]],SKU!A:D,4,0)</f>
        <v>15000</v>
      </c>
      <c r="Z1243" s="18">
        <f>IFERROR((Tabela1[[#This Row],[Média]]-Tabela1[[#This Row],[Meta]])/Tabela1[[#This Row],[Meta]],"")</f>
        <v>2.2000000000000001E-3</v>
      </c>
      <c r="AA1243" s="31">
        <f>Tabela1[[#This Row],[Média]]-Tabela1[[#This Row],[Meta]]</f>
        <v>33</v>
      </c>
      <c r="AB1243" s="6" t="str">
        <f>VLOOKUP(Tabela1[[#This Row],[SKU]],SKU!A:B,2,0)</f>
        <v>MEIO DA ASA 40-50G LP</v>
      </c>
      <c r="AC1243" s="6" t="str">
        <f>VLOOKUP(Tabela1[[#This Row],[SKU]],SKU!A:C,3,0)</f>
        <v>ASA</v>
      </c>
    </row>
    <row r="1244" spans="1:29" x14ac:dyDescent="0.3">
      <c r="A1244" s="2">
        <f>INT(Tabela1[[#This Row],[Data e Hora2]])</f>
        <v>46295</v>
      </c>
      <c r="B1244" s="6" t="str">
        <f>UPPER(TEXT(Tabela1[[#This Row],[Data Corrigida]],"MMM"))</f>
        <v>SET</v>
      </c>
      <c r="C1244" t="s">
        <v>2762</v>
      </c>
      <c r="D1244" s="2" t="s">
        <v>2763</v>
      </c>
      <c r="E1244" s="1" t="s">
        <v>2764</v>
      </c>
      <c r="F1244" t="s">
        <v>24</v>
      </c>
      <c r="G1244" s="2" t="s">
        <v>2621</v>
      </c>
      <c r="H1244" t="s">
        <v>26</v>
      </c>
      <c r="I1244" t="s">
        <v>57</v>
      </c>
      <c r="J1244" s="6">
        <v>13188</v>
      </c>
      <c r="K1244" s="16">
        <v>1037</v>
      </c>
      <c r="L1244" s="16">
        <v>1017</v>
      </c>
      <c r="M1244" s="16">
        <v>1035</v>
      </c>
      <c r="N1244" s="16">
        <v>1015</v>
      </c>
      <c r="O1244" s="16">
        <v>1035</v>
      </c>
      <c r="P1244" s="16">
        <v>1034</v>
      </c>
      <c r="Q1244" s="16">
        <v>1042</v>
      </c>
      <c r="R1244" s="16">
        <v>1027</v>
      </c>
      <c r="S1244" s="16">
        <v>1009</v>
      </c>
      <c r="T1244" s="16">
        <v>1033</v>
      </c>
      <c r="U1244" s="15">
        <v>1028.4000000000001</v>
      </c>
      <c r="V1244" t="s">
        <v>19</v>
      </c>
      <c r="W1244" t="s">
        <v>28</v>
      </c>
      <c r="X1244">
        <v>410</v>
      </c>
      <c r="Y1244" s="16">
        <f>VLOOKUP(Tabela1[[#This Row],[SKU]],SKU!A:D,4,0)</f>
        <v>1000</v>
      </c>
      <c r="Z1244" s="18">
        <f>IFERROR((Tabela1[[#This Row],[Média]]-Tabela1[[#This Row],[Meta]])/Tabela1[[#This Row],[Meta]],"")</f>
        <v>2.8400000000000092E-2</v>
      </c>
      <c r="AA1244" s="31">
        <f>Tabela1[[#This Row],[Média]]-Tabela1[[#This Row],[Meta]]</f>
        <v>28.400000000000091</v>
      </c>
      <c r="AB1244" s="6" t="str">
        <f>VLOOKUP(Tabela1[[#This Row],[SKU]],SKU!A:B,2,0)</f>
        <v>SOBRECOXA CG BDJ SE</v>
      </c>
      <c r="AC1244" s="6" t="str">
        <f>VLOOKUP(Tabela1[[#This Row],[SKU]],SKU!A:C,3,0)</f>
        <v>PERNA</v>
      </c>
    </row>
    <row r="1245" spans="1:29" x14ac:dyDescent="0.3">
      <c r="A1245" s="2">
        <f>INT(Tabela1[[#This Row],[Data e Hora2]])</f>
        <v>46295</v>
      </c>
      <c r="B1245" s="6" t="str">
        <f>UPPER(TEXT(Tabela1[[#This Row],[Data Corrigida]],"MMM"))</f>
        <v>SET</v>
      </c>
      <c r="C1245" t="s">
        <v>2765</v>
      </c>
      <c r="D1245" s="2" t="s">
        <v>2766</v>
      </c>
      <c r="E1245" s="1" t="s">
        <v>2764</v>
      </c>
      <c r="F1245" t="s">
        <v>24</v>
      </c>
      <c r="G1245" s="2" t="s">
        <v>2621</v>
      </c>
      <c r="H1245" t="s">
        <v>26</v>
      </c>
      <c r="I1245" t="s">
        <v>57</v>
      </c>
      <c r="J1245" s="6">
        <v>42846</v>
      </c>
      <c r="K1245" s="16">
        <v>2014</v>
      </c>
      <c r="L1245" s="16">
        <v>2002</v>
      </c>
      <c r="M1245" s="16">
        <v>2009</v>
      </c>
      <c r="N1245" s="16">
        <v>2092</v>
      </c>
      <c r="O1245" s="16">
        <v>2014</v>
      </c>
      <c r="P1245" s="16">
        <v>2008</v>
      </c>
      <c r="Q1245" s="16">
        <v>2004</v>
      </c>
      <c r="R1245" s="16">
        <v>2008</v>
      </c>
      <c r="S1245" s="16">
        <v>2011</v>
      </c>
      <c r="T1245" s="16">
        <v>2000</v>
      </c>
      <c r="U1245" s="15">
        <v>2016.2</v>
      </c>
      <c r="V1245" t="s">
        <v>19</v>
      </c>
      <c r="W1245" t="s">
        <v>28</v>
      </c>
      <c r="X1245">
        <v>701</v>
      </c>
      <c r="Y1245" s="16">
        <f>VLOOKUP(Tabela1[[#This Row],[SKU]],SKU!A:D,4,0)</f>
        <v>2000</v>
      </c>
      <c r="Z1245" s="18">
        <f>IFERROR((Tabela1[[#This Row],[Média]]-Tabela1[[#This Row],[Meta]])/Tabela1[[#This Row],[Meta]],"")</f>
        <v>8.1000000000000221E-3</v>
      </c>
      <c r="AA1245" s="31">
        <f>Tabela1[[#This Row],[Média]]-Tabela1[[#This Row],[Meta]]</f>
        <v>16.200000000000045</v>
      </c>
      <c r="AB1245" s="6" t="str">
        <f>VLOOKUP(Tabela1[[#This Row],[SKU]],SKU!A:B,2,0)</f>
        <v>COXA SBCX S/O FG 240-260g PB</v>
      </c>
      <c r="AC1245" s="6" t="str">
        <f>VLOOKUP(Tabela1[[#This Row],[SKU]],SKU!A:C,3,0)</f>
        <v>PERNA</v>
      </c>
    </row>
    <row r="1246" spans="1:29" x14ac:dyDescent="0.3">
      <c r="A1246" s="2">
        <f>INT(Tabela1[[#This Row],[Data e Hora2]])</f>
        <v>46295</v>
      </c>
      <c r="B1246" s="6" t="str">
        <f>UPPER(TEXT(Tabela1[[#This Row],[Data Corrigida]],"MMM"))</f>
        <v>SET</v>
      </c>
      <c r="C1246" t="s">
        <v>2767</v>
      </c>
      <c r="D1246" s="2" t="s">
        <v>2768</v>
      </c>
      <c r="E1246" s="1" t="s">
        <v>2764</v>
      </c>
      <c r="F1246" t="s">
        <v>24</v>
      </c>
      <c r="G1246" s="2" t="s">
        <v>2621</v>
      </c>
      <c r="H1246" t="s">
        <v>26</v>
      </c>
      <c r="I1246" t="s">
        <v>57</v>
      </c>
      <c r="J1246" s="6">
        <v>42838</v>
      </c>
      <c r="K1246" s="16">
        <v>2020</v>
      </c>
      <c r="L1246" s="16">
        <v>2010</v>
      </c>
      <c r="M1246" s="16">
        <v>2029</v>
      </c>
      <c r="N1246" s="16">
        <v>2000</v>
      </c>
      <c r="O1246" s="16">
        <v>2010</v>
      </c>
      <c r="P1246" s="16">
        <v>2030</v>
      </c>
      <c r="Q1246" s="16">
        <v>2030</v>
      </c>
      <c r="R1246" s="16">
        <v>2040</v>
      </c>
      <c r="S1246" s="16">
        <v>2018</v>
      </c>
      <c r="T1246" s="16">
        <v>2034</v>
      </c>
      <c r="U1246" s="15">
        <v>2022.1</v>
      </c>
      <c r="V1246" t="s">
        <v>19</v>
      </c>
      <c r="W1246" t="s">
        <v>28</v>
      </c>
      <c r="X1246">
        <v>1108</v>
      </c>
      <c r="Y1246" s="16">
        <f>VLOOKUP(Tabela1[[#This Row],[SKU]],SKU!A:D,4,0)</f>
        <v>2000</v>
      </c>
      <c r="Z1246" s="18">
        <f>IFERROR((Tabela1[[#This Row],[Média]]-Tabela1[[#This Row],[Meta]])/Tabela1[[#This Row],[Meta]],"")</f>
        <v>1.1049999999999954E-2</v>
      </c>
      <c r="AA1246" s="31">
        <f>Tabela1[[#This Row],[Média]]-Tabela1[[#This Row],[Meta]]</f>
        <v>22.099999999999909</v>
      </c>
      <c r="AB1246" s="6" t="str">
        <f>VLOOKUP(Tabela1[[#This Row],[SKU]],SKU!A:B,2,0)</f>
        <v>COXA SBCX S/O FG 220-240g PB</v>
      </c>
      <c r="AC1246" s="6" t="str">
        <f>VLOOKUP(Tabela1[[#This Row],[SKU]],SKU!A:C,3,0)</f>
        <v>PERNA</v>
      </c>
    </row>
    <row r="1247" spans="1:29" x14ac:dyDescent="0.3">
      <c r="A1247" s="2">
        <f>INT(Tabela1[[#This Row],[Data e Hora2]])</f>
        <v>46295</v>
      </c>
      <c r="B1247" s="6" t="str">
        <f>UPPER(TEXT(Tabela1[[#This Row],[Data Corrigida]],"MMM"))</f>
        <v>SET</v>
      </c>
      <c r="C1247" t="s">
        <v>2769</v>
      </c>
      <c r="D1247" s="2" t="s">
        <v>2770</v>
      </c>
      <c r="E1247" s="1" t="s">
        <v>2771</v>
      </c>
      <c r="F1247" t="s">
        <v>24</v>
      </c>
      <c r="G1247" s="2" t="s">
        <v>2621</v>
      </c>
      <c r="H1247" t="s">
        <v>26</v>
      </c>
      <c r="I1247" t="s">
        <v>57</v>
      </c>
      <c r="J1247" s="6">
        <v>42862</v>
      </c>
      <c r="K1247" s="16">
        <v>2026</v>
      </c>
      <c r="L1247" s="16">
        <v>2026</v>
      </c>
      <c r="M1247" s="16">
        <v>2015</v>
      </c>
      <c r="N1247" s="16">
        <v>2035</v>
      </c>
      <c r="O1247" s="16">
        <v>2008</v>
      </c>
      <c r="P1247" s="16">
        <v>2064</v>
      </c>
      <c r="Q1247" s="16">
        <v>2012</v>
      </c>
      <c r="R1247" s="16">
        <v>2066</v>
      </c>
      <c r="S1247" s="16">
        <v>2030</v>
      </c>
      <c r="T1247" s="16">
        <v>2015</v>
      </c>
      <c r="U1247" s="15">
        <v>2029.7</v>
      </c>
      <c r="V1247" t="s">
        <v>19</v>
      </c>
      <c r="W1247" t="s">
        <v>28</v>
      </c>
      <c r="X1247">
        <v>426</v>
      </c>
      <c r="Y1247" s="16">
        <f>VLOOKUP(Tabela1[[#This Row],[SKU]],SKU!A:D,4,0)</f>
        <v>2000</v>
      </c>
      <c r="Z1247" s="18">
        <f>IFERROR((Tabela1[[#This Row],[Média]]-Tabela1[[#This Row],[Meta]])/Tabela1[[#This Row],[Meta]],"")</f>
        <v>1.4850000000000023E-2</v>
      </c>
      <c r="AA1247" s="31">
        <f>Tabela1[[#This Row],[Média]]-Tabela1[[#This Row],[Meta]]</f>
        <v>29.700000000000045</v>
      </c>
      <c r="AB1247" s="6" t="str">
        <f>VLOOKUP(Tabela1[[#This Row],[SKU]],SKU!A:B,2,0)</f>
        <v>COXA SBCX S/O FG 280-300g PB</v>
      </c>
      <c r="AC1247" s="6" t="str">
        <f>VLOOKUP(Tabela1[[#This Row],[SKU]],SKU!A:C,3,0)</f>
        <v>PERNA</v>
      </c>
    </row>
    <row r="1248" spans="1:29" x14ac:dyDescent="0.3">
      <c r="A1248" s="2">
        <f>INT(Tabela1[[#This Row],[Data e Hora2]])</f>
        <v>46295</v>
      </c>
      <c r="B1248" s="6" t="str">
        <f>UPPER(TEXT(Tabela1[[#This Row],[Data Corrigida]],"MMM"))</f>
        <v>SET</v>
      </c>
      <c r="C1248" t="s">
        <v>2772</v>
      </c>
      <c r="D1248" s="2" t="s">
        <v>2773</v>
      </c>
      <c r="E1248" s="1" t="s">
        <v>2771</v>
      </c>
      <c r="F1248" t="s">
        <v>24</v>
      </c>
      <c r="G1248" s="2" t="s">
        <v>2621</v>
      </c>
      <c r="H1248" t="s">
        <v>26</v>
      </c>
      <c r="I1248" t="s">
        <v>57</v>
      </c>
      <c r="J1248" s="6">
        <v>42854</v>
      </c>
      <c r="K1248" s="16">
        <v>2105</v>
      </c>
      <c r="L1248" s="16">
        <v>2085</v>
      </c>
      <c r="M1248" s="16">
        <v>2065</v>
      </c>
      <c r="N1248" s="16">
        <v>2050</v>
      </c>
      <c r="O1248" s="16">
        <v>2048</v>
      </c>
      <c r="P1248" s="16">
        <v>2066</v>
      </c>
      <c r="Q1248" s="16">
        <v>2113</v>
      </c>
      <c r="R1248" s="16">
        <v>2052</v>
      </c>
      <c r="S1248" s="16">
        <v>2121</v>
      </c>
      <c r="T1248" s="16">
        <v>2089</v>
      </c>
      <c r="U1248" s="15">
        <v>2079.4</v>
      </c>
      <c r="V1248" t="s">
        <v>19</v>
      </c>
      <c r="W1248" t="s">
        <v>28</v>
      </c>
      <c r="X1248">
        <v>570</v>
      </c>
      <c r="Y1248" s="16">
        <f>VLOOKUP(Tabela1[[#This Row],[SKU]],SKU!A:D,4,0)</f>
        <v>2080</v>
      </c>
      <c r="Z1248" s="18">
        <f>IFERROR((Tabela1[[#This Row],[Média]]-Tabela1[[#This Row],[Meta]])/Tabela1[[#This Row],[Meta]],"")</f>
        <v>-2.8846153846149474E-4</v>
      </c>
      <c r="AA1248" s="31">
        <f>Tabela1[[#This Row],[Média]]-Tabela1[[#This Row],[Meta]]</f>
        <v>-0.59999999999990905</v>
      </c>
      <c r="AB1248" s="6" t="str">
        <f>VLOOKUP(Tabela1[[#This Row],[SKU]],SKU!A:B,2,0)</f>
        <v>COXA SBCX S/O FG 260-280g PB</v>
      </c>
      <c r="AC1248" s="6" t="str">
        <f>VLOOKUP(Tabela1[[#This Row],[SKU]],SKU!A:C,3,0)</f>
        <v>PERNA</v>
      </c>
    </row>
    <row r="1249" spans="1:29" x14ac:dyDescent="0.3">
      <c r="A1249" s="2">
        <f>INT(Tabela1[[#This Row],[Data e Hora2]])</f>
        <v>46295</v>
      </c>
      <c r="B1249" s="6" t="str">
        <f>UPPER(TEXT(Tabela1[[#This Row],[Data Corrigida]],"MMM"))</f>
        <v>SET</v>
      </c>
      <c r="C1249" t="s">
        <v>2774</v>
      </c>
      <c r="D1249" s="2" t="s">
        <v>2775</v>
      </c>
      <c r="E1249" s="1" t="s">
        <v>2771</v>
      </c>
      <c r="F1249" t="s">
        <v>24</v>
      </c>
      <c r="G1249" s="2" t="s">
        <v>2621</v>
      </c>
      <c r="H1249" t="s">
        <v>26</v>
      </c>
      <c r="I1249" t="s">
        <v>57</v>
      </c>
      <c r="J1249" s="6">
        <v>42820</v>
      </c>
      <c r="K1249" s="16">
        <v>2010</v>
      </c>
      <c r="L1249" s="16">
        <v>2059</v>
      </c>
      <c r="M1249" s="16">
        <v>2057</v>
      </c>
      <c r="N1249" s="16">
        <v>2024</v>
      </c>
      <c r="O1249" s="16">
        <v>2020</v>
      </c>
      <c r="P1249" s="16">
        <v>2043</v>
      </c>
      <c r="Q1249" s="16">
        <v>2011</v>
      </c>
      <c r="R1249" s="16">
        <v>2016</v>
      </c>
      <c r="S1249" s="16">
        <v>2020</v>
      </c>
      <c r="T1249" s="16">
        <v>2013</v>
      </c>
      <c r="U1249" s="15">
        <v>2027.3</v>
      </c>
      <c r="V1249" t="s">
        <v>19</v>
      </c>
      <c r="W1249" t="s">
        <v>28</v>
      </c>
      <c r="X1249">
        <v>1197</v>
      </c>
      <c r="Y1249" s="16">
        <f>VLOOKUP(Tabela1[[#This Row],[SKU]],SKU!A:D,4,0)</f>
        <v>2000</v>
      </c>
      <c r="Z1249" s="18">
        <f>IFERROR((Tabela1[[#This Row],[Média]]-Tabela1[[#This Row],[Meta]])/Tabela1[[#This Row],[Meta]],"")</f>
        <v>1.3649999999999978E-2</v>
      </c>
      <c r="AA1249" s="31">
        <f>Tabela1[[#This Row],[Média]]-Tabela1[[#This Row],[Meta]]</f>
        <v>27.299999999999955</v>
      </c>
      <c r="AB1249" s="6" t="str">
        <f>VLOOKUP(Tabela1[[#This Row],[SKU]],SKU!A:B,2,0)</f>
        <v>COXA SBCX S/O FG 200-220g PB</v>
      </c>
      <c r="AC1249" s="6" t="str">
        <f>VLOOKUP(Tabela1[[#This Row],[SKU]],SKU!A:C,3,0)</f>
        <v>PERNA</v>
      </c>
    </row>
    <row r="1250" spans="1:29" x14ac:dyDescent="0.3">
      <c r="A1250" s="2">
        <f>INT(Tabela1[[#This Row],[Data e Hora2]])</f>
        <v>46295</v>
      </c>
      <c r="B1250" s="6" t="str">
        <f>UPPER(TEXT(Tabela1[[#This Row],[Data Corrigida]],"MMM"))</f>
        <v>SET</v>
      </c>
      <c r="C1250" t="s">
        <v>2776</v>
      </c>
      <c r="D1250" s="2" t="s">
        <v>2777</v>
      </c>
      <c r="E1250" s="1" t="s">
        <v>2778</v>
      </c>
      <c r="F1250" t="s">
        <v>24</v>
      </c>
      <c r="G1250" s="2" t="s">
        <v>2621</v>
      </c>
      <c r="H1250" t="s">
        <v>26</v>
      </c>
      <c r="I1250" t="s">
        <v>57</v>
      </c>
      <c r="J1250" s="6">
        <v>42862</v>
      </c>
      <c r="K1250" s="16">
        <v>2030</v>
      </c>
      <c r="L1250" s="16">
        <v>2020</v>
      </c>
      <c r="M1250" s="16">
        <v>2036</v>
      </c>
      <c r="N1250" s="16">
        <v>2010</v>
      </c>
      <c r="O1250" s="16">
        <v>2021</v>
      </c>
      <c r="P1250" s="16">
        <v>2010</v>
      </c>
      <c r="Q1250" s="16">
        <v>2012</v>
      </c>
      <c r="R1250" s="16">
        <v>2032</v>
      </c>
      <c r="S1250" s="16">
        <v>2003</v>
      </c>
      <c r="T1250" s="16">
        <v>2032</v>
      </c>
      <c r="U1250" s="15">
        <v>2020.6</v>
      </c>
      <c r="V1250" t="s">
        <v>19</v>
      </c>
      <c r="W1250" t="s">
        <v>28</v>
      </c>
      <c r="X1250">
        <v>1028</v>
      </c>
      <c r="Y1250" s="16">
        <f>VLOOKUP(Tabela1[[#This Row],[SKU]],SKU!A:D,4,0)</f>
        <v>2000</v>
      </c>
      <c r="Z1250" s="18">
        <f>IFERROR((Tabela1[[#This Row],[Média]]-Tabela1[[#This Row],[Meta]])/Tabela1[[#This Row],[Meta]],"")</f>
        <v>1.0299999999999955E-2</v>
      </c>
      <c r="AA1250" s="31">
        <f>Tabela1[[#This Row],[Média]]-Tabela1[[#This Row],[Meta]]</f>
        <v>20.599999999999909</v>
      </c>
      <c r="AB1250" s="6" t="str">
        <f>VLOOKUP(Tabela1[[#This Row],[SKU]],SKU!A:B,2,0)</f>
        <v>COXA SBCX S/O FG 280-300g PB</v>
      </c>
      <c r="AC1250" s="6" t="str">
        <f>VLOOKUP(Tabela1[[#This Row],[SKU]],SKU!A:C,3,0)</f>
        <v>PERNA</v>
      </c>
    </row>
    <row r="1251" spans="1:29" x14ac:dyDescent="0.3">
      <c r="A1251" s="2">
        <f>INT(Tabela1[[#This Row],[Data e Hora2]])</f>
        <v>46295</v>
      </c>
      <c r="B1251" s="6" t="str">
        <f>UPPER(TEXT(Tabela1[[#This Row],[Data Corrigida]],"MMM"))</f>
        <v>SET</v>
      </c>
      <c r="C1251" t="s">
        <v>2779</v>
      </c>
      <c r="D1251" s="2" t="s">
        <v>2780</v>
      </c>
      <c r="E1251" s="1" t="s">
        <v>2778</v>
      </c>
      <c r="F1251" t="s">
        <v>24</v>
      </c>
      <c r="G1251" s="2" t="s">
        <v>2621</v>
      </c>
      <c r="H1251" t="s">
        <v>26</v>
      </c>
      <c r="I1251" t="s">
        <v>57</v>
      </c>
      <c r="J1251" s="6">
        <v>42854</v>
      </c>
      <c r="K1251" s="16">
        <v>2057</v>
      </c>
      <c r="L1251" s="16">
        <v>2098</v>
      </c>
      <c r="M1251" s="16">
        <v>2072</v>
      </c>
      <c r="N1251" s="16">
        <v>2114</v>
      </c>
      <c r="O1251" s="16">
        <v>2082</v>
      </c>
      <c r="P1251" s="16">
        <v>2128</v>
      </c>
      <c r="Q1251" s="16">
        <v>2007</v>
      </c>
      <c r="R1251" s="16">
        <v>2040</v>
      </c>
      <c r="S1251" s="16">
        <v>2100</v>
      </c>
      <c r="T1251" s="16">
        <v>2082</v>
      </c>
      <c r="U1251" s="15">
        <v>2078</v>
      </c>
      <c r="V1251" t="s">
        <v>19</v>
      </c>
      <c r="W1251" t="s">
        <v>28</v>
      </c>
      <c r="X1251">
        <v>1153</v>
      </c>
      <c r="Y1251" s="16">
        <f>VLOOKUP(Tabela1[[#This Row],[SKU]],SKU!A:D,4,0)</f>
        <v>2080</v>
      </c>
      <c r="Z1251" s="18">
        <f>IFERROR((Tabela1[[#This Row],[Média]]-Tabela1[[#This Row],[Meta]])/Tabela1[[#This Row],[Meta]],"")</f>
        <v>-9.6153846153846159E-4</v>
      </c>
      <c r="AA1251" s="31">
        <f>Tabela1[[#This Row],[Média]]-Tabela1[[#This Row],[Meta]]</f>
        <v>-2</v>
      </c>
      <c r="AB1251" s="6" t="str">
        <f>VLOOKUP(Tabela1[[#This Row],[SKU]],SKU!A:B,2,0)</f>
        <v>COXA SBCX S/O FG 260-280g PB</v>
      </c>
      <c r="AC1251" s="6" t="str">
        <f>VLOOKUP(Tabela1[[#This Row],[SKU]],SKU!A:C,3,0)</f>
        <v>PERNA</v>
      </c>
    </row>
    <row r="1252" spans="1:29" x14ac:dyDescent="0.3">
      <c r="A1252" s="2">
        <f>INT(Tabela1[[#This Row],[Data e Hora2]])</f>
        <v>46295</v>
      </c>
      <c r="B1252" s="6" t="str">
        <f>UPPER(TEXT(Tabela1[[#This Row],[Data Corrigida]],"MMM"))</f>
        <v>SET</v>
      </c>
      <c r="C1252" t="s">
        <v>2781</v>
      </c>
      <c r="D1252" s="2" t="s">
        <v>2782</v>
      </c>
      <c r="E1252" s="1" t="s">
        <v>2778</v>
      </c>
      <c r="F1252" t="s">
        <v>24</v>
      </c>
      <c r="G1252" s="2" t="s">
        <v>2621</v>
      </c>
      <c r="H1252" t="s">
        <v>26</v>
      </c>
      <c r="I1252" t="s">
        <v>57</v>
      </c>
      <c r="J1252" s="6">
        <v>42846</v>
      </c>
      <c r="K1252" s="16">
        <v>2003</v>
      </c>
      <c r="L1252" s="16">
        <v>2002</v>
      </c>
      <c r="M1252" s="16">
        <v>2069</v>
      </c>
      <c r="N1252" s="16">
        <v>2010</v>
      </c>
      <c r="O1252" s="16">
        <v>1998</v>
      </c>
      <c r="P1252" s="16">
        <v>2011</v>
      </c>
      <c r="Q1252" s="16">
        <v>2013</v>
      </c>
      <c r="R1252" s="16">
        <v>2003</v>
      </c>
      <c r="S1252" s="16">
        <v>2015</v>
      </c>
      <c r="T1252" s="16">
        <v>2005</v>
      </c>
      <c r="U1252" s="15">
        <v>2012.9</v>
      </c>
      <c r="V1252" t="s">
        <v>19</v>
      </c>
      <c r="W1252" t="s">
        <v>28</v>
      </c>
      <c r="X1252">
        <v>1412</v>
      </c>
      <c r="Y1252" s="16">
        <f>VLOOKUP(Tabela1[[#This Row],[SKU]],SKU!A:D,4,0)</f>
        <v>2000</v>
      </c>
      <c r="Z1252" s="18">
        <f>IFERROR((Tabela1[[#This Row],[Média]]-Tabela1[[#This Row],[Meta]])/Tabela1[[#This Row],[Meta]],"")</f>
        <v>6.4500000000000451E-3</v>
      </c>
      <c r="AA1252" s="31">
        <f>Tabela1[[#This Row],[Média]]-Tabela1[[#This Row],[Meta]]</f>
        <v>12.900000000000091</v>
      </c>
      <c r="AB1252" s="6" t="str">
        <f>VLOOKUP(Tabela1[[#This Row],[SKU]],SKU!A:B,2,0)</f>
        <v>COXA SBCX S/O FG 240-260g PB</v>
      </c>
      <c r="AC1252" s="6" t="str">
        <f>VLOOKUP(Tabela1[[#This Row],[SKU]],SKU!A:C,3,0)</f>
        <v>PERNA</v>
      </c>
    </row>
    <row r="1253" spans="1:29" x14ac:dyDescent="0.3">
      <c r="A1253" s="2">
        <f>INT(Tabela1[[#This Row],[Data e Hora2]])</f>
        <v>46295</v>
      </c>
      <c r="B1253" s="6" t="str">
        <f>UPPER(TEXT(Tabela1[[#This Row],[Data Corrigida]],"MMM"))</f>
        <v>SET</v>
      </c>
      <c r="C1253" t="s">
        <v>2783</v>
      </c>
      <c r="D1253" s="2" t="s">
        <v>2784</v>
      </c>
      <c r="E1253" s="1" t="s">
        <v>2778</v>
      </c>
      <c r="F1253" t="s">
        <v>24</v>
      </c>
      <c r="G1253" s="2" t="s">
        <v>2621</v>
      </c>
      <c r="H1253" t="s">
        <v>26</v>
      </c>
      <c r="I1253" t="s">
        <v>57</v>
      </c>
      <c r="J1253" s="6">
        <v>42838</v>
      </c>
      <c r="K1253" s="16">
        <v>2021</v>
      </c>
      <c r="L1253" s="16">
        <v>2027</v>
      </c>
      <c r="M1253" s="16">
        <v>2008</v>
      </c>
      <c r="N1253" s="16">
        <v>2028</v>
      </c>
      <c r="O1253" s="16">
        <v>2004</v>
      </c>
      <c r="P1253" s="16">
        <v>2003</v>
      </c>
      <c r="Q1253" s="16">
        <v>2006</v>
      </c>
      <c r="R1253" s="16">
        <v>2014</v>
      </c>
      <c r="S1253" s="16">
        <v>2047</v>
      </c>
      <c r="T1253" s="16">
        <v>2013</v>
      </c>
      <c r="U1253" s="15">
        <v>2017.1</v>
      </c>
      <c r="V1253" t="s">
        <v>19</v>
      </c>
      <c r="W1253" t="s">
        <v>28</v>
      </c>
      <c r="X1253">
        <v>1507</v>
      </c>
      <c r="Y1253" s="16">
        <f>VLOOKUP(Tabela1[[#This Row],[SKU]],SKU!A:D,4,0)</f>
        <v>2000</v>
      </c>
      <c r="Z1253" s="18">
        <f>IFERROR((Tabela1[[#This Row],[Média]]-Tabela1[[#This Row],[Meta]])/Tabela1[[#This Row],[Meta]],"")</f>
        <v>8.5499999999999552E-3</v>
      </c>
      <c r="AA1253" s="31">
        <f>Tabela1[[#This Row],[Média]]-Tabela1[[#This Row],[Meta]]</f>
        <v>17.099999999999909</v>
      </c>
      <c r="AB1253" s="6" t="str">
        <f>VLOOKUP(Tabela1[[#This Row],[SKU]],SKU!A:B,2,0)</f>
        <v>COXA SBCX S/O FG 220-240g PB</v>
      </c>
      <c r="AC1253" s="6" t="str">
        <f>VLOOKUP(Tabela1[[#This Row],[SKU]],SKU!A:C,3,0)</f>
        <v>PERNA</v>
      </c>
    </row>
    <row r="1254" spans="1:29" x14ac:dyDescent="0.3">
      <c r="A1254" s="2">
        <f>INT(Tabela1[[#This Row],[Data e Hora2]])</f>
        <v>46295</v>
      </c>
      <c r="B1254" s="6" t="str">
        <f>UPPER(TEXT(Tabela1[[#This Row],[Data Corrigida]],"MMM"))</f>
        <v>SET</v>
      </c>
      <c r="C1254" t="s">
        <v>2785</v>
      </c>
      <c r="D1254" s="2" t="s">
        <v>2786</v>
      </c>
      <c r="E1254" s="1" t="s">
        <v>2778</v>
      </c>
      <c r="F1254" t="s">
        <v>24</v>
      </c>
      <c r="G1254" s="2" t="s">
        <v>2621</v>
      </c>
      <c r="H1254" t="s">
        <v>26</v>
      </c>
      <c r="I1254" t="s">
        <v>57</v>
      </c>
      <c r="J1254" s="6">
        <v>42820</v>
      </c>
      <c r="K1254" s="16">
        <v>2059</v>
      </c>
      <c r="L1254" s="16">
        <v>2035</v>
      </c>
      <c r="M1254" s="16">
        <v>2024</v>
      </c>
      <c r="N1254" s="16">
        <v>2027</v>
      </c>
      <c r="O1254" s="16">
        <v>2011</v>
      </c>
      <c r="P1254" s="16">
        <v>2027</v>
      </c>
      <c r="Q1254" s="16">
        <v>2000</v>
      </c>
      <c r="R1254" s="16">
        <v>2010</v>
      </c>
      <c r="S1254" s="16">
        <v>2035</v>
      </c>
      <c r="T1254" s="16">
        <v>2038</v>
      </c>
      <c r="U1254" s="15">
        <v>2026.6</v>
      </c>
      <c r="V1254" t="s">
        <v>19</v>
      </c>
      <c r="W1254" t="s">
        <v>28</v>
      </c>
      <c r="X1254">
        <v>1649</v>
      </c>
      <c r="Y1254" s="16">
        <f>VLOOKUP(Tabela1[[#This Row],[SKU]],SKU!A:D,4,0)</f>
        <v>2000</v>
      </c>
      <c r="Z1254" s="18">
        <f>IFERROR((Tabela1[[#This Row],[Média]]-Tabela1[[#This Row],[Meta]])/Tabela1[[#This Row],[Meta]],"")</f>
        <v>1.3299999999999954E-2</v>
      </c>
      <c r="AA1254" s="31">
        <f>Tabela1[[#This Row],[Média]]-Tabela1[[#This Row],[Meta]]</f>
        <v>26.599999999999909</v>
      </c>
      <c r="AB1254" s="6" t="str">
        <f>VLOOKUP(Tabela1[[#This Row],[SKU]],SKU!A:B,2,0)</f>
        <v>COXA SBCX S/O FG 200-220g PB</v>
      </c>
      <c r="AC1254" s="6" t="str">
        <f>VLOOKUP(Tabela1[[#This Row],[SKU]],SKU!A:C,3,0)</f>
        <v>PERNA</v>
      </c>
    </row>
    <row r="1255" spans="1:29" x14ac:dyDescent="0.3">
      <c r="A1255" s="2">
        <f>INT(Tabela1[[#This Row],[Data e Hora2]])</f>
        <v>46295</v>
      </c>
      <c r="B1255" s="6" t="str">
        <f>UPPER(TEXT(Tabela1[[#This Row],[Data Corrigida]],"MMM"))</f>
        <v>SET</v>
      </c>
      <c r="C1255" t="s">
        <v>2787</v>
      </c>
      <c r="D1255" s="2" t="s">
        <v>2788</v>
      </c>
      <c r="E1255" s="1" t="s">
        <v>2778</v>
      </c>
      <c r="F1255" t="s">
        <v>24</v>
      </c>
      <c r="G1255" s="2" t="s">
        <v>2621</v>
      </c>
      <c r="H1255" t="s">
        <v>26</v>
      </c>
      <c r="I1255" t="s">
        <v>57</v>
      </c>
      <c r="J1255" s="6">
        <v>15105</v>
      </c>
      <c r="K1255" s="16">
        <v>1003</v>
      </c>
      <c r="L1255" s="16">
        <v>1004</v>
      </c>
      <c r="M1255" s="16">
        <v>996</v>
      </c>
      <c r="N1255" s="16">
        <v>1007</v>
      </c>
      <c r="O1255" s="16">
        <v>995</v>
      </c>
      <c r="P1255" s="16">
        <v>1030</v>
      </c>
      <c r="Q1255" s="16">
        <v>1000</v>
      </c>
      <c r="R1255" s="16">
        <v>1038</v>
      </c>
      <c r="S1255" s="16">
        <v>994</v>
      </c>
      <c r="T1255" s="16">
        <v>1000</v>
      </c>
      <c r="U1255" s="15">
        <v>1006.7</v>
      </c>
      <c r="V1255" t="s">
        <v>19</v>
      </c>
      <c r="W1255" t="s">
        <v>28</v>
      </c>
      <c r="X1255">
        <v>169</v>
      </c>
      <c r="Y1255" s="16">
        <f>VLOOKUP(Tabela1[[#This Row],[SKU]],SKU!A:D,4,0)</f>
        <v>1000</v>
      </c>
      <c r="Z1255" s="18">
        <f>IFERROR((Tabela1[[#This Row],[Média]]-Tabela1[[#This Row],[Meta]])/Tabela1[[#This Row],[Meta]],"")</f>
        <v>6.7000000000000453E-3</v>
      </c>
      <c r="AA1255" s="31">
        <f>Tabela1[[#This Row],[Média]]-Tabela1[[#This Row],[Meta]]</f>
        <v>6.7000000000000455</v>
      </c>
      <c r="AB1255" s="6" t="str">
        <f>VLOOKUP(Tabela1[[#This Row],[SKU]],SKU!A:B,2,0)</f>
        <v>FILE PEITO MET CG BDJ SE</v>
      </c>
      <c r="AC1255" s="6" t="str">
        <f>VLOOKUP(Tabela1[[#This Row],[SKU]],SKU!A:C,3,0)</f>
        <v>PEITO</v>
      </c>
    </row>
    <row r="1256" spans="1:29" x14ac:dyDescent="0.3">
      <c r="A1256" s="2">
        <f>INT(Tabela1[[#This Row],[Data e Hora2]])</f>
        <v>46295</v>
      </c>
      <c r="B1256" s="6" t="str">
        <f>UPPER(TEXT(Tabela1[[#This Row],[Data Corrigida]],"MMM"))</f>
        <v>SET</v>
      </c>
      <c r="C1256" t="s">
        <v>2789</v>
      </c>
      <c r="D1256" s="2" t="s">
        <v>2790</v>
      </c>
      <c r="E1256" s="1" t="s">
        <v>2791</v>
      </c>
      <c r="F1256" t="s">
        <v>24</v>
      </c>
      <c r="G1256" s="2" t="s">
        <v>2621</v>
      </c>
      <c r="H1256" t="s">
        <v>26</v>
      </c>
      <c r="I1256" t="s">
        <v>57</v>
      </c>
      <c r="J1256" s="6">
        <v>40762</v>
      </c>
      <c r="K1256" s="16">
        <v>10085</v>
      </c>
      <c r="L1256" s="16">
        <v>10005</v>
      </c>
      <c r="M1256" s="16">
        <v>10000</v>
      </c>
      <c r="N1256" s="16">
        <v>10000</v>
      </c>
      <c r="O1256" s="16">
        <v>9970</v>
      </c>
      <c r="P1256" s="16">
        <v>10050</v>
      </c>
      <c r="Q1256" s="16">
        <v>10040</v>
      </c>
      <c r="R1256" s="16">
        <v>10000</v>
      </c>
      <c r="S1256" s="16">
        <v>10055</v>
      </c>
      <c r="T1256" s="16">
        <v>10055</v>
      </c>
      <c r="U1256" s="15">
        <v>10026</v>
      </c>
      <c r="V1256" t="s">
        <v>19</v>
      </c>
      <c r="W1256" t="s">
        <v>28</v>
      </c>
      <c r="X1256">
        <v>633</v>
      </c>
      <c r="Y1256" s="16">
        <f>VLOOKUP(Tabela1[[#This Row],[SKU]],SKU!A:D,4,0)</f>
        <v>10000</v>
      </c>
      <c r="Z1256" s="18">
        <f>IFERROR((Tabela1[[#This Row],[Média]]-Tabela1[[#This Row],[Meta]])/Tabela1[[#This Row],[Meta]],"")</f>
        <v>2.5999999999999999E-3</v>
      </c>
      <c r="AA1256" s="31">
        <f>Tabela1[[#This Row],[Média]]-Tabela1[[#This Row],[Meta]]</f>
        <v>26</v>
      </c>
      <c r="AB1256" s="6" t="str">
        <f>VLOOKUP(Tabela1[[#This Row],[SKU]],SKU!A:B,2,0)</f>
        <v>COXA SBCX LQ FG LP</v>
      </c>
      <c r="AC1256" s="6" t="str">
        <f>VLOOKUP(Tabela1[[#This Row],[SKU]],SKU!A:C,3,0)</f>
        <v>PERNA</v>
      </c>
    </row>
    <row r="1257" spans="1:29" x14ac:dyDescent="0.3">
      <c r="A1257" s="2">
        <f>INT(Tabela1[[#This Row],[Data e Hora2]])</f>
        <v>46295</v>
      </c>
      <c r="B1257" s="6" t="str">
        <f>UPPER(TEXT(Tabela1[[#This Row],[Data Corrigida]],"MMM"))</f>
        <v>SET</v>
      </c>
      <c r="C1257" t="s">
        <v>2792</v>
      </c>
      <c r="D1257" s="2" t="s">
        <v>2793</v>
      </c>
      <c r="E1257" s="1" t="s">
        <v>2794</v>
      </c>
      <c r="F1257" t="s">
        <v>24</v>
      </c>
      <c r="G1257" s="2" t="s">
        <v>2621</v>
      </c>
      <c r="H1257" t="s">
        <v>142</v>
      </c>
      <c r="I1257" t="s">
        <v>462</v>
      </c>
      <c r="J1257" s="6">
        <v>50580</v>
      </c>
      <c r="K1257" s="16">
        <v>1997</v>
      </c>
      <c r="L1257" s="16">
        <v>1985</v>
      </c>
      <c r="M1257" s="16">
        <v>2008</v>
      </c>
      <c r="N1257" s="16">
        <v>1998</v>
      </c>
      <c r="O1257" s="16">
        <v>2024</v>
      </c>
      <c r="P1257" s="16">
        <v>2018</v>
      </c>
      <c r="Q1257" s="16">
        <v>2040</v>
      </c>
      <c r="R1257" s="16">
        <v>2000</v>
      </c>
      <c r="S1257" s="16">
        <v>2123</v>
      </c>
      <c r="T1257" s="16">
        <v>2022</v>
      </c>
      <c r="U1257" s="15">
        <v>2021.5</v>
      </c>
      <c r="V1257" t="s">
        <v>19</v>
      </c>
      <c r="W1257" t="s">
        <v>28</v>
      </c>
      <c r="X1257">
        <v>297</v>
      </c>
      <c r="Y1257" s="16">
        <f>VLOOKUP(Tabela1[[#This Row],[SKU]],SKU!A:D,4,0)</f>
        <v>2000</v>
      </c>
      <c r="Z1257" s="18">
        <f>IFERROR((Tabela1[[#This Row],[Média]]-Tabela1[[#This Row],[Meta]])/Tabela1[[#This Row],[Meta]],"")</f>
        <v>1.0749999999999999E-2</v>
      </c>
      <c r="AA1257" s="31">
        <f>Tabela1[[#This Row],[Média]]-Tabela1[[#This Row],[Meta]]</f>
        <v>21.5</v>
      </c>
      <c r="AB1257" s="6" t="str">
        <f>VLOOKUP(Tabela1[[#This Row],[SKU]],SKU!A:B,2,0)</f>
        <v>COXA SBCX S/O FG 200g UP PB</v>
      </c>
      <c r="AC1257" s="6" t="str">
        <f>VLOOKUP(Tabela1[[#This Row],[SKU]],SKU!A:C,3,0)</f>
        <v>PERNA</v>
      </c>
    </row>
    <row r="1258" spans="1:29" x14ac:dyDescent="0.3">
      <c r="A1258" s="2">
        <f>INT(Tabela1[[#This Row],[Data e Hora2]])</f>
        <v>46295</v>
      </c>
      <c r="B1258" s="6" t="str">
        <f>UPPER(TEXT(Tabela1[[#This Row],[Data Corrigida]],"MMM"))</f>
        <v>SET</v>
      </c>
      <c r="C1258" t="s">
        <v>2795</v>
      </c>
      <c r="D1258" s="2" t="s">
        <v>2796</v>
      </c>
      <c r="E1258" s="1" t="s">
        <v>2797</v>
      </c>
      <c r="F1258" t="s">
        <v>24</v>
      </c>
      <c r="G1258" s="2" t="s">
        <v>2621</v>
      </c>
      <c r="H1258" t="s">
        <v>142</v>
      </c>
      <c r="I1258" t="s">
        <v>143</v>
      </c>
      <c r="J1258" s="6">
        <v>18228</v>
      </c>
      <c r="K1258" s="16">
        <v>1003</v>
      </c>
      <c r="L1258" s="16">
        <v>961</v>
      </c>
      <c r="M1258" s="16">
        <v>1004</v>
      </c>
      <c r="N1258" s="16">
        <v>1002</v>
      </c>
      <c r="O1258" s="16">
        <v>1008</v>
      </c>
      <c r="P1258" s="16">
        <v>998</v>
      </c>
      <c r="Q1258" s="16">
        <v>1017</v>
      </c>
      <c r="R1258" s="16">
        <v>1010</v>
      </c>
      <c r="S1258" s="16">
        <v>1015</v>
      </c>
      <c r="T1258" s="16">
        <v>996</v>
      </c>
      <c r="U1258" s="15">
        <v>1001.4</v>
      </c>
      <c r="V1258" t="s">
        <v>19</v>
      </c>
      <c r="W1258" t="s">
        <v>28</v>
      </c>
      <c r="X1258">
        <v>268</v>
      </c>
      <c r="Y1258" s="16">
        <f>VLOOKUP(Tabela1[[#This Row],[SKU]],SKU!A:D,4,0)</f>
        <v>1000</v>
      </c>
      <c r="Z1258" s="18">
        <f>IFERROR((Tabela1[[#This Row],[Média]]-Tabela1[[#This Row],[Meta]])/Tabela1[[#This Row],[Meta]],"")</f>
        <v>1.3999999999999772E-3</v>
      </c>
      <c r="AA1258" s="31">
        <f>Tabela1[[#This Row],[Média]]-Tabela1[[#This Row],[Meta]]</f>
        <v>1.3999999999999773</v>
      </c>
      <c r="AB1258" s="6" t="str">
        <f>VLOOKUP(Tabela1[[#This Row],[SKU]],SKU!A:B,2,0)</f>
        <v>MOELA FRANGO CG ALM SE</v>
      </c>
      <c r="AC1258" s="6" t="str">
        <f>VLOOKUP(Tabela1[[#This Row],[SKU]],SKU!A:C,3,0)</f>
        <v>MOELA</v>
      </c>
    </row>
    <row r="1259" spans="1:29" x14ac:dyDescent="0.3">
      <c r="A1259" s="2">
        <f>INT(Tabela1[[#This Row],[Data e Hora2]])</f>
        <v>46295</v>
      </c>
      <c r="B1259" s="6" t="str">
        <f>UPPER(TEXT(Tabela1[[#This Row],[Data Corrigida]],"MMM"))</f>
        <v>SET</v>
      </c>
      <c r="C1259" t="s">
        <v>2798</v>
      </c>
      <c r="D1259" s="2" t="s">
        <v>2799</v>
      </c>
      <c r="E1259" s="1" t="s">
        <v>2797</v>
      </c>
      <c r="F1259" t="s">
        <v>24</v>
      </c>
      <c r="G1259" s="2" t="s">
        <v>2621</v>
      </c>
      <c r="H1259" t="s">
        <v>142</v>
      </c>
      <c r="I1259" t="s">
        <v>143</v>
      </c>
      <c r="J1259" s="6">
        <v>31454</v>
      </c>
      <c r="K1259" s="16">
        <v>2540</v>
      </c>
      <c r="L1259" s="16">
        <v>2511</v>
      </c>
      <c r="M1259" s="16">
        <v>2493</v>
      </c>
      <c r="N1259" s="16">
        <v>2558</v>
      </c>
      <c r="O1259" s="16">
        <v>2511</v>
      </c>
      <c r="P1259" s="16">
        <v>2559</v>
      </c>
      <c r="Q1259" s="16">
        <v>2556</v>
      </c>
      <c r="R1259" s="16">
        <v>2548</v>
      </c>
      <c r="S1259" s="16">
        <v>2563</v>
      </c>
      <c r="T1259" s="16">
        <v>2564</v>
      </c>
      <c r="U1259" s="15">
        <v>2540.3000000000002</v>
      </c>
      <c r="V1259" t="s">
        <v>19</v>
      </c>
      <c r="W1259" t="s">
        <v>28</v>
      </c>
      <c r="X1259">
        <v>156</v>
      </c>
      <c r="Y1259" s="16">
        <f>VLOOKUP(Tabela1[[#This Row],[SKU]],SKU!A:D,4,0)</f>
        <v>2500</v>
      </c>
      <c r="Z1259" s="18">
        <f>IFERROR((Tabela1[[#This Row],[Média]]-Tabela1[[#This Row],[Meta]])/Tabela1[[#This Row],[Meta]],"")</f>
        <v>1.6120000000000072E-2</v>
      </c>
      <c r="AA1259" s="31">
        <f>Tabela1[[#This Row],[Média]]-Tabela1[[#This Row],[Meta]]</f>
        <v>40.300000000000182</v>
      </c>
      <c r="AB1259" s="6" t="str">
        <f>VLOOKUP(Tabela1[[#This Row],[SKU]],SKU!A:B,2,0)</f>
        <v>MEIO DE ASA 2,5KG  IQF</v>
      </c>
      <c r="AC1259" s="6" t="str">
        <f>VLOOKUP(Tabela1[[#This Row],[SKU]],SKU!A:C,3,0)</f>
        <v>ASA</v>
      </c>
    </row>
    <row r="1260" spans="1:29" x14ac:dyDescent="0.3">
      <c r="A1260" s="2">
        <f>INT(Tabela1[[#This Row],[Data e Hora2]])</f>
        <v>46295</v>
      </c>
      <c r="B1260" s="6" t="str">
        <f>UPPER(TEXT(Tabela1[[#This Row],[Data Corrigida]],"MMM"))</f>
        <v>SET</v>
      </c>
      <c r="C1260" t="s">
        <v>2800</v>
      </c>
      <c r="D1260" s="2" t="s">
        <v>2801</v>
      </c>
      <c r="E1260" s="1" t="s">
        <v>2797</v>
      </c>
      <c r="F1260" t="s">
        <v>24</v>
      </c>
      <c r="G1260" s="2" t="s">
        <v>2621</v>
      </c>
      <c r="H1260" t="s">
        <v>142</v>
      </c>
      <c r="I1260" t="s">
        <v>143</v>
      </c>
      <c r="J1260" s="6">
        <v>54632</v>
      </c>
      <c r="K1260" s="16">
        <v>993</v>
      </c>
      <c r="L1260" s="16">
        <v>1002</v>
      </c>
      <c r="M1260" s="16">
        <v>1008</v>
      </c>
      <c r="N1260" s="16">
        <v>993</v>
      </c>
      <c r="O1260" s="16">
        <v>993</v>
      </c>
      <c r="P1260" s="16">
        <v>1008</v>
      </c>
      <c r="Q1260" s="16">
        <v>1005</v>
      </c>
      <c r="R1260" s="16">
        <v>1000</v>
      </c>
      <c r="S1260" s="16">
        <v>1016</v>
      </c>
      <c r="T1260" s="16">
        <v>1025</v>
      </c>
      <c r="U1260" s="15">
        <v>1004.3</v>
      </c>
      <c r="V1260" t="s">
        <v>19</v>
      </c>
      <c r="W1260" t="s">
        <v>28</v>
      </c>
      <c r="X1260">
        <v>156</v>
      </c>
      <c r="Y1260" s="16">
        <f>VLOOKUP(Tabela1[[#This Row],[SKU]],SKU!A:D,4,0)</f>
        <v>1000</v>
      </c>
      <c r="Z1260" s="18">
        <f>IFERROR((Tabela1[[#This Row],[Média]]-Tabela1[[#This Row],[Meta]])/Tabela1[[#This Row],[Meta]],"")</f>
        <v>4.2999999999999549E-3</v>
      </c>
      <c r="AA1260" s="31">
        <f>Tabela1[[#This Row],[Média]]-Tabela1[[#This Row],[Meta]]</f>
        <v>4.2999999999999545</v>
      </c>
      <c r="AB1260" s="6" t="str">
        <f>VLOOKUP(Tabela1[[#This Row],[SKU]],SKU!A:B,2,0)</f>
        <v>COXA SBCX S/O BDJ CG</v>
      </c>
      <c r="AC1260" s="6" t="str">
        <f>VLOOKUP(Tabela1[[#This Row],[SKU]],SKU!A:C,3,0)</f>
        <v>PERNA</v>
      </c>
    </row>
    <row r="1261" spans="1:29" x14ac:dyDescent="0.3">
      <c r="A1261" s="2">
        <f>INT(Tabela1[[#This Row],[Data e Hora2]])</f>
        <v>46295</v>
      </c>
      <c r="B1261" s="6" t="str">
        <f>UPPER(TEXT(Tabela1[[#This Row],[Data Corrigida]],"MMM"))</f>
        <v>SET</v>
      </c>
      <c r="C1261" t="s">
        <v>2802</v>
      </c>
      <c r="D1261" s="2" t="s">
        <v>2803</v>
      </c>
      <c r="E1261" s="1" t="s">
        <v>2797</v>
      </c>
      <c r="F1261" t="s">
        <v>24</v>
      </c>
      <c r="G1261" s="2" t="s">
        <v>2621</v>
      </c>
      <c r="H1261" t="s">
        <v>142</v>
      </c>
      <c r="I1261" t="s">
        <v>143</v>
      </c>
      <c r="J1261" s="6">
        <v>15105</v>
      </c>
      <c r="K1261" s="16">
        <v>996</v>
      </c>
      <c r="L1261" s="16">
        <v>995</v>
      </c>
      <c r="M1261" s="16">
        <v>994</v>
      </c>
      <c r="N1261" s="16">
        <v>1006</v>
      </c>
      <c r="O1261" s="16">
        <v>998</v>
      </c>
      <c r="P1261" s="16">
        <v>1007</v>
      </c>
      <c r="Q1261" s="16">
        <v>1003</v>
      </c>
      <c r="R1261" s="16">
        <v>987</v>
      </c>
      <c r="S1261" s="16">
        <v>1001</v>
      </c>
      <c r="T1261" s="16">
        <v>1036</v>
      </c>
      <c r="U1261" s="15">
        <v>1002.3</v>
      </c>
      <c r="V1261" t="s">
        <v>19</v>
      </c>
      <c r="W1261" t="s">
        <v>28</v>
      </c>
      <c r="X1261">
        <v>197</v>
      </c>
      <c r="Y1261" s="16">
        <f>VLOOKUP(Tabela1[[#This Row],[SKU]],SKU!A:D,4,0)</f>
        <v>1000</v>
      </c>
      <c r="Z1261" s="18">
        <f>IFERROR((Tabela1[[#This Row],[Média]]-Tabela1[[#This Row],[Meta]])/Tabela1[[#This Row],[Meta]],"")</f>
        <v>2.2999999999999544E-3</v>
      </c>
      <c r="AA1261" s="31">
        <f>Tabela1[[#This Row],[Média]]-Tabela1[[#This Row],[Meta]]</f>
        <v>2.2999999999999545</v>
      </c>
      <c r="AB1261" s="6" t="str">
        <f>VLOOKUP(Tabela1[[#This Row],[SKU]],SKU!A:B,2,0)</f>
        <v>FILE PEITO MET CG BDJ SE</v>
      </c>
      <c r="AC1261" s="6" t="str">
        <f>VLOOKUP(Tabela1[[#This Row],[SKU]],SKU!A:C,3,0)</f>
        <v>PEITO</v>
      </c>
    </row>
    <row r="1262" spans="1:29" x14ac:dyDescent="0.3">
      <c r="A1262" s="2">
        <f>INT(Tabela1[[#This Row],[Data e Hora2]])</f>
        <v>46295</v>
      </c>
      <c r="B1262" s="6" t="str">
        <f>UPPER(TEXT(Tabela1[[#This Row],[Data Corrigida]],"MMM"))</f>
        <v>SET</v>
      </c>
      <c r="C1262" t="s">
        <v>2804</v>
      </c>
      <c r="D1262" s="2" t="s">
        <v>2805</v>
      </c>
      <c r="E1262" s="1" t="s">
        <v>2797</v>
      </c>
      <c r="F1262" t="s">
        <v>24</v>
      </c>
      <c r="G1262" s="2" t="s">
        <v>2621</v>
      </c>
      <c r="H1262" t="s">
        <v>142</v>
      </c>
      <c r="I1262" t="s">
        <v>143</v>
      </c>
      <c r="J1262" s="6">
        <v>50580</v>
      </c>
      <c r="K1262" s="16">
        <v>2021</v>
      </c>
      <c r="L1262" s="16">
        <v>2028</v>
      </c>
      <c r="M1262" s="16">
        <v>2105</v>
      </c>
      <c r="N1262" s="16">
        <v>1994</v>
      </c>
      <c r="O1262" s="16">
        <v>2021</v>
      </c>
      <c r="P1262" s="16">
        <v>2055</v>
      </c>
      <c r="Q1262" s="16">
        <v>1997</v>
      </c>
      <c r="R1262" s="16">
        <v>2017</v>
      </c>
      <c r="S1262" s="16">
        <v>2033</v>
      </c>
      <c r="T1262" s="16">
        <v>1980</v>
      </c>
      <c r="U1262" s="15">
        <v>2025.1</v>
      </c>
      <c r="V1262" t="s">
        <v>19</v>
      </c>
      <c r="W1262" t="s">
        <v>28</v>
      </c>
      <c r="X1262">
        <v>176</v>
      </c>
      <c r="Y1262" s="16">
        <f>VLOOKUP(Tabela1[[#This Row],[SKU]],SKU!A:D,4,0)</f>
        <v>2000</v>
      </c>
      <c r="Z1262" s="18">
        <f>IFERROR((Tabela1[[#This Row],[Média]]-Tabela1[[#This Row],[Meta]])/Tabela1[[#This Row],[Meta]],"")</f>
        <v>1.2549999999999955E-2</v>
      </c>
      <c r="AA1262" s="31">
        <f>Tabela1[[#This Row],[Média]]-Tabela1[[#This Row],[Meta]]</f>
        <v>25.099999999999909</v>
      </c>
      <c r="AB1262" s="6" t="str">
        <f>VLOOKUP(Tabela1[[#This Row],[SKU]],SKU!A:B,2,0)</f>
        <v>COXA SBCX S/O FG 200g UP PB</v>
      </c>
      <c r="AC1262" s="6" t="str">
        <f>VLOOKUP(Tabela1[[#This Row],[SKU]],SKU!A:C,3,0)</f>
        <v>PERNA</v>
      </c>
    </row>
    <row r="1263" spans="1:29" x14ac:dyDescent="0.3">
      <c r="A1263" s="2">
        <f>INT(Tabela1[[#This Row],[Data e Hora2]])</f>
        <v>46295</v>
      </c>
      <c r="B1263" s="6" t="str">
        <f>UPPER(TEXT(Tabela1[[#This Row],[Data Corrigida]],"MMM"))</f>
        <v>SET</v>
      </c>
      <c r="C1263" t="s">
        <v>2806</v>
      </c>
      <c r="D1263" s="2" t="s">
        <v>2807</v>
      </c>
      <c r="E1263" s="1" t="s">
        <v>2808</v>
      </c>
      <c r="F1263" t="s">
        <v>24</v>
      </c>
      <c r="G1263" s="2" t="s">
        <v>2621</v>
      </c>
      <c r="H1263" t="s">
        <v>142</v>
      </c>
      <c r="I1263" t="s">
        <v>462</v>
      </c>
      <c r="J1263" s="6">
        <v>197734</v>
      </c>
      <c r="K1263" s="16">
        <v>1009</v>
      </c>
      <c r="L1263" s="16">
        <v>1007</v>
      </c>
      <c r="M1263" s="16">
        <v>1007</v>
      </c>
      <c r="N1263" s="16">
        <v>1005</v>
      </c>
      <c r="O1263" s="16">
        <v>1008</v>
      </c>
      <c r="P1263" s="16">
        <v>1007</v>
      </c>
      <c r="Q1263" s="16">
        <v>1025</v>
      </c>
      <c r="R1263" s="16">
        <v>1005</v>
      </c>
      <c r="S1263" s="16">
        <v>1011</v>
      </c>
      <c r="T1263" s="16">
        <v>1010</v>
      </c>
      <c r="U1263" s="15">
        <v>1009.4</v>
      </c>
      <c r="V1263" t="s">
        <v>19</v>
      </c>
      <c r="W1263" t="s">
        <v>28</v>
      </c>
      <c r="X1263">
        <v>151</v>
      </c>
      <c r="Y1263" s="16">
        <f>VLOOKUP(Tabela1[[#This Row],[SKU]],SKU!A:D,4,0)</f>
        <v>1000</v>
      </c>
      <c r="Z1263" s="18">
        <f>IFERROR((Tabela1[[#This Row],[Média]]-Tabela1[[#This Row],[Meta]])/Tabela1[[#This Row],[Meta]],"")</f>
        <v>9.3999999999999778E-3</v>
      </c>
      <c r="AA1263" s="31">
        <f>Tabela1[[#This Row],[Média]]-Tabela1[[#This Row],[Meta]]</f>
        <v>9.3999999999999773</v>
      </c>
      <c r="AB1263" s="6" t="str">
        <f>VLOOKUP(Tabela1[[#This Row],[SKU]],SKU!A:B,2,0)</f>
        <v>FILEZINHO FRANGO IQF ALM SE</v>
      </c>
      <c r="AC1263" s="6" t="str">
        <f>VLOOKUP(Tabela1[[#This Row],[SKU]],SKU!A:C,3,0)</f>
        <v>SASSAMI</v>
      </c>
    </row>
    <row r="1264" spans="1:29" x14ac:dyDescent="0.3">
      <c r="A1264" s="2">
        <f>INT(Tabela1[[#This Row],[Data e Hora2]])</f>
        <v>46295</v>
      </c>
      <c r="B1264" s="6" t="str">
        <f>UPPER(TEXT(Tabela1[[#This Row],[Data Corrigida]],"MMM"))</f>
        <v>SET</v>
      </c>
      <c r="C1264" t="s">
        <v>2809</v>
      </c>
      <c r="D1264" s="2" t="s">
        <v>2810</v>
      </c>
      <c r="E1264" s="1" t="s">
        <v>2808</v>
      </c>
      <c r="F1264" t="s">
        <v>24</v>
      </c>
      <c r="G1264" s="2" t="s">
        <v>2621</v>
      </c>
      <c r="H1264" t="s">
        <v>142</v>
      </c>
      <c r="I1264" t="s">
        <v>462</v>
      </c>
      <c r="J1264" s="6">
        <v>18163</v>
      </c>
      <c r="K1264" s="16">
        <v>1007</v>
      </c>
      <c r="L1264" s="16">
        <v>999</v>
      </c>
      <c r="M1264" s="16">
        <v>1000</v>
      </c>
      <c r="N1264" s="16">
        <v>1003</v>
      </c>
      <c r="O1264" s="16">
        <v>1008</v>
      </c>
      <c r="P1264" s="16">
        <v>994</v>
      </c>
      <c r="Q1264" s="16">
        <v>1005</v>
      </c>
      <c r="R1264" s="16">
        <v>998</v>
      </c>
      <c r="S1264" s="16">
        <v>1000</v>
      </c>
      <c r="T1264" s="16">
        <v>1002</v>
      </c>
      <c r="U1264" s="15">
        <v>1001.6</v>
      </c>
      <c r="V1264" t="s">
        <v>19</v>
      </c>
      <c r="W1264" t="s">
        <v>28</v>
      </c>
      <c r="X1264">
        <v>219</v>
      </c>
      <c r="Y1264" s="16">
        <f>VLOOKUP(Tabela1[[#This Row],[SKU]],SKU!A:D,4,0)</f>
        <v>1000</v>
      </c>
      <c r="Z1264" s="18">
        <f>IFERROR((Tabela1[[#This Row],[Média]]-Tabela1[[#This Row],[Meta]])/Tabela1[[#This Row],[Meta]],"")</f>
        <v>1.6000000000000228E-3</v>
      </c>
      <c r="AA1264" s="31">
        <f>Tabela1[[#This Row],[Média]]-Tabela1[[#This Row],[Meta]]</f>
        <v>1.6000000000000227</v>
      </c>
      <c r="AB1264" s="6" t="str">
        <f>VLOOKUP(Tabela1[[#This Row],[SKU]],SKU!A:B,2,0)</f>
        <v>CORACAO FGO CG ALM SE</v>
      </c>
      <c r="AC1264" s="6" t="str">
        <f>VLOOKUP(Tabela1[[#This Row],[SKU]],SKU!A:C,3,0)</f>
        <v>CORAÇÃO</v>
      </c>
    </row>
    <row r="1265" spans="1:29" x14ac:dyDescent="0.3">
      <c r="A1265" s="2">
        <f>INT(Tabela1[[#This Row],[Data e Hora2]])</f>
        <v>46295</v>
      </c>
      <c r="B1265" s="6" t="str">
        <f>UPPER(TEXT(Tabela1[[#This Row],[Data Corrigida]],"MMM"))</f>
        <v>SET</v>
      </c>
      <c r="C1265" t="s">
        <v>2811</v>
      </c>
      <c r="D1265" s="2" t="s">
        <v>2812</v>
      </c>
      <c r="E1265" s="1" t="s">
        <v>2808</v>
      </c>
      <c r="F1265" t="s">
        <v>24</v>
      </c>
      <c r="G1265" s="2" t="s">
        <v>2621</v>
      </c>
      <c r="H1265" t="s">
        <v>142</v>
      </c>
      <c r="I1265" t="s">
        <v>462</v>
      </c>
      <c r="J1265" s="6">
        <v>40762</v>
      </c>
      <c r="K1265" s="16">
        <v>10155</v>
      </c>
      <c r="L1265" s="16">
        <v>10015</v>
      </c>
      <c r="M1265" s="16">
        <v>9965</v>
      </c>
      <c r="N1265" s="16">
        <v>9610</v>
      </c>
      <c r="O1265" s="16">
        <v>10120</v>
      </c>
      <c r="P1265" s="16">
        <v>10075</v>
      </c>
      <c r="Q1265" s="16">
        <v>9970</v>
      </c>
      <c r="R1265" s="16">
        <v>10090</v>
      </c>
      <c r="S1265" s="16">
        <v>9950</v>
      </c>
      <c r="T1265" s="16">
        <v>10050</v>
      </c>
      <c r="U1265" s="15">
        <v>10000</v>
      </c>
      <c r="V1265" t="s">
        <v>19</v>
      </c>
      <c r="W1265" t="s">
        <v>28</v>
      </c>
      <c r="X1265">
        <v>699</v>
      </c>
      <c r="Y1265" s="16">
        <f>VLOOKUP(Tabela1[[#This Row],[SKU]],SKU!A:D,4,0)</f>
        <v>10000</v>
      </c>
      <c r="Z1265" s="18">
        <f>IFERROR((Tabela1[[#This Row],[Média]]-Tabela1[[#This Row],[Meta]])/Tabela1[[#This Row],[Meta]],"")</f>
        <v>0</v>
      </c>
      <c r="AA1265" s="31">
        <f>Tabela1[[#This Row],[Média]]-Tabela1[[#This Row],[Meta]]</f>
        <v>0</v>
      </c>
      <c r="AB1265" s="6" t="str">
        <f>VLOOKUP(Tabela1[[#This Row],[SKU]],SKU!A:B,2,0)</f>
        <v>COXA SBCX LQ FG LP</v>
      </c>
      <c r="AC1265" s="6" t="str">
        <f>VLOOKUP(Tabela1[[#This Row],[SKU]],SKU!A:C,3,0)</f>
        <v>PERNA</v>
      </c>
    </row>
    <row r="1266" spans="1:29" x14ac:dyDescent="0.3">
      <c r="A1266" s="2">
        <f>INT(Tabela1[[#This Row],[Data e Hora2]])</f>
        <v>46295</v>
      </c>
      <c r="B1266" s="6" t="str">
        <f>UPPER(TEXT(Tabela1[[#This Row],[Data Corrigida]],"MMM"))</f>
        <v>SET</v>
      </c>
      <c r="C1266" t="s">
        <v>2813</v>
      </c>
      <c r="D1266" s="2" t="s">
        <v>2814</v>
      </c>
      <c r="E1266" s="1" t="s">
        <v>2808</v>
      </c>
      <c r="F1266" t="s">
        <v>24</v>
      </c>
      <c r="G1266" s="2" t="s">
        <v>2621</v>
      </c>
      <c r="H1266" t="s">
        <v>142</v>
      </c>
      <c r="I1266" t="s">
        <v>462</v>
      </c>
      <c r="J1266" s="6">
        <v>54632</v>
      </c>
      <c r="K1266" s="16">
        <v>1001</v>
      </c>
      <c r="L1266" s="16">
        <v>995</v>
      </c>
      <c r="M1266" s="16">
        <v>993</v>
      </c>
      <c r="N1266" s="16">
        <v>998</v>
      </c>
      <c r="O1266" s="16">
        <v>1006</v>
      </c>
      <c r="P1266" s="16">
        <v>1001</v>
      </c>
      <c r="Q1266" s="16">
        <v>1002</v>
      </c>
      <c r="R1266" s="16">
        <v>1006</v>
      </c>
      <c r="S1266" s="16">
        <v>1007</v>
      </c>
      <c r="T1266" s="16">
        <v>1004</v>
      </c>
      <c r="U1266" s="15">
        <v>1001.3</v>
      </c>
      <c r="V1266" t="s">
        <v>19</v>
      </c>
      <c r="W1266" t="s">
        <v>28</v>
      </c>
      <c r="X1266">
        <v>968</v>
      </c>
      <c r="Y1266" s="16">
        <f>VLOOKUP(Tabela1[[#This Row],[SKU]],SKU!A:D,4,0)</f>
        <v>1000</v>
      </c>
      <c r="Z1266" s="18">
        <f>IFERROR((Tabela1[[#This Row],[Média]]-Tabela1[[#This Row],[Meta]])/Tabela1[[#This Row],[Meta]],"")</f>
        <v>1.2999999999999546E-3</v>
      </c>
      <c r="AA1266" s="31">
        <f>Tabela1[[#This Row],[Média]]-Tabela1[[#This Row],[Meta]]</f>
        <v>1.2999999999999545</v>
      </c>
      <c r="AB1266" s="6" t="str">
        <f>VLOOKUP(Tabela1[[#This Row],[SKU]],SKU!A:B,2,0)</f>
        <v>COXA SBCX S/O BDJ CG</v>
      </c>
      <c r="AC1266" s="6" t="str">
        <f>VLOOKUP(Tabela1[[#This Row],[SKU]],SKU!A:C,3,0)</f>
        <v>PERNA</v>
      </c>
    </row>
    <row r="1267" spans="1:29" x14ac:dyDescent="0.3">
      <c r="A1267" s="2">
        <f>INT(Tabela1[[#This Row],[Data e Hora2]])</f>
        <v>46295</v>
      </c>
      <c r="B1267" s="6" t="str">
        <f>UPPER(TEXT(Tabela1[[#This Row],[Data Corrigida]],"MMM"))</f>
        <v>SET</v>
      </c>
      <c r="C1267" t="s">
        <v>2815</v>
      </c>
      <c r="D1267" s="2" t="s">
        <v>2816</v>
      </c>
      <c r="E1267" s="1" t="s">
        <v>2808</v>
      </c>
      <c r="F1267" t="s">
        <v>24</v>
      </c>
      <c r="G1267" s="2" t="s">
        <v>2621</v>
      </c>
      <c r="H1267" t="s">
        <v>142</v>
      </c>
      <c r="I1267" t="s">
        <v>462</v>
      </c>
      <c r="J1267" s="6">
        <v>18228</v>
      </c>
      <c r="K1267" s="16">
        <v>999</v>
      </c>
      <c r="L1267" s="16">
        <v>1008</v>
      </c>
      <c r="M1267" s="16">
        <v>1006</v>
      </c>
      <c r="N1267" s="16">
        <v>994</v>
      </c>
      <c r="O1267" s="16">
        <v>998</v>
      </c>
      <c r="P1267" s="16">
        <v>1003</v>
      </c>
      <c r="Q1267" s="16">
        <v>1007</v>
      </c>
      <c r="R1267" s="16">
        <v>1000</v>
      </c>
      <c r="S1267" s="16">
        <v>1006</v>
      </c>
      <c r="T1267" s="16">
        <v>999</v>
      </c>
      <c r="U1267" s="15">
        <v>1002</v>
      </c>
      <c r="V1267" t="s">
        <v>19</v>
      </c>
      <c r="W1267" t="s">
        <v>28</v>
      </c>
      <c r="X1267">
        <v>1014</v>
      </c>
      <c r="Y1267" s="16">
        <f>VLOOKUP(Tabela1[[#This Row],[SKU]],SKU!A:D,4,0)</f>
        <v>1000</v>
      </c>
      <c r="Z1267" s="18">
        <f>IFERROR((Tabela1[[#This Row],[Média]]-Tabela1[[#This Row],[Meta]])/Tabela1[[#This Row],[Meta]],"")</f>
        <v>2E-3</v>
      </c>
      <c r="AA1267" s="31">
        <f>Tabela1[[#This Row],[Média]]-Tabela1[[#This Row],[Meta]]</f>
        <v>2</v>
      </c>
      <c r="AB1267" s="6" t="str">
        <f>VLOOKUP(Tabela1[[#This Row],[SKU]],SKU!A:B,2,0)</f>
        <v>MOELA FRANGO CG ALM SE</v>
      </c>
      <c r="AC1267" s="6" t="str">
        <f>VLOOKUP(Tabela1[[#This Row],[SKU]],SKU!A:C,3,0)</f>
        <v>MOELA</v>
      </c>
    </row>
    <row r="1268" spans="1:29" x14ac:dyDescent="0.3">
      <c r="A1268" s="2">
        <f>INT(Tabela1[[#This Row],[Data e Hora2]])</f>
        <v>46296</v>
      </c>
      <c r="B1268" s="6" t="str">
        <f>UPPER(TEXT(Tabela1[[#This Row],[Data Corrigida]],"MMM"))</f>
        <v>OUT</v>
      </c>
      <c r="C1268" s="26" t="s">
        <v>2817</v>
      </c>
      <c r="D1268" s="2" t="s">
        <v>2818</v>
      </c>
      <c r="E1268" s="1" t="s">
        <v>2819</v>
      </c>
      <c r="F1268" t="s">
        <v>24</v>
      </c>
      <c r="G1268" s="2" t="s">
        <v>2820</v>
      </c>
      <c r="H1268" t="s">
        <v>26</v>
      </c>
      <c r="I1268" t="s">
        <v>27</v>
      </c>
      <c r="J1268" s="6">
        <v>992093</v>
      </c>
      <c r="K1268" s="16">
        <v>5001</v>
      </c>
      <c r="L1268" s="16">
        <v>5003</v>
      </c>
      <c r="M1268" s="16">
        <v>5007</v>
      </c>
      <c r="N1268" s="16">
        <v>5007</v>
      </c>
      <c r="O1268" s="16">
        <v>5004</v>
      </c>
      <c r="P1268" s="16">
        <v>5010</v>
      </c>
      <c r="Q1268" s="16">
        <v>5001</v>
      </c>
      <c r="R1268" s="16">
        <v>5012</v>
      </c>
      <c r="S1268" s="16">
        <v>5003</v>
      </c>
      <c r="T1268" s="16">
        <v>5008</v>
      </c>
      <c r="U1268" s="15">
        <v>5005.6000000000004</v>
      </c>
      <c r="V1268" t="s">
        <v>19</v>
      </c>
      <c r="W1268" t="s">
        <v>28</v>
      </c>
      <c r="X1268">
        <v>12185</v>
      </c>
      <c r="Y1268" s="16">
        <f>VLOOKUP(Tabela1[[#This Row],[SKU]],SKU!A:D,4,0)</f>
        <v>5000</v>
      </c>
      <c r="Z1268" s="18">
        <f>IFERROR((Tabela1[[#This Row],[Média]]-Tabela1[[#This Row],[Meta]])/Tabela1[[#This Row],[Meta]],"")</f>
        <v>1.1200000000000728E-3</v>
      </c>
      <c r="AA1268" s="31">
        <f>Tabela1[[#This Row],[Média]]-Tabela1[[#This Row],[Meta]]</f>
        <v>5.6000000000003638</v>
      </c>
      <c r="AB1268" s="6" t="str">
        <f>VLOOKUP(Tabela1[[#This Row],[SKU]],SKU!A:B,2,0)</f>
        <v>PONTA ASA FG PB CG</v>
      </c>
      <c r="AC1268" s="6" t="str">
        <f>VLOOKUP(Tabela1[[#This Row],[SKU]],SKU!A:C,3,0)</f>
        <v>ASA</v>
      </c>
    </row>
    <row r="1269" spans="1:29" x14ac:dyDescent="0.3">
      <c r="A1269" s="2">
        <f>INT(Tabela1[[#This Row],[Data e Hora2]])</f>
        <v>46296</v>
      </c>
      <c r="B1269" s="6" t="str">
        <f>UPPER(TEXT(Tabela1[[#This Row],[Data Corrigida]],"MMM"))</f>
        <v>OUT</v>
      </c>
      <c r="C1269" t="s">
        <v>2821</v>
      </c>
      <c r="D1269" s="2" t="s">
        <v>2822</v>
      </c>
      <c r="E1269" s="1" t="s">
        <v>2823</v>
      </c>
      <c r="F1269" t="s">
        <v>24</v>
      </c>
      <c r="G1269" s="2" t="s">
        <v>2820</v>
      </c>
      <c r="H1269" t="s">
        <v>26</v>
      </c>
      <c r="I1269" t="s">
        <v>27</v>
      </c>
      <c r="J1269" s="6">
        <v>13188</v>
      </c>
      <c r="K1269" s="16">
        <v>998</v>
      </c>
      <c r="L1269" s="16">
        <v>997</v>
      </c>
      <c r="M1269" s="16">
        <v>1004</v>
      </c>
      <c r="N1269" s="16">
        <v>997</v>
      </c>
      <c r="O1269" s="16">
        <v>1001</v>
      </c>
      <c r="P1269" s="16">
        <v>1012</v>
      </c>
      <c r="Q1269" s="16">
        <v>999</v>
      </c>
      <c r="R1269" s="16">
        <v>1012</v>
      </c>
      <c r="S1269" s="16">
        <v>1005</v>
      </c>
      <c r="T1269" s="16">
        <v>1006</v>
      </c>
      <c r="U1269" s="15">
        <v>1003.1</v>
      </c>
      <c r="V1269" t="s">
        <v>19</v>
      </c>
      <c r="W1269" t="s">
        <v>28</v>
      </c>
      <c r="X1269">
        <v>30263</v>
      </c>
      <c r="Y1269" s="16">
        <f>VLOOKUP(Tabela1[[#This Row],[SKU]],SKU!A:D,4,0)</f>
        <v>1000</v>
      </c>
      <c r="Z1269" s="18">
        <f>IFERROR((Tabela1[[#This Row],[Média]]-Tabela1[[#This Row],[Meta]])/Tabela1[[#This Row],[Meta]],"")</f>
        <v>3.1000000000000229E-3</v>
      </c>
      <c r="AA1269" s="31">
        <f>Tabela1[[#This Row],[Média]]-Tabela1[[#This Row],[Meta]]</f>
        <v>3.1000000000000227</v>
      </c>
      <c r="AB1269" s="6" t="str">
        <f>VLOOKUP(Tabela1[[#This Row],[SKU]],SKU!A:B,2,0)</f>
        <v>SOBRECOXA CG BDJ SE</v>
      </c>
      <c r="AC1269" s="6" t="str">
        <f>VLOOKUP(Tabela1[[#This Row],[SKU]],SKU!A:C,3,0)</f>
        <v>PERNA</v>
      </c>
    </row>
    <row r="1270" spans="1:29" x14ac:dyDescent="0.3">
      <c r="A1270" s="2">
        <f>INT(Tabela1[[#This Row],[Data e Hora2]])</f>
        <v>46296</v>
      </c>
      <c r="B1270" s="6" t="str">
        <f>UPPER(TEXT(Tabela1[[#This Row],[Data Corrigida]],"MMM"))</f>
        <v>OUT</v>
      </c>
      <c r="C1270" t="s">
        <v>2824</v>
      </c>
      <c r="D1270" s="2" t="s">
        <v>2825</v>
      </c>
      <c r="E1270" s="1" t="s">
        <v>2826</v>
      </c>
      <c r="F1270" t="s">
        <v>24</v>
      </c>
      <c r="G1270" s="2" t="s">
        <v>2820</v>
      </c>
      <c r="H1270" t="s">
        <v>26</v>
      </c>
      <c r="I1270" t="s">
        <v>27</v>
      </c>
      <c r="J1270" s="6">
        <v>15105</v>
      </c>
      <c r="K1270" s="16">
        <v>1002</v>
      </c>
      <c r="L1270" s="16">
        <v>1006</v>
      </c>
      <c r="M1270" s="16">
        <v>1012</v>
      </c>
      <c r="N1270" s="16">
        <v>980</v>
      </c>
      <c r="O1270" s="16">
        <v>1014</v>
      </c>
      <c r="P1270" s="16">
        <v>1015</v>
      </c>
      <c r="Q1270" s="16">
        <v>1005</v>
      </c>
      <c r="R1270" s="16">
        <v>1005</v>
      </c>
      <c r="S1270" s="16">
        <v>1007</v>
      </c>
      <c r="T1270" s="16">
        <v>990</v>
      </c>
      <c r="U1270" s="15">
        <v>1003.6</v>
      </c>
      <c r="V1270" t="s">
        <v>19</v>
      </c>
      <c r="W1270" t="s">
        <v>28</v>
      </c>
      <c r="X1270">
        <v>239</v>
      </c>
      <c r="Y1270" s="16">
        <f>VLOOKUP(Tabela1[[#This Row],[SKU]],SKU!A:D,4,0)</f>
        <v>1000</v>
      </c>
      <c r="Z1270" s="18">
        <f>IFERROR((Tabela1[[#This Row],[Média]]-Tabela1[[#This Row],[Meta]])/Tabela1[[#This Row],[Meta]],"")</f>
        <v>3.6000000000000229E-3</v>
      </c>
      <c r="AA1270" s="31">
        <f>Tabela1[[#This Row],[Média]]-Tabela1[[#This Row],[Meta]]</f>
        <v>3.6000000000000227</v>
      </c>
      <c r="AB1270" s="6" t="str">
        <f>VLOOKUP(Tabela1[[#This Row],[SKU]],SKU!A:B,2,0)</f>
        <v>FILE PEITO MET CG BDJ SE</v>
      </c>
      <c r="AC1270" s="6" t="str">
        <f>VLOOKUP(Tabela1[[#This Row],[SKU]],SKU!A:C,3,0)</f>
        <v>PEITO</v>
      </c>
    </row>
    <row r="1271" spans="1:29" x14ac:dyDescent="0.3">
      <c r="A1271" s="2">
        <f>INT(Tabela1[[#This Row],[Data e Hora2]])</f>
        <v>46296</v>
      </c>
      <c r="B1271" s="6" t="str">
        <f>UPPER(TEXT(Tabela1[[#This Row],[Data Corrigida]],"MMM"))</f>
        <v>OUT</v>
      </c>
      <c r="C1271" t="s">
        <v>2827</v>
      </c>
      <c r="D1271" s="2" t="s">
        <v>2828</v>
      </c>
      <c r="E1271" s="1" t="s">
        <v>2826</v>
      </c>
      <c r="F1271" t="s">
        <v>24</v>
      </c>
      <c r="G1271" s="2" t="s">
        <v>2820</v>
      </c>
      <c r="H1271" t="s">
        <v>26</v>
      </c>
      <c r="I1271" t="s">
        <v>27</v>
      </c>
      <c r="J1271" s="6">
        <v>42862</v>
      </c>
      <c r="K1271" s="16">
        <v>2025</v>
      </c>
      <c r="L1271" s="16">
        <v>2017</v>
      </c>
      <c r="M1271" s="16">
        <v>2029</v>
      </c>
      <c r="N1271" s="16">
        <v>1994</v>
      </c>
      <c r="O1271" s="16">
        <v>2026</v>
      </c>
      <c r="P1271" s="16">
        <v>2016</v>
      </c>
      <c r="Q1271" s="16">
        <v>2013</v>
      </c>
      <c r="R1271" s="16">
        <v>1999</v>
      </c>
      <c r="S1271" s="16">
        <v>1996</v>
      </c>
      <c r="T1271" s="16">
        <v>2008</v>
      </c>
      <c r="U1271" s="15">
        <v>2012.3</v>
      </c>
      <c r="V1271" t="s">
        <v>19</v>
      </c>
      <c r="W1271" t="s">
        <v>28</v>
      </c>
      <c r="X1271">
        <v>132</v>
      </c>
      <c r="Y1271" s="16">
        <f>VLOOKUP(Tabela1[[#This Row],[SKU]],SKU!A:D,4,0)</f>
        <v>2000</v>
      </c>
      <c r="Z1271" s="18">
        <f>IFERROR((Tabela1[[#This Row],[Média]]-Tabela1[[#This Row],[Meta]])/Tabela1[[#This Row],[Meta]],"")</f>
        <v>6.1499999999999775E-3</v>
      </c>
      <c r="AA1271" s="31">
        <f>Tabela1[[#This Row],[Média]]-Tabela1[[#This Row],[Meta]]</f>
        <v>12.299999999999955</v>
      </c>
      <c r="AB1271" s="6" t="str">
        <f>VLOOKUP(Tabela1[[#This Row],[SKU]],SKU!A:B,2,0)</f>
        <v>COXA SBCX S/O FG 280-300g PB</v>
      </c>
      <c r="AC1271" s="6" t="str">
        <f>VLOOKUP(Tabela1[[#This Row],[SKU]],SKU!A:C,3,0)</f>
        <v>PERNA</v>
      </c>
    </row>
    <row r="1272" spans="1:29" x14ac:dyDescent="0.3">
      <c r="A1272" s="2">
        <f>INT(Tabela1[[#This Row],[Data e Hora2]])</f>
        <v>46296</v>
      </c>
      <c r="B1272" s="6" t="str">
        <f>UPPER(TEXT(Tabela1[[#This Row],[Data Corrigida]],"MMM"))</f>
        <v>OUT</v>
      </c>
      <c r="C1272" t="s">
        <v>2829</v>
      </c>
      <c r="D1272" s="2" t="s">
        <v>2830</v>
      </c>
      <c r="E1272" s="1" t="s">
        <v>2826</v>
      </c>
      <c r="F1272" t="s">
        <v>24</v>
      </c>
      <c r="G1272" s="2" t="s">
        <v>2820</v>
      </c>
      <c r="H1272" t="s">
        <v>26</v>
      </c>
      <c r="I1272" t="s">
        <v>27</v>
      </c>
      <c r="J1272" s="6">
        <v>42854</v>
      </c>
      <c r="K1272" s="16">
        <v>2093</v>
      </c>
      <c r="L1272" s="16">
        <v>2013</v>
      </c>
      <c r="M1272" s="16">
        <v>2084</v>
      </c>
      <c r="N1272" s="16">
        <v>2115</v>
      </c>
      <c r="O1272" s="16">
        <v>2109</v>
      </c>
      <c r="P1272" s="16">
        <v>2104</v>
      </c>
      <c r="Q1272" s="16">
        <v>2082</v>
      </c>
      <c r="R1272" s="16">
        <v>2099</v>
      </c>
      <c r="S1272" s="16">
        <v>2020</v>
      </c>
      <c r="T1272" s="16">
        <v>2078</v>
      </c>
      <c r="U1272" s="15">
        <v>2079.6999999999998</v>
      </c>
      <c r="V1272" t="s">
        <v>19</v>
      </c>
      <c r="W1272" t="s">
        <v>19</v>
      </c>
      <c r="X1272">
        <v>123</v>
      </c>
      <c r="Y1272" s="16">
        <f>VLOOKUP(Tabela1[[#This Row],[SKU]],SKU!A:D,4,0)</f>
        <v>2080</v>
      </c>
      <c r="Z1272" s="18">
        <f>IFERROR((Tabela1[[#This Row],[Média]]-Tabela1[[#This Row],[Meta]])/Tabela1[[#This Row],[Meta]],"")</f>
        <v>-1.4423076923085669E-4</v>
      </c>
      <c r="AA1272" s="31">
        <f>Tabela1[[#This Row],[Média]]-Tabela1[[#This Row],[Meta]]</f>
        <v>-0.3000000000001819</v>
      </c>
      <c r="AB1272" s="6" t="str">
        <f>VLOOKUP(Tabela1[[#This Row],[SKU]],SKU!A:B,2,0)</f>
        <v>COXA SBCX S/O FG 260-280g PB</v>
      </c>
      <c r="AC1272" s="6" t="str">
        <f>VLOOKUP(Tabela1[[#This Row],[SKU]],SKU!A:C,3,0)</f>
        <v>PERNA</v>
      </c>
    </row>
    <row r="1273" spans="1:29" x14ac:dyDescent="0.3">
      <c r="A1273" s="2">
        <f>INT(Tabela1[[#This Row],[Data e Hora2]])</f>
        <v>46296</v>
      </c>
      <c r="B1273" s="6" t="str">
        <f>UPPER(TEXT(Tabela1[[#This Row],[Data Corrigida]],"MMM"))</f>
        <v>OUT</v>
      </c>
      <c r="C1273" t="s">
        <v>2831</v>
      </c>
      <c r="D1273" s="2" t="s">
        <v>2832</v>
      </c>
      <c r="E1273" s="1" t="s">
        <v>2826</v>
      </c>
      <c r="F1273" t="s">
        <v>24</v>
      </c>
      <c r="G1273" s="2" t="s">
        <v>2820</v>
      </c>
      <c r="H1273" t="s">
        <v>26</v>
      </c>
      <c r="I1273" t="s">
        <v>27</v>
      </c>
      <c r="J1273" s="6">
        <v>42820</v>
      </c>
      <c r="K1273" s="16">
        <v>2029</v>
      </c>
      <c r="L1273" s="16">
        <v>2006</v>
      </c>
      <c r="M1273" s="16">
        <v>2050</v>
      </c>
      <c r="N1273" s="16">
        <v>2042</v>
      </c>
      <c r="O1273" s="16">
        <v>2066</v>
      </c>
      <c r="P1273" s="16">
        <v>2051</v>
      </c>
      <c r="Q1273" s="16">
        <v>2080</v>
      </c>
      <c r="R1273" s="16">
        <v>2020</v>
      </c>
      <c r="S1273" s="16">
        <v>2061</v>
      </c>
      <c r="T1273" s="16">
        <v>2058</v>
      </c>
      <c r="U1273" s="15">
        <v>2046.3</v>
      </c>
      <c r="V1273" t="s">
        <v>19</v>
      </c>
      <c r="W1273" t="s">
        <v>28</v>
      </c>
      <c r="X1273">
        <v>130</v>
      </c>
      <c r="Y1273" s="16">
        <f>VLOOKUP(Tabela1[[#This Row],[SKU]],SKU!A:D,4,0)</f>
        <v>2000</v>
      </c>
      <c r="Z1273" s="18">
        <f>IFERROR((Tabela1[[#This Row],[Média]]-Tabela1[[#This Row],[Meta]])/Tabela1[[#This Row],[Meta]],"")</f>
        <v>2.3149999999999976E-2</v>
      </c>
      <c r="AA1273" s="31">
        <f>Tabela1[[#This Row],[Média]]-Tabela1[[#This Row],[Meta]]</f>
        <v>46.299999999999955</v>
      </c>
      <c r="AB1273" s="6" t="str">
        <f>VLOOKUP(Tabela1[[#This Row],[SKU]],SKU!A:B,2,0)</f>
        <v>COXA SBCX S/O FG 200-220g PB</v>
      </c>
      <c r="AC1273" s="6" t="str">
        <f>VLOOKUP(Tabela1[[#This Row],[SKU]],SKU!A:C,3,0)</f>
        <v>PERNA</v>
      </c>
    </row>
    <row r="1274" spans="1:29" x14ac:dyDescent="0.3">
      <c r="A1274" s="2">
        <f>INT(Tabela1[[#This Row],[Data e Hora2]])</f>
        <v>46296</v>
      </c>
      <c r="B1274" s="6" t="str">
        <f>UPPER(TEXT(Tabela1[[#This Row],[Data Corrigida]],"MMM"))</f>
        <v>OUT</v>
      </c>
      <c r="C1274" t="s">
        <v>2833</v>
      </c>
      <c r="D1274" s="2" t="s">
        <v>2834</v>
      </c>
      <c r="E1274" s="1" t="s">
        <v>2826</v>
      </c>
      <c r="F1274" t="s">
        <v>24</v>
      </c>
      <c r="G1274" s="2" t="s">
        <v>2820</v>
      </c>
      <c r="H1274" t="s">
        <v>26</v>
      </c>
      <c r="I1274" t="s">
        <v>27</v>
      </c>
      <c r="J1274" s="6">
        <v>42838</v>
      </c>
      <c r="K1274" s="16">
        <v>2019</v>
      </c>
      <c r="L1274" s="16">
        <v>1975</v>
      </c>
      <c r="M1274" s="16">
        <v>2013</v>
      </c>
      <c r="N1274" s="16">
        <v>1999</v>
      </c>
      <c r="O1274" s="16">
        <v>2023</v>
      </c>
      <c r="P1274" s="16">
        <v>2034</v>
      </c>
      <c r="Q1274" s="16">
        <v>2022</v>
      </c>
      <c r="R1274" s="16">
        <v>2037</v>
      </c>
      <c r="S1274" s="16">
        <v>2024</v>
      </c>
      <c r="T1274" s="16">
        <v>2036</v>
      </c>
      <c r="U1274" s="15">
        <v>2018.2</v>
      </c>
      <c r="V1274" t="s">
        <v>19</v>
      </c>
      <c r="W1274" t="s">
        <v>19</v>
      </c>
      <c r="X1274">
        <v>128</v>
      </c>
      <c r="Y1274" s="16">
        <f>VLOOKUP(Tabela1[[#This Row],[SKU]],SKU!A:D,4,0)</f>
        <v>2000</v>
      </c>
      <c r="Z1274" s="18">
        <f>IFERROR((Tabela1[[#This Row],[Média]]-Tabela1[[#This Row],[Meta]])/Tabela1[[#This Row],[Meta]],"")</f>
        <v>9.100000000000023E-3</v>
      </c>
      <c r="AA1274" s="31">
        <f>Tabela1[[#This Row],[Média]]-Tabela1[[#This Row],[Meta]]</f>
        <v>18.200000000000045</v>
      </c>
      <c r="AB1274" s="6" t="str">
        <f>VLOOKUP(Tabela1[[#This Row],[SKU]],SKU!A:B,2,0)</f>
        <v>COXA SBCX S/O FG 220-240g PB</v>
      </c>
      <c r="AC1274" s="6" t="str">
        <f>VLOOKUP(Tabela1[[#This Row],[SKU]],SKU!A:C,3,0)</f>
        <v>PERNA</v>
      </c>
    </row>
    <row r="1275" spans="1:29" x14ac:dyDescent="0.3">
      <c r="A1275" s="2">
        <f>INT(Tabela1[[#This Row],[Data e Hora2]])</f>
        <v>46296</v>
      </c>
      <c r="B1275" s="6" t="str">
        <f>UPPER(TEXT(Tabela1[[#This Row],[Data Corrigida]],"MMM"))</f>
        <v>OUT</v>
      </c>
      <c r="C1275" t="s">
        <v>2835</v>
      </c>
      <c r="D1275" s="2" t="s">
        <v>2836</v>
      </c>
      <c r="E1275" s="1" t="s">
        <v>2826</v>
      </c>
      <c r="F1275" t="s">
        <v>24</v>
      </c>
      <c r="G1275" s="2" t="s">
        <v>2820</v>
      </c>
      <c r="H1275" t="s">
        <v>26</v>
      </c>
      <c r="I1275" t="s">
        <v>27</v>
      </c>
      <c r="J1275" s="6">
        <v>42846</v>
      </c>
      <c r="K1275" s="16">
        <v>2013</v>
      </c>
      <c r="L1275" s="16">
        <v>1995</v>
      </c>
      <c r="M1275" s="16">
        <v>2007</v>
      </c>
      <c r="N1275" s="16">
        <v>2023</v>
      </c>
      <c r="O1275" s="16">
        <v>2008</v>
      </c>
      <c r="P1275" s="16">
        <v>2006</v>
      </c>
      <c r="Q1275" s="16">
        <v>2012</v>
      </c>
      <c r="R1275" s="16">
        <v>2015</v>
      </c>
      <c r="S1275" s="16">
        <v>1940</v>
      </c>
      <c r="T1275" s="16">
        <v>2016</v>
      </c>
      <c r="U1275" s="15">
        <v>2003.5</v>
      </c>
      <c r="V1275" t="s">
        <v>19</v>
      </c>
      <c r="W1275" t="s">
        <v>28</v>
      </c>
      <c r="X1275">
        <v>537</v>
      </c>
      <c r="Y1275" s="16">
        <f>VLOOKUP(Tabela1[[#This Row],[SKU]],SKU!A:D,4,0)</f>
        <v>2000</v>
      </c>
      <c r="Z1275" s="18">
        <f>IFERROR((Tabela1[[#This Row],[Média]]-Tabela1[[#This Row],[Meta]])/Tabela1[[#This Row],[Meta]],"")</f>
        <v>1.75E-3</v>
      </c>
      <c r="AA1275" s="31">
        <f>Tabela1[[#This Row],[Média]]-Tabela1[[#This Row],[Meta]]</f>
        <v>3.5</v>
      </c>
      <c r="AB1275" s="6" t="str">
        <f>VLOOKUP(Tabela1[[#This Row],[SKU]],SKU!A:B,2,0)</f>
        <v>COXA SBCX S/O FG 240-260g PB</v>
      </c>
      <c r="AC1275" s="6" t="str">
        <f>VLOOKUP(Tabela1[[#This Row],[SKU]],SKU!A:C,3,0)</f>
        <v>PERNA</v>
      </c>
    </row>
    <row r="1276" spans="1:29" x14ac:dyDescent="0.3">
      <c r="A1276" s="2">
        <f>INT(Tabela1[[#This Row],[Data e Hora2]])</f>
        <v>46296</v>
      </c>
      <c r="B1276" s="6" t="str">
        <f>UPPER(TEXT(Tabela1[[#This Row],[Data Corrigida]],"MMM"))</f>
        <v>OUT</v>
      </c>
      <c r="C1276" t="s">
        <v>2837</v>
      </c>
      <c r="D1276" s="2" t="s">
        <v>2838</v>
      </c>
      <c r="E1276" s="1" t="s">
        <v>2839</v>
      </c>
      <c r="F1276" t="s">
        <v>24</v>
      </c>
      <c r="G1276" s="2" t="s">
        <v>2820</v>
      </c>
      <c r="H1276" t="s">
        <v>26</v>
      </c>
      <c r="I1276" t="s">
        <v>27</v>
      </c>
      <c r="J1276" s="6">
        <v>209069</v>
      </c>
      <c r="K1276" s="16">
        <v>998</v>
      </c>
      <c r="L1276" s="16">
        <v>1028</v>
      </c>
      <c r="M1276" s="16">
        <v>1006</v>
      </c>
      <c r="N1276" s="16">
        <v>1009</v>
      </c>
      <c r="O1276" s="16">
        <v>1029</v>
      </c>
      <c r="P1276" s="16">
        <v>1013</v>
      </c>
      <c r="Q1276" s="16">
        <v>1002</v>
      </c>
      <c r="R1276" s="16">
        <v>1019</v>
      </c>
      <c r="S1276" s="16">
        <v>1008</v>
      </c>
      <c r="T1276" s="16">
        <v>1009</v>
      </c>
      <c r="U1276" s="15">
        <v>1012.1</v>
      </c>
      <c r="V1276" t="s">
        <v>19</v>
      </c>
      <c r="W1276" t="s">
        <v>28</v>
      </c>
      <c r="X1276">
        <v>7327</v>
      </c>
      <c r="Y1276" s="16">
        <f>VLOOKUP(Tabela1[[#This Row],[SKU]],SKU!A:D,4,0)</f>
        <v>1000</v>
      </c>
      <c r="Z1276" s="18">
        <f>IFERROR((Tabela1[[#This Row],[Média]]-Tabela1[[#This Row],[Meta]])/Tabela1[[#This Row],[Meta]],"")</f>
        <v>1.2100000000000022E-2</v>
      </c>
      <c r="AA1276" s="31">
        <f>Tabela1[[#This Row],[Média]]-Tabela1[[#This Row],[Meta]]</f>
        <v>12.100000000000023</v>
      </c>
      <c r="AB1276" s="6" t="str">
        <f>VLOOKUP(Tabela1[[#This Row],[SKU]],SKU!A:B,2,0)</f>
        <v>FILE PEITO CG IQF1KG</v>
      </c>
      <c r="AC1276" s="6" t="str">
        <f>VLOOKUP(Tabela1[[#This Row],[SKU]],SKU!A:C,3,0)</f>
        <v>PEITO</v>
      </c>
    </row>
    <row r="1277" spans="1:29" x14ac:dyDescent="0.3">
      <c r="A1277" s="2">
        <f>INT(Tabela1[[#This Row],[Data e Hora2]])</f>
        <v>46296</v>
      </c>
      <c r="B1277" s="6" t="str">
        <f>UPPER(TEXT(Tabela1[[#This Row],[Data Corrigida]],"MMM"))</f>
        <v>OUT</v>
      </c>
      <c r="C1277" t="s">
        <v>2840</v>
      </c>
      <c r="D1277" s="2" t="s">
        <v>2841</v>
      </c>
      <c r="E1277" s="1" t="s">
        <v>2839</v>
      </c>
      <c r="F1277" t="s">
        <v>24</v>
      </c>
      <c r="G1277" s="2" t="s">
        <v>2820</v>
      </c>
      <c r="H1277" t="s">
        <v>26</v>
      </c>
      <c r="I1277" t="s">
        <v>27</v>
      </c>
      <c r="J1277" s="6">
        <v>995638</v>
      </c>
      <c r="K1277" s="16">
        <v>15020</v>
      </c>
      <c r="L1277" s="16">
        <v>15020</v>
      </c>
      <c r="M1277" s="16">
        <v>15035</v>
      </c>
      <c r="N1277" s="16">
        <v>15015</v>
      </c>
      <c r="O1277" s="16">
        <v>15035</v>
      </c>
      <c r="P1277" s="16">
        <v>15015</v>
      </c>
      <c r="Q1277" s="16">
        <v>15045</v>
      </c>
      <c r="R1277" s="16">
        <v>15045</v>
      </c>
      <c r="S1277" s="16">
        <v>15035</v>
      </c>
      <c r="T1277" s="16">
        <v>15015</v>
      </c>
      <c r="U1277" s="15">
        <v>15028</v>
      </c>
      <c r="V1277" t="s">
        <v>19</v>
      </c>
      <c r="W1277" t="s">
        <v>28</v>
      </c>
      <c r="X1277">
        <v>353</v>
      </c>
      <c r="Y1277" s="16">
        <f>VLOOKUP(Tabela1[[#This Row],[SKU]],SKU!A:D,4,0)</f>
        <v>15000</v>
      </c>
      <c r="Z1277" s="18">
        <f>IFERROR((Tabela1[[#This Row],[Média]]-Tabela1[[#This Row],[Meta]])/Tabela1[[#This Row],[Meta]],"")</f>
        <v>1.8666666666666666E-3</v>
      </c>
      <c r="AA1277" s="31">
        <f>Tabela1[[#This Row],[Média]]-Tabela1[[#This Row],[Meta]]</f>
        <v>28</v>
      </c>
      <c r="AB1277" s="6" t="str">
        <f>VLOOKUP(Tabela1[[#This Row],[SKU]],SKU!A:B,2,0)</f>
        <v>MEIO DA ASA 40-50G LP</v>
      </c>
      <c r="AC1277" s="6" t="str">
        <f>VLOOKUP(Tabela1[[#This Row],[SKU]],SKU!A:C,3,0)</f>
        <v>ASA</v>
      </c>
    </row>
    <row r="1278" spans="1:29" x14ac:dyDescent="0.3">
      <c r="A1278" s="2">
        <f>INT(Tabela1[[#This Row],[Data e Hora2]])</f>
        <v>46296</v>
      </c>
      <c r="B1278" s="6" t="str">
        <f>UPPER(TEXT(Tabela1[[#This Row],[Data Corrigida]],"MMM"))</f>
        <v>OUT</v>
      </c>
      <c r="C1278" t="s">
        <v>2842</v>
      </c>
      <c r="D1278" s="2" t="s">
        <v>2843</v>
      </c>
      <c r="E1278" s="1" t="s">
        <v>2839</v>
      </c>
      <c r="F1278" t="s">
        <v>24</v>
      </c>
      <c r="G1278" s="2" t="s">
        <v>2820</v>
      </c>
      <c r="H1278" t="s">
        <v>26</v>
      </c>
      <c r="I1278" t="s">
        <v>27</v>
      </c>
      <c r="J1278" s="6">
        <v>40762</v>
      </c>
      <c r="K1278" s="16">
        <v>10060</v>
      </c>
      <c r="L1278" s="16">
        <v>10055</v>
      </c>
      <c r="M1278" s="16">
        <v>10010</v>
      </c>
      <c r="N1278" s="16">
        <v>9915</v>
      </c>
      <c r="O1278" s="16">
        <v>9995</v>
      </c>
      <c r="P1278" s="16">
        <v>9970</v>
      </c>
      <c r="Q1278" s="16">
        <v>9975</v>
      </c>
      <c r="R1278" s="16">
        <v>9955</v>
      </c>
      <c r="S1278" s="16">
        <v>10000</v>
      </c>
      <c r="T1278" s="16">
        <v>9985</v>
      </c>
      <c r="U1278" s="15">
        <v>9992</v>
      </c>
      <c r="V1278" t="s">
        <v>19</v>
      </c>
      <c r="W1278" t="s">
        <v>28</v>
      </c>
      <c r="X1278">
        <v>345</v>
      </c>
      <c r="Y1278" s="16">
        <f>VLOOKUP(Tabela1[[#This Row],[SKU]],SKU!A:D,4,0)</f>
        <v>10000</v>
      </c>
      <c r="Z1278" s="18">
        <f>IFERROR((Tabela1[[#This Row],[Média]]-Tabela1[[#This Row],[Meta]])/Tabela1[[#This Row],[Meta]],"")</f>
        <v>-8.0000000000000004E-4</v>
      </c>
      <c r="AA1278" s="31">
        <f>Tabela1[[#This Row],[Média]]-Tabela1[[#This Row],[Meta]]</f>
        <v>-8</v>
      </c>
      <c r="AB1278" s="6" t="str">
        <f>VLOOKUP(Tabela1[[#This Row],[SKU]],SKU!A:B,2,0)</f>
        <v>COXA SBCX LQ FG LP</v>
      </c>
      <c r="AC1278" s="6" t="str">
        <f>VLOOKUP(Tabela1[[#This Row],[SKU]],SKU!A:C,3,0)</f>
        <v>PERNA</v>
      </c>
    </row>
    <row r="1279" spans="1:29" x14ac:dyDescent="0.3">
      <c r="A1279" s="2">
        <f>INT(Tabela1[[#This Row],[Data e Hora2]])</f>
        <v>46296</v>
      </c>
      <c r="B1279" s="6" t="str">
        <f>UPPER(TEXT(Tabela1[[#This Row],[Data Corrigida]],"MMM"))</f>
        <v>OUT</v>
      </c>
      <c r="C1279" t="s">
        <v>2844</v>
      </c>
      <c r="D1279" s="2" t="s">
        <v>2845</v>
      </c>
      <c r="E1279" s="1" t="s">
        <v>2839</v>
      </c>
      <c r="F1279" t="s">
        <v>24</v>
      </c>
      <c r="G1279" s="2" t="s">
        <v>2820</v>
      </c>
      <c r="H1279" t="s">
        <v>26</v>
      </c>
      <c r="I1279" t="s">
        <v>27</v>
      </c>
      <c r="J1279" s="6">
        <v>15849</v>
      </c>
      <c r="K1279" s="16">
        <v>1017</v>
      </c>
      <c r="L1279" s="16">
        <v>1016</v>
      </c>
      <c r="M1279" s="16">
        <v>1009</v>
      </c>
      <c r="N1279" s="16">
        <v>1007</v>
      </c>
      <c r="O1279" s="16">
        <v>998</v>
      </c>
      <c r="P1279" s="16">
        <v>1024</v>
      </c>
      <c r="Q1279" s="16">
        <v>999</v>
      </c>
      <c r="R1279" s="16">
        <v>1013</v>
      </c>
      <c r="S1279" s="16">
        <v>996</v>
      </c>
      <c r="T1279" s="16">
        <v>997</v>
      </c>
      <c r="U1279" s="15">
        <v>1007.6</v>
      </c>
      <c r="V1279" t="s">
        <v>19</v>
      </c>
      <c r="W1279" t="s">
        <v>28</v>
      </c>
      <c r="X1279">
        <v>157</v>
      </c>
      <c r="Y1279" s="16">
        <f>VLOOKUP(Tabela1[[#This Row],[SKU]],SKU!A:D,4,0)</f>
        <v>1000</v>
      </c>
      <c r="Z1279" s="18">
        <f>IFERROR((Tabela1[[#This Row],[Média]]-Tabela1[[#This Row],[Meta]])/Tabela1[[#This Row],[Meta]],"")</f>
        <v>7.6000000000000225E-3</v>
      </c>
      <c r="AA1279" s="31">
        <f>Tabela1[[#This Row],[Média]]-Tabela1[[#This Row],[Meta]]</f>
        <v>7.6000000000000227</v>
      </c>
      <c r="AB1279" s="6" t="str">
        <f>VLOOKUP(Tabela1[[#This Row],[SKU]],SKU!A:B,2,0)</f>
        <v>FILEZINHO PEITO CG BDJ SE</v>
      </c>
      <c r="AC1279" s="6" t="str">
        <f>VLOOKUP(Tabela1[[#This Row],[SKU]],SKU!A:C,3,0)</f>
        <v>SASSAMI</v>
      </c>
    </row>
    <row r="1280" spans="1:29" x14ac:dyDescent="0.3">
      <c r="A1280" s="2">
        <f>INT(Tabela1[[#This Row],[Data e Hora2]])</f>
        <v>46296</v>
      </c>
      <c r="B1280" s="6" t="str">
        <f>UPPER(TEXT(Tabela1[[#This Row],[Data Corrigida]],"MMM"))</f>
        <v>OUT</v>
      </c>
      <c r="C1280" t="s">
        <v>2846</v>
      </c>
      <c r="D1280" s="2" t="s">
        <v>2847</v>
      </c>
      <c r="E1280" s="1" t="s">
        <v>2839</v>
      </c>
      <c r="F1280" t="s">
        <v>24</v>
      </c>
      <c r="G1280" s="2" t="s">
        <v>2820</v>
      </c>
      <c r="H1280" t="s">
        <v>26</v>
      </c>
      <c r="I1280" t="s">
        <v>27</v>
      </c>
      <c r="J1280" s="6">
        <v>40762</v>
      </c>
      <c r="K1280" s="16">
        <v>9985</v>
      </c>
      <c r="L1280" s="16">
        <v>10050</v>
      </c>
      <c r="M1280" s="16">
        <v>10025</v>
      </c>
      <c r="N1280" s="16">
        <v>10075</v>
      </c>
      <c r="O1280" s="16">
        <v>9965</v>
      </c>
      <c r="P1280" s="16">
        <v>9930</v>
      </c>
      <c r="Q1280" s="16">
        <v>10010</v>
      </c>
      <c r="R1280" s="16">
        <v>10035</v>
      </c>
      <c r="S1280" s="16">
        <v>10050</v>
      </c>
      <c r="T1280" s="16">
        <v>10050</v>
      </c>
      <c r="U1280" s="15">
        <v>10017.5</v>
      </c>
      <c r="V1280" t="s">
        <v>19</v>
      </c>
      <c r="W1280" t="s">
        <v>28</v>
      </c>
      <c r="X1280">
        <v>30001</v>
      </c>
      <c r="Y1280" s="16">
        <f>VLOOKUP(Tabela1[[#This Row],[SKU]],SKU!A:D,4,0)</f>
        <v>10000</v>
      </c>
      <c r="Z1280" s="18">
        <f>IFERROR((Tabela1[[#This Row],[Média]]-Tabela1[[#This Row],[Meta]])/Tabela1[[#This Row],[Meta]],"")</f>
        <v>1.75E-3</v>
      </c>
      <c r="AA1280" s="31">
        <f>Tabela1[[#This Row],[Média]]-Tabela1[[#This Row],[Meta]]</f>
        <v>17.5</v>
      </c>
      <c r="AB1280" s="6" t="str">
        <f>VLOOKUP(Tabela1[[#This Row],[SKU]],SKU!A:B,2,0)</f>
        <v>COXA SBCX LQ FG LP</v>
      </c>
      <c r="AC1280" s="6" t="str">
        <f>VLOOKUP(Tabela1[[#This Row],[SKU]],SKU!A:C,3,0)</f>
        <v>PERNA</v>
      </c>
    </row>
    <row r="1281" spans="1:29" x14ac:dyDescent="0.3">
      <c r="A1281" s="2">
        <f>INT(Tabela1[[#This Row],[Data e Hora2]])</f>
        <v>46296</v>
      </c>
      <c r="B1281" s="6" t="str">
        <f>UPPER(TEXT(Tabela1[[#This Row],[Data Corrigida]],"MMM"))</f>
        <v>OUT</v>
      </c>
      <c r="C1281" t="s">
        <v>2848</v>
      </c>
      <c r="D1281" s="2" t="s">
        <v>2849</v>
      </c>
      <c r="E1281" s="1" t="s">
        <v>2839</v>
      </c>
      <c r="F1281" t="s">
        <v>24</v>
      </c>
      <c r="G1281" s="2" t="s">
        <v>2820</v>
      </c>
      <c r="H1281" t="s">
        <v>26</v>
      </c>
      <c r="I1281" t="s">
        <v>27</v>
      </c>
      <c r="J1281" s="6">
        <v>15229</v>
      </c>
      <c r="K1281" s="16">
        <v>1001</v>
      </c>
      <c r="L1281" s="16">
        <v>1010</v>
      </c>
      <c r="M1281" s="16">
        <v>1009</v>
      </c>
      <c r="N1281" s="16">
        <v>1004</v>
      </c>
      <c r="O1281" s="16">
        <v>1000</v>
      </c>
      <c r="P1281" s="16">
        <v>1004</v>
      </c>
      <c r="Q1281" s="16">
        <v>1008</v>
      </c>
      <c r="R1281" s="16">
        <v>996</v>
      </c>
      <c r="S1281" s="16">
        <v>1003</v>
      </c>
      <c r="T1281" s="16">
        <v>1004</v>
      </c>
      <c r="U1281" s="15">
        <v>1003.9</v>
      </c>
      <c r="V1281" t="s">
        <v>19</v>
      </c>
      <c r="W1281" t="s">
        <v>28</v>
      </c>
      <c r="X1281">
        <v>125</v>
      </c>
      <c r="Y1281" s="16">
        <f>VLOOKUP(Tabela1[[#This Row],[SKU]],SKU!A:D,4,0)</f>
        <v>1000</v>
      </c>
      <c r="Z1281" s="18">
        <f>IFERROR((Tabela1[[#This Row],[Média]]-Tabela1[[#This Row],[Meta]])/Tabela1[[#This Row],[Meta]],"")</f>
        <v>3.8999999999999773E-3</v>
      </c>
      <c r="AA1281" s="31">
        <f>Tabela1[[#This Row],[Média]]-Tabela1[[#This Row],[Meta]]</f>
        <v>3.8999999999999773</v>
      </c>
      <c r="AB1281" s="6" t="str">
        <f>VLOOKUP(Tabela1[[#This Row],[SKU]],SKU!A:B,2,0)</f>
        <v>COXA CG BDJ SE</v>
      </c>
      <c r="AC1281" s="6" t="str">
        <f>VLOOKUP(Tabela1[[#This Row],[SKU]],SKU!A:C,3,0)</f>
        <v>PERNA</v>
      </c>
    </row>
    <row r="1282" spans="1:29" x14ac:dyDescent="0.3">
      <c r="A1282" s="2">
        <f>INT(Tabela1[[#This Row],[Data e Hora2]])</f>
        <v>46296</v>
      </c>
      <c r="B1282" s="6" t="str">
        <f>UPPER(TEXT(Tabela1[[#This Row],[Data Corrigida]],"MMM"))</f>
        <v>OUT</v>
      </c>
      <c r="C1282" t="s">
        <v>2850</v>
      </c>
      <c r="D1282" s="2" t="s">
        <v>2851</v>
      </c>
      <c r="E1282" s="1" t="s">
        <v>2839</v>
      </c>
      <c r="F1282" t="s">
        <v>24</v>
      </c>
      <c r="G1282" s="2" t="s">
        <v>2820</v>
      </c>
      <c r="H1282" t="s">
        <v>26</v>
      </c>
      <c r="I1282" t="s">
        <v>27</v>
      </c>
      <c r="J1282" s="6">
        <v>42641</v>
      </c>
      <c r="K1282" s="16">
        <v>15070</v>
      </c>
      <c r="L1282" s="16">
        <v>15120</v>
      </c>
      <c r="M1282" s="16">
        <v>15115</v>
      </c>
      <c r="N1282" s="16">
        <v>15105</v>
      </c>
      <c r="O1282" s="16">
        <v>15080</v>
      </c>
      <c r="P1282" s="16">
        <v>15095</v>
      </c>
      <c r="Q1282" s="16">
        <v>15085</v>
      </c>
      <c r="R1282" s="16">
        <v>15060</v>
      </c>
      <c r="S1282" s="16">
        <v>15050</v>
      </c>
      <c r="T1282" s="16">
        <v>15090</v>
      </c>
      <c r="U1282" s="15">
        <v>15087</v>
      </c>
      <c r="V1282" t="s">
        <v>19</v>
      </c>
      <c r="W1282" t="s">
        <v>28</v>
      </c>
      <c r="X1282">
        <v>30646</v>
      </c>
      <c r="Y1282" s="16">
        <f>VLOOKUP(Tabela1[[#This Row],[SKU]],SKU!A:D,4,0)</f>
        <v>15000</v>
      </c>
      <c r="Z1282" s="18">
        <f>IFERROR((Tabela1[[#This Row],[Média]]-Tabela1[[#This Row],[Meta]])/Tabela1[[#This Row],[Meta]],"")</f>
        <v>5.7999999999999996E-3</v>
      </c>
      <c r="AA1282" s="31">
        <f>Tabela1[[#This Row],[Média]]-Tabela1[[#This Row],[Meta]]</f>
        <v>87</v>
      </c>
      <c r="AB1282" s="6" t="str">
        <f>VLOOKUP(Tabela1[[#This Row],[SKU]],SKU!A:B,2,0)</f>
        <v>ASAS FG 100g UP LP</v>
      </c>
      <c r="AC1282" s="6" t="str">
        <f>VLOOKUP(Tabela1[[#This Row],[SKU]],SKU!A:C,3,0)</f>
        <v>ASA</v>
      </c>
    </row>
    <row r="1283" spans="1:29" x14ac:dyDescent="0.3">
      <c r="A1283" s="2">
        <f>INT(Tabela1[[#This Row],[Data e Hora2]])</f>
        <v>46296</v>
      </c>
      <c r="B1283" s="6" t="str">
        <f>UPPER(TEXT(Tabela1[[#This Row],[Data Corrigida]],"MMM"))</f>
        <v>OUT</v>
      </c>
      <c r="C1283" t="s">
        <v>2852</v>
      </c>
      <c r="D1283" s="2" t="s">
        <v>2853</v>
      </c>
      <c r="E1283" s="1" t="s">
        <v>2839</v>
      </c>
      <c r="F1283" t="s">
        <v>24</v>
      </c>
      <c r="G1283" s="2" t="s">
        <v>2820</v>
      </c>
      <c r="H1283" t="s">
        <v>26</v>
      </c>
      <c r="I1283" t="s">
        <v>27</v>
      </c>
      <c r="J1283" s="6">
        <v>15849</v>
      </c>
      <c r="K1283" s="16">
        <v>1009</v>
      </c>
      <c r="L1283" s="16">
        <v>1010</v>
      </c>
      <c r="M1283" s="16">
        <v>1008</v>
      </c>
      <c r="N1283" s="16">
        <v>1016</v>
      </c>
      <c r="O1283" s="16">
        <v>992</v>
      </c>
      <c r="P1283" s="16">
        <v>1008</v>
      </c>
      <c r="Q1283" s="16">
        <v>1013</v>
      </c>
      <c r="R1283" s="16">
        <v>1003</v>
      </c>
      <c r="S1283" s="16">
        <v>1003</v>
      </c>
      <c r="T1283" s="16">
        <v>1003</v>
      </c>
      <c r="U1283" s="15">
        <v>1006.5</v>
      </c>
      <c r="V1283" t="s">
        <v>19</v>
      </c>
      <c r="W1283" t="s">
        <v>28</v>
      </c>
      <c r="X1283">
        <v>30821</v>
      </c>
      <c r="Y1283" s="16">
        <f>VLOOKUP(Tabela1[[#This Row],[SKU]],SKU!A:D,4,0)</f>
        <v>1000</v>
      </c>
      <c r="Z1283" s="18">
        <f>IFERROR((Tabela1[[#This Row],[Média]]-Tabela1[[#This Row],[Meta]])/Tabela1[[#This Row],[Meta]],"")</f>
        <v>6.4999999999999997E-3</v>
      </c>
      <c r="AA1283" s="31">
        <f>Tabela1[[#This Row],[Média]]-Tabela1[[#This Row],[Meta]]</f>
        <v>6.5</v>
      </c>
      <c r="AB1283" s="6" t="str">
        <f>VLOOKUP(Tabela1[[#This Row],[SKU]],SKU!A:B,2,0)</f>
        <v>FILEZINHO PEITO CG BDJ SE</v>
      </c>
      <c r="AC1283" s="6" t="str">
        <f>VLOOKUP(Tabela1[[#This Row],[SKU]],SKU!A:C,3,0)</f>
        <v>SASSAMI</v>
      </c>
    </row>
    <row r="1284" spans="1:29" x14ac:dyDescent="0.3">
      <c r="A1284" s="2">
        <f>INT(Tabela1[[#This Row],[Data e Hora2]])</f>
        <v>46296</v>
      </c>
      <c r="B1284" s="6" t="str">
        <f>UPPER(TEXT(Tabela1[[#This Row],[Data Corrigida]],"MMM"))</f>
        <v>OUT</v>
      </c>
      <c r="C1284" t="s">
        <v>2854</v>
      </c>
      <c r="D1284" s="2" t="s">
        <v>2855</v>
      </c>
      <c r="E1284" s="1" t="s">
        <v>2839</v>
      </c>
      <c r="F1284" t="s">
        <v>24</v>
      </c>
      <c r="G1284" s="2" t="s">
        <v>2820</v>
      </c>
      <c r="H1284" t="s">
        <v>26</v>
      </c>
      <c r="I1284" t="s">
        <v>27</v>
      </c>
      <c r="J1284" s="6">
        <v>15105</v>
      </c>
      <c r="K1284" s="16">
        <v>1011</v>
      </c>
      <c r="L1284" s="16">
        <v>1047</v>
      </c>
      <c r="M1284" s="16">
        <v>1025</v>
      </c>
      <c r="N1284" s="16">
        <v>1057</v>
      </c>
      <c r="O1284" s="16">
        <v>1021</v>
      </c>
      <c r="P1284" s="16">
        <v>1048</v>
      </c>
      <c r="Q1284" s="16">
        <v>1012</v>
      </c>
      <c r="R1284" s="16">
        <v>1063</v>
      </c>
      <c r="S1284" s="16">
        <v>998</v>
      </c>
      <c r="T1284" s="16">
        <v>1008</v>
      </c>
      <c r="U1284" s="15">
        <v>1029</v>
      </c>
      <c r="V1284" t="s">
        <v>19</v>
      </c>
      <c r="W1284" t="s">
        <v>28</v>
      </c>
      <c r="X1284">
        <v>31036</v>
      </c>
      <c r="Y1284" s="16">
        <f>VLOOKUP(Tabela1[[#This Row],[SKU]],SKU!A:D,4,0)</f>
        <v>1000</v>
      </c>
      <c r="Z1284" s="18">
        <f>IFERROR((Tabela1[[#This Row],[Média]]-Tabela1[[#This Row],[Meta]])/Tabela1[[#This Row],[Meta]],"")</f>
        <v>2.9000000000000001E-2</v>
      </c>
      <c r="AA1284" s="31">
        <f>Tabela1[[#This Row],[Média]]-Tabela1[[#This Row],[Meta]]</f>
        <v>29</v>
      </c>
      <c r="AB1284" s="6" t="str">
        <f>VLOOKUP(Tabela1[[#This Row],[SKU]],SKU!A:B,2,0)</f>
        <v>FILE PEITO MET CG BDJ SE</v>
      </c>
      <c r="AC1284" s="6" t="str">
        <f>VLOOKUP(Tabela1[[#This Row],[SKU]],SKU!A:C,3,0)</f>
        <v>PEITO</v>
      </c>
    </row>
    <row r="1285" spans="1:29" x14ac:dyDescent="0.3">
      <c r="A1285" s="2">
        <f>INT(Tabela1[[#This Row],[Data e Hora2]])</f>
        <v>46296</v>
      </c>
      <c r="B1285" s="6" t="str">
        <f>UPPER(TEXT(Tabela1[[#This Row],[Data Corrigida]],"MMM"))</f>
        <v>OUT</v>
      </c>
      <c r="C1285" t="s">
        <v>2856</v>
      </c>
      <c r="D1285" s="2" t="s">
        <v>2857</v>
      </c>
      <c r="E1285" s="1" t="s">
        <v>2858</v>
      </c>
      <c r="F1285" t="s">
        <v>24</v>
      </c>
      <c r="G1285" s="2" t="s">
        <v>2820</v>
      </c>
      <c r="H1285" t="s">
        <v>26</v>
      </c>
      <c r="I1285" t="s">
        <v>57</v>
      </c>
      <c r="J1285" s="6">
        <v>42854</v>
      </c>
      <c r="K1285" s="16">
        <v>2092</v>
      </c>
      <c r="L1285" s="16">
        <v>2086</v>
      </c>
      <c r="M1285" s="16">
        <v>2072</v>
      </c>
      <c r="N1285" s="16">
        <v>2108</v>
      </c>
      <c r="O1285" s="16">
        <v>2012</v>
      </c>
      <c r="P1285" s="16">
        <v>2091</v>
      </c>
      <c r="Q1285" s="16">
        <v>2102</v>
      </c>
      <c r="R1285" s="16">
        <v>2010</v>
      </c>
      <c r="S1285" s="16">
        <v>2022</v>
      </c>
      <c r="T1285" s="16">
        <v>2090</v>
      </c>
      <c r="U1285" s="15">
        <v>2068.5</v>
      </c>
      <c r="V1285" t="s">
        <v>19</v>
      </c>
      <c r="W1285" t="s">
        <v>28</v>
      </c>
      <c r="X1285">
        <v>225</v>
      </c>
      <c r="Y1285" s="16">
        <f>VLOOKUP(Tabela1[[#This Row],[SKU]],SKU!A:D,4,0)</f>
        <v>2080</v>
      </c>
      <c r="Z1285" s="18">
        <f>IFERROR((Tabela1[[#This Row],[Média]]-Tabela1[[#This Row],[Meta]])/Tabela1[[#This Row],[Meta]],"")</f>
        <v>-5.5288461538461542E-3</v>
      </c>
      <c r="AA1285" s="31">
        <f>Tabela1[[#This Row],[Média]]-Tabela1[[#This Row],[Meta]]</f>
        <v>-11.5</v>
      </c>
      <c r="AB1285" s="6" t="str">
        <f>VLOOKUP(Tabela1[[#This Row],[SKU]],SKU!A:B,2,0)</f>
        <v>COXA SBCX S/O FG 260-280g PB</v>
      </c>
      <c r="AC1285" s="6" t="str">
        <f>VLOOKUP(Tabela1[[#This Row],[SKU]],SKU!A:C,3,0)</f>
        <v>PERNA</v>
      </c>
    </row>
    <row r="1286" spans="1:29" x14ac:dyDescent="0.3">
      <c r="A1286" s="2">
        <f>INT(Tabela1[[#This Row],[Data e Hora2]])</f>
        <v>46296</v>
      </c>
      <c r="B1286" s="6" t="str">
        <f>UPPER(TEXT(Tabela1[[#This Row],[Data Corrigida]],"MMM"))</f>
        <v>OUT</v>
      </c>
      <c r="C1286" t="s">
        <v>2859</v>
      </c>
      <c r="D1286" s="2" t="s">
        <v>2860</v>
      </c>
      <c r="E1286" s="1" t="s">
        <v>2858</v>
      </c>
      <c r="F1286" t="s">
        <v>24</v>
      </c>
      <c r="G1286" s="2" t="s">
        <v>2820</v>
      </c>
      <c r="H1286" t="s">
        <v>26</v>
      </c>
      <c r="I1286" t="s">
        <v>57</v>
      </c>
      <c r="J1286" s="6">
        <v>42862</v>
      </c>
      <c r="K1286" s="16">
        <v>2006</v>
      </c>
      <c r="L1286" s="16">
        <v>2004</v>
      </c>
      <c r="M1286" s="16">
        <v>2027</v>
      </c>
      <c r="N1286" s="16">
        <v>2016</v>
      </c>
      <c r="O1286" s="16">
        <v>2020</v>
      </c>
      <c r="P1286" s="16">
        <v>2057</v>
      </c>
      <c r="Q1286" s="16">
        <v>2048</v>
      </c>
      <c r="R1286" s="16">
        <v>2042</v>
      </c>
      <c r="S1286" s="16">
        <v>1995</v>
      </c>
      <c r="T1286" s="16">
        <v>2021</v>
      </c>
      <c r="U1286" s="15">
        <v>2023.6</v>
      </c>
      <c r="V1286" t="s">
        <v>19</v>
      </c>
      <c r="W1286" t="s">
        <v>28</v>
      </c>
      <c r="X1286">
        <v>414</v>
      </c>
      <c r="Y1286" s="16">
        <f>VLOOKUP(Tabela1[[#This Row],[SKU]],SKU!A:D,4,0)</f>
        <v>2000</v>
      </c>
      <c r="Z1286" s="18">
        <f>IFERROR((Tabela1[[#This Row],[Média]]-Tabela1[[#This Row],[Meta]])/Tabela1[[#This Row],[Meta]],"")</f>
        <v>1.1799999999999955E-2</v>
      </c>
      <c r="AA1286" s="31">
        <f>Tabela1[[#This Row],[Média]]-Tabela1[[#This Row],[Meta]]</f>
        <v>23.599999999999909</v>
      </c>
      <c r="AB1286" s="6" t="str">
        <f>VLOOKUP(Tabela1[[#This Row],[SKU]],SKU!A:B,2,0)</f>
        <v>COXA SBCX S/O FG 280-300g PB</v>
      </c>
      <c r="AC1286" s="6" t="str">
        <f>VLOOKUP(Tabela1[[#This Row],[SKU]],SKU!A:C,3,0)</f>
        <v>PERNA</v>
      </c>
    </row>
    <row r="1287" spans="1:29" x14ac:dyDescent="0.3">
      <c r="A1287" s="2">
        <f>INT(Tabela1[[#This Row],[Data e Hora2]])</f>
        <v>46296</v>
      </c>
      <c r="B1287" s="6" t="str">
        <f>UPPER(TEXT(Tabela1[[#This Row],[Data Corrigida]],"MMM"))</f>
        <v>OUT</v>
      </c>
      <c r="C1287" t="s">
        <v>2861</v>
      </c>
      <c r="D1287" s="2" t="s">
        <v>2862</v>
      </c>
      <c r="E1287" s="1" t="s">
        <v>2858</v>
      </c>
      <c r="F1287" t="s">
        <v>24</v>
      </c>
      <c r="G1287" s="2" t="s">
        <v>2820</v>
      </c>
      <c r="H1287" t="s">
        <v>26</v>
      </c>
      <c r="I1287" t="s">
        <v>57</v>
      </c>
      <c r="J1287" s="6">
        <v>42846</v>
      </c>
      <c r="K1287" s="16">
        <v>2007</v>
      </c>
      <c r="L1287" s="16">
        <v>2025</v>
      </c>
      <c r="M1287" s="16">
        <v>2010</v>
      </c>
      <c r="N1287" s="16">
        <v>2009</v>
      </c>
      <c r="O1287" s="16">
        <v>2011</v>
      </c>
      <c r="P1287" s="16">
        <v>2021</v>
      </c>
      <c r="Q1287" s="16">
        <v>2007</v>
      </c>
      <c r="R1287" s="16">
        <v>2000</v>
      </c>
      <c r="S1287" s="16">
        <v>2015</v>
      </c>
      <c r="T1287" s="16">
        <v>2011</v>
      </c>
      <c r="U1287" s="15">
        <v>2011.6</v>
      </c>
      <c r="V1287" t="s">
        <v>19</v>
      </c>
      <c r="W1287" t="s">
        <v>28</v>
      </c>
      <c r="X1287">
        <v>808</v>
      </c>
      <c r="Y1287" s="16">
        <f>VLOOKUP(Tabela1[[#This Row],[SKU]],SKU!A:D,4,0)</f>
        <v>2000</v>
      </c>
      <c r="Z1287" s="18">
        <f>IFERROR((Tabela1[[#This Row],[Média]]-Tabela1[[#This Row],[Meta]])/Tabela1[[#This Row],[Meta]],"")</f>
        <v>5.7999999999999545E-3</v>
      </c>
      <c r="AA1287" s="31">
        <f>Tabela1[[#This Row],[Média]]-Tabela1[[#This Row],[Meta]]</f>
        <v>11.599999999999909</v>
      </c>
      <c r="AB1287" s="6" t="str">
        <f>VLOOKUP(Tabela1[[#This Row],[SKU]],SKU!A:B,2,0)</f>
        <v>COXA SBCX S/O FG 240-260g PB</v>
      </c>
      <c r="AC1287" s="6" t="str">
        <f>VLOOKUP(Tabela1[[#This Row],[SKU]],SKU!A:C,3,0)</f>
        <v>PERNA</v>
      </c>
    </row>
    <row r="1288" spans="1:29" x14ac:dyDescent="0.3">
      <c r="A1288" s="2">
        <f>INT(Tabela1[[#This Row],[Data e Hora2]])</f>
        <v>46296</v>
      </c>
      <c r="B1288" s="6" t="str">
        <f>UPPER(TEXT(Tabela1[[#This Row],[Data Corrigida]],"MMM"))</f>
        <v>OUT</v>
      </c>
      <c r="C1288" t="s">
        <v>2863</v>
      </c>
      <c r="D1288" s="2" t="s">
        <v>2864</v>
      </c>
      <c r="E1288" s="1" t="s">
        <v>2858</v>
      </c>
      <c r="F1288" t="s">
        <v>24</v>
      </c>
      <c r="G1288" s="2" t="s">
        <v>2820</v>
      </c>
      <c r="H1288" t="s">
        <v>26</v>
      </c>
      <c r="I1288" t="s">
        <v>57</v>
      </c>
      <c r="J1288" s="6">
        <v>42838</v>
      </c>
      <c r="K1288" s="16">
        <v>2070</v>
      </c>
      <c r="L1288" s="16">
        <v>2020</v>
      </c>
      <c r="M1288" s="16">
        <v>2015</v>
      </c>
      <c r="N1288" s="16">
        <v>2055</v>
      </c>
      <c r="O1288" s="16">
        <v>2021</v>
      </c>
      <c r="P1288" s="16">
        <v>2033</v>
      </c>
      <c r="Q1288" s="16">
        <v>2031</v>
      </c>
      <c r="R1288" s="16">
        <v>2019</v>
      </c>
      <c r="S1288" s="16">
        <v>2037</v>
      </c>
      <c r="T1288" s="16">
        <v>2059</v>
      </c>
      <c r="U1288" s="15">
        <v>2036</v>
      </c>
      <c r="V1288" t="s">
        <v>19</v>
      </c>
      <c r="W1288" t="s">
        <v>28</v>
      </c>
      <c r="X1288">
        <v>995</v>
      </c>
      <c r="Y1288" s="16">
        <f>VLOOKUP(Tabela1[[#This Row],[SKU]],SKU!A:D,4,0)</f>
        <v>2000</v>
      </c>
      <c r="Z1288" s="18">
        <f>IFERROR((Tabela1[[#This Row],[Média]]-Tabela1[[#This Row],[Meta]])/Tabela1[[#This Row],[Meta]],"")</f>
        <v>1.7999999999999999E-2</v>
      </c>
      <c r="AA1288" s="31">
        <f>Tabela1[[#This Row],[Média]]-Tabela1[[#This Row],[Meta]]</f>
        <v>36</v>
      </c>
      <c r="AB1288" s="6" t="str">
        <f>VLOOKUP(Tabela1[[#This Row],[SKU]],SKU!A:B,2,0)</f>
        <v>COXA SBCX S/O FG 220-240g PB</v>
      </c>
      <c r="AC1288" s="6" t="str">
        <f>VLOOKUP(Tabela1[[#This Row],[SKU]],SKU!A:C,3,0)</f>
        <v>PERNA</v>
      </c>
    </row>
    <row r="1289" spans="1:29" x14ac:dyDescent="0.3">
      <c r="A1289" s="2">
        <f>INT(Tabela1[[#This Row],[Data e Hora2]])</f>
        <v>46296</v>
      </c>
      <c r="B1289" s="6" t="str">
        <f>UPPER(TEXT(Tabela1[[#This Row],[Data Corrigida]],"MMM"))</f>
        <v>OUT</v>
      </c>
      <c r="C1289" t="s">
        <v>2865</v>
      </c>
      <c r="D1289" s="2" t="s">
        <v>2866</v>
      </c>
      <c r="E1289" s="1" t="s">
        <v>2858</v>
      </c>
      <c r="F1289" t="s">
        <v>24</v>
      </c>
      <c r="G1289" s="2" t="s">
        <v>2820</v>
      </c>
      <c r="H1289" t="s">
        <v>26</v>
      </c>
      <c r="I1289" t="s">
        <v>57</v>
      </c>
      <c r="J1289" s="6">
        <v>42820</v>
      </c>
      <c r="K1289" s="16">
        <v>2062</v>
      </c>
      <c r="L1289" s="16">
        <v>2024</v>
      </c>
      <c r="M1289" s="16">
        <v>2050</v>
      </c>
      <c r="N1289" s="16">
        <v>2066</v>
      </c>
      <c r="O1289" s="16">
        <v>2048</v>
      </c>
      <c r="P1289" s="16">
        <v>2035</v>
      </c>
      <c r="Q1289" s="16">
        <v>2040</v>
      </c>
      <c r="R1289" s="16">
        <v>2008</v>
      </c>
      <c r="S1289" s="16">
        <v>2050</v>
      </c>
      <c r="T1289" s="16">
        <v>2010</v>
      </c>
      <c r="U1289" s="15">
        <v>2039.3</v>
      </c>
      <c r="V1289" t="s">
        <v>19</v>
      </c>
      <c r="W1289" t="s">
        <v>28</v>
      </c>
      <c r="X1289">
        <v>1171</v>
      </c>
      <c r="Y1289" s="16">
        <f>VLOOKUP(Tabela1[[#This Row],[SKU]],SKU!A:D,4,0)</f>
        <v>2000</v>
      </c>
      <c r="Z1289" s="18">
        <f>IFERROR((Tabela1[[#This Row],[Média]]-Tabela1[[#This Row],[Meta]])/Tabela1[[#This Row],[Meta]],"")</f>
        <v>1.9649999999999977E-2</v>
      </c>
      <c r="AA1289" s="31">
        <f>Tabela1[[#This Row],[Média]]-Tabela1[[#This Row],[Meta]]</f>
        <v>39.299999999999955</v>
      </c>
      <c r="AB1289" s="6" t="str">
        <f>VLOOKUP(Tabela1[[#This Row],[SKU]],SKU!A:B,2,0)</f>
        <v>COXA SBCX S/O FG 200-220g PB</v>
      </c>
      <c r="AC1289" s="6" t="str">
        <f>VLOOKUP(Tabela1[[#This Row],[SKU]],SKU!A:C,3,0)</f>
        <v>PERNA</v>
      </c>
    </row>
    <row r="1290" spans="1:29" x14ac:dyDescent="0.3">
      <c r="A1290" s="2">
        <f>INT(Tabela1[[#This Row],[Data e Hora2]])</f>
        <v>46296</v>
      </c>
      <c r="B1290" s="6" t="str">
        <f>UPPER(TEXT(Tabela1[[#This Row],[Data Corrigida]],"MMM"))</f>
        <v>OUT</v>
      </c>
      <c r="C1290" t="s">
        <v>2867</v>
      </c>
      <c r="D1290" s="2" t="s">
        <v>2868</v>
      </c>
      <c r="E1290" s="1" t="s">
        <v>2869</v>
      </c>
      <c r="F1290" t="s">
        <v>24</v>
      </c>
      <c r="G1290" s="2" t="s">
        <v>2820</v>
      </c>
      <c r="H1290" t="s">
        <v>26</v>
      </c>
      <c r="I1290" t="s">
        <v>57</v>
      </c>
      <c r="J1290" s="6">
        <v>15105</v>
      </c>
      <c r="K1290" s="16">
        <v>1046</v>
      </c>
      <c r="L1290" s="16">
        <v>1045</v>
      </c>
      <c r="M1290" s="16">
        <v>1038</v>
      </c>
      <c r="N1290" s="16">
        <v>1014</v>
      </c>
      <c r="O1290" s="16">
        <v>1015</v>
      </c>
      <c r="P1290" s="16">
        <v>998</v>
      </c>
      <c r="Q1290" s="16">
        <v>1006</v>
      </c>
      <c r="R1290" s="16">
        <v>1010</v>
      </c>
      <c r="S1290" s="16">
        <v>1000</v>
      </c>
      <c r="T1290" s="16">
        <v>1042</v>
      </c>
      <c r="U1290" s="15">
        <v>1021.4</v>
      </c>
      <c r="V1290" t="s">
        <v>19</v>
      </c>
      <c r="W1290" t="s">
        <v>28</v>
      </c>
      <c r="X1290">
        <v>226</v>
      </c>
      <c r="Y1290" s="16">
        <f>VLOOKUP(Tabela1[[#This Row],[SKU]],SKU!A:D,4,0)</f>
        <v>1000</v>
      </c>
      <c r="Z1290" s="18">
        <f>IFERROR((Tabela1[[#This Row],[Média]]-Tabela1[[#This Row],[Meta]])/Tabela1[[#This Row],[Meta]],"")</f>
        <v>2.1399999999999978E-2</v>
      </c>
      <c r="AA1290" s="31">
        <f>Tabela1[[#This Row],[Média]]-Tabela1[[#This Row],[Meta]]</f>
        <v>21.399999999999977</v>
      </c>
      <c r="AB1290" s="6" t="str">
        <f>VLOOKUP(Tabela1[[#This Row],[SKU]],SKU!A:B,2,0)</f>
        <v>FILE PEITO MET CG BDJ SE</v>
      </c>
      <c r="AC1290" s="6" t="str">
        <f>VLOOKUP(Tabela1[[#This Row],[SKU]],SKU!A:C,3,0)</f>
        <v>PEITO</v>
      </c>
    </row>
    <row r="1291" spans="1:29" x14ac:dyDescent="0.3">
      <c r="A1291" s="2">
        <f>INT(Tabela1[[#This Row],[Data e Hora2]])</f>
        <v>46296</v>
      </c>
      <c r="B1291" s="6" t="str">
        <f>UPPER(TEXT(Tabela1[[#This Row],[Data Corrigida]],"MMM"))</f>
        <v>OUT</v>
      </c>
      <c r="C1291" t="s">
        <v>2870</v>
      </c>
      <c r="D1291" s="2" t="s">
        <v>2871</v>
      </c>
      <c r="E1291" s="1" t="s">
        <v>2872</v>
      </c>
      <c r="F1291" t="s">
        <v>24</v>
      </c>
      <c r="G1291" s="2" t="s">
        <v>2820</v>
      </c>
      <c r="H1291" t="s">
        <v>26</v>
      </c>
      <c r="I1291" t="s">
        <v>57</v>
      </c>
      <c r="J1291" s="6">
        <v>13188</v>
      </c>
      <c r="K1291" s="16">
        <v>994</v>
      </c>
      <c r="L1291" s="16">
        <v>1003</v>
      </c>
      <c r="M1291" s="16">
        <v>1011</v>
      </c>
      <c r="N1291" s="16">
        <v>995</v>
      </c>
      <c r="O1291" s="16">
        <v>1004</v>
      </c>
      <c r="P1291" s="16">
        <v>993</v>
      </c>
      <c r="Q1291" s="16">
        <v>1010</v>
      </c>
      <c r="R1291" s="16">
        <v>995</v>
      </c>
      <c r="S1291" s="16">
        <v>997</v>
      </c>
      <c r="T1291" s="16">
        <v>999</v>
      </c>
      <c r="U1291" s="15">
        <v>1000.1</v>
      </c>
      <c r="V1291" t="s">
        <v>19</v>
      </c>
      <c r="W1291" t="s">
        <v>28</v>
      </c>
      <c r="X1291">
        <v>8318</v>
      </c>
      <c r="Y1291" s="16">
        <f>VLOOKUP(Tabela1[[#This Row],[SKU]],SKU!A:D,4,0)</f>
        <v>1000</v>
      </c>
      <c r="Z1291" s="18">
        <f>IFERROR((Tabela1[[#This Row],[Média]]-Tabela1[[#This Row],[Meta]])/Tabela1[[#This Row],[Meta]],"")</f>
        <v>1.0000000000002273E-4</v>
      </c>
      <c r="AA1291" s="31">
        <f>Tabela1[[#This Row],[Média]]-Tabela1[[#This Row],[Meta]]</f>
        <v>0.10000000000002274</v>
      </c>
      <c r="AB1291" s="6" t="str">
        <f>VLOOKUP(Tabela1[[#This Row],[SKU]],SKU!A:B,2,0)</f>
        <v>SOBRECOXA CG BDJ SE</v>
      </c>
      <c r="AC1291" s="6" t="str">
        <f>VLOOKUP(Tabela1[[#This Row],[SKU]],SKU!A:C,3,0)</f>
        <v>PERNA</v>
      </c>
    </row>
    <row r="1292" spans="1:29" x14ac:dyDescent="0.3">
      <c r="A1292" s="2">
        <f>INT(Tabela1[[#This Row],[Data e Hora2]])</f>
        <v>46296</v>
      </c>
      <c r="B1292" s="6" t="str">
        <f>UPPER(TEXT(Tabela1[[#This Row],[Data Corrigida]],"MMM"))</f>
        <v>OUT</v>
      </c>
      <c r="C1292" t="s">
        <v>2873</v>
      </c>
      <c r="D1292" s="2" t="s">
        <v>2874</v>
      </c>
      <c r="E1292" s="1" t="s">
        <v>2875</v>
      </c>
      <c r="F1292" t="s">
        <v>24</v>
      </c>
      <c r="G1292" s="2" t="s">
        <v>2820</v>
      </c>
      <c r="H1292" t="s">
        <v>26</v>
      </c>
      <c r="I1292" t="s">
        <v>57</v>
      </c>
      <c r="J1292" s="6">
        <v>15105</v>
      </c>
      <c r="K1292" s="16">
        <v>1028</v>
      </c>
      <c r="L1292" s="16">
        <v>1026</v>
      </c>
      <c r="M1292" s="16">
        <v>1010</v>
      </c>
      <c r="N1292" s="16">
        <v>1025</v>
      </c>
      <c r="O1292" s="16">
        <v>988</v>
      </c>
      <c r="P1292" s="16">
        <v>1037</v>
      </c>
      <c r="Q1292" s="16">
        <v>1002</v>
      </c>
      <c r="R1292" s="16">
        <v>1013</v>
      </c>
      <c r="S1292" s="16">
        <v>1009</v>
      </c>
      <c r="T1292" s="16">
        <v>1014</v>
      </c>
      <c r="U1292" s="15">
        <v>1015.2</v>
      </c>
      <c r="V1292" t="s">
        <v>19</v>
      </c>
      <c r="W1292" t="s">
        <v>28</v>
      </c>
      <c r="X1292">
        <v>145</v>
      </c>
      <c r="Y1292" s="16">
        <f>VLOOKUP(Tabela1[[#This Row],[SKU]],SKU!A:D,4,0)</f>
        <v>1000</v>
      </c>
      <c r="Z1292" s="18">
        <f>IFERROR((Tabela1[[#This Row],[Média]]-Tabela1[[#This Row],[Meta]])/Tabela1[[#This Row],[Meta]],"")</f>
        <v>1.5200000000000045E-2</v>
      </c>
      <c r="AA1292" s="31">
        <f>Tabela1[[#This Row],[Média]]-Tabela1[[#This Row],[Meta]]</f>
        <v>15.200000000000045</v>
      </c>
      <c r="AB1292" s="6" t="str">
        <f>VLOOKUP(Tabela1[[#This Row],[SKU]],SKU!A:B,2,0)</f>
        <v>FILE PEITO MET CG BDJ SE</v>
      </c>
      <c r="AC1292" s="6" t="str">
        <f>VLOOKUP(Tabela1[[#This Row],[SKU]],SKU!A:C,3,0)</f>
        <v>PEITO</v>
      </c>
    </row>
    <row r="1293" spans="1:29" x14ac:dyDescent="0.3">
      <c r="A1293" s="2">
        <f>INT(Tabela1[[#This Row],[Data e Hora2]])</f>
        <v>46266</v>
      </c>
      <c r="B1293" s="6" t="str">
        <f>UPPER(TEXT(Tabela1[[#This Row],[Data Corrigida]],"MMM"))</f>
        <v>SET</v>
      </c>
      <c r="C1293" t="s">
        <v>2876</v>
      </c>
      <c r="D1293" s="2" t="s">
        <v>2877</v>
      </c>
      <c r="E1293" s="1" t="s">
        <v>2875</v>
      </c>
      <c r="F1293" t="s">
        <v>24</v>
      </c>
      <c r="G1293" s="2" t="s">
        <v>960</v>
      </c>
      <c r="H1293" t="s">
        <v>26</v>
      </c>
      <c r="I1293" t="s">
        <v>57</v>
      </c>
      <c r="J1293" s="6">
        <v>18163</v>
      </c>
      <c r="K1293" s="16">
        <v>973</v>
      </c>
      <c r="L1293" s="16">
        <v>934</v>
      </c>
      <c r="M1293" s="16">
        <v>995</v>
      </c>
      <c r="N1293" s="16">
        <v>985</v>
      </c>
      <c r="O1293" s="16">
        <v>948</v>
      </c>
      <c r="P1293" s="16">
        <v>971</v>
      </c>
      <c r="Q1293" s="16">
        <v>974</v>
      </c>
      <c r="R1293" s="16">
        <v>970</v>
      </c>
      <c r="S1293" s="16">
        <v>968</v>
      </c>
      <c r="T1293" s="16">
        <v>1000</v>
      </c>
      <c r="U1293" s="15">
        <v>971.8</v>
      </c>
      <c r="V1293" t="s">
        <v>19</v>
      </c>
      <c r="W1293" t="s">
        <v>28</v>
      </c>
      <c r="X1293">
        <v>72864</v>
      </c>
      <c r="Y1293" s="16">
        <f>VLOOKUP(Tabela1[[#This Row],[SKU]],SKU!A:D,4,0)</f>
        <v>1000</v>
      </c>
      <c r="Z1293" s="18">
        <f>IFERROR((Tabela1[[#This Row],[Média]]-Tabela1[[#This Row],[Meta]])/Tabela1[[#This Row],[Meta]],"")</f>
        <v>-2.8200000000000044E-2</v>
      </c>
      <c r="AA1293" s="31">
        <f>Tabela1[[#This Row],[Média]]-Tabela1[[#This Row],[Meta]]</f>
        <v>-28.200000000000045</v>
      </c>
      <c r="AB1293" s="6" t="str">
        <f>VLOOKUP(Tabela1[[#This Row],[SKU]],SKU!A:B,2,0)</f>
        <v>CORACAO FGO CG ALM SE</v>
      </c>
      <c r="AC1293" s="6" t="str">
        <f>VLOOKUP(Tabela1[[#This Row],[SKU]],SKU!A:C,3,0)</f>
        <v>CORAÇÃO</v>
      </c>
    </row>
    <row r="1294" spans="1:29" x14ac:dyDescent="0.3">
      <c r="A1294" s="2">
        <f>INT(Tabela1[[#This Row],[Data e Hora2]])</f>
        <v>46296</v>
      </c>
      <c r="B1294" s="6" t="str">
        <f>UPPER(TEXT(Tabela1[[#This Row],[Data Corrigida]],"MMM"))</f>
        <v>OUT</v>
      </c>
      <c r="C1294" t="s">
        <v>2878</v>
      </c>
      <c r="D1294" s="2" t="s">
        <v>2879</v>
      </c>
      <c r="E1294" s="1" t="s">
        <v>2880</v>
      </c>
      <c r="F1294" t="s">
        <v>24</v>
      </c>
      <c r="G1294" s="2" t="s">
        <v>2820</v>
      </c>
      <c r="H1294" t="s">
        <v>142</v>
      </c>
      <c r="I1294" t="s">
        <v>462</v>
      </c>
      <c r="J1294" s="6">
        <v>15229</v>
      </c>
      <c r="K1294" s="16">
        <v>1098</v>
      </c>
      <c r="L1294" s="16">
        <v>1105</v>
      </c>
      <c r="M1294" s="16">
        <v>1074</v>
      </c>
      <c r="N1294" s="16">
        <v>1026</v>
      </c>
      <c r="O1294" s="16">
        <v>1030</v>
      </c>
      <c r="P1294" s="16">
        <v>1085</v>
      </c>
      <c r="Q1294" s="16">
        <v>1078</v>
      </c>
      <c r="R1294" s="16">
        <v>1061</v>
      </c>
      <c r="S1294" s="16">
        <v>1024</v>
      </c>
      <c r="T1294" s="16">
        <v>1073</v>
      </c>
      <c r="U1294" s="15">
        <v>1065.4000000000001</v>
      </c>
      <c r="V1294" t="s">
        <v>19</v>
      </c>
      <c r="W1294" t="s">
        <v>28</v>
      </c>
      <c r="X1294">
        <v>343</v>
      </c>
      <c r="Y1294" s="16">
        <f>VLOOKUP(Tabela1[[#This Row],[SKU]],SKU!A:D,4,0)</f>
        <v>1000</v>
      </c>
      <c r="Z1294" s="18">
        <f>IFERROR((Tabela1[[#This Row],[Média]]-Tabela1[[#This Row],[Meta]])/Tabela1[[#This Row],[Meta]],"")</f>
        <v>6.5400000000000097E-2</v>
      </c>
      <c r="AA1294" s="31">
        <f>Tabela1[[#This Row],[Média]]-Tabela1[[#This Row],[Meta]]</f>
        <v>65.400000000000091</v>
      </c>
      <c r="AB1294" s="6" t="str">
        <f>VLOOKUP(Tabela1[[#This Row],[SKU]],SKU!A:B,2,0)</f>
        <v>COXA CG BDJ SE</v>
      </c>
      <c r="AC1294" s="6" t="str">
        <f>VLOOKUP(Tabela1[[#This Row],[SKU]],SKU!A:C,3,0)</f>
        <v>PERNA</v>
      </c>
    </row>
    <row r="1295" spans="1:29" x14ac:dyDescent="0.3">
      <c r="A1295" s="2">
        <f>INT(Tabela1[[#This Row],[Data e Hora2]])</f>
        <v>46296</v>
      </c>
      <c r="B1295" s="6" t="str">
        <f>UPPER(TEXT(Tabela1[[#This Row],[Data Corrigida]],"MMM"))</f>
        <v>OUT</v>
      </c>
      <c r="C1295" t="s">
        <v>2881</v>
      </c>
      <c r="D1295" s="2" t="s">
        <v>2882</v>
      </c>
      <c r="E1295" s="1" t="s">
        <v>2880</v>
      </c>
      <c r="F1295" t="s">
        <v>24</v>
      </c>
      <c r="G1295" s="2" t="s">
        <v>2820</v>
      </c>
      <c r="H1295" t="s">
        <v>142</v>
      </c>
      <c r="I1295" t="s">
        <v>462</v>
      </c>
      <c r="J1295" s="6">
        <v>54632</v>
      </c>
      <c r="K1295" s="16">
        <v>1036</v>
      </c>
      <c r="L1295" s="16">
        <v>999</v>
      </c>
      <c r="M1295" s="16">
        <v>987</v>
      </c>
      <c r="N1295" s="16">
        <v>1024</v>
      </c>
      <c r="O1295" s="16">
        <v>1010</v>
      </c>
      <c r="P1295" s="16">
        <v>1020</v>
      </c>
      <c r="Q1295" s="16">
        <v>1027</v>
      </c>
      <c r="R1295" s="16">
        <v>998</v>
      </c>
      <c r="S1295" s="16">
        <v>1004</v>
      </c>
      <c r="T1295" s="16">
        <v>990</v>
      </c>
      <c r="U1295" s="15">
        <v>1009.5</v>
      </c>
      <c r="V1295" t="s">
        <v>19</v>
      </c>
      <c r="W1295" t="s">
        <v>28</v>
      </c>
      <c r="X1295">
        <v>555</v>
      </c>
      <c r="Y1295" s="16">
        <f>VLOOKUP(Tabela1[[#This Row],[SKU]],SKU!A:D,4,0)</f>
        <v>1000</v>
      </c>
      <c r="Z1295" s="18">
        <f>IFERROR((Tabela1[[#This Row],[Média]]-Tabela1[[#This Row],[Meta]])/Tabela1[[#This Row],[Meta]],"")</f>
        <v>9.4999999999999998E-3</v>
      </c>
      <c r="AA1295" s="31">
        <f>Tabela1[[#This Row],[Média]]-Tabela1[[#This Row],[Meta]]</f>
        <v>9.5</v>
      </c>
      <c r="AB1295" s="6" t="str">
        <f>VLOOKUP(Tabela1[[#This Row],[SKU]],SKU!A:B,2,0)</f>
        <v>COXA SBCX S/O BDJ CG</v>
      </c>
      <c r="AC1295" s="6" t="str">
        <f>VLOOKUP(Tabela1[[#This Row],[SKU]],SKU!A:C,3,0)</f>
        <v>PERNA</v>
      </c>
    </row>
    <row r="1296" spans="1:29" x14ac:dyDescent="0.3">
      <c r="A1296" s="2">
        <f>INT(Tabela1[[#This Row],[Data e Hora2]])</f>
        <v>46296</v>
      </c>
      <c r="B1296" s="6" t="str">
        <f>UPPER(TEXT(Tabela1[[#This Row],[Data Corrigida]],"MMM"))</f>
        <v>OUT</v>
      </c>
      <c r="C1296" t="s">
        <v>2883</v>
      </c>
      <c r="D1296" s="2" t="s">
        <v>2884</v>
      </c>
      <c r="E1296" s="1" t="s">
        <v>2880</v>
      </c>
      <c r="F1296" t="s">
        <v>24</v>
      </c>
      <c r="G1296" s="2" t="s">
        <v>2820</v>
      </c>
      <c r="H1296" t="s">
        <v>142</v>
      </c>
      <c r="I1296" t="s">
        <v>462</v>
      </c>
      <c r="J1296" s="6">
        <v>13188</v>
      </c>
      <c r="K1296" s="16">
        <v>1026</v>
      </c>
      <c r="L1296" s="16">
        <v>1050</v>
      </c>
      <c r="M1296" s="16">
        <v>1059</v>
      </c>
      <c r="N1296" s="16">
        <v>1094</v>
      </c>
      <c r="O1296" s="16">
        <v>1044</v>
      </c>
      <c r="P1296" s="16">
        <v>1096</v>
      </c>
      <c r="Q1296" s="16">
        <v>1045</v>
      </c>
      <c r="R1296" s="16">
        <v>1083</v>
      </c>
      <c r="S1296" s="16">
        <v>1084</v>
      </c>
      <c r="T1296" s="16">
        <v>1101</v>
      </c>
      <c r="U1296" s="15">
        <v>1068.2</v>
      </c>
      <c r="V1296" t="s">
        <v>19</v>
      </c>
      <c r="W1296" t="s">
        <v>28</v>
      </c>
      <c r="X1296">
        <v>877</v>
      </c>
      <c r="Y1296" s="16">
        <f>VLOOKUP(Tabela1[[#This Row],[SKU]],SKU!A:D,4,0)</f>
        <v>1000</v>
      </c>
      <c r="Z1296" s="18">
        <f>IFERROR((Tabela1[[#This Row],[Média]]-Tabela1[[#This Row],[Meta]])/Tabela1[[#This Row],[Meta]],"")</f>
        <v>6.8200000000000052E-2</v>
      </c>
      <c r="AA1296" s="31">
        <f>Tabela1[[#This Row],[Média]]-Tabela1[[#This Row],[Meta]]</f>
        <v>68.200000000000045</v>
      </c>
      <c r="AB1296" s="6" t="str">
        <f>VLOOKUP(Tabela1[[#This Row],[SKU]],SKU!A:B,2,0)</f>
        <v>SOBRECOXA CG BDJ SE</v>
      </c>
      <c r="AC1296" s="6" t="str">
        <f>VLOOKUP(Tabela1[[#This Row],[SKU]],SKU!A:C,3,0)</f>
        <v>PERNA</v>
      </c>
    </row>
    <row r="1297" spans="1:29" x14ac:dyDescent="0.3">
      <c r="A1297" s="2">
        <f>INT(Tabela1[[#This Row],[Data e Hora2]])</f>
        <v>46300</v>
      </c>
      <c r="B1297" s="6" t="str">
        <f>UPPER(TEXT(Tabela1[[#This Row],[Data Corrigida]],"MMM"))</f>
        <v>OUT</v>
      </c>
      <c r="C1297" s="26" t="s">
        <v>2886</v>
      </c>
      <c r="D1297" s="2" t="s">
        <v>2887</v>
      </c>
      <c r="E1297" s="1" t="s">
        <v>2888</v>
      </c>
      <c r="F1297" t="s">
        <v>24</v>
      </c>
      <c r="G1297" s="2" t="s">
        <v>2889</v>
      </c>
      <c r="H1297" t="s">
        <v>26</v>
      </c>
      <c r="I1297" t="s">
        <v>27</v>
      </c>
      <c r="J1297" s="6">
        <v>40762</v>
      </c>
      <c r="K1297" s="16">
        <v>10020</v>
      </c>
      <c r="L1297" s="16">
        <v>10035</v>
      </c>
      <c r="M1297" s="16">
        <v>10040</v>
      </c>
      <c r="N1297" s="16">
        <v>10020</v>
      </c>
      <c r="O1297" s="16">
        <v>9985</v>
      </c>
      <c r="P1297" s="16">
        <v>9960</v>
      </c>
      <c r="Q1297" s="16">
        <v>10030</v>
      </c>
      <c r="R1297" s="16">
        <v>9990</v>
      </c>
      <c r="S1297" s="16">
        <v>10005</v>
      </c>
      <c r="T1297" s="16">
        <v>9970</v>
      </c>
      <c r="U1297" s="15">
        <v>10005.5</v>
      </c>
      <c r="V1297" t="s">
        <v>19</v>
      </c>
      <c r="W1297" t="s">
        <v>28</v>
      </c>
      <c r="X1297">
        <v>8797</v>
      </c>
      <c r="Y1297" s="16">
        <f>VLOOKUP(Tabela1[[#This Row],[SKU]],SKU!A:D,4,0)</f>
        <v>10000</v>
      </c>
      <c r="Z1297" s="18">
        <f>IFERROR((Tabela1[[#This Row],[Média]]-Tabela1[[#This Row],[Meta]])/Tabela1[[#This Row],[Meta]],"")</f>
        <v>5.5000000000000003E-4</v>
      </c>
      <c r="AA1297" s="31">
        <f>Tabela1[[#This Row],[Média]]-Tabela1[[#This Row],[Meta]]</f>
        <v>5.5</v>
      </c>
      <c r="AB1297" s="6" t="str">
        <f>VLOOKUP(Tabela1[[#This Row],[SKU]],SKU!A:B,2,0)</f>
        <v>COXA SBCX LQ FG LP</v>
      </c>
      <c r="AC1297" s="6" t="str">
        <f>VLOOKUP(Tabela1[[#This Row],[SKU]],SKU!A:C,3,0)</f>
        <v>PERNA</v>
      </c>
    </row>
    <row r="1298" spans="1:29" x14ac:dyDescent="0.3">
      <c r="A1298" s="2">
        <f>INT(Tabela1[[#This Row],[Data e Hora2]])</f>
        <v>46300</v>
      </c>
      <c r="B1298" s="6" t="str">
        <f>UPPER(TEXT(Tabela1[[#This Row],[Data Corrigida]],"MMM"))</f>
        <v>OUT</v>
      </c>
      <c r="C1298" t="s">
        <v>2890</v>
      </c>
      <c r="D1298" s="2" t="s">
        <v>2891</v>
      </c>
      <c r="E1298" s="1" t="s">
        <v>2888</v>
      </c>
      <c r="F1298" t="s">
        <v>24</v>
      </c>
      <c r="G1298" s="2" t="s">
        <v>2889</v>
      </c>
      <c r="H1298" t="s">
        <v>26</v>
      </c>
      <c r="I1298" t="s">
        <v>27</v>
      </c>
      <c r="J1298" s="6">
        <v>963925</v>
      </c>
      <c r="K1298" s="16">
        <v>18140</v>
      </c>
      <c r="L1298" s="16">
        <v>18250</v>
      </c>
      <c r="M1298" s="16">
        <v>18235</v>
      </c>
      <c r="N1298" s="16">
        <v>18080</v>
      </c>
      <c r="O1298" s="16">
        <v>18170</v>
      </c>
      <c r="P1298" s="16">
        <v>18055</v>
      </c>
      <c r="Q1298" s="16">
        <v>18450</v>
      </c>
      <c r="R1298" s="16">
        <v>18360</v>
      </c>
      <c r="S1298" s="16">
        <v>18120</v>
      </c>
      <c r="T1298" s="16">
        <v>18180</v>
      </c>
      <c r="U1298" s="15">
        <v>18204</v>
      </c>
      <c r="V1298" t="s">
        <v>19</v>
      </c>
      <c r="W1298" t="s">
        <v>28</v>
      </c>
      <c r="X1298">
        <v>9113</v>
      </c>
      <c r="Y1298" s="16">
        <f>VLOOKUP(Tabela1[[#This Row],[SKU]],SKU!A:D,4,0)</f>
        <v>18000</v>
      </c>
      <c r="Z1298" s="18">
        <f>IFERROR((Tabela1[[#This Row],[Média]]-Tabela1[[#This Row],[Meta]])/Tabela1[[#This Row],[Meta]],"")</f>
        <v>1.1333333333333334E-2</v>
      </c>
      <c r="AA1298" s="31">
        <f>Tabela1[[#This Row],[Média]]-Tabela1[[#This Row],[Meta]]</f>
        <v>204</v>
      </c>
      <c r="AB1298" s="6" t="str">
        <f>VLOOKUP(Tabela1[[#This Row],[SKU]],SKU!A:B,2,0)</f>
        <v>COXINHA DA ASA FG CG PCT</v>
      </c>
      <c r="AC1298" s="6" t="str">
        <f>VLOOKUP(Tabela1[[#This Row],[SKU]],SKU!A:C,3,0)</f>
        <v>ASA</v>
      </c>
    </row>
    <row r="1299" spans="1:29" x14ac:dyDescent="0.3">
      <c r="A1299" s="2">
        <f>INT(Tabela1[[#This Row],[Data e Hora2]])</f>
        <v>46300</v>
      </c>
      <c r="B1299" s="6" t="str">
        <f>UPPER(TEXT(Tabela1[[#This Row],[Data Corrigida]],"MMM"))</f>
        <v>OUT</v>
      </c>
      <c r="C1299" t="s">
        <v>2892</v>
      </c>
      <c r="D1299" s="2" t="s">
        <v>2893</v>
      </c>
      <c r="E1299" s="1" t="s">
        <v>2888</v>
      </c>
      <c r="F1299" t="s">
        <v>24</v>
      </c>
      <c r="G1299" s="2" t="s">
        <v>2889</v>
      </c>
      <c r="H1299" t="s">
        <v>26</v>
      </c>
      <c r="I1299" t="s">
        <v>27</v>
      </c>
      <c r="J1299" s="6">
        <v>42641</v>
      </c>
      <c r="K1299" s="16">
        <v>15075</v>
      </c>
      <c r="L1299" s="16">
        <v>15065</v>
      </c>
      <c r="M1299" s="16">
        <v>15030</v>
      </c>
      <c r="N1299" s="16">
        <v>14900</v>
      </c>
      <c r="O1299" s="16">
        <v>15025</v>
      </c>
      <c r="P1299" s="16">
        <v>15055</v>
      </c>
      <c r="Q1299" s="16">
        <v>14935</v>
      </c>
      <c r="R1299" s="16">
        <v>14900</v>
      </c>
      <c r="S1299" s="16">
        <v>15005</v>
      </c>
      <c r="T1299" s="16">
        <v>14950</v>
      </c>
      <c r="U1299" s="15">
        <v>14994</v>
      </c>
      <c r="V1299" t="s">
        <v>19</v>
      </c>
      <c r="W1299" t="s">
        <v>28</v>
      </c>
      <c r="X1299">
        <v>9846</v>
      </c>
      <c r="Y1299" s="16">
        <f>VLOOKUP(Tabela1[[#This Row],[SKU]],SKU!A:D,4,0)</f>
        <v>15000</v>
      </c>
      <c r="Z1299" s="18">
        <f>IFERROR((Tabela1[[#This Row],[Média]]-Tabela1[[#This Row],[Meta]])/Tabela1[[#This Row],[Meta]],"")</f>
        <v>-4.0000000000000002E-4</v>
      </c>
      <c r="AA1299" s="31">
        <f>Tabela1[[#This Row],[Média]]-Tabela1[[#This Row],[Meta]]</f>
        <v>-6</v>
      </c>
      <c r="AB1299" s="6" t="str">
        <f>VLOOKUP(Tabela1[[#This Row],[SKU]],SKU!A:B,2,0)</f>
        <v>ASAS FG 100g UP LP</v>
      </c>
      <c r="AC1299" s="6" t="str">
        <f>VLOOKUP(Tabela1[[#This Row],[SKU]],SKU!A:C,3,0)</f>
        <v>ASA</v>
      </c>
    </row>
    <row r="1300" spans="1:29" x14ac:dyDescent="0.3">
      <c r="A1300" s="2">
        <f>INT(Tabela1[[#This Row],[Data e Hora2]])</f>
        <v>46300</v>
      </c>
      <c r="B1300" s="6" t="str">
        <f>UPPER(TEXT(Tabela1[[#This Row],[Data Corrigida]],"MMM"))</f>
        <v>OUT</v>
      </c>
      <c r="C1300" t="s">
        <v>2894</v>
      </c>
      <c r="D1300" s="2" t="s">
        <v>2895</v>
      </c>
      <c r="E1300" s="1" t="s">
        <v>2888</v>
      </c>
      <c r="F1300" t="s">
        <v>24</v>
      </c>
      <c r="G1300" s="2" t="s">
        <v>2889</v>
      </c>
      <c r="H1300" t="s">
        <v>26</v>
      </c>
      <c r="I1300" t="s">
        <v>27</v>
      </c>
      <c r="J1300" s="6">
        <v>15105</v>
      </c>
      <c r="K1300" s="16">
        <v>1034</v>
      </c>
      <c r="L1300" s="16">
        <v>1033</v>
      </c>
      <c r="M1300" s="16">
        <v>1028</v>
      </c>
      <c r="N1300" s="16">
        <v>1038</v>
      </c>
      <c r="O1300" s="16">
        <v>993</v>
      </c>
      <c r="P1300" s="16">
        <v>850</v>
      </c>
      <c r="Q1300" s="16">
        <v>1012</v>
      </c>
      <c r="R1300" s="16">
        <v>1016</v>
      </c>
      <c r="S1300" s="16">
        <v>1052</v>
      </c>
      <c r="T1300" s="16">
        <v>1028</v>
      </c>
      <c r="U1300" s="15">
        <v>1008.4</v>
      </c>
      <c r="V1300" t="s">
        <v>19</v>
      </c>
      <c r="W1300" t="s">
        <v>19</v>
      </c>
      <c r="X1300">
        <v>10118</v>
      </c>
      <c r="Y1300" s="16">
        <f>VLOOKUP(Tabela1[[#This Row],[SKU]],SKU!A:D,4,0)</f>
        <v>1000</v>
      </c>
      <c r="Z1300" s="18">
        <f>IFERROR((Tabela1[[#This Row],[Média]]-Tabela1[[#This Row],[Meta]])/Tabela1[[#This Row],[Meta]],"")</f>
        <v>8.3999999999999769E-3</v>
      </c>
      <c r="AA1300" s="31">
        <f>Tabela1[[#This Row],[Média]]-Tabela1[[#This Row],[Meta]]</f>
        <v>8.3999999999999773</v>
      </c>
      <c r="AB1300" s="6" t="str">
        <f>VLOOKUP(Tabela1[[#This Row],[SKU]],SKU!A:B,2,0)</f>
        <v>FILE PEITO MET CG BDJ SE</v>
      </c>
      <c r="AC1300" s="6" t="str">
        <f>VLOOKUP(Tabela1[[#This Row],[SKU]],SKU!A:C,3,0)</f>
        <v>PEITO</v>
      </c>
    </row>
    <row r="1301" spans="1:29" x14ac:dyDescent="0.3">
      <c r="A1301" s="2">
        <f>INT(Tabela1[[#This Row],[Data e Hora2]])</f>
        <v>46300</v>
      </c>
      <c r="B1301" s="6" t="str">
        <f>UPPER(TEXT(Tabela1[[#This Row],[Data Corrigida]],"MMM"))</f>
        <v>OUT</v>
      </c>
      <c r="C1301" t="s">
        <v>2896</v>
      </c>
      <c r="D1301" s="2" t="s">
        <v>2897</v>
      </c>
      <c r="E1301" s="1" t="s">
        <v>2888</v>
      </c>
      <c r="F1301" t="s">
        <v>24</v>
      </c>
      <c r="G1301" s="2" t="s">
        <v>2889</v>
      </c>
      <c r="H1301" t="s">
        <v>26</v>
      </c>
      <c r="I1301" t="s">
        <v>27</v>
      </c>
      <c r="J1301" s="6">
        <v>15849</v>
      </c>
      <c r="K1301" s="16">
        <v>1003</v>
      </c>
      <c r="L1301" s="16">
        <v>1012</v>
      </c>
      <c r="M1301" s="16">
        <v>1019</v>
      </c>
      <c r="N1301" s="16">
        <v>1014</v>
      </c>
      <c r="O1301" s="16">
        <v>1005</v>
      </c>
      <c r="P1301" s="16">
        <v>1002</v>
      </c>
      <c r="Q1301" s="16">
        <v>1016</v>
      </c>
      <c r="R1301" s="16">
        <v>1033</v>
      </c>
      <c r="S1301" s="16">
        <v>1015</v>
      </c>
      <c r="T1301" s="16">
        <v>1021</v>
      </c>
      <c r="U1301" s="15">
        <v>1014</v>
      </c>
      <c r="V1301" t="s">
        <v>19</v>
      </c>
      <c r="W1301" t="s">
        <v>28</v>
      </c>
      <c r="X1301">
        <v>10242</v>
      </c>
      <c r="Y1301" s="16">
        <f>VLOOKUP(Tabela1[[#This Row],[SKU]],SKU!A:D,4,0)</f>
        <v>1000</v>
      </c>
      <c r="Z1301" s="18">
        <f>IFERROR((Tabela1[[#This Row],[Média]]-Tabela1[[#This Row],[Meta]])/Tabela1[[#This Row],[Meta]],"")</f>
        <v>1.4E-2</v>
      </c>
      <c r="AA1301" s="31">
        <f>Tabela1[[#This Row],[Média]]-Tabela1[[#This Row],[Meta]]</f>
        <v>14</v>
      </c>
      <c r="AB1301" s="6" t="str">
        <f>VLOOKUP(Tabela1[[#This Row],[SKU]],SKU!A:B,2,0)</f>
        <v>FILEZINHO PEITO CG BDJ SE</v>
      </c>
      <c r="AC1301" s="6" t="str">
        <f>VLOOKUP(Tabela1[[#This Row],[SKU]],SKU!A:C,3,0)</f>
        <v>SASSAMI</v>
      </c>
    </row>
    <row r="1302" spans="1:29" x14ac:dyDescent="0.3">
      <c r="A1302" s="2">
        <f>INT(Tabela1[[#This Row],[Data e Hora2]])</f>
        <v>46300</v>
      </c>
      <c r="B1302" s="6" t="str">
        <f>UPPER(TEXT(Tabela1[[#This Row],[Data Corrigida]],"MMM"))</f>
        <v>OUT</v>
      </c>
      <c r="C1302" t="s">
        <v>2898</v>
      </c>
      <c r="D1302" s="2" t="s">
        <v>2899</v>
      </c>
      <c r="E1302" s="1" t="s">
        <v>2900</v>
      </c>
      <c r="F1302" t="s">
        <v>24</v>
      </c>
      <c r="G1302" s="2" t="s">
        <v>2889</v>
      </c>
      <c r="H1302" t="s">
        <v>26</v>
      </c>
      <c r="I1302" t="s">
        <v>27</v>
      </c>
      <c r="J1302" s="6">
        <v>209129</v>
      </c>
      <c r="K1302" s="16">
        <v>1014</v>
      </c>
      <c r="L1302" s="16">
        <v>1000</v>
      </c>
      <c r="M1302" s="16">
        <v>939</v>
      </c>
      <c r="N1302" s="16">
        <v>1001</v>
      </c>
      <c r="O1302" s="16">
        <v>1010</v>
      </c>
      <c r="P1302" s="16">
        <v>1003</v>
      </c>
      <c r="Q1302" s="16">
        <v>1008</v>
      </c>
      <c r="R1302" s="16">
        <v>996</v>
      </c>
      <c r="S1302" s="16">
        <v>1014</v>
      </c>
      <c r="T1302" s="16">
        <v>1011</v>
      </c>
      <c r="U1302" s="15">
        <v>999.6</v>
      </c>
      <c r="V1302" t="s">
        <v>19</v>
      </c>
      <c r="W1302" t="s">
        <v>28</v>
      </c>
      <c r="X1302">
        <v>20738</v>
      </c>
      <c r="Y1302" s="16">
        <f>VLOOKUP(Tabela1[[#This Row],[SKU]],SKU!A:D,4,0)</f>
        <v>1000</v>
      </c>
      <c r="Z1302" s="18">
        <f>IFERROR((Tabela1[[#This Row],[Média]]-Tabela1[[#This Row],[Meta]])/Tabela1[[#This Row],[Meta]],"")</f>
        <v>-3.9999999999997725E-4</v>
      </c>
      <c r="AA1302" s="31">
        <f>Tabela1[[#This Row],[Média]]-Tabela1[[#This Row],[Meta]]</f>
        <v>-0.39999999999997726</v>
      </c>
      <c r="AB1302" s="6" t="str">
        <f>VLOOKUP(Tabela1[[#This Row],[SKU]],SKU!A:B,2,0)</f>
        <v>FILEZINHO FRANGO IQF ALM</v>
      </c>
      <c r="AC1302" s="6" t="str">
        <f>VLOOKUP(Tabela1[[#This Row],[SKU]],SKU!A:C,3,0)</f>
        <v>SASSAMI</v>
      </c>
    </row>
    <row r="1303" spans="1:29" x14ac:dyDescent="0.3">
      <c r="A1303" s="2">
        <f>INT(Tabela1[[#This Row],[Data e Hora2]])</f>
        <v>46300</v>
      </c>
      <c r="B1303" s="6" t="str">
        <f>UPPER(TEXT(Tabela1[[#This Row],[Data Corrigida]],"MMM"))</f>
        <v>OUT</v>
      </c>
      <c r="C1303" t="s">
        <v>2901</v>
      </c>
      <c r="D1303" s="2" t="s">
        <v>2902</v>
      </c>
      <c r="E1303" s="1" t="s">
        <v>2900</v>
      </c>
      <c r="F1303" t="s">
        <v>24</v>
      </c>
      <c r="G1303" s="2" t="s">
        <v>2889</v>
      </c>
      <c r="H1303" t="s">
        <v>26</v>
      </c>
      <c r="I1303" t="s">
        <v>27</v>
      </c>
      <c r="J1303" s="6">
        <v>15849</v>
      </c>
      <c r="K1303" s="16">
        <v>1015</v>
      </c>
      <c r="L1303" s="16">
        <v>1014</v>
      </c>
      <c r="M1303" s="16">
        <v>1010</v>
      </c>
      <c r="N1303" s="16">
        <v>1008</v>
      </c>
      <c r="O1303" s="16">
        <v>994</v>
      </c>
      <c r="P1303" s="16">
        <v>1011</v>
      </c>
      <c r="Q1303" s="16">
        <v>1001</v>
      </c>
      <c r="R1303" s="16">
        <v>1002</v>
      </c>
      <c r="S1303" s="16">
        <v>1013</v>
      </c>
      <c r="T1303" s="16">
        <v>1012</v>
      </c>
      <c r="U1303" s="15">
        <v>1008</v>
      </c>
      <c r="V1303" t="s">
        <v>19</v>
      </c>
      <c r="W1303" t="s">
        <v>28</v>
      </c>
      <c r="X1303">
        <v>22963</v>
      </c>
      <c r="Y1303" s="16">
        <f>VLOOKUP(Tabela1[[#This Row],[SKU]],SKU!A:D,4,0)</f>
        <v>1000</v>
      </c>
      <c r="Z1303" s="18">
        <f>IFERROR((Tabela1[[#This Row],[Média]]-Tabela1[[#This Row],[Meta]])/Tabela1[[#This Row],[Meta]],"")</f>
        <v>8.0000000000000002E-3</v>
      </c>
      <c r="AA1303" s="31">
        <f>Tabela1[[#This Row],[Média]]-Tabela1[[#This Row],[Meta]]</f>
        <v>8</v>
      </c>
      <c r="AB1303" s="6" t="str">
        <f>VLOOKUP(Tabela1[[#This Row],[SKU]],SKU!A:B,2,0)</f>
        <v>FILEZINHO PEITO CG BDJ SE</v>
      </c>
      <c r="AC1303" s="6" t="str">
        <f>VLOOKUP(Tabela1[[#This Row],[SKU]],SKU!A:C,3,0)</f>
        <v>SASSAMI</v>
      </c>
    </row>
    <row r="1304" spans="1:29" x14ac:dyDescent="0.3">
      <c r="A1304" s="2">
        <f>INT(Tabela1[[#This Row],[Data e Hora2]])</f>
        <v>46300</v>
      </c>
      <c r="B1304" s="6" t="str">
        <f>UPPER(TEXT(Tabela1[[#This Row],[Data Corrigida]],"MMM"))</f>
        <v>OUT</v>
      </c>
      <c r="C1304" t="s">
        <v>2903</v>
      </c>
      <c r="D1304" s="2" t="s">
        <v>2904</v>
      </c>
      <c r="E1304" s="1" t="s">
        <v>2900</v>
      </c>
      <c r="F1304" t="s">
        <v>24</v>
      </c>
      <c r="G1304" s="2" t="s">
        <v>2889</v>
      </c>
      <c r="H1304" t="s">
        <v>26</v>
      </c>
      <c r="I1304" t="s">
        <v>27</v>
      </c>
      <c r="J1304" s="6">
        <v>992093</v>
      </c>
      <c r="K1304" s="16">
        <v>5011</v>
      </c>
      <c r="L1304" s="16">
        <v>5013</v>
      </c>
      <c r="M1304" s="16">
        <v>5006</v>
      </c>
      <c r="N1304" s="16">
        <v>5004</v>
      </c>
      <c r="O1304" s="16">
        <v>5020</v>
      </c>
      <c r="P1304" s="16">
        <v>5010</v>
      </c>
      <c r="Q1304" s="16">
        <v>5001</v>
      </c>
      <c r="R1304" s="16">
        <v>5011</v>
      </c>
      <c r="S1304" s="16">
        <v>5013</v>
      </c>
      <c r="T1304" s="16">
        <v>5009</v>
      </c>
      <c r="U1304" s="15">
        <v>5009.8</v>
      </c>
      <c r="V1304" t="s">
        <v>19</v>
      </c>
      <c r="W1304" t="s">
        <v>28</v>
      </c>
      <c r="X1304">
        <v>179</v>
      </c>
      <c r="Y1304" s="16">
        <f>VLOOKUP(Tabela1[[#This Row],[SKU]],SKU!A:D,4,0)</f>
        <v>5000</v>
      </c>
      <c r="Z1304" s="18">
        <f>IFERROR((Tabela1[[#This Row],[Média]]-Tabela1[[#This Row],[Meta]])/Tabela1[[#This Row],[Meta]],"")</f>
        <v>1.9600000000000364E-3</v>
      </c>
      <c r="AA1304" s="31">
        <f>Tabela1[[#This Row],[Média]]-Tabela1[[#This Row],[Meta]]</f>
        <v>9.8000000000001819</v>
      </c>
      <c r="AB1304" s="6" t="str">
        <f>VLOOKUP(Tabela1[[#This Row],[SKU]],SKU!A:B,2,0)</f>
        <v>PONTA ASA FG PB CG</v>
      </c>
      <c r="AC1304" s="6" t="str">
        <f>VLOOKUP(Tabela1[[#This Row],[SKU]],SKU!A:C,3,0)</f>
        <v>ASA</v>
      </c>
    </row>
    <row r="1305" spans="1:29" x14ac:dyDescent="0.3">
      <c r="A1305" s="2">
        <f>INT(Tabela1[[#This Row],[Data e Hora2]])</f>
        <v>46300</v>
      </c>
      <c r="B1305" s="6" t="str">
        <f>UPPER(TEXT(Tabela1[[#This Row],[Data Corrigida]],"MMM"))</f>
        <v>OUT</v>
      </c>
      <c r="C1305" t="s">
        <v>2905</v>
      </c>
      <c r="D1305" s="2" t="s">
        <v>2906</v>
      </c>
      <c r="E1305" s="1" t="s">
        <v>2900</v>
      </c>
      <c r="F1305" t="s">
        <v>24</v>
      </c>
      <c r="G1305" s="2" t="s">
        <v>2889</v>
      </c>
      <c r="H1305" t="s">
        <v>26</v>
      </c>
      <c r="I1305" t="s">
        <v>27</v>
      </c>
      <c r="J1305" s="6">
        <v>40762</v>
      </c>
      <c r="K1305" s="16">
        <v>10035</v>
      </c>
      <c r="L1305" s="16">
        <v>9975</v>
      </c>
      <c r="M1305" s="16">
        <v>9925</v>
      </c>
      <c r="N1305" s="16">
        <v>9995</v>
      </c>
      <c r="O1305" s="16">
        <v>9955</v>
      </c>
      <c r="P1305" s="16">
        <v>10065</v>
      </c>
      <c r="Q1305" s="16">
        <v>10070</v>
      </c>
      <c r="R1305" s="16">
        <v>10030</v>
      </c>
      <c r="S1305" s="16">
        <v>9975</v>
      </c>
      <c r="T1305" s="16">
        <v>9985</v>
      </c>
      <c r="U1305" s="15">
        <v>10001</v>
      </c>
      <c r="V1305" t="s">
        <v>19</v>
      </c>
      <c r="W1305" t="s">
        <v>28</v>
      </c>
      <c r="X1305">
        <v>23412</v>
      </c>
      <c r="Y1305" s="16">
        <f>VLOOKUP(Tabela1[[#This Row],[SKU]],SKU!A:D,4,0)</f>
        <v>10000</v>
      </c>
      <c r="Z1305" s="18">
        <f>IFERROR((Tabela1[[#This Row],[Média]]-Tabela1[[#This Row],[Meta]])/Tabela1[[#This Row],[Meta]],"")</f>
        <v>1E-4</v>
      </c>
      <c r="AA1305" s="31">
        <f>Tabela1[[#This Row],[Média]]-Tabela1[[#This Row],[Meta]]</f>
        <v>1</v>
      </c>
      <c r="AB1305" s="6" t="str">
        <f>VLOOKUP(Tabela1[[#This Row],[SKU]],SKU!A:B,2,0)</f>
        <v>COXA SBCX LQ FG LP</v>
      </c>
      <c r="AC1305" s="6" t="str">
        <f>VLOOKUP(Tabela1[[#This Row],[SKU]],SKU!A:C,3,0)</f>
        <v>PERNA</v>
      </c>
    </row>
    <row r="1306" spans="1:29" x14ac:dyDescent="0.3">
      <c r="A1306" s="2">
        <f>INT(Tabela1[[#This Row],[Data e Hora2]])</f>
        <v>46300</v>
      </c>
      <c r="B1306" s="6" t="str">
        <f>UPPER(TEXT(Tabela1[[#This Row],[Data Corrigida]],"MMM"))</f>
        <v>OUT</v>
      </c>
      <c r="C1306" t="s">
        <v>2907</v>
      </c>
      <c r="D1306" s="2" t="s">
        <v>2908</v>
      </c>
      <c r="E1306" s="1" t="s">
        <v>2900</v>
      </c>
      <c r="F1306" t="s">
        <v>24</v>
      </c>
      <c r="G1306" s="2" t="s">
        <v>2889</v>
      </c>
      <c r="H1306" t="s">
        <v>26</v>
      </c>
      <c r="I1306" t="s">
        <v>27</v>
      </c>
      <c r="J1306" s="6">
        <v>864048</v>
      </c>
      <c r="K1306" s="16">
        <v>2013</v>
      </c>
      <c r="L1306" s="16">
        <v>2021</v>
      </c>
      <c r="M1306" s="16">
        <v>2003</v>
      </c>
      <c r="N1306" s="16">
        <v>2058</v>
      </c>
      <c r="O1306" s="16">
        <v>2012</v>
      </c>
      <c r="P1306" s="16">
        <v>2015</v>
      </c>
      <c r="Q1306" s="16">
        <v>2024</v>
      </c>
      <c r="R1306" s="16">
        <v>2010</v>
      </c>
      <c r="S1306" s="16">
        <v>2002</v>
      </c>
      <c r="T1306" s="16">
        <v>2003</v>
      </c>
      <c r="U1306" s="15">
        <v>2016.1</v>
      </c>
      <c r="V1306" t="s">
        <v>19</v>
      </c>
      <c r="W1306" t="s">
        <v>28</v>
      </c>
      <c r="X1306">
        <v>23832</v>
      </c>
      <c r="Y1306" s="16">
        <f>VLOOKUP(Tabela1[[#This Row],[SKU]],SKU!A:D,4,0)</f>
        <v>2000</v>
      </c>
      <c r="Z1306" s="18">
        <f>IFERROR((Tabela1[[#This Row],[Média]]-Tabela1[[#This Row],[Meta]])/Tabela1[[#This Row],[Meta]],"")</f>
        <v>8.0499999999999548E-3</v>
      </c>
      <c r="AA1306" s="31">
        <f>Tabela1[[#This Row],[Média]]-Tabela1[[#This Row],[Meta]]</f>
        <v>16.099999999999909</v>
      </c>
      <c r="AB1306" s="6" t="str">
        <f>VLOOKUP(Tabela1[[#This Row],[SKU]],SKU!A:B,2,0)</f>
        <v>COXA SBCX S/O 200g FG UP PB</v>
      </c>
      <c r="AC1306" s="6" t="str">
        <f>VLOOKUP(Tabela1[[#This Row],[SKU]],SKU!A:C,3,0)</f>
        <v>PERNA</v>
      </c>
    </row>
    <row r="1307" spans="1:29" x14ac:dyDescent="0.3">
      <c r="A1307" s="2">
        <f>INT(Tabela1[[#This Row],[Data e Hora2]])</f>
        <v>46300</v>
      </c>
      <c r="B1307" s="6" t="str">
        <f>UPPER(TEXT(Tabela1[[#This Row],[Data Corrigida]],"MMM"))</f>
        <v>OUT</v>
      </c>
      <c r="C1307" t="s">
        <v>2909</v>
      </c>
      <c r="D1307" s="2" t="s">
        <v>2910</v>
      </c>
      <c r="E1307" s="1" t="s">
        <v>2900</v>
      </c>
      <c r="F1307" t="s">
        <v>24</v>
      </c>
      <c r="G1307" s="2" t="s">
        <v>2889</v>
      </c>
      <c r="H1307" t="s">
        <v>26</v>
      </c>
      <c r="I1307" t="s">
        <v>27</v>
      </c>
      <c r="J1307" s="6">
        <v>42854</v>
      </c>
      <c r="K1307" s="16">
        <v>2015</v>
      </c>
      <c r="L1307" s="16">
        <v>2110</v>
      </c>
      <c r="M1307" s="16">
        <v>2095</v>
      </c>
      <c r="N1307" s="16">
        <v>2099</v>
      </c>
      <c r="O1307" s="16">
        <v>2085</v>
      </c>
      <c r="P1307" s="16">
        <v>2082</v>
      </c>
      <c r="Q1307" s="16">
        <v>2005</v>
      </c>
      <c r="R1307" s="16">
        <v>2105</v>
      </c>
      <c r="S1307" s="16">
        <v>2055</v>
      </c>
      <c r="T1307" s="16">
        <v>2078</v>
      </c>
      <c r="U1307" s="15">
        <v>2072.9</v>
      </c>
      <c r="V1307" t="s">
        <v>19</v>
      </c>
      <c r="W1307" t="s">
        <v>28</v>
      </c>
      <c r="X1307">
        <v>23924</v>
      </c>
      <c r="Y1307" s="16">
        <f>VLOOKUP(Tabela1[[#This Row],[SKU]],SKU!A:D,4,0)</f>
        <v>2080</v>
      </c>
      <c r="Z1307" s="18">
        <f>IFERROR((Tabela1[[#This Row],[Média]]-Tabela1[[#This Row],[Meta]])/Tabela1[[#This Row],[Meta]],"")</f>
        <v>-3.4134615384614946E-3</v>
      </c>
      <c r="AA1307" s="31">
        <f>Tabela1[[#This Row],[Média]]-Tabela1[[#This Row],[Meta]]</f>
        <v>-7.0999999999999091</v>
      </c>
      <c r="AB1307" s="6" t="str">
        <f>VLOOKUP(Tabela1[[#This Row],[SKU]],SKU!A:B,2,0)</f>
        <v>COXA SBCX S/O FG 260-280g PB</v>
      </c>
      <c r="AC1307" s="6" t="str">
        <f>VLOOKUP(Tabela1[[#This Row],[SKU]],SKU!A:C,3,0)</f>
        <v>PERNA</v>
      </c>
    </row>
    <row r="1308" spans="1:29" x14ac:dyDescent="0.3">
      <c r="A1308" s="2">
        <f>INT(Tabela1[[#This Row],[Data e Hora2]])</f>
        <v>46300</v>
      </c>
      <c r="B1308" s="6" t="str">
        <f>UPPER(TEXT(Tabela1[[#This Row],[Data Corrigida]],"MMM"))</f>
        <v>OUT</v>
      </c>
      <c r="C1308" t="s">
        <v>2911</v>
      </c>
      <c r="D1308" s="2" t="s">
        <v>2912</v>
      </c>
      <c r="E1308" s="1" t="s">
        <v>2900</v>
      </c>
      <c r="F1308" t="s">
        <v>24</v>
      </c>
      <c r="G1308" s="2" t="s">
        <v>2889</v>
      </c>
      <c r="H1308" t="s">
        <v>26</v>
      </c>
      <c r="I1308" t="s">
        <v>27</v>
      </c>
      <c r="J1308" s="6">
        <v>42862</v>
      </c>
      <c r="K1308" s="16">
        <v>2030</v>
      </c>
      <c r="L1308" s="16">
        <v>1950</v>
      </c>
      <c r="M1308" s="16">
        <v>2015</v>
      </c>
      <c r="N1308" s="16">
        <v>2020</v>
      </c>
      <c r="O1308" s="16">
        <v>2018</v>
      </c>
      <c r="P1308" s="16">
        <v>2006</v>
      </c>
      <c r="Q1308" s="16">
        <v>2013</v>
      </c>
      <c r="R1308" s="16">
        <v>2009</v>
      </c>
      <c r="S1308" s="16">
        <v>2008</v>
      </c>
      <c r="T1308" s="16">
        <v>2021</v>
      </c>
      <c r="U1308" s="15">
        <v>2009</v>
      </c>
      <c r="V1308" t="s">
        <v>19</v>
      </c>
      <c r="W1308" t="s">
        <v>28</v>
      </c>
      <c r="X1308">
        <v>24190</v>
      </c>
      <c r="Y1308" s="16">
        <f>VLOOKUP(Tabela1[[#This Row],[SKU]],SKU!A:D,4,0)</f>
        <v>2000</v>
      </c>
      <c r="Z1308" s="18">
        <f>IFERROR((Tabela1[[#This Row],[Média]]-Tabela1[[#This Row],[Meta]])/Tabela1[[#This Row],[Meta]],"")</f>
        <v>4.4999999999999997E-3</v>
      </c>
      <c r="AA1308" s="31">
        <f>Tabela1[[#This Row],[Média]]-Tabela1[[#This Row],[Meta]]</f>
        <v>9</v>
      </c>
      <c r="AB1308" s="6" t="str">
        <f>VLOOKUP(Tabela1[[#This Row],[SKU]],SKU!A:B,2,0)</f>
        <v>COXA SBCX S/O FG 280-300g PB</v>
      </c>
      <c r="AC1308" s="6" t="str">
        <f>VLOOKUP(Tabela1[[#This Row],[SKU]],SKU!A:C,3,0)</f>
        <v>PERNA</v>
      </c>
    </row>
    <row r="1309" spans="1:29" x14ac:dyDescent="0.3">
      <c r="A1309" s="2">
        <f>INT(Tabela1[[#This Row],[Data e Hora2]])</f>
        <v>46300</v>
      </c>
      <c r="B1309" s="6" t="str">
        <f>UPPER(TEXT(Tabela1[[#This Row],[Data Corrigida]],"MMM"))</f>
        <v>OUT</v>
      </c>
      <c r="C1309" t="s">
        <v>2913</v>
      </c>
      <c r="D1309" s="2" t="s">
        <v>2914</v>
      </c>
      <c r="E1309" s="1" t="s">
        <v>2900</v>
      </c>
      <c r="F1309" t="s">
        <v>24</v>
      </c>
      <c r="G1309" s="2" t="s">
        <v>2889</v>
      </c>
      <c r="H1309" t="s">
        <v>26</v>
      </c>
      <c r="I1309" t="s">
        <v>27</v>
      </c>
      <c r="J1309" s="6">
        <v>42846</v>
      </c>
      <c r="K1309" s="16">
        <v>2023</v>
      </c>
      <c r="L1309" s="16">
        <v>2013</v>
      </c>
      <c r="M1309" s="16">
        <v>2019</v>
      </c>
      <c r="N1309" s="16">
        <v>1995</v>
      </c>
      <c r="O1309" s="16">
        <v>1997</v>
      </c>
      <c r="P1309" s="16">
        <v>2008</v>
      </c>
      <c r="Q1309" s="16">
        <v>2034</v>
      </c>
      <c r="R1309" s="16">
        <v>2011</v>
      </c>
      <c r="S1309" s="16">
        <v>2000</v>
      </c>
      <c r="T1309" s="16">
        <v>2016</v>
      </c>
      <c r="U1309" s="15">
        <v>2011.6</v>
      </c>
      <c r="V1309" t="s">
        <v>19</v>
      </c>
      <c r="W1309" t="s">
        <v>19</v>
      </c>
      <c r="X1309">
        <v>24285</v>
      </c>
      <c r="Y1309" s="16">
        <f>VLOOKUP(Tabela1[[#This Row],[SKU]],SKU!A:D,4,0)</f>
        <v>2000</v>
      </c>
      <c r="Z1309" s="18">
        <f>IFERROR((Tabela1[[#This Row],[Média]]-Tabela1[[#This Row],[Meta]])/Tabela1[[#This Row],[Meta]],"")</f>
        <v>5.7999999999999545E-3</v>
      </c>
      <c r="AA1309" s="31">
        <f>Tabela1[[#This Row],[Média]]-Tabela1[[#This Row],[Meta]]</f>
        <v>11.599999999999909</v>
      </c>
      <c r="AB1309" s="6" t="str">
        <f>VLOOKUP(Tabela1[[#This Row],[SKU]],SKU!A:B,2,0)</f>
        <v>COXA SBCX S/O FG 240-260g PB</v>
      </c>
      <c r="AC1309" s="6" t="str">
        <f>VLOOKUP(Tabela1[[#This Row],[SKU]],SKU!A:C,3,0)</f>
        <v>PERNA</v>
      </c>
    </row>
    <row r="1310" spans="1:29" x14ac:dyDescent="0.3">
      <c r="A1310" s="2">
        <f>INT(Tabela1[[#This Row],[Data e Hora2]])</f>
        <v>46300</v>
      </c>
      <c r="B1310" s="6" t="str">
        <f>UPPER(TEXT(Tabela1[[#This Row],[Data Corrigida]],"MMM"))</f>
        <v>OUT</v>
      </c>
      <c r="C1310" t="s">
        <v>2915</v>
      </c>
      <c r="D1310" s="2" t="s">
        <v>2916</v>
      </c>
      <c r="E1310" s="1" t="s">
        <v>2900</v>
      </c>
      <c r="F1310" t="s">
        <v>24</v>
      </c>
      <c r="G1310" s="2" t="s">
        <v>2889</v>
      </c>
      <c r="H1310" t="s">
        <v>26</v>
      </c>
      <c r="I1310" t="s">
        <v>27</v>
      </c>
      <c r="J1310" s="6">
        <v>42838</v>
      </c>
      <c r="K1310" s="16">
        <v>2061</v>
      </c>
      <c r="L1310" s="16">
        <v>2046</v>
      </c>
      <c r="M1310" s="16">
        <v>2003</v>
      </c>
      <c r="N1310" s="16">
        <v>2026</v>
      </c>
      <c r="O1310" s="16">
        <v>2010</v>
      </c>
      <c r="P1310" s="16">
        <v>2019</v>
      </c>
      <c r="Q1310" s="16">
        <v>2024</v>
      </c>
      <c r="R1310" s="16">
        <v>2021</v>
      </c>
      <c r="S1310" s="16">
        <v>2014</v>
      </c>
      <c r="T1310" s="16">
        <v>2010</v>
      </c>
      <c r="U1310" s="15">
        <v>2023.4</v>
      </c>
      <c r="V1310" t="s">
        <v>19</v>
      </c>
      <c r="W1310" t="s">
        <v>28</v>
      </c>
      <c r="X1310">
        <v>411</v>
      </c>
      <c r="Y1310" s="16">
        <f>VLOOKUP(Tabela1[[#This Row],[SKU]],SKU!A:D,4,0)</f>
        <v>2000</v>
      </c>
      <c r="Z1310" s="18">
        <f>IFERROR((Tabela1[[#This Row],[Média]]-Tabela1[[#This Row],[Meta]])/Tabela1[[#This Row],[Meta]],"")</f>
        <v>1.1700000000000045E-2</v>
      </c>
      <c r="AA1310" s="31">
        <f>Tabela1[[#This Row],[Média]]-Tabela1[[#This Row],[Meta]]</f>
        <v>23.400000000000091</v>
      </c>
      <c r="AB1310" s="6" t="str">
        <f>VLOOKUP(Tabela1[[#This Row],[SKU]],SKU!A:B,2,0)</f>
        <v>COXA SBCX S/O FG 220-240g PB</v>
      </c>
      <c r="AC1310" s="6" t="str">
        <f>VLOOKUP(Tabela1[[#This Row],[SKU]],SKU!A:C,3,0)</f>
        <v>PERNA</v>
      </c>
    </row>
    <row r="1311" spans="1:29" x14ac:dyDescent="0.3">
      <c r="A1311" s="2">
        <f>INT(Tabela1[[#This Row],[Data e Hora2]])</f>
        <v>46300</v>
      </c>
      <c r="B1311" s="6" t="str">
        <f>UPPER(TEXT(Tabela1[[#This Row],[Data Corrigida]],"MMM"))</f>
        <v>OUT</v>
      </c>
      <c r="C1311" t="s">
        <v>2917</v>
      </c>
      <c r="D1311" s="2" t="s">
        <v>2918</v>
      </c>
      <c r="E1311" s="1" t="s">
        <v>2900</v>
      </c>
      <c r="F1311" t="s">
        <v>24</v>
      </c>
      <c r="G1311" s="2" t="s">
        <v>2889</v>
      </c>
      <c r="H1311" t="s">
        <v>26</v>
      </c>
      <c r="I1311" t="s">
        <v>27</v>
      </c>
      <c r="J1311" s="6">
        <v>995638</v>
      </c>
      <c r="K1311" s="16">
        <v>15050</v>
      </c>
      <c r="L1311" s="16">
        <v>15070</v>
      </c>
      <c r="M1311" s="16">
        <v>15065</v>
      </c>
      <c r="N1311" s="16">
        <v>15055</v>
      </c>
      <c r="O1311" s="16">
        <v>15090</v>
      </c>
      <c r="P1311" s="16">
        <v>15065</v>
      </c>
      <c r="Q1311" s="16">
        <v>15085</v>
      </c>
      <c r="R1311" s="16">
        <v>15090</v>
      </c>
      <c r="S1311" s="16">
        <v>15070</v>
      </c>
      <c r="T1311" s="16">
        <v>15065</v>
      </c>
      <c r="U1311" s="15">
        <v>15070.5</v>
      </c>
      <c r="V1311" t="s">
        <v>19</v>
      </c>
      <c r="W1311" t="s">
        <v>28</v>
      </c>
      <c r="X1311">
        <v>26482</v>
      </c>
      <c r="Y1311" s="16">
        <f>VLOOKUP(Tabela1[[#This Row],[SKU]],SKU!A:D,4,0)</f>
        <v>15000</v>
      </c>
      <c r="Z1311" s="18">
        <f>IFERROR((Tabela1[[#This Row],[Média]]-Tabela1[[#This Row],[Meta]])/Tabela1[[#This Row],[Meta]],"")</f>
        <v>4.7000000000000002E-3</v>
      </c>
      <c r="AA1311" s="31">
        <f>Tabela1[[#This Row],[Média]]-Tabela1[[#This Row],[Meta]]</f>
        <v>70.5</v>
      </c>
      <c r="AB1311" s="6" t="str">
        <f>VLOOKUP(Tabela1[[#This Row],[SKU]],SKU!A:B,2,0)</f>
        <v>MEIO DA ASA 40-50G LP</v>
      </c>
      <c r="AC1311" s="6" t="str">
        <f>VLOOKUP(Tabela1[[#This Row],[SKU]],SKU!A:C,3,0)</f>
        <v>ASA</v>
      </c>
    </row>
    <row r="1312" spans="1:29" x14ac:dyDescent="0.3">
      <c r="A1312" s="2">
        <f>INT(Tabela1[[#This Row],[Data e Hora2]])</f>
        <v>46300</v>
      </c>
      <c r="B1312" s="6" t="str">
        <f>UPPER(TEXT(Tabela1[[#This Row],[Data Corrigida]],"MMM"))</f>
        <v>OUT</v>
      </c>
      <c r="C1312" t="s">
        <v>2919</v>
      </c>
      <c r="D1312" s="2" t="s">
        <v>2920</v>
      </c>
      <c r="E1312" s="1" t="s">
        <v>2900</v>
      </c>
      <c r="F1312" t="s">
        <v>24</v>
      </c>
      <c r="G1312" s="2" t="s">
        <v>2889</v>
      </c>
      <c r="H1312" t="s">
        <v>26</v>
      </c>
      <c r="I1312" t="s">
        <v>27</v>
      </c>
      <c r="J1312" s="6">
        <v>42641</v>
      </c>
      <c r="K1312" s="16">
        <v>15040</v>
      </c>
      <c r="L1312" s="16">
        <v>15095</v>
      </c>
      <c r="M1312" s="16">
        <v>15055</v>
      </c>
      <c r="N1312" s="16">
        <v>15045</v>
      </c>
      <c r="O1312" s="16">
        <v>15055</v>
      </c>
      <c r="P1312" s="16">
        <v>15055</v>
      </c>
      <c r="Q1312" s="16">
        <v>15055</v>
      </c>
      <c r="R1312" s="16">
        <v>15010</v>
      </c>
      <c r="S1312" s="16">
        <v>15045</v>
      </c>
      <c r="T1312" s="16">
        <v>15055</v>
      </c>
      <c r="U1312" s="15">
        <v>15051</v>
      </c>
      <c r="V1312" t="s">
        <v>19</v>
      </c>
      <c r="W1312" t="s">
        <v>28</v>
      </c>
      <c r="X1312">
        <v>26599</v>
      </c>
      <c r="Y1312" s="16">
        <f>VLOOKUP(Tabela1[[#This Row],[SKU]],SKU!A:D,4,0)</f>
        <v>15000</v>
      </c>
      <c r="Z1312" s="18">
        <f>IFERROR((Tabela1[[#This Row],[Média]]-Tabela1[[#This Row],[Meta]])/Tabela1[[#This Row],[Meta]],"")</f>
        <v>3.3999999999999998E-3</v>
      </c>
      <c r="AA1312" s="31">
        <f>Tabela1[[#This Row],[Média]]-Tabela1[[#This Row],[Meta]]</f>
        <v>51</v>
      </c>
      <c r="AB1312" s="6" t="str">
        <f>VLOOKUP(Tabela1[[#This Row],[SKU]],SKU!A:B,2,0)</f>
        <v>ASAS FG 100g UP LP</v>
      </c>
      <c r="AC1312" s="6" t="str">
        <f>VLOOKUP(Tabela1[[#This Row],[SKU]],SKU!A:C,3,0)</f>
        <v>ASA</v>
      </c>
    </row>
    <row r="1313" spans="1:29" x14ac:dyDescent="0.3">
      <c r="A1313" s="2">
        <f>INT(Tabela1[[#This Row],[Data e Hora2]])</f>
        <v>46300</v>
      </c>
      <c r="B1313" s="6" t="str">
        <f>UPPER(TEXT(Tabela1[[#This Row],[Data Corrigida]],"MMM"))</f>
        <v>OUT</v>
      </c>
      <c r="C1313" t="s">
        <v>2921</v>
      </c>
      <c r="D1313" s="2" t="s">
        <v>2922</v>
      </c>
      <c r="E1313" s="1" t="s">
        <v>2900</v>
      </c>
      <c r="F1313" t="s">
        <v>24</v>
      </c>
      <c r="G1313" s="2" t="s">
        <v>2889</v>
      </c>
      <c r="H1313" t="s">
        <v>26</v>
      </c>
      <c r="I1313" t="s">
        <v>27</v>
      </c>
      <c r="J1313" s="6">
        <v>15105</v>
      </c>
      <c r="K1313" s="16">
        <v>1030</v>
      </c>
      <c r="L1313" s="16">
        <v>1018</v>
      </c>
      <c r="M1313" s="16">
        <v>1012</v>
      </c>
      <c r="N1313" s="16">
        <v>995</v>
      </c>
      <c r="O1313" s="16">
        <v>990</v>
      </c>
      <c r="P1313" s="16">
        <v>996</v>
      </c>
      <c r="Q1313" s="16">
        <v>1002</v>
      </c>
      <c r="R1313" s="16">
        <v>1015</v>
      </c>
      <c r="S1313" s="16">
        <v>1010</v>
      </c>
      <c r="T1313" s="16">
        <v>1038</v>
      </c>
      <c r="U1313" s="15">
        <v>1010.6</v>
      </c>
      <c r="V1313" t="s">
        <v>19</v>
      </c>
      <c r="W1313" t="s">
        <v>28</v>
      </c>
      <c r="X1313">
        <v>26796</v>
      </c>
      <c r="Y1313" s="16">
        <f>VLOOKUP(Tabela1[[#This Row],[SKU]],SKU!A:D,4,0)</f>
        <v>1000</v>
      </c>
      <c r="Z1313" s="18">
        <f>IFERROR((Tabela1[[#This Row],[Média]]-Tabela1[[#This Row],[Meta]])/Tabela1[[#This Row],[Meta]],"")</f>
        <v>1.0600000000000023E-2</v>
      </c>
      <c r="AA1313" s="31">
        <f>Tabela1[[#This Row],[Média]]-Tabela1[[#This Row],[Meta]]</f>
        <v>10.600000000000023</v>
      </c>
      <c r="AB1313" s="6" t="str">
        <f>VLOOKUP(Tabela1[[#This Row],[SKU]],SKU!A:B,2,0)</f>
        <v>FILE PEITO MET CG BDJ SE</v>
      </c>
      <c r="AC1313" s="6" t="str">
        <f>VLOOKUP(Tabela1[[#This Row],[SKU]],SKU!A:C,3,0)</f>
        <v>PEITO</v>
      </c>
    </row>
    <row r="1314" spans="1:29" x14ac:dyDescent="0.3">
      <c r="A1314" s="2">
        <f>INT(Tabela1[[#This Row],[Data e Hora2]])</f>
        <v>46300</v>
      </c>
      <c r="B1314" s="6" t="str">
        <f>UPPER(TEXT(Tabela1[[#This Row],[Data Corrigida]],"MMM"))</f>
        <v>OUT</v>
      </c>
      <c r="C1314" t="s">
        <v>2923</v>
      </c>
      <c r="D1314" s="2" t="s">
        <v>2924</v>
      </c>
      <c r="E1314" s="1" t="s">
        <v>2925</v>
      </c>
      <c r="F1314" t="s">
        <v>24</v>
      </c>
      <c r="G1314" s="2" t="s">
        <v>2889</v>
      </c>
      <c r="H1314" t="s">
        <v>26</v>
      </c>
      <c r="I1314" t="s">
        <v>57</v>
      </c>
      <c r="J1314" s="6">
        <v>40762</v>
      </c>
      <c r="K1314" s="16">
        <v>10055</v>
      </c>
      <c r="L1314" s="16">
        <v>10005</v>
      </c>
      <c r="M1314" s="16">
        <v>10045</v>
      </c>
      <c r="N1314" s="16">
        <v>9965</v>
      </c>
      <c r="O1314" s="16">
        <v>9980</v>
      </c>
      <c r="P1314" s="16">
        <v>10090</v>
      </c>
      <c r="Q1314" s="16">
        <v>10015</v>
      </c>
      <c r="R1314" s="16">
        <v>10050</v>
      </c>
      <c r="S1314" s="16">
        <v>10055</v>
      </c>
      <c r="T1314" s="16">
        <v>10045</v>
      </c>
      <c r="U1314" s="15">
        <v>10030.5</v>
      </c>
      <c r="V1314" t="s">
        <v>19</v>
      </c>
      <c r="W1314" t="s">
        <v>28</v>
      </c>
      <c r="X1314">
        <v>2159</v>
      </c>
      <c r="Y1314" s="16">
        <f>VLOOKUP(Tabela1[[#This Row],[SKU]],SKU!A:D,4,0)</f>
        <v>10000</v>
      </c>
      <c r="Z1314" s="18">
        <f>IFERROR((Tabela1[[#This Row],[Média]]-Tabela1[[#This Row],[Meta]])/Tabela1[[#This Row],[Meta]],"")</f>
        <v>3.0500000000000002E-3</v>
      </c>
      <c r="AA1314" s="31">
        <f>Tabela1[[#This Row],[Média]]-Tabela1[[#This Row],[Meta]]</f>
        <v>30.5</v>
      </c>
      <c r="AB1314" s="6" t="str">
        <f>VLOOKUP(Tabela1[[#This Row],[SKU]],SKU!A:B,2,0)</f>
        <v>COXA SBCX LQ FG LP</v>
      </c>
      <c r="AC1314" s="6" t="str">
        <f>VLOOKUP(Tabela1[[#This Row],[SKU]],SKU!A:C,3,0)</f>
        <v>PERNA</v>
      </c>
    </row>
    <row r="1315" spans="1:29" x14ac:dyDescent="0.3">
      <c r="A1315" s="2">
        <f>INT(Tabela1[[#This Row],[Data e Hora2]])</f>
        <v>46300</v>
      </c>
      <c r="B1315" s="6" t="str">
        <f>UPPER(TEXT(Tabela1[[#This Row],[Data Corrigida]],"MMM"))</f>
        <v>OUT</v>
      </c>
      <c r="C1315" t="s">
        <v>2926</v>
      </c>
      <c r="D1315" s="2" t="s">
        <v>2927</v>
      </c>
      <c r="E1315" s="1" t="s">
        <v>2928</v>
      </c>
      <c r="F1315" t="s">
        <v>24</v>
      </c>
      <c r="G1315" s="2" t="s">
        <v>2889</v>
      </c>
      <c r="H1315" t="s">
        <v>26</v>
      </c>
      <c r="I1315" t="s">
        <v>57</v>
      </c>
      <c r="J1315" s="6">
        <v>42838</v>
      </c>
      <c r="K1315" s="16">
        <v>2054</v>
      </c>
      <c r="L1315" s="16">
        <v>2020</v>
      </c>
      <c r="M1315" s="16">
        <v>2032</v>
      </c>
      <c r="N1315" s="16">
        <v>2022</v>
      </c>
      <c r="O1315" s="16">
        <v>2030</v>
      </c>
      <c r="P1315" s="16">
        <v>2020</v>
      </c>
      <c r="Q1315" s="16">
        <v>2016</v>
      </c>
      <c r="R1315" s="16">
        <v>2008</v>
      </c>
      <c r="S1315" s="16">
        <v>2023</v>
      </c>
      <c r="T1315" s="16">
        <v>2007</v>
      </c>
      <c r="U1315" s="15">
        <v>2023.2</v>
      </c>
      <c r="V1315" t="s">
        <v>19</v>
      </c>
      <c r="W1315" t="s">
        <v>28</v>
      </c>
      <c r="X1315">
        <v>229</v>
      </c>
      <c r="Y1315" s="16">
        <f>VLOOKUP(Tabela1[[#This Row],[SKU]],SKU!A:D,4,0)</f>
        <v>2000</v>
      </c>
      <c r="Z1315" s="18">
        <f>IFERROR((Tabela1[[#This Row],[Média]]-Tabela1[[#This Row],[Meta]])/Tabela1[[#This Row],[Meta]],"")</f>
        <v>1.1600000000000023E-2</v>
      </c>
      <c r="AA1315" s="31">
        <f>Tabela1[[#This Row],[Média]]-Tabela1[[#This Row],[Meta]]</f>
        <v>23.200000000000045</v>
      </c>
      <c r="AB1315" s="6" t="str">
        <f>VLOOKUP(Tabela1[[#This Row],[SKU]],SKU!A:B,2,0)</f>
        <v>COXA SBCX S/O FG 220-240g PB</v>
      </c>
      <c r="AC1315" s="6" t="str">
        <f>VLOOKUP(Tabela1[[#This Row],[SKU]],SKU!A:C,3,0)</f>
        <v>PERNA</v>
      </c>
    </row>
    <row r="1316" spans="1:29" x14ac:dyDescent="0.3">
      <c r="A1316" s="2">
        <f>INT(Tabela1[[#This Row],[Data e Hora2]])</f>
        <v>46300</v>
      </c>
      <c r="B1316" s="6" t="str">
        <f>UPPER(TEXT(Tabela1[[#This Row],[Data Corrigida]],"MMM"))</f>
        <v>OUT</v>
      </c>
      <c r="C1316" t="s">
        <v>2929</v>
      </c>
      <c r="D1316" s="2" t="s">
        <v>2930</v>
      </c>
      <c r="E1316" s="1" t="s">
        <v>2928</v>
      </c>
      <c r="F1316" t="s">
        <v>24</v>
      </c>
      <c r="G1316" s="2" t="s">
        <v>2889</v>
      </c>
      <c r="H1316" t="s">
        <v>26</v>
      </c>
      <c r="I1316" t="s">
        <v>57</v>
      </c>
      <c r="J1316" s="6">
        <v>42854</v>
      </c>
      <c r="K1316" s="16">
        <v>2110</v>
      </c>
      <c r="L1316" s="16">
        <v>2131</v>
      </c>
      <c r="M1316" s="16">
        <v>2098</v>
      </c>
      <c r="N1316" s="16">
        <v>2117</v>
      </c>
      <c r="O1316" s="16">
        <v>2097</v>
      </c>
      <c r="P1316" s="16">
        <v>2027</v>
      </c>
      <c r="Q1316" s="16">
        <v>2085</v>
      </c>
      <c r="R1316" s="16">
        <v>2075</v>
      </c>
      <c r="S1316" s="16">
        <v>2068</v>
      </c>
      <c r="T1316" s="16">
        <v>2046</v>
      </c>
      <c r="U1316" s="15">
        <v>2085.4</v>
      </c>
      <c r="V1316" t="s">
        <v>19</v>
      </c>
      <c r="W1316" t="s">
        <v>28</v>
      </c>
      <c r="X1316">
        <v>507</v>
      </c>
      <c r="Y1316" s="16">
        <f>VLOOKUP(Tabela1[[#This Row],[SKU]],SKU!A:D,4,0)</f>
        <v>2080</v>
      </c>
      <c r="Z1316" s="18">
        <f>IFERROR((Tabela1[[#This Row],[Média]]-Tabela1[[#This Row],[Meta]])/Tabela1[[#This Row],[Meta]],"")</f>
        <v>2.5961538461538899E-3</v>
      </c>
      <c r="AA1316" s="31">
        <f>Tabela1[[#This Row],[Média]]-Tabela1[[#This Row],[Meta]]</f>
        <v>5.4000000000000909</v>
      </c>
      <c r="AB1316" s="6" t="str">
        <f>VLOOKUP(Tabela1[[#This Row],[SKU]],SKU!A:B,2,0)</f>
        <v>COXA SBCX S/O FG 260-280g PB</v>
      </c>
      <c r="AC1316" s="6" t="str">
        <f>VLOOKUP(Tabela1[[#This Row],[SKU]],SKU!A:C,3,0)</f>
        <v>PERNA</v>
      </c>
    </row>
    <row r="1317" spans="1:29" x14ac:dyDescent="0.3">
      <c r="A1317" s="2">
        <f>INT(Tabela1[[#This Row],[Data e Hora2]])</f>
        <v>46300</v>
      </c>
      <c r="B1317" s="6" t="str">
        <f>UPPER(TEXT(Tabela1[[#This Row],[Data Corrigida]],"MMM"))</f>
        <v>OUT</v>
      </c>
      <c r="C1317" t="s">
        <v>2931</v>
      </c>
      <c r="D1317" s="2" t="s">
        <v>2932</v>
      </c>
      <c r="E1317" s="1" t="s">
        <v>2928</v>
      </c>
      <c r="F1317" t="s">
        <v>24</v>
      </c>
      <c r="G1317" s="2" t="s">
        <v>2889</v>
      </c>
      <c r="H1317" t="s">
        <v>26</v>
      </c>
      <c r="I1317" t="s">
        <v>57</v>
      </c>
      <c r="J1317" s="6">
        <v>42846</v>
      </c>
      <c r="K1317" s="16">
        <v>2015</v>
      </c>
      <c r="L1317" s="16">
        <v>2013</v>
      </c>
      <c r="M1317" s="16">
        <v>2010</v>
      </c>
      <c r="N1317" s="16">
        <v>1999</v>
      </c>
      <c r="O1317" s="16">
        <v>2015</v>
      </c>
      <c r="P1317" s="16">
        <v>2014</v>
      </c>
      <c r="Q1317" s="16">
        <v>2009</v>
      </c>
      <c r="R1317" s="16">
        <v>2012</v>
      </c>
      <c r="S1317" s="16">
        <v>2002</v>
      </c>
      <c r="T1317" s="16">
        <v>2005</v>
      </c>
      <c r="U1317" s="15">
        <v>2009.4</v>
      </c>
      <c r="V1317" t="s">
        <v>19</v>
      </c>
      <c r="W1317" t="s">
        <v>28</v>
      </c>
      <c r="X1317">
        <v>550</v>
      </c>
      <c r="Y1317" s="16">
        <f>VLOOKUP(Tabela1[[#This Row],[SKU]],SKU!A:D,4,0)</f>
        <v>2000</v>
      </c>
      <c r="Z1317" s="18">
        <f>IFERROR((Tabela1[[#This Row],[Média]]-Tabela1[[#This Row],[Meta]])/Tabela1[[#This Row],[Meta]],"")</f>
        <v>4.7000000000000453E-3</v>
      </c>
      <c r="AA1317" s="31">
        <f>Tabela1[[#This Row],[Média]]-Tabela1[[#This Row],[Meta]]</f>
        <v>9.4000000000000909</v>
      </c>
      <c r="AB1317" s="6" t="str">
        <f>VLOOKUP(Tabela1[[#This Row],[SKU]],SKU!A:B,2,0)</f>
        <v>COXA SBCX S/O FG 240-260g PB</v>
      </c>
      <c r="AC1317" s="6" t="str">
        <f>VLOOKUP(Tabela1[[#This Row],[SKU]],SKU!A:C,3,0)</f>
        <v>PERNA</v>
      </c>
    </row>
    <row r="1318" spans="1:29" x14ac:dyDescent="0.3">
      <c r="A1318" s="2">
        <f>INT(Tabela1[[#This Row],[Data e Hora2]])</f>
        <v>46300</v>
      </c>
      <c r="B1318" s="6" t="str">
        <f>UPPER(TEXT(Tabela1[[#This Row],[Data Corrigida]],"MMM"))</f>
        <v>OUT</v>
      </c>
      <c r="C1318" t="s">
        <v>2933</v>
      </c>
      <c r="D1318" s="2" t="s">
        <v>2934</v>
      </c>
      <c r="E1318" s="1" t="s">
        <v>2928</v>
      </c>
      <c r="F1318" t="s">
        <v>24</v>
      </c>
      <c r="G1318" s="2" t="s">
        <v>2889</v>
      </c>
      <c r="H1318" t="s">
        <v>26</v>
      </c>
      <c r="I1318" t="s">
        <v>57</v>
      </c>
      <c r="J1318" s="6">
        <v>42862</v>
      </c>
      <c r="K1318" s="16">
        <v>2023</v>
      </c>
      <c r="L1318" s="16">
        <v>2022</v>
      </c>
      <c r="M1318" s="16">
        <v>2013</v>
      </c>
      <c r="N1318" s="16">
        <v>2019</v>
      </c>
      <c r="O1318" s="16">
        <v>2015</v>
      </c>
      <c r="P1318" s="16">
        <v>2007</v>
      </c>
      <c r="Q1318" s="16">
        <v>2008</v>
      </c>
      <c r="R1318" s="16">
        <v>2006</v>
      </c>
      <c r="S1318" s="16">
        <v>2011</v>
      </c>
      <c r="T1318" s="16">
        <v>2026</v>
      </c>
      <c r="U1318" s="15">
        <v>2015</v>
      </c>
      <c r="V1318" t="s">
        <v>19</v>
      </c>
      <c r="W1318" t="s">
        <v>28</v>
      </c>
      <c r="X1318">
        <v>273</v>
      </c>
      <c r="Y1318" s="16">
        <f>VLOOKUP(Tabela1[[#This Row],[SKU]],SKU!A:D,4,0)</f>
        <v>2000</v>
      </c>
      <c r="Z1318" s="18">
        <f>IFERROR((Tabela1[[#This Row],[Média]]-Tabela1[[#This Row],[Meta]])/Tabela1[[#This Row],[Meta]],"")</f>
        <v>7.4999999999999997E-3</v>
      </c>
      <c r="AA1318" s="31">
        <f>Tabela1[[#This Row],[Média]]-Tabela1[[#This Row],[Meta]]</f>
        <v>15</v>
      </c>
      <c r="AB1318" s="6" t="str">
        <f>VLOOKUP(Tabela1[[#This Row],[SKU]],SKU!A:B,2,0)</f>
        <v>COXA SBCX S/O FG 280-300g PB</v>
      </c>
      <c r="AC1318" s="6" t="str">
        <f>VLOOKUP(Tabela1[[#This Row],[SKU]],SKU!A:C,3,0)</f>
        <v>PERNA</v>
      </c>
    </row>
    <row r="1319" spans="1:29" x14ac:dyDescent="0.3">
      <c r="A1319" s="2">
        <f>INT(Tabela1[[#This Row],[Data e Hora2]])</f>
        <v>46300</v>
      </c>
      <c r="B1319" s="6" t="str">
        <f>UPPER(TEXT(Tabela1[[#This Row],[Data Corrigida]],"MMM"))</f>
        <v>OUT</v>
      </c>
      <c r="C1319" t="s">
        <v>2935</v>
      </c>
      <c r="D1319" s="2" t="s">
        <v>2936</v>
      </c>
      <c r="E1319" s="1" t="s">
        <v>2928</v>
      </c>
      <c r="F1319" t="s">
        <v>24</v>
      </c>
      <c r="G1319" s="2" t="s">
        <v>2889</v>
      </c>
      <c r="H1319" t="s">
        <v>26</v>
      </c>
      <c r="I1319" t="s">
        <v>57</v>
      </c>
      <c r="J1319" s="6">
        <v>42811</v>
      </c>
      <c r="K1319" s="16">
        <v>2062</v>
      </c>
      <c r="L1319" s="16">
        <v>2060</v>
      </c>
      <c r="M1319" s="16">
        <v>2059</v>
      </c>
      <c r="N1319" s="16">
        <v>2054</v>
      </c>
      <c r="O1319" s="16">
        <v>2037</v>
      </c>
      <c r="P1319" s="16">
        <v>2024</v>
      </c>
      <c r="Q1319" s="16">
        <v>2071</v>
      </c>
      <c r="R1319" s="16">
        <v>2078</v>
      </c>
      <c r="S1319" s="16">
        <v>2073</v>
      </c>
      <c r="T1319" s="16">
        <v>2013</v>
      </c>
      <c r="U1319" s="15">
        <v>2053.1</v>
      </c>
      <c r="V1319" t="s">
        <v>19</v>
      </c>
      <c r="W1319" t="s">
        <v>28</v>
      </c>
      <c r="X1319">
        <v>315</v>
      </c>
      <c r="Y1319" s="16">
        <f>VLOOKUP(Tabela1[[#This Row],[SKU]],SKU!A:D,4,0)</f>
        <v>2000</v>
      </c>
      <c r="Z1319" s="18">
        <f>IFERROR((Tabela1[[#This Row],[Média]]-Tabela1[[#This Row],[Meta]])/Tabela1[[#This Row],[Meta]],"")</f>
        <v>2.6549999999999956E-2</v>
      </c>
      <c r="AA1319" s="31">
        <f>Tabela1[[#This Row],[Média]]-Tabela1[[#This Row],[Meta]]</f>
        <v>53.099999999999909</v>
      </c>
      <c r="AB1319" s="6" t="str">
        <f>VLOOKUP(Tabela1[[#This Row],[SKU]],SKU!A:B,2,0)</f>
        <v>COXA SBCX S/O FG 180-200g PB</v>
      </c>
      <c r="AC1319" s="6" t="str">
        <f>VLOOKUP(Tabela1[[#This Row],[SKU]],SKU!A:C,3,0)</f>
        <v>PERNA</v>
      </c>
    </row>
    <row r="1320" spans="1:29" x14ac:dyDescent="0.3">
      <c r="A1320" s="2">
        <f>INT(Tabela1[[#This Row],[Data e Hora2]])</f>
        <v>46300</v>
      </c>
      <c r="B1320" s="6" t="str">
        <f>UPPER(TEXT(Tabela1[[#This Row],[Data Corrigida]],"MMM"))</f>
        <v>OUT</v>
      </c>
      <c r="C1320" t="s">
        <v>2937</v>
      </c>
      <c r="D1320" s="2" t="s">
        <v>2938</v>
      </c>
      <c r="E1320" s="1" t="s">
        <v>2928</v>
      </c>
      <c r="F1320" t="s">
        <v>24</v>
      </c>
      <c r="G1320" s="2" t="s">
        <v>2889</v>
      </c>
      <c r="H1320" t="s">
        <v>26</v>
      </c>
      <c r="I1320" t="s">
        <v>57</v>
      </c>
      <c r="J1320" s="6">
        <v>864048</v>
      </c>
      <c r="K1320" s="16">
        <v>2010</v>
      </c>
      <c r="L1320" s="16">
        <v>2024</v>
      </c>
      <c r="M1320" s="16">
        <v>2035</v>
      </c>
      <c r="N1320" s="16">
        <v>2018</v>
      </c>
      <c r="O1320" s="16">
        <v>2007</v>
      </c>
      <c r="P1320" s="16">
        <v>2018</v>
      </c>
      <c r="Q1320" s="16">
        <v>2016</v>
      </c>
      <c r="R1320" s="16">
        <v>2013</v>
      </c>
      <c r="S1320" s="16">
        <v>2011</v>
      </c>
      <c r="T1320" s="16">
        <v>2029</v>
      </c>
      <c r="U1320" s="15">
        <v>2018.1</v>
      </c>
      <c r="V1320" t="s">
        <v>19</v>
      </c>
      <c r="W1320" t="s">
        <v>28</v>
      </c>
      <c r="X1320">
        <v>223</v>
      </c>
      <c r="Y1320" s="16">
        <f>VLOOKUP(Tabela1[[#This Row],[SKU]],SKU!A:D,4,0)</f>
        <v>2000</v>
      </c>
      <c r="Z1320" s="18">
        <f>IFERROR((Tabela1[[#This Row],[Média]]-Tabela1[[#This Row],[Meta]])/Tabela1[[#This Row],[Meta]],"")</f>
        <v>9.0499999999999539E-3</v>
      </c>
      <c r="AA1320" s="31">
        <f>Tabela1[[#This Row],[Média]]-Tabela1[[#This Row],[Meta]]</f>
        <v>18.099999999999909</v>
      </c>
      <c r="AB1320" s="6" t="str">
        <f>VLOOKUP(Tabela1[[#This Row],[SKU]],SKU!A:B,2,0)</f>
        <v>COXA SBCX S/O 200g FG UP PB</v>
      </c>
      <c r="AC1320" s="6" t="str">
        <f>VLOOKUP(Tabela1[[#This Row],[SKU]],SKU!A:C,3,0)</f>
        <v>PERNA</v>
      </c>
    </row>
    <row r="1321" spans="1:29" x14ac:dyDescent="0.3">
      <c r="A1321" s="2">
        <f>INT(Tabela1[[#This Row],[Data e Hora2]])</f>
        <v>46300</v>
      </c>
      <c r="B1321" s="6" t="str">
        <f>UPPER(TEXT(Tabela1[[#This Row],[Data Corrigida]],"MMM"))</f>
        <v>OUT</v>
      </c>
      <c r="C1321" t="s">
        <v>2939</v>
      </c>
      <c r="D1321" s="2" t="s">
        <v>2940</v>
      </c>
      <c r="E1321" s="1" t="s">
        <v>2941</v>
      </c>
      <c r="F1321" t="s">
        <v>24</v>
      </c>
      <c r="G1321" s="2" t="s">
        <v>2889</v>
      </c>
      <c r="H1321" t="s">
        <v>26</v>
      </c>
      <c r="I1321" t="s">
        <v>57</v>
      </c>
      <c r="J1321" s="6">
        <v>15105</v>
      </c>
      <c r="K1321" s="16">
        <v>1013</v>
      </c>
      <c r="L1321" s="16">
        <v>1008</v>
      </c>
      <c r="M1321" s="16">
        <v>1016</v>
      </c>
      <c r="N1321" s="16">
        <v>1048</v>
      </c>
      <c r="O1321" s="16">
        <v>1054</v>
      </c>
      <c r="P1321" s="16">
        <v>1030</v>
      </c>
      <c r="Q1321" s="16">
        <v>1014</v>
      </c>
      <c r="R1321" s="16">
        <v>1028</v>
      </c>
      <c r="S1321" s="16">
        <v>1010</v>
      </c>
      <c r="T1321" s="16">
        <v>1020</v>
      </c>
      <c r="U1321" s="15">
        <v>1024.0999999999999</v>
      </c>
      <c r="V1321" t="s">
        <v>19</v>
      </c>
      <c r="W1321" t="s">
        <v>28</v>
      </c>
      <c r="X1321">
        <v>186</v>
      </c>
      <c r="Y1321" s="16">
        <f>VLOOKUP(Tabela1[[#This Row],[SKU]],SKU!A:D,4,0)</f>
        <v>1000</v>
      </c>
      <c r="Z1321" s="18">
        <f>IFERROR((Tabela1[[#This Row],[Média]]-Tabela1[[#This Row],[Meta]])/Tabela1[[#This Row],[Meta]],"")</f>
        <v>2.409999999999991E-2</v>
      </c>
      <c r="AA1321" s="31">
        <f>Tabela1[[#This Row],[Média]]-Tabela1[[#This Row],[Meta]]</f>
        <v>24.099999999999909</v>
      </c>
      <c r="AB1321" s="6" t="str">
        <f>VLOOKUP(Tabela1[[#This Row],[SKU]],SKU!A:B,2,0)</f>
        <v>FILE PEITO MET CG BDJ SE</v>
      </c>
      <c r="AC1321" s="6" t="str">
        <f>VLOOKUP(Tabela1[[#This Row],[SKU]],SKU!A:C,3,0)</f>
        <v>PEITO</v>
      </c>
    </row>
    <row r="1322" spans="1:29" x14ac:dyDescent="0.3">
      <c r="A1322" s="2">
        <f>INT(Tabela1[[#This Row],[Data e Hora2]])</f>
        <v>46297</v>
      </c>
      <c r="B1322" s="6" t="str">
        <f>UPPER(TEXT(Tabela1[[#This Row],[Data Corrigida]],"MMM"))</f>
        <v>OUT</v>
      </c>
      <c r="C1322" t="s">
        <v>2942</v>
      </c>
      <c r="D1322" s="2" t="s">
        <v>2943</v>
      </c>
      <c r="E1322" s="1" t="s">
        <v>2944</v>
      </c>
      <c r="F1322" t="s">
        <v>24</v>
      </c>
      <c r="G1322" s="2" t="s">
        <v>2945</v>
      </c>
      <c r="H1322" t="s">
        <v>26</v>
      </c>
      <c r="I1322" t="s">
        <v>27</v>
      </c>
      <c r="J1322" s="6">
        <v>40762</v>
      </c>
      <c r="K1322" s="16">
        <v>9950</v>
      </c>
      <c r="L1322" s="16">
        <v>9890</v>
      </c>
      <c r="M1322" s="16">
        <v>10000</v>
      </c>
      <c r="N1322" s="16">
        <v>9950</v>
      </c>
      <c r="O1322" s="16">
        <v>9860</v>
      </c>
      <c r="P1322" s="16">
        <v>10125</v>
      </c>
      <c r="Q1322" s="16">
        <v>9980</v>
      </c>
      <c r="R1322" s="16">
        <v>10010</v>
      </c>
      <c r="S1322" s="16">
        <v>10020</v>
      </c>
      <c r="T1322" s="16">
        <v>9990</v>
      </c>
      <c r="U1322" s="15">
        <v>9977.5</v>
      </c>
      <c r="V1322" t="s">
        <v>19</v>
      </c>
      <c r="W1322" t="s">
        <v>28</v>
      </c>
      <c r="X1322">
        <v>9348</v>
      </c>
      <c r="Y1322" s="16">
        <f>VLOOKUP(Tabela1[[#This Row],[SKU]],SKU!A:D,4,0)</f>
        <v>10000</v>
      </c>
      <c r="Z1322" s="18">
        <f>IFERROR((Tabela1[[#This Row],[Média]]-Tabela1[[#This Row],[Meta]])/Tabela1[[#This Row],[Meta]],"")</f>
        <v>-2.2499999999999998E-3</v>
      </c>
      <c r="AA1322" s="31">
        <f>Tabela1[[#This Row],[Média]]-Tabela1[[#This Row],[Meta]]</f>
        <v>-22.5</v>
      </c>
      <c r="AB1322" s="6" t="str">
        <f>VLOOKUP(Tabela1[[#This Row],[SKU]],SKU!A:B,2,0)</f>
        <v>COXA SBCX LQ FG LP</v>
      </c>
      <c r="AC1322" s="6" t="str">
        <f>VLOOKUP(Tabela1[[#This Row],[SKU]],SKU!A:C,3,0)</f>
        <v>PERNA</v>
      </c>
    </row>
    <row r="1323" spans="1:29" x14ac:dyDescent="0.3">
      <c r="A1323" s="2">
        <f>INT(Tabela1[[#This Row],[Data e Hora2]])</f>
        <v>46297</v>
      </c>
      <c r="B1323" s="6" t="str">
        <f>UPPER(TEXT(Tabela1[[#This Row],[Data Corrigida]],"MMM"))</f>
        <v>OUT</v>
      </c>
      <c r="C1323" t="s">
        <v>2946</v>
      </c>
      <c r="D1323" s="2" t="s">
        <v>2947</v>
      </c>
      <c r="E1323" s="1" t="s">
        <v>2944</v>
      </c>
      <c r="F1323" t="s">
        <v>24</v>
      </c>
      <c r="G1323" s="2" t="s">
        <v>2945</v>
      </c>
      <c r="H1323" t="s">
        <v>26</v>
      </c>
      <c r="I1323" t="s">
        <v>27</v>
      </c>
      <c r="J1323" s="6">
        <v>963925</v>
      </c>
      <c r="K1323" s="16">
        <v>18000</v>
      </c>
      <c r="L1323" s="16">
        <v>17940</v>
      </c>
      <c r="M1323" s="16">
        <v>17990</v>
      </c>
      <c r="N1323" s="16">
        <v>18375</v>
      </c>
      <c r="O1323" s="16">
        <v>18190</v>
      </c>
      <c r="P1323" s="16">
        <v>18040</v>
      </c>
      <c r="Q1323" s="16">
        <v>18260</v>
      </c>
      <c r="R1323" s="16">
        <v>18145</v>
      </c>
      <c r="S1323" s="16">
        <v>18470</v>
      </c>
      <c r="T1323" s="16">
        <v>17985</v>
      </c>
      <c r="U1323" s="15">
        <v>18139.5</v>
      </c>
      <c r="V1323" t="s">
        <v>19</v>
      </c>
      <c r="W1323" t="s">
        <v>28</v>
      </c>
      <c r="X1323">
        <v>10383</v>
      </c>
      <c r="Y1323" s="16">
        <f>VLOOKUP(Tabela1[[#This Row],[SKU]],SKU!A:D,4,0)</f>
        <v>18000</v>
      </c>
      <c r="Z1323" s="18">
        <f>IFERROR((Tabela1[[#This Row],[Média]]-Tabela1[[#This Row],[Meta]])/Tabela1[[#This Row],[Meta]],"")</f>
        <v>7.7499999999999999E-3</v>
      </c>
      <c r="AA1323" s="31">
        <f>Tabela1[[#This Row],[Média]]-Tabela1[[#This Row],[Meta]]</f>
        <v>139.5</v>
      </c>
      <c r="AB1323" s="6" t="str">
        <f>VLOOKUP(Tabela1[[#This Row],[SKU]],SKU!A:B,2,0)</f>
        <v>COXINHA DA ASA FG CG PCT</v>
      </c>
      <c r="AC1323" s="6" t="str">
        <f>VLOOKUP(Tabela1[[#This Row],[SKU]],SKU!A:C,3,0)</f>
        <v>ASA</v>
      </c>
    </row>
    <row r="1324" spans="1:29" x14ac:dyDescent="0.3">
      <c r="A1324" s="2">
        <f>INT(Tabela1[[#This Row],[Data e Hora2]])</f>
        <v>46297</v>
      </c>
      <c r="B1324" s="6" t="str">
        <f>UPPER(TEXT(Tabela1[[#This Row],[Data Corrigida]],"MMM"))</f>
        <v>OUT</v>
      </c>
      <c r="C1324" t="s">
        <v>2948</v>
      </c>
      <c r="D1324" s="2" t="s">
        <v>2949</v>
      </c>
      <c r="E1324" s="1" t="s">
        <v>2950</v>
      </c>
      <c r="F1324" t="s">
        <v>24</v>
      </c>
      <c r="G1324" s="2" t="s">
        <v>2945</v>
      </c>
      <c r="H1324" t="s">
        <v>26</v>
      </c>
      <c r="I1324" t="s">
        <v>27</v>
      </c>
      <c r="J1324" s="6">
        <v>992014</v>
      </c>
      <c r="K1324" s="16">
        <v>701</v>
      </c>
      <c r="L1324" s="16">
        <v>713</v>
      </c>
      <c r="M1324" s="16">
        <v>699</v>
      </c>
      <c r="N1324" s="16">
        <v>701</v>
      </c>
      <c r="O1324" s="16">
        <v>710</v>
      </c>
      <c r="P1324" s="16">
        <v>710</v>
      </c>
      <c r="Q1324" s="16">
        <v>699</v>
      </c>
      <c r="R1324" s="16">
        <v>705</v>
      </c>
      <c r="S1324" s="16">
        <v>714</v>
      </c>
      <c r="T1324" s="16">
        <v>699</v>
      </c>
      <c r="U1324" s="15">
        <v>705.1</v>
      </c>
      <c r="V1324" t="s">
        <v>19</v>
      </c>
      <c r="W1324" t="s">
        <v>28</v>
      </c>
      <c r="X1324">
        <v>10679</v>
      </c>
      <c r="Y1324" s="16">
        <f>VLOOKUP(Tabela1[[#This Row],[SKU]],SKU!A:D,4,0)</f>
        <v>700</v>
      </c>
      <c r="Z1324" s="18">
        <f>IFERROR((Tabela1[[#This Row],[Média]]-Tabela1[[#This Row],[Meta]])/Tabela1[[#This Row],[Meta]],"")</f>
        <v>7.2857142857143181E-3</v>
      </c>
      <c r="AA1324" s="31">
        <f>Tabela1[[#This Row],[Média]]-Tabela1[[#This Row],[Meta]]</f>
        <v>5.1000000000000227</v>
      </c>
      <c r="AB1324" s="6" t="str">
        <f>VLOOKUP(Tabela1[[#This Row],[SKU]],SKU!A:B,2,0)</f>
        <v>OSTRINHA CG PCT 700G SWIFT</v>
      </c>
      <c r="AC1324" s="6" t="str">
        <f>VLOOKUP(Tabela1[[#This Row],[SKU]],SKU!A:C,3,0)</f>
        <v>PERNA</v>
      </c>
    </row>
    <row r="1325" spans="1:29" x14ac:dyDescent="0.3">
      <c r="A1325" s="2">
        <f>INT(Tabela1[[#This Row],[Data e Hora2]])</f>
        <v>46297</v>
      </c>
      <c r="B1325" s="6" t="str">
        <f>UPPER(TEXT(Tabela1[[#This Row],[Data Corrigida]],"MMM"))</f>
        <v>OUT</v>
      </c>
      <c r="C1325" t="s">
        <v>2951</v>
      </c>
      <c r="D1325" s="2" t="s">
        <v>2952</v>
      </c>
      <c r="E1325" s="1" t="s">
        <v>2950</v>
      </c>
      <c r="F1325" t="s">
        <v>24</v>
      </c>
      <c r="G1325" s="2" t="s">
        <v>2945</v>
      </c>
      <c r="H1325" t="s">
        <v>26</v>
      </c>
      <c r="I1325" t="s">
        <v>27</v>
      </c>
      <c r="J1325" s="6">
        <v>42820</v>
      </c>
      <c r="K1325" s="16">
        <v>2097</v>
      </c>
      <c r="L1325" s="16">
        <v>2050</v>
      </c>
      <c r="M1325" s="16">
        <v>2007</v>
      </c>
      <c r="N1325" s="16">
        <v>2016</v>
      </c>
      <c r="O1325" s="16">
        <v>2064</v>
      </c>
      <c r="P1325" s="16">
        <v>2043</v>
      </c>
      <c r="Q1325" s="16">
        <v>2053</v>
      </c>
      <c r="R1325" s="16">
        <v>2060</v>
      </c>
      <c r="S1325" s="16">
        <v>2017</v>
      </c>
      <c r="T1325" s="16">
        <v>2019</v>
      </c>
      <c r="U1325" s="15">
        <v>2042.6</v>
      </c>
      <c r="V1325" t="s">
        <v>19</v>
      </c>
      <c r="W1325" t="s">
        <v>28</v>
      </c>
      <c r="X1325">
        <v>15744</v>
      </c>
      <c r="Y1325" s="16">
        <f>VLOOKUP(Tabela1[[#This Row],[SKU]],SKU!A:D,4,0)</f>
        <v>2000</v>
      </c>
      <c r="Z1325" s="18">
        <f>IFERROR((Tabela1[[#This Row],[Média]]-Tabela1[[#This Row],[Meta]])/Tabela1[[#This Row],[Meta]],"")</f>
        <v>2.1299999999999954E-2</v>
      </c>
      <c r="AA1325" s="31">
        <f>Tabela1[[#This Row],[Média]]-Tabela1[[#This Row],[Meta]]</f>
        <v>42.599999999999909</v>
      </c>
      <c r="AB1325" s="6" t="str">
        <f>VLOOKUP(Tabela1[[#This Row],[SKU]],SKU!A:B,2,0)</f>
        <v>COXA SBCX S/O FG 200-220g PB</v>
      </c>
      <c r="AC1325" s="6" t="str">
        <f>VLOOKUP(Tabela1[[#This Row],[SKU]],SKU!A:C,3,0)</f>
        <v>PERNA</v>
      </c>
    </row>
    <row r="1326" spans="1:29" x14ac:dyDescent="0.3">
      <c r="A1326" s="2">
        <f>INT(Tabela1[[#This Row],[Data e Hora2]])</f>
        <v>46297</v>
      </c>
      <c r="B1326" s="6" t="str">
        <f>UPPER(TEXT(Tabela1[[#This Row],[Data Corrigida]],"MMM"))</f>
        <v>OUT</v>
      </c>
      <c r="C1326" t="s">
        <v>2953</v>
      </c>
      <c r="D1326" s="2" t="s">
        <v>2954</v>
      </c>
      <c r="E1326" s="1" t="s">
        <v>2950</v>
      </c>
      <c r="F1326" t="s">
        <v>24</v>
      </c>
      <c r="G1326" s="2" t="s">
        <v>2945</v>
      </c>
      <c r="H1326" t="s">
        <v>26</v>
      </c>
      <c r="I1326" t="s">
        <v>27</v>
      </c>
      <c r="J1326" s="6">
        <v>42846</v>
      </c>
      <c r="K1326" s="16">
        <v>2014</v>
      </c>
      <c r="L1326" s="16">
        <v>1996</v>
      </c>
      <c r="M1326" s="16">
        <v>2016</v>
      </c>
      <c r="N1326" s="16">
        <v>2162</v>
      </c>
      <c r="O1326" s="16">
        <v>2033</v>
      </c>
      <c r="P1326" s="16">
        <v>2007</v>
      </c>
      <c r="Q1326" s="16">
        <v>2020</v>
      </c>
      <c r="R1326" s="16">
        <v>2006</v>
      </c>
      <c r="S1326" s="16">
        <v>2045</v>
      </c>
      <c r="T1326" s="16">
        <v>2008</v>
      </c>
      <c r="U1326" s="15">
        <v>2030.7</v>
      </c>
      <c r="V1326" t="s">
        <v>19</v>
      </c>
      <c r="W1326" t="s">
        <v>28</v>
      </c>
      <c r="X1326">
        <v>15937</v>
      </c>
      <c r="Y1326" s="16">
        <f>VLOOKUP(Tabela1[[#This Row],[SKU]],SKU!A:D,4,0)</f>
        <v>2000</v>
      </c>
      <c r="Z1326" s="18">
        <f>IFERROR((Tabela1[[#This Row],[Média]]-Tabela1[[#This Row],[Meta]])/Tabela1[[#This Row],[Meta]],"")</f>
        <v>1.5350000000000023E-2</v>
      </c>
      <c r="AA1326" s="31">
        <f>Tabela1[[#This Row],[Média]]-Tabela1[[#This Row],[Meta]]</f>
        <v>30.700000000000045</v>
      </c>
      <c r="AB1326" s="6" t="str">
        <f>VLOOKUP(Tabela1[[#This Row],[SKU]],SKU!A:B,2,0)</f>
        <v>COXA SBCX S/O FG 240-260g PB</v>
      </c>
      <c r="AC1326" s="6" t="str">
        <f>VLOOKUP(Tabela1[[#This Row],[SKU]],SKU!A:C,3,0)</f>
        <v>PERNA</v>
      </c>
    </row>
    <row r="1327" spans="1:29" x14ac:dyDescent="0.3">
      <c r="A1327" s="2">
        <f>INT(Tabela1[[#This Row],[Data e Hora2]])</f>
        <v>46297</v>
      </c>
      <c r="B1327" s="6" t="str">
        <f>UPPER(TEXT(Tabela1[[#This Row],[Data Corrigida]],"MMM"))</f>
        <v>OUT</v>
      </c>
      <c r="C1327" t="s">
        <v>2955</v>
      </c>
      <c r="D1327" s="2" t="s">
        <v>2956</v>
      </c>
      <c r="E1327" s="1" t="s">
        <v>2950</v>
      </c>
      <c r="F1327" t="s">
        <v>24</v>
      </c>
      <c r="G1327" s="2" t="s">
        <v>2945</v>
      </c>
      <c r="H1327" t="s">
        <v>26</v>
      </c>
      <c r="I1327" t="s">
        <v>27</v>
      </c>
      <c r="J1327" s="6">
        <v>42838</v>
      </c>
      <c r="K1327" s="16">
        <v>2004</v>
      </c>
      <c r="L1327" s="16">
        <v>2029</v>
      </c>
      <c r="M1327" s="16">
        <v>2017</v>
      </c>
      <c r="N1327" s="16">
        <v>2041</v>
      </c>
      <c r="O1327" s="16">
        <v>2083</v>
      </c>
      <c r="P1327" s="16">
        <v>2086</v>
      </c>
      <c r="Q1327" s="16">
        <v>2032</v>
      </c>
      <c r="R1327" s="16">
        <v>2025</v>
      </c>
      <c r="S1327" s="16">
        <v>2004</v>
      </c>
      <c r="T1327" s="16">
        <v>2032</v>
      </c>
      <c r="U1327" s="15">
        <v>2035.3</v>
      </c>
      <c r="V1327" t="s">
        <v>19</v>
      </c>
      <c r="W1327" t="s">
        <v>28</v>
      </c>
      <c r="X1327">
        <v>13028</v>
      </c>
      <c r="Y1327" s="16">
        <f>VLOOKUP(Tabela1[[#This Row],[SKU]],SKU!A:D,4,0)</f>
        <v>2000</v>
      </c>
      <c r="Z1327" s="18">
        <f>IFERROR((Tabela1[[#This Row],[Média]]-Tabela1[[#This Row],[Meta]])/Tabela1[[#This Row],[Meta]],"")</f>
        <v>1.7649999999999978E-2</v>
      </c>
      <c r="AA1327" s="31">
        <f>Tabela1[[#This Row],[Média]]-Tabela1[[#This Row],[Meta]]</f>
        <v>35.299999999999955</v>
      </c>
      <c r="AB1327" s="6" t="str">
        <f>VLOOKUP(Tabela1[[#This Row],[SKU]],SKU!A:B,2,0)</f>
        <v>COXA SBCX S/O FG 220-240g PB</v>
      </c>
      <c r="AC1327" s="6" t="str">
        <f>VLOOKUP(Tabela1[[#This Row],[SKU]],SKU!A:C,3,0)</f>
        <v>PERNA</v>
      </c>
    </row>
    <row r="1328" spans="1:29" x14ac:dyDescent="0.3">
      <c r="A1328" s="2">
        <f>INT(Tabela1[[#This Row],[Data e Hora2]])</f>
        <v>46297</v>
      </c>
      <c r="B1328" s="6" t="str">
        <f>UPPER(TEXT(Tabela1[[#This Row],[Data Corrigida]],"MMM"))</f>
        <v>OUT</v>
      </c>
      <c r="C1328" t="s">
        <v>2957</v>
      </c>
      <c r="D1328" s="2" t="s">
        <v>2958</v>
      </c>
      <c r="E1328" s="1" t="s">
        <v>2950</v>
      </c>
      <c r="F1328" t="s">
        <v>24</v>
      </c>
      <c r="G1328" s="2" t="s">
        <v>2945</v>
      </c>
      <c r="H1328" t="s">
        <v>26</v>
      </c>
      <c r="I1328" t="s">
        <v>27</v>
      </c>
      <c r="J1328" s="6">
        <v>42862</v>
      </c>
      <c r="K1328" s="16">
        <v>2006</v>
      </c>
      <c r="L1328" s="16">
        <v>2007</v>
      </c>
      <c r="M1328" s="16">
        <v>2014</v>
      </c>
      <c r="N1328" s="16">
        <v>2009</v>
      </c>
      <c r="O1328" s="16">
        <v>2016</v>
      </c>
      <c r="P1328" s="16">
        <v>1999</v>
      </c>
      <c r="Q1328" s="16">
        <v>2035</v>
      </c>
      <c r="R1328" s="16">
        <v>2019</v>
      </c>
      <c r="S1328" s="16">
        <v>2011</v>
      </c>
      <c r="T1328" s="16">
        <v>2017</v>
      </c>
      <c r="U1328" s="15">
        <v>2013.3</v>
      </c>
      <c r="V1328" t="s">
        <v>19</v>
      </c>
      <c r="W1328" t="s">
        <v>28</v>
      </c>
      <c r="X1328">
        <v>13129</v>
      </c>
      <c r="Y1328" s="16">
        <f>VLOOKUP(Tabela1[[#This Row],[SKU]],SKU!A:D,4,0)</f>
        <v>2000</v>
      </c>
      <c r="Z1328" s="18">
        <f>IFERROR((Tabela1[[#This Row],[Média]]-Tabela1[[#This Row],[Meta]])/Tabela1[[#This Row],[Meta]],"")</f>
        <v>6.6499999999999771E-3</v>
      </c>
      <c r="AA1328" s="31">
        <f>Tabela1[[#This Row],[Média]]-Tabela1[[#This Row],[Meta]]</f>
        <v>13.299999999999955</v>
      </c>
      <c r="AB1328" s="6" t="str">
        <f>VLOOKUP(Tabela1[[#This Row],[SKU]],SKU!A:B,2,0)</f>
        <v>COXA SBCX S/O FG 280-300g PB</v>
      </c>
      <c r="AC1328" s="6" t="str">
        <f>VLOOKUP(Tabela1[[#This Row],[SKU]],SKU!A:C,3,0)</f>
        <v>PERNA</v>
      </c>
    </row>
    <row r="1329" spans="1:29" x14ac:dyDescent="0.3">
      <c r="A1329" s="2">
        <f>INT(Tabela1[[#This Row],[Data e Hora2]])</f>
        <v>46297</v>
      </c>
      <c r="B1329" s="6" t="str">
        <f>UPPER(TEXT(Tabela1[[#This Row],[Data Corrigida]],"MMM"))</f>
        <v>OUT</v>
      </c>
      <c r="C1329" t="s">
        <v>2959</v>
      </c>
      <c r="D1329" s="2" t="s">
        <v>2960</v>
      </c>
      <c r="E1329" s="1" t="s">
        <v>2950</v>
      </c>
      <c r="F1329" t="s">
        <v>24</v>
      </c>
      <c r="G1329" s="2" t="s">
        <v>2945</v>
      </c>
      <c r="H1329" t="s">
        <v>26</v>
      </c>
      <c r="I1329" t="s">
        <v>27</v>
      </c>
      <c r="J1329" s="6">
        <v>42854</v>
      </c>
      <c r="K1329" s="16">
        <v>2036</v>
      </c>
      <c r="L1329" s="16">
        <v>2102</v>
      </c>
      <c r="M1329" s="16">
        <v>2114</v>
      </c>
      <c r="N1329" s="16">
        <v>2009</v>
      </c>
      <c r="O1329" s="16">
        <v>2074</v>
      </c>
      <c r="P1329" s="16">
        <v>2098</v>
      </c>
      <c r="Q1329" s="16">
        <v>2088</v>
      </c>
      <c r="R1329" s="16">
        <v>2086</v>
      </c>
      <c r="S1329" s="16">
        <v>2097</v>
      </c>
      <c r="T1329" s="16">
        <v>2008</v>
      </c>
      <c r="U1329" s="15">
        <v>2071.1999999999998</v>
      </c>
      <c r="V1329" t="s">
        <v>19</v>
      </c>
      <c r="W1329" t="s">
        <v>28</v>
      </c>
      <c r="X1329">
        <v>13632</v>
      </c>
      <c r="Y1329" s="16">
        <f>VLOOKUP(Tabela1[[#This Row],[SKU]],SKU!A:D,4,0)</f>
        <v>2080</v>
      </c>
      <c r="Z1329" s="18">
        <f>IFERROR((Tabela1[[#This Row],[Média]]-Tabela1[[#This Row],[Meta]])/Tabela1[[#This Row],[Meta]],"")</f>
        <v>-4.2307692307693183E-3</v>
      </c>
      <c r="AA1329" s="31">
        <f>Tabela1[[#This Row],[Média]]-Tabela1[[#This Row],[Meta]]</f>
        <v>-8.8000000000001819</v>
      </c>
      <c r="AB1329" s="6" t="str">
        <f>VLOOKUP(Tabela1[[#This Row],[SKU]],SKU!A:B,2,0)</f>
        <v>COXA SBCX S/O FG 260-280g PB</v>
      </c>
      <c r="AC1329" s="6" t="str">
        <f>VLOOKUP(Tabela1[[#This Row],[SKU]],SKU!A:C,3,0)</f>
        <v>PERNA</v>
      </c>
    </row>
    <row r="1330" spans="1:29" x14ac:dyDescent="0.3">
      <c r="A1330" s="2">
        <f>INT(Tabela1[[#This Row],[Data e Hora2]])</f>
        <v>46297</v>
      </c>
      <c r="B1330" s="6" t="str">
        <f>UPPER(TEXT(Tabela1[[#This Row],[Data Corrigida]],"MMM"))</f>
        <v>OUT</v>
      </c>
      <c r="C1330" t="s">
        <v>2961</v>
      </c>
      <c r="D1330" s="2" t="s">
        <v>2962</v>
      </c>
      <c r="E1330" s="1" t="s">
        <v>2950</v>
      </c>
      <c r="F1330" t="s">
        <v>24</v>
      </c>
      <c r="G1330" s="2" t="s">
        <v>2945</v>
      </c>
      <c r="H1330" t="s">
        <v>26</v>
      </c>
      <c r="I1330" t="s">
        <v>27</v>
      </c>
      <c r="J1330" s="6">
        <v>42641</v>
      </c>
      <c r="K1330" s="16">
        <v>15040</v>
      </c>
      <c r="L1330" s="16">
        <v>15060</v>
      </c>
      <c r="M1330" s="16">
        <v>15055</v>
      </c>
      <c r="N1330" s="16">
        <v>15000</v>
      </c>
      <c r="O1330" s="16">
        <v>15065</v>
      </c>
      <c r="P1330" s="16">
        <v>14930</v>
      </c>
      <c r="Q1330" s="16">
        <v>15140</v>
      </c>
      <c r="R1330" s="16">
        <v>15055</v>
      </c>
      <c r="S1330" s="16">
        <v>15090</v>
      </c>
      <c r="T1330" s="16">
        <v>15085</v>
      </c>
      <c r="U1330" s="15">
        <v>15052</v>
      </c>
      <c r="V1330" t="s">
        <v>19</v>
      </c>
      <c r="W1330" t="s">
        <v>19</v>
      </c>
      <c r="X1330">
        <v>174</v>
      </c>
      <c r="Y1330" s="16">
        <f>VLOOKUP(Tabela1[[#This Row],[SKU]],SKU!A:D,4,0)</f>
        <v>15000</v>
      </c>
      <c r="Z1330" s="18">
        <f>IFERROR((Tabela1[[#This Row],[Média]]-Tabela1[[#This Row],[Meta]])/Tabela1[[#This Row],[Meta]],"")</f>
        <v>3.4666666666666665E-3</v>
      </c>
      <c r="AA1330" s="31">
        <f>Tabela1[[#This Row],[Média]]-Tabela1[[#This Row],[Meta]]</f>
        <v>52</v>
      </c>
      <c r="AB1330" s="6" t="str">
        <f>VLOOKUP(Tabela1[[#This Row],[SKU]],SKU!A:B,2,0)</f>
        <v>ASAS FG 100g UP LP</v>
      </c>
      <c r="AC1330" s="6" t="str">
        <f>VLOOKUP(Tabela1[[#This Row],[SKU]],SKU!A:C,3,0)</f>
        <v>ASA</v>
      </c>
    </row>
    <row r="1331" spans="1:29" x14ac:dyDescent="0.3">
      <c r="A1331" s="2">
        <f>INT(Tabela1[[#This Row],[Data e Hora2]])</f>
        <v>46297</v>
      </c>
      <c r="B1331" s="6" t="str">
        <f>UPPER(TEXT(Tabela1[[#This Row],[Data Corrigida]],"MMM"))</f>
        <v>OUT</v>
      </c>
      <c r="C1331" t="s">
        <v>2963</v>
      </c>
      <c r="D1331" s="2" t="s">
        <v>2964</v>
      </c>
      <c r="E1331" s="1" t="s">
        <v>2950</v>
      </c>
      <c r="F1331" t="s">
        <v>24</v>
      </c>
      <c r="G1331" s="2" t="s">
        <v>2945</v>
      </c>
      <c r="H1331" t="s">
        <v>26</v>
      </c>
      <c r="I1331" t="s">
        <v>27</v>
      </c>
      <c r="J1331" s="6">
        <v>15105</v>
      </c>
      <c r="K1331" s="16">
        <v>1028</v>
      </c>
      <c r="L1331" s="16">
        <v>1034</v>
      </c>
      <c r="M1331" s="16">
        <v>1022</v>
      </c>
      <c r="N1331" s="16">
        <v>1002</v>
      </c>
      <c r="O1331" s="16">
        <v>1025</v>
      </c>
      <c r="P1331" s="16">
        <v>1022</v>
      </c>
      <c r="Q1331" s="16">
        <v>1005</v>
      </c>
      <c r="R1331" s="16">
        <v>1032</v>
      </c>
      <c r="S1331" s="16">
        <v>1038</v>
      </c>
      <c r="T1331" s="16">
        <v>1022</v>
      </c>
      <c r="U1331" s="15">
        <v>1023</v>
      </c>
      <c r="V1331" t="s">
        <v>19</v>
      </c>
      <c r="W1331" t="s">
        <v>28</v>
      </c>
      <c r="X1331">
        <v>16925</v>
      </c>
      <c r="Y1331" s="16">
        <f>VLOOKUP(Tabela1[[#This Row],[SKU]],SKU!A:D,4,0)</f>
        <v>1000</v>
      </c>
      <c r="Z1331" s="18">
        <f>IFERROR((Tabela1[[#This Row],[Média]]-Tabela1[[#This Row],[Meta]])/Tabela1[[#This Row],[Meta]],"")</f>
        <v>2.3E-2</v>
      </c>
      <c r="AA1331" s="31">
        <f>Tabela1[[#This Row],[Média]]-Tabela1[[#This Row],[Meta]]</f>
        <v>23</v>
      </c>
      <c r="AB1331" s="6" t="str">
        <f>VLOOKUP(Tabela1[[#This Row],[SKU]],SKU!A:B,2,0)</f>
        <v>FILE PEITO MET CG BDJ SE</v>
      </c>
      <c r="AC1331" s="6" t="str">
        <f>VLOOKUP(Tabela1[[#This Row],[SKU]],SKU!A:C,3,0)</f>
        <v>PEITO</v>
      </c>
    </row>
    <row r="1332" spans="1:29" x14ac:dyDescent="0.3">
      <c r="A1332" s="2">
        <f>INT(Tabela1[[#This Row],[Data e Hora2]])</f>
        <v>46297</v>
      </c>
      <c r="B1332" s="6" t="str">
        <f>UPPER(TEXT(Tabela1[[#This Row],[Data Corrigida]],"MMM"))</f>
        <v>OUT</v>
      </c>
      <c r="C1332" t="s">
        <v>2965</v>
      </c>
      <c r="D1332" s="2" t="s">
        <v>2966</v>
      </c>
      <c r="E1332" s="1" t="s">
        <v>2950</v>
      </c>
      <c r="F1332" t="s">
        <v>24</v>
      </c>
      <c r="G1332" s="2" t="s">
        <v>2945</v>
      </c>
      <c r="H1332" t="s">
        <v>26</v>
      </c>
      <c r="I1332" t="s">
        <v>27</v>
      </c>
      <c r="J1332" s="6">
        <v>209099</v>
      </c>
      <c r="K1332" s="16">
        <v>1008</v>
      </c>
      <c r="L1332" s="16">
        <v>980</v>
      </c>
      <c r="M1332" s="16">
        <v>1008</v>
      </c>
      <c r="N1332" s="16">
        <v>999</v>
      </c>
      <c r="O1332" s="16">
        <v>1048</v>
      </c>
      <c r="P1332" s="16">
        <v>1008</v>
      </c>
      <c r="Q1332" s="16">
        <v>1023</v>
      </c>
      <c r="R1332" s="16">
        <v>1000</v>
      </c>
      <c r="S1332" s="16">
        <v>1011</v>
      </c>
      <c r="T1332" s="16">
        <v>1028</v>
      </c>
      <c r="U1332" s="15">
        <v>1011.3</v>
      </c>
      <c r="V1332" t="s">
        <v>19</v>
      </c>
      <c r="W1332" t="s">
        <v>28</v>
      </c>
      <c r="X1332">
        <v>19614</v>
      </c>
      <c r="Y1332" s="16">
        <f>VLOOKUP(Tabela1[[#This Row],[SKU]],SKU!A:D,4,0)</f>
        <v>1000</v>
      </c>
      <c r="Z1332" s="18">
        <f>IFERROR((Tabela1[[#This Row],[Média]]-Tabela1[[#This Row],[Meta]])/Tabela1[[#This Row],[Meta]],"")</f>
        <v>1.1299999999999954E-2</v>
      </c>
      <c r="AA1332" s="31">
        <f>Tabela1[[#This Row],[Média]]-Tabela1[[#This Row],[Meta]]</f>
        <v>11.299999999999955</v>
      </c>
      <c r="AB1332" s="6" t="str">
        <f>VLOOKUP(Tabela1[[#This Row],[SKU]],SKU!A:B,2,0)</f>
        <v>FILE DE SOBRECOXA IQF</v>
      </c>
      <c r="AC1332" s="6" t="str">
        <f>VLOOKUP(Tabela1[[#This Row],[SKU]],SKU!A:C,3,0)</f>
        <v>PERNA</v>
      </c>
    </row>
    <row r="1333" spans="1:29" x14ac:dyDescent="0.3">
      <c r="A1333" s="2">
        <f>INT(Tabela1[[#This Row],[Data e Hora2]])</f>
        <v>46297</v>
      </c>
      <c r="B1333" s="6" t="str">
        <f>UPPER(TEXT(Tabela1[[#This Row],[Data Corrigida]],"MMM"))</f>
        <v>OUT</v>
      </c>
      <c r="C1333" t="s">
        <v>2967</v>
      </c>
      <c r="D1333" s="2" t="s">
        <v>2968</v>
      </c>
      <c r="E1333" s="1" t="s">
        <v>2969</v>
      </c>
      <c r="F1333" t="s">
        <v>24</v>
      </c>
      <c r="G1333" s="2" t="s">
        <v>2945</v>
      </c>
      <c r="H1333" t="s">
        <v>26</v>
      </c>
      <c r="I1333" t="s">
        <v>27</v>
      </c>
      <c r="J1333" s="6">
        <v>40762</v>
      </c>
      <c r="K1333" s="16">
        <v>10030</v>
      </c>
      <c r="L1333" s="16">
        <v>10075</v>
      </c>
      <c r="M1333" s="16">
        <v>10055</v>
      </c>
      <c r="N1333" s="16">
        <v>10045</v>
      </c>
      <c r="O1333" s="16">
        <v>10060</v>
      </c>
      <c r="P1333" s="16">
        <v>10020</v>
      </c>
      <c r="Q1333" s="16">
        <v>10040</v>
      </c>
      <c r="R1333" s="16">
        <v>9945</v>
      </c>
      <c r="S1333" s="16">
        <v>10070</v>
      </c>
      <c r="T1333" s="16">
        <v>10055</v>
      </c>
      <c r="U1333" s="15">
        <v>10039.5</v>
      </c>
      <c r="V1333" t="s">
        <v>19</v>
      </c>
      <c r="W1333" t="s">
        <v>28</v>
      </c>
      <c r="X1333">
        <v>31823</v>
      </c>
      <c r="Y1333" s="16">
        <f>VLOOKUP(Tabela1[[#This Row],[SKU]],SKU!A:D,4,0)</f>
        <v>10000</v>
      </c>
      <c r="Z1333" s="18">
        <f>IFERROR((Tabela1[[#This Row],[Média]]-Tabela1[[#This Row],[Meta]])/Tabela1[[#This Row],[Meta]],"")</f>
        <v>3.9500000000000004E-3</v>
      </c>
      <c r="AA1333" s="31">
        <f>Tabela1[[#This Row],[Média]]-Tabela1[[#This Row],[Meta]]</f>
        <v>39.5</v>
      </c>
      <c r="AB1333" s="6" t="str">
        <f>VLOOKUP(Tabela1[[#This Row],[SKU]],SKU!A:B,2,0)</f>
        <v>COXA SBCX LQ FG LP</v>
      </c>
      <c r="AC1333" s="6" t="str">
        <f>VLOOKUP(Tabela1[[#This Row],[SKU]],SKU!A:C,3,0)</f>
        <v>PERNA</v>
      </c>
    </row>
    <row r="1334" spans="1:29" x14ac:dyDescent="0.3">
      <c r="A1334" s="2">
        <f>INT(Tabela1[[#This Row],[Data e Hora2]])</f>
        <v>46297</v>
      </c>
      <c r="B1334" s="6" t="str">
        <f>UPPER(TEXT(Tabela1[[#This Row],[Data Corrigida]],"MMM"))</f>
        <v>OUT</v>
      </c>
      <c r="C1334" t="s">
        <v>2970</v>
      </c>
      <c r="D1334" s="2" t="s">
        <v>2971</v>
      </c>
      <c r="E1334" s="1" t="s">
        <v>2969</v>
      </c>
      <c r="F1334" t="s">
        <v>24</v>
      </c>
      <c r="G1334" s="2" t="s">
        <v>2945</v>
      </c>
      <c r="H1334" t="s">
        <v>26</v>
      </c>
      <c r="I1334" t="s">
        <v>27</v>
      </c>
      <c r="J1334" s="6">
        <v>13188</v>
      </c>
      <c r="K1334" s="16">
        <v>1012</v>
      </c>
      <c r="L1334" s="16">
        <v>1008</v>
      </c>
      <c r="M1334" s="16">
        <v>1012</v>
      </c>
      <c r="N1334" s="16">
        <v>1001</v>
      </c>
      <c r="O1334" s="16">
        <v>1008</v>
      </c>
      <c r="P1334" s="16">
        <v>1012</v>
      </c>
      <c r="Q1334" s="16">
        <v>1004</v>
      </c>
      <c r="R1334" s="16">
        <v>1001</v>
      </c>
      <c r="S1334" s="16">
        <v>1013</v>
      </c>
      <c r="T1334" s="16">
        <v>1000</v>
      </c>
      <c r="U1334" s="15">
        <v>1007.1</v>
      </c>
      <c r="V1334" t="s">
        <v>19</v>
      </c>
      <c r="W1334" t="s">
        <v>19</v>
      </c>
      <c r="X1334">
        <v>32143</v>
      </c>
      <c r="Y1334" s="16">
        <f>VLOOKUP(Tabela1[[#This Row],[SKU]],SKU!A:D,4,0)</f>
        <v>1000</v>
      </c>
      <c r="Z1334" s="18">
        <f>IFERROR((Tabela1[[#This Row],[Média]]-Tabela1[[#This Row],[Meta]])/Tabela1[[#This Row],[Meta]],"")</f>
        <v>7.100000000000023E-3</v>
      </c>
      <c r="AA1334" s="31">
        <f>Tabela1[[#This Row],[Média]]-Tabela1[[#This Row],[Meta]]</f>
        <v>7.1000000000000227</v>
      </c>
      <c r="AB1334" s="6" t="str">
        <f>VLOOKUP(Tabela1[[#This Row],[SKU]],SKU!A:B,2,0)</f>
        <v>SOBRECOXA CG BDJ SE</v>
      </c>
      <c r="AC1334" s="6" t="str">
        <f>VLOOKUP(Tabela1[[#This Row],[SKU]],SKU!A:C,3,0)</f>
        <v>PERNA</v>
      </c>
    </row>
    <row r="1335" spans="1:29" x14ac:dyDescent="0.3">
      <c r="A1335" s="2">
        <f>INT(Tabela1[[#This Row],[Data e Hora2]])</f>
        <v>46297</v>
      </c>
      <c r="B1335" s="6" t="str">
        <f>UPPER(TEXT(Tabela1[[#This Row],[Data Corrigida]],"MMM"))</f>
        <v>OUT</v>
      </c>
      <c r="C1335" t="s">
        <v>2972</v>
      </c>
      <c r="D1335" s="2" t="s">
        <v>2973</v>
      </c>
      <c r="E1335" s="1" t="s">
        <v>2969</v>
      </c>
      <c r="F1335" t="s">
        <v>24</v>
      </c>
      <c r="G1335" s="2" t="s">
        <v>2945</v>
      </c>
      <c r="H1335" t="s">
        <v>26</v>
      </c>
      <c r="I1335" t="s">
        <v>27</v>
      </c>
      <c r="J1335" s="6">
        <v>15229</v>
      </c>
      <c r="K1335" s="16">
        <v>1005</v>
      </c>
      <c r="L1335" s="16">
        <v>1009</v>
      </c>
      <c r="M1335" s="16">
        <v>1016</v>
      </c>
      <c r="N1335" s="16">
        <v>1006</v>
      </c>
      <c r="O1335" s="16">
        <v>1005</v>
      </c>
      <c r="P1335" s="16">
        <v>1009</v>
      </c>
      <c r="Q1335" s="16">
        <v>1015</v>
      </c>
      <c r="R1335" s="16">
        <v>1010</v>
      </c>
      <c r="S1335" s="16">
        <v>1000</v>
      </c>
      <c r="T1335" s="16">
        <v>1007</v>
      </c>
      <c r="U1335" s="15">
        <v>1008.2</v>
      </c>
      <c r="V1335" t="s">
        <v>19</v>
      </c>
      <c r="W1335" t="s">
        <v>28</v>
      </c>
      <c r="X1335">
        <v>32326</v>
      </c>
      <c r="Y1335" s="16">
        <f>VLOOKUP(Tabela1[[#This Row],[SKU]],SKU!A:D,4,0)</f>
        <v>1000</v>
      </c>
      <c r="Z1335" s="18">
        <f>IFERROR((Tabela1[[#This Row],[Média]]-Tabela1[[#This Row],[Meta]])/Tabela1[[#This Row],[Meta]],"")</f>
        <v>8.2000000000000458E-3</v>
      </c>
      <c r="AA1335" s="31">
        <f>Tabela1[[#This Row],[Média]]-Tabela1[[#This Row],[Meta]]</f>
        <v>8.2000000000000455</v>
      </c>
      <c r="AB1335" s="6" t="str">
        <f>VLOOKUP(Tabela1[[#This Row],[SKU]],SKU!A:B,2,0)</f>
        <v>COXA CG BDJ SE</v>
      </c>
      <c r="AC1335" s="6" t="str">
        <f>VLOOKUP(Tabela1[[#This Row],[SKU]],SKU!A:C,3,0)</f>
        <v>PERNA</v>
      </c>
    </row>
    <row r="1336" spans="1:29" x14ac:dyDescent="0.3">
      <c r="A1336" s="2">
        <f>INT(Tabela1[[#This Row],[Data e Hora2]])</f>
        <v>46297</v>
      </c>
      <c r="B1336" s="6" t="str">
        <f>UPPER(TEXT(Tabela1[[#This Row],[Data Corrigida]],"MMM"))</f>
        <v>OUT</v>
      </c>
      <c r="C1336" t="s">
        <v>2974</v>
      </c>
      <c r="D1336" s="2" t="s">
        <v>2975</v>
      </c>
      <c r="E1336" s="1" t="s">
        <v>2969</v>
      </c>
      <c r="F1336" t="s">
        <v>24</v>
      </c>
      <c r="G1336" s="2" t="s">
        <v>2945</v>
      </c>
      <c r="H1336" t="s">
        <v>26</v>
      </c>
      <c r="I1336" t="s">
        <v>27</v>
      </c>
      <c r="J1336" s="6">
        <v>995638</v>
      </c>
      <c r="K1336" s="16">
        <v>15035</v>
      </c>
      <c r="L1336" s="16">
        <v>15130</v>
      </c>
      <c r="M1336" s="16">
        <v>15065</v>
      </c>
      <c r="N1336" s="16">
        <v>15005</v>
      </c>
      <c r="O1336" s="16">
        <v>15035</v>
      </c>
      <c r="P1336" s="16">
        <v>15015</v>
      </c>
      <c r="Q1336" s="16">
        <v>15025</v>
      </c>
      <c r="R1336" s="16">
        <v>15040</v>
      </c>
      <c r="S1336" s="16">
        <v>15005</v>
      </c>
      <c r="T1336" s="16">
        <v>15050</v>
      </c>
      <c r="U1336" s="15">
        <v>15040.5</v>
      </c>
      <c r="V1336" t="s">
        <v>19</v>
      </c>
      <c r="W1336" t="s">
        <v>28</v>
      </c>
      <c r="X1336">
        <v>33221</v>
      </c>
      <c r="Y1336" s="16">
        <f>VLOOKUP(Tabela1[[#This Row],[SKU]],SKU!A:D,4,0)</f>
        <v>15000</v>
      </c>
      <c r="Z1336" s="18">
        <f>IFERROR((Tabela1[[#This Row],[Média]]-Tabela1[[#This Row],[Meta]])/Tabela1[[#This Row],[Meta]],"")</f>
        <v>2.7000000000000001E-3</v>
      </c>
      <c r="AA1336" s="31">
        <f>Tabela1[[#This Row],[Média]]-Tabela1[[#This Row],[Meta]]</f>
        <v>40.5</v>
      </c>
      <c r="AB1336" s="6" t="str">
        <f>VLOOKUP(Tabela1[[#This Row],[SKU]],SKU!A:B,2,0)</f>
        <v>MEIO DA ASA 40-50G LP</v>
      </c>
      <c r="AC1336" s="6" t="str">
        <f>VLOOKUP(Tabela1[[#This Row],[SKU]],SKU!A:C,3,0)</f>
        <v>ASA</v>
      </c>
    </row>
    <row r="1337" spans="1:29" x14ac:dyDescent="0.3">
      <c r="A1337" s="2">
        <f>INT(Tabela1[[#This Row],[Data e Hora2]])</f>
        <v>46297</v>
      </c>
      <c r="B1337" s="6" t="str">
        <f>UPPER(TEXT(Tabela1[[#This Row],[Data Corrigida]],"MMM"))</f>
        <v>OUT</v>
      </c>
      <c r="C1337" t="s">
        <v>2976</v>
      </c>
      <c r="D1337" s="2" t="s">
        <v>2977</v>
      </c>
      <c r="E1337" s="1" t="s">
        <v>2969</v>
      </c>
      <c r="F1337" t="s">
        <v>24</v>
      </c>
      <c r="G1337" s="2" t="s">
        <v>2945</v>
      </c>
      <c r="H1337" t="s">
        <v>26</v>
      </c>
      <c r="I1337" t="s">
        <v>27</v>
      </c>
      <c r="J1337" s="6">
        <v>15105</v>
      </c>
      <c r="K1337" s="16">
        <v>1019</v>
      </c>
      <c r="L1337" s="16">
        <v>1013</v>
      </c>
      <c r="M1337" s="16">
        <v>1006</v>
      </c>
      <c r="N1337" s="16">
        <v>1015</v>
      </c>
      <c r="O1337" s="16">
        <v>1002</v>
      </c>
      <c r="P1337" s="16">
        <v>1004</v>
      </c>
      <c r="Q1337" s="16">
        <v>997</v>
      </c>
      <c r="R1337" s="16">
        <v>996</v>
      </c>
      <c r="S1337" s="16">
        <v>994</v>
      </c>
      <c r="T1337" s="16">
        <v>1032</v>
      </c>
      <c r="U1337" s="15">
        <v>1007.8</v>
      </c>
      <c r="V1337" t="s">
        <v>19</v>
      </c>
      <c r="W1337" t="s">
        <v>28</v>
      </c>
      <c r="X1337">
        <v>33463</v>
      </c>
      <c r="Y1337" s="16">
        <f>VLOOKUP(Tabela1[[#This Row],[SKU]],SKU!A:D,4,0)</f>
        <v>1000</v>
      </c>
      <c r="Z1337" s="18">
        <f>IFERROR((Tabela1[[#This Row],[Média]]-Tabela1[[#This Row],[Meta]])/Tabela1[[#This Row],[Meta]],"")</f>
        <v>7.7999999999999545E-3</v>
      </c>
      <c r="AA1337" s="31">
        <f>Tabela1[[#This Row],[Média]]-Tabela1[[#This Row],[Meta]]</f>
        <v>7.7999999999999545</v>
      </c>
      <c r="AB1337" s="6" t="str">
        <f>VLOOKUP(Tabela1[[#This Row],[SKU]],SKU!A:B,2,0)</f>
        <v>FILE PEITO MET CG BDJ SE</v>
      </c>
      <c r="AC1337" s="6" t="str">
        <f>VLOOKUP(Tabela1[[#This Row],[SKU]],SKU!A:C,3,0)</f>
        <v>PEITO</v>
      </c>
    </row>
    <row r="1338" spans="1:29" x14ac:dyDescent="0.3">
      <c r="A1338" s="2">
        <f>INT(Tabela1[[#This Row],[Data e Hora2]])</f>
        <v>46297</v>
      </c>
      <c r="B1338" s="6" t="str">
        <f>UPPER(TEXT(Tabela1[[#This Row],[Data Corrigida]],"MMM"))</f>
        <v>OUT</v>
      </c>
      <c r="C1338" t="s">
        <v>2978</v>
      </c>
      <c r="D1338" s="2" t="s">
        <v>2979</v>
      </c>
      <c r="E1338" s="1" t="s">
        <v>2980</v>
      </c>
      <c r="F1338" t="s">
        <v>24</v>
      </c>
      <c r="G1338" s="2" t="s">
        <v>2945</v>
      </c>
      <c r="H1338" t="s">
        <v>26</v>
      </c>
      <c r="I1338" t="s">
        <v>57</v>
      </c>
      <c r="J1338" s="6">
        <v>864048</v>
      </c>
      <c r="K1338" s="16">
        <v>2059</v>
      </c>
      <c r="L1338" s="16">
        <v>2029</v>
      </c>
      <c r="M1338" s="16">
        <v>2075</v>
      </c>
      <c r="N1338" s="16">
        <v>2073</v>
      </c>
      <c r="O1338" s="16">
        <v>2028</v>
      </c>
      <c r="P1338" s="16">
        <v>2010</v>
      </c>
      <c r="Q1338" s="16">
        <v>2028</v>
      </c>
      <c r="R1338" s="16">
        <v>2006</v>
      </c>
      <c r="S1338" s="16">
        <v>2006</v>
      </c>
      <c r="T1338" s="16">
        <v>2058</v>
      </c>
      <c r="U1338" s="15">
        <v>2037.2</v>
      </c>
      <c r="V1338" t="s">
        <v>19</v>
      </c>
      <c r="W1338" t="s">
        <v>28</v>
      </c>
      <c r="X1338">
        <v>403</v>
      </c>
      <c r="Y1338" s="16">
        <f>VLOOKUP(Tabela1[[#This Row],[SKU]],SKU!A:D,4,0)</f>
        <v>2000</v>
      </c>
      <c r="Z1338" s="18">
        <f>IFERROR((Tabela1[[#This Row],[Média]]-Tabela1[[#This Row],[Meta]])/Tabela1[[#This Row],[Meta]],"")</f>
        <v>1.8600000000000023E-2</v>
      </c>
      <c r="AA1338" s="31">
        <f>Tabela1[[#This Row],[Média]]-Tabela1[[#This Row],[Meta]]</f>
        <v>37.200000000000045</v>
      </c>
      <c r="AB1338" s="6" t="str">
        <f>VLOOKUP(Tabela1[[#This Row],[SKU]],SKU!A:B,2,0)</f>
        <v>COXA SBCX S/O 200g FG UP PB</v>
      </c>
      <c r="AC1338" s="6" t="str">
        <f>VLOOKUP(Tabela1[[#This Row],[SKU]],SKU!A:C,3,0)</f>
        <v>PERNA</v>
      </c>
    </row>
    <row r="1339" spans="1:29" x14ac:dyDescent="0.3">
      <c r="A1339" s="2">
        <f>INT(Tabela1[[#This Row],[Data e Hora2]])</f>
        <v>46297</v>
      </c>
      <c r="B1339" s="6" t="str">
        <f>UPPER(TEXT(Tabela1[[#This Row],[Data Corrigida]],"MMM"))</f>
        <v>OUT</v>
      </c>
      <c r="C1339" t="s">
        <v>2981</v>
      </c>
      <c r="D1339" s="2" t="s">
        <v>2982</v>
      </c>
      <c r="E1339" s="1" t="s">
        <v>2980</v>
      </c>
      <c r="F1339" t="s">
        <v>24</v>
      </c>
      <c r="G1339" s="2" t="s">
        <v>2945</v>
      </c>
      <c r="H1339" t="s">
        <v>26</v>
      </c>
      <c r="I1339" t="s">
        <v>57</v>
      </c>
      <c r="J1339" s="6">
        <v>42820</v>
      </c>
      <c r="K1339" s="16">
        <v>2053</v>
      </c>
      <c r="L1339" s="16">
        <v>2013</v>
      </c>
      <c r="M1339" s="16">
        <v>2068</v>
      </c>
      <c r="N1339" s="16">
        <v>2006</v>
      </c>
      <c r="O1339" s="16">
        <v>2047</v>
      </c>
      <c r="P1339" s="16">
        <v>2043</v>
      </c>
      <c r="Q1339" s="16">
        <v>2049</v>
      </c>
      <c r="R1339" s="16">
        <v>2067</v>
      </c>
      <c r="S1339" s="16">
        <v>2012</v>
      </c>
      <c r="T1339" s="16">
        <v>2032</v>
      </c>
      <c r="U1339" s="15">
        <v>2039</v>
      </c>
      <c r="V1339" t="s">
        <v>19</v>
      </c>
      <c r="W1339" t="s">
        <v>28</v>
      </c>
      <c r="X1339">
        <v>485</v>
      </c>
      <c r="Y1339" s="16">
        <f>VLOOKUP(Tabela1[[#This Row],[SKU]],SKU!A:D,4,0)</f>
        <v>2000</v>
      </c>
      <c r="Z1339" s="18">
        <f>IFERROR((Tabela1[[#This Row],[Média]]-Tabela1[[#This Row],[Meta]])/Tabela1[[#This Row],[Meta]],"")</f>
        <v>1.95E-2</v>
      </c>
      <c r="AA1339" s="31">
        <f>Tabela1[[#This Row],[Média]]-Tabela1[[#This Row],[Meta]]</f>
        <v>39</v>
      </c>
      <c r="AB1339" s="6" t="str">
        <f>VLOOKUP(Tabela1[[#This Row],[SKU]],SKU!A:B,2,0)</f>
        <v>COXA SBCX S/O FG 200-220g PB</v>
      </c>
      <c r="AC1339" s="6" t="str">
        <f>VLOOKUP(Tabela1[[#This Row],[SKU]],SKU!A:C,3,0)</f>
        <v>PERNA</v>
      </c>
    </row>
    <row r="1340" spans="1:29" x14ac:dyDescent="0.3">
      <c r="A1340" s="2">
        <f>INT(Tabela1[[#This Row],[Data e Hora2]])</f>
        <v>46297</v>
      </c>
      <c r="B1340" s="6" t="str">
        <f>UPPER(TEXT(Tabela1[[#This Row],[Data Corrigida]],"MMM"))</f>
        <v>OUT</v>
      </c>
      <c r="C1340" t="s">
        <v>2983</v>
      </c>
      <c r="D1340" s="2" t="s">
        <v>2984</v>
      </c>
      <c r="E1340" s="1" t="s">
        <v>2985</v>
      </c>
      <c r="F1340" t="s">
        <v>24</v>
      </c>
      <c r="G1340" s="2" t="s">
        <v>2945</v>
      </c>
      <c r="H1340" t="s">
        <v>26</v>
      </c>
      <c r="I1340" t="s">
        <v>57</v>
      </c>
      <c r="J1340" s="6">
        <v>40762</v>
      </c>
      <c r="K1340" s="16">
        <v>9945</v>
      </c>
      <c r="L1340" s="16">
        <v>9950</v>
      </c>
      <c r="M1340" s="16">
        <v>9995</v>
      </c>
      <c r="N1340" s="16">
        <v>10000</v>
      </c>
      <c r="O1340" s="16">
        <v>10020</v>
      </c>
      <c r="P1340" s="16">
        <v>10010</v>
      </c>
      <c r="Q1340" s="16">
        <v>10035</v>
      </c>
      <c r="R1340" s="16">
        <v>10030</v>
      </c>
      <c r="S1340" s="16">
        <v>10020</v>
      </c>
      <c r="T1340" s="16">
        <v>10080</v>
      </c>
      <c r="U1340" s="15">
        <v>10008.5</v>
      </c>
      <c r="V1340" t="s">
        <v>19</v>
      </c>
      <c r="W1340" t="s">
        <v>28</v>
      </c>
      <c r="X1340">
        <v>742</v>
      </c>
      <c r="Y1340" s="16">
        <f>VLOOKUP(Tabela1[[#This Row],[SKU]],SKU!A:D,4,0)</f>
        <v>10000</v>
      </c>
      <c r="Z1340" s="18">
        <f>IFERROR((Tabela1[[#This Row],[Média]]-Tabela1[[#This Row],[Meta]])/Tabela1[[#This Row],[Meta]],"")</f>
        <v>8.4999999999999995E-4</v>
      </c>
      <c r="AA1340" s="31">
        <f>Tabela1[[#This Row],[Média]]-Tabela1[[#This Row],[Meta]]</f>
        <v>8.5</v>
      </c>
      <c r="AB1340" s="6" t="str">
        <f>VLOOKUP(Tabela1[[#This Row],[SKU]],SKU!A:B,2,0)</f>
        <v>COXA SBCX LQ FG LP</v>
      </c>
      <c r="AC1340" s="6" t="str">
        <f>VLOOKUP(Tabela1[[#This Row],[SKU]],SKU!A:C,3,0)</f>
        <v>PERNA</v>
      </c>
    </row>
    <row r="1341" spans="1:29" x14ac:dyDescent="0.3">
      <c r="A1341" s="2">
        <f>INT(Tabela1[[#This Row],[Data e Hora2]])</f>
        <v>46297</v>
      </c>
      <c r="B1341" s="6" t="str">
        <f>UPPER(TEXT(Tabela1[[#This Row],[Data Corrigida]],"MMM"))</f>
        <v>OUT</v>
      </c>
      <c r="C1341" t="s">
        <v>2986</v>
      </c>
      <c r="D1341" s="2" t="s">
        <v>2987</v>
      </c>
      <c r="E1341" s="1" t="s">
        <v>2988</v>
      </c>
      <c r="F1341" t="s">
        <v>24</v>
      </c>
      <c r="G1341" s="2" t="s">
        <v>2945</v>
      </c>
      <c r="H1341" t="s">
        <v>26</v>
      </c>
      <c r="I1341" t="s">
        <v>57</v>
      </c>
      <c r="J1341" s="6">
        <v>42862</v>
      </c>
      <c r="K1341" s="16">
        <v>2073</v>
      </c>
      <c r="L1341" s="16">
        <v>2016</v>
      </c>
      <c r="M1341" s="16">
        <v>2023</v>
      </c>
      <c r="N1341" s="16">
        <v>1998</v>
      </c>
      <c r="O1341" s="16">
        <v>1985</v>
      </c>
      <c r="P1341" s="16">
        <v>2016</v>
      </c>
      <c r="Q1341" s="16">
        <v>2020</v>
      </c>
      <c r="R1341" s="16">
        <v>2008</v>
      </c>
      <c r="S1341" s="16">
        <v>2023</v>
      </c>
      <c r="T1341" s="16">
        <v>2009</v>
      </c>
      <c r="U1341" s="15">
        <v>2017.1</v>
      </c>
      <c r="V1341" t="s">
        <v>19</v>
      </c>
      <c r="W1341" t="s">
        <v>28</v>
      </c>
      <c r="X1341">
        <v>2315</v>
      </c>
      <c r="Y1341" s="16">
        <f>VLOOKUP(Tabela1[[#This Row],[SKU]],SKU!A:D,4,0)</f>
        <v>2000</v>
      </c>
      <c r="Z1341" s="18">
        <f>IFERROR((Tabela1[[#This Row],[Média]]-Tabela1[[#This Row],[Meta]])/Tabela1[[#This Row],[Meta]],"")</f>
        <v>8.5499999999999552E-3</v>
      </c>
      <c r="AA1341" s="31">
        <f>Tabela1[[#This Row],[Média]]-Tabela1[[#This Row],[Meta]]</f>
        <v>17.099999999999909</v>
      </c>
      <c r="AB1341" s="6" t="str">
        <f>VLOOKUP(Tabela1[[#This Row],[SKU]],SKU!A:B,2,0)</f>
        <v>COXA SBCX S/O FG 280-300g PB</v>
      </c>
      <c r="AC1341" s="6" t="str">
        <f>VLOOKUP(Tabela1[[#This Row],[SKU]],SKU!A:C,3,0)</f>
        <v>PERNA</v>
      </c>
    </row>
    <row r="1342" spans="1:29" x14ac:dyDescent="0.3">
      <c r="A1342" s="2">
        <f>INT(Tabela1[[#This Row],[Data e Hora2]])</f>
        <v>46297</v>
      </c>
      <c r="B1342" s="6" t="str">
        <f>UPPER(TEXT(Tabela1[[#This Row],[Data Corrigida]],"MMM"))</f>
        <v>OUT</v>
      </c>
      <c r="C1342" t="s">
        <v>2989</v>
      </c>
      <c r="D1342" s="2" t="s">
        <v>2990</v>
      </c>
      <c r="E1342" s="1" t="s">
        <v>2991</v>
      </c>
      <c r="F1342" t="s">
        <v>24</v>
      </c>
      <c r="G1342" s="2" t="s">
        <v>2945</v>
      </c>
      <c r="H1342" t="s">
        <v>26</v>
      </c>
      <c r="I1342" t="s">
        <v>57</v>
      </c>
      <c r="J1342" s="6">
        <v>15229</v>
      </c>
      <c r="K1342" s="16">
        <v>1008</v>
      </c>
      <c r="L1342" s="16">
        <v>1012</v>
      </c>
      <c r="M1342" s="16">
        <v>1001</v>
      </c>
      <c r="N1342" s="16">
        <v>1004</v>
      </c>
      <c r="O1342" s="16">
        <v>1007</v>
      </c>
      <c r="P1342" s="16">
        <v>1006</v>
      </c>
      <c r="Q1342" s="16">
        <v>1000</v>
      </c>
      <c r="R1342" s="16">
        <v>1012</v>
      </c>
      <c r="S1342" s="16">
        <v>1014</v>
      </c>
      <c r="T1342" s="16">
        <v>1010</v>
      </c>
      <c r="U1342" s="15">
        <v>1007.4</v>
      </c>
      <c r="V1342" t="s">
        <v>19</v>
      </c>
      <c r="W1342" t="s">
        <v>19</v>
      </c>
      <c r="X1342">
        <v>162</v>
      </c>
      <c r="Y1342" s="16">
        <f>VLOOKUP(Tabela1[[#This Row],[SKU]],SKU!A:D,4,0)</f>
        <v>1000</v>
      </c>
      <c r="Z1342" s="18">
        <f>IFERROR((Tabela1[[#This Row],[Média]]-Tabela1[[#This Row],[Meta]])/Tabela1[[#This Row],[Meta]],"")</f>
        <v>7.3999999999999769E-3</v>
      </c>
      <c r="AA1342" s="31">
        <f>Tabela1[[#This Row],[Média]]-Tabela1[[#This Row],[Meta]]</f>
        <v>7.3999999999999773</v>
      </c>
      <c r="AB1342" s="6" t="str">
        <f>VLOOKUP(Tabela1[[#This Row],[SKU]],SKU!A:B,2,0)</f>
        <v>COXA CG BDJ SE</v>
      </c>
      <c r="AC1342" s="6" t="str">
        <f>VLOOKUP(Tabela1[[#This Row],[SKU]],SKU!A:C,3,0)</f>
        <v>PERNA</v>
      </c>
    </row>
    <row r="1343" spans="1:29" x14ac:dyDescent="0.3">
      <c r="A1343" s="2">
        <f>INT(Tabela1[[#This Row],[Data e Hora2]])</f>
        <v>46297</v>
      </c>
      <c r="B1343" s="6" t="str">
        <f>UPPER(TEXT(Tabela1[[#This Row],[Data Corrigida]],"MMM"))</f>
        <v>OUT</v>
      </c>
      <c r="C1343" t="s">
        <v>2992</v>
      </c>
      <c r="D1343" s="2" t="s">
        <v>2993</v>
      </c>
      <c r="E1343" s="1" t="s">
        <v>2991</v>
      </c>
      <c r="F1343" t="s">
        <v>24</v>
      </c>
      <c r="G1343" s="2" t="s">
        <v>2945</v>
      </c>
      <c r="H1343" t="s">
        <v>26</v>
      </c>
      <c r="I1343" t="s">
        <v>57</v>
      </c>
      <c r="J1343" s="6">
        <v>13188</v>
      </c>
      <c r="K1343" s="16">
        <v>990</v>
      </c>
      <c r="L1343" s="16">
        <v>984</v>
      </c>
      <c r="M1343" s="16">
        <v>996</v>
      </c>
      <c r="N1343" s="16">
        <v>1005</v>
      </c>
      <c r="O1343" s="16">
        <v>995</v>
      </c>
      <c r="P1343" s="16">
        <v>994</v>
      </c>
      <c r="Q1343" s="16">
        <v>988</v>
      </c>
      <c r="R1343" s="16">
        <v>999</v>
      </c>
      <c r="S1343" s="16">
        <v>995</v>
      </c>
      <c r="T1343" s="16">
        <v>995</v>
      </c>
      <c r="U1343" s="15">
        <v>994.1</v>
      </c>
      <c r="V1343" t="s">
        <v>19</v>
      </c>
      <c r="W1343" t="s">
        <v>19</v>
      </c>
      <c r="X1343">
        <v>137</v>
      </c>
      <c r="Y1343" s="16">
        <f>VLOOKUP(Tabela1[[#This Row],[SKU]],SKU!A:D,4,0)</f>
        <v>1000</v>
      </c>
      <c r="Z1343" s="18">
        <f>IFERROR((Tabela1[[#This Row],[Média]]-Tabela1[[#This Row],[Meta]])/Tabela1[[#This Row],[Meta]],"")</f>
        <v>-5.8999999999999773E-3</v>
      </c>
      <c r="AA1343" s="31">
        <f>Tabela1[[#This Row],[Média]]-Tabela1[[#This Row],[Meta]]</f>
        <v>-5.8999999999999773</v>
      </c>
      <c r="AB1343" s="6" t="str">
        <f>VLOOKUP(Tabela1[[#This Row],[SKU]],SKU!A:B,2,0)</f>
        <v>SOBRECOXA CG BDJ SE</v>
      </c>
      <c r="AC1343" s="6" t="str">
        <f>VLOOKUP(Tabela1[[#This Row],[SKU]],SKU!A:C,3,0)</f>
        <v>PERNA</v>
      </c>
    </row>
    <row r="1344" spans="1:29" x14ac:dyDescent="0.3">
      <c r="A1344" s="2">
        <f>INT(Tabela1[[#This Row],[Data e Hora2]])</f>
        <v>46297</v>
      </c>
      <c r="B1344" s="6" t="str">
        <f>UPPER(TEXT(Tabela1[[#This Row],[Data Corrigida]],"MMM"))</f>
        <v>OUT</v>
      </c>
      <c r="C1344" t="s">
        <v>2994</v>
      </c>
      <c r="D1344" s="2" t="s">
        <v>2995</v>
      </c>
      <c r="E1344" s="1" t="s">
        <v>2991</v>
      </c>
      <c r="F1344" t="s">
        <v>24</v>
      </c>
      <c r="G1344" s="2" t="s">
        <v>2945</v>
      </c>
      <c r="H1344" t="s">
        <v>26</v>
      </c>
      <c r="I1344" t="s">
        <v>57</v>
      </c>
      <c r="J1344" s="6">
        <v>42838</v>
      </c>
      <c r="K1344" s="16">
        <v>2021</v>
      </c>
      <c r="L1344" s="16">
        <v>2045</v>
      </c>
      <c r="M1344" s="16">
        <v>2021</v>
      </c>
      <c r="N1344" s="16">
        <v>2016</v>
      </c>
      <c r="O1344" s="16">
        <v>2019</v>
      </c>
      <c r="P1344" s="16">
        <v>2007</v>
      </c>
      <c r="Q1344" s="16">
        <v>2039</v>
      </c>
      <c r="R1344" s="16">
        <v>2017</v>
      </c>
      <c r="S1344" s="16">
        <v>2028</v>
      </c>
      <c r="T1344" s="16">
        <v>2011</v>
      </c>
      <c r="U1344" s="15">
        <v>2022.4</v>
      </c>
      <c r="V1344" t="s">
        <v>19</v>
      </c>
      <c r="W1344" t="s">
        <v>19</v>
      </c>
      <c r="X1344">
        <v>149</v>
      </c>
      <c r="Y1344" s="16">
        <f>VLOOKUP(Tabela1[[#This Row],[SKU]],SKU!A:D,4,0)</f>
        <v>2000</v>
      </c>
      <c r="Z1344" s="18">
        <f>IFERROR((Tabela1[[#This Row],[Média]]-Tabela1[[#This Row],[Meta]])/Tabela1[[#This Row],[Meta]],"")</f>
        <v>1.1200000000000045E-2</v>
      </c>
      <c r="AA1344" s="31">
        <f>Tabela1[[#This Row],[Média]]-Tabela1[[#This Row],[Meta]]</f>
        <v>22.400000000000091</v>
      </c>
      <c r="AB1344" s="6" t="str">
        <f>VLOOKUP(Tabela1[[#This Row],[SKU]],SKU!A:B,2,0)</f>
        <v>COXA SBCX S/O FG 220-240g PB</v>
      </c>
      <c r="AC1344" s="6" t="str">
        <f>VLOOKUP(Tabela1[[#This Row],[SKU]],SKU!A:C,3,0)</f>
        <v>PERNA</v>
      </c>
    </row>
    <row r="1345" spans="1:29" x14ac:dyDescent="0.3">
      <c r="A1345" s="2">
        <f>INT(Tabela1[[#This Row],[Data e Hora2]])</f>
        <v>46297</v>
      </c>
      <c r="B1345" s="6" t="str">
        <f>UPPER(TEXT(Tabela1[[#This Row],[Data Corrigida]],"MMM"))</f>
        <v>OUT</v>
      </c>
      <c r="C1345" t="s">
        <v>2996</v>
      </c>
      <c r="D1345" s="2" t="s">
        <v>2997</v>
      </c>
      <c r="E1345" s="1" t="s">
        <v>2991</v>
      </c>
      <c r="F1345" t="s">
        <v>24</v>
      </c>
      <c r="G1345" s="2" t="s">
        <v>2945</v>
      </c>
      <c r="H1345" t="s">
        <v>26</v>
      </c>
      <c r="I1345" t="s">
        <v>57</v>
      </c>
      <c r="J1345" s="6">
        <v>42846</v>
      </c>
      <c r="K1345" s="16">
        <v>1998</v>
      </c>
      <c r="L1345" s="16">
        <v>2002</v>
      </c>
      <c r="M1345" s="16">
        <v>2006</v>
      </c>
      <c r="N1345" s="16">
        <v>2018</v>
      </c>
      <c r="O1345" s="16">
        <v>2020</v>
      </c>
      <c r="P1345" s="16">
        <v>2009</v>
      </c>
      <c r="Q1345" s="16">
        <v>1999</v>
      </c>
      <c r="R1345" s="16">
        <v>2007</v>
      </c>
      <c r="S1345" s="16">
        <v>2001</v>
      </c>
      <c r="T1345" s="16">
        <v>1998</v>
      </c>
      <c r="U1345" s="15">
        <v>2005.8</v>
      </c>
      <c r="V1345" t="s">
        <v>19</v>
      </c>
      <c r="W1345" t="s">
        <v>19</v>
      </c>
      <c r="X1345">
        <v>163</v>
      </c>
      <c r="Y1345" s="16">
        <f>VLOOKUP(Tabela1[[#This Row],[SKU]],SKU!A:D,4,0)</f>
        <v>2000</v>
      </c>
      <c r="Z1345" s="18">
        <f>IFERROR((Tabela1[[#This Row],[Média]]-Tabela1[[#This Row],[Meta]])/Tabela1[[#This Row],[Meta]],"")</f>
        <v>2.8999999999999772E-3</v>
      </c>
      <c r="AA1345" s="31">
        <f>Tabela1[[#This Row],[Média]]-Tabela1[[#This Row],[Meta]]</f>
        <v>5.7999999999999545</v>
      </c>
      <c r="AB1345" s="6" t="str">
        <f>VLOOKUP(Tabela1[[#This Row],[SKU]],SKU!A:B,2,0)</f>
        <v>COXA SBCX S/O FG 240-260g PB</v>
      </c>
      <c r="AC1345" s="6" t="str">
        <f>VLOOKUP(Tabela1[[#This Row],[SKU]],SKU!A:C,3,0)</f>
        <v>PERNA</v>
      </c>
    </row>
    <row r="1346" spans="1:29" x14ac:dyDescent="0.3">
      <c r="A1346" s="2">
        <f>INT(Tabela1[[#This Row],[Data e Hora2]])</f>
        <v>46297</v>
      </c>
      <c r="B1346" s="6" t="str">
        <f>UPPER(TEXT(Tabela1[[#This Row],[Data Corrigida]],"MMM"))</f>
        <v>OUT</v>
      </c>
      <c r="C1346" t="s">
        <v>2998</v>
      </c>
      <c r="D1346" s="2" t="s">
        <v>2999</v>
      </c>
      <c r="E1346" s="1" t="s">
        <v>2991</v>
      </c>
      <c r="F1346" t="s">
        <v>24</v>
      </c>
      <c r="G1346" s="2" t="s">
        <v>2945</v>
      </c>
      <c r="H1346" t="s">
        <v>26</v>
      </c>
      <c r="I1346" t="s">
        <v>57</v>
      </c>
      <c r="J1346" s="6">
        <v>42854</v>
      </c>
      <c r="K1346" s="16">
        <v>2115</v>
      </c>
      <c r="L1346" s="16">
        <v>2074</v>
      </c>
      <c r="M1346" s="16">
        <v>2093</v>
      </c>
      <c r="N1346" s="16">
        <v>2106</v>
      </c>
      <c r="O1346" s="16">
        <v>2099</v>
      </c>
      <c r="P1346" s="16">
        <v>2080</v>
      </c>
      <c r="Q1346" s="16">
        <v>2083</v>
      </c>
      <c r="R1346" s="16">
        <v>2086</v>
      </c>
      <c r="S1346" s="16">
        <v>2098</v>
      </c>
      <c r="T1346" s="16">
        <v>2123</v>
      </c>
      <c r="U1346" s="15">
        <v>2095.6999999999998</v>
      </c>
      <c r="V1346" t="s">
        <v>19</v>
      </c>
      <c r="W1346" t="s">
        <v>19</v>
      </c>
      <c r="X1346">
        <v>101</v>
      </c>
      <c r="Y1346" s="16">
        <f>VLOOKUP(Tabela1[[#This Row],[SKU]],SKU!A:D,4,0)</f>
        <v>2080</v>
      </c>
      <c r="Z1346" s="18">
        <f>IFERROR((Tabela1[[#This Row],[Média]]-Tabela1[[#This Row],[Meta]])/Tabela1[[#This Row],[Meta]],"")</f>
        <v>7.5480769230768354E-3</v>
      </c>
      <c r="AA1346" s="31">
        <f>Tabela1[[#This Row],[Média]]-Tabela1[[#This Row],[Meta]]</f>
        <v>15.699999999999818</v>
      </c>
      <c r="AB1346" s="6" t="str">
        <f>VLOOKUP(Tabela1[[#This Row],[SKU]],SKU!A:B,2,0)</f>
        <v>COXA SBCX S/O FG 260-280g PB</v>
      </c>
      <c r="AC1346" s="6" t="str">
        <f>VLOOKUP(Tabela1[[#This Row],[SKU]],SKU!A:C,3,0)</f>
        <v>PERNA</v>
      </c>
    </row>
    <row r="1347" spans="1:29" x14ac:dyDescent="0.3">
      <c r="A1347" s="2">
        <f>INT(Tabela1[[#This Row],[Data e Hora2]])</f>
        <v>46297</v>
      </c>
      <c r="B1347" s="6" t="str">
        <f>UPPER(TEXT(Tabela1[[#This Row],[Data Corrigida]],"MMM"))</f>
        <v>OUT</v>
      </c>
      <c r="C1347" t="s">
        <v>3000</v>
      </c>
      <c r="D1347" s="2" t="s">
        <v>3001</v>
      </c>
      <c r="E1347" s="1" t="s">
        <v>2991</v>
      </c>
      <c r="F1347" t="s">
        <v>24</v>
      </c>
      <c r="G1347" s="2" t="s">
        <v>2945</v>
      </c>
      <c r="H1347" t="s">
        <v>26</v>
      </c>
      <c r="I1347" t="s">
        <v>57</v>
      </c>
      <c r="J1347" s="6">
        <v>15105</v>
      </c>
      <c r="K1347" s="16">
        <v>1009</v>
      </c>
      <c r="L1347" s="16">
        <v>1002</v>
      </c>
      <c r="M1347" s="16">
        <v>980</v>
      </c>
      <c r="N1347" s="16">
        <v>995</v>
      </c>
      <c r="O1347" s="16">
        <v>1027</v>
      </c>
      <c r="P1347" s="16">
        <v>1027</v>
      </c>
      <c r="Q1347" s="16">
        <v>1013</v>
      </c>
      <c r="R1347" s="16">
        <v>976</v>
      </c>
      <c r="S1347" s="16">
        <v>1032</v>
      </c>
      <c r="T1347" s="16">
        <v>987</v>
      </c>
      <c r="U1347" s="15">
        <v>1004.8</v>
      </c>
      <c r="V1347" t="s">
        <v>19</v>
      </c>
      <c r="W1347" t="s">
        <v>28</v>
      </c>
      <c r="X1347">
        <v>205</v>
      </c>
      <c r="Y1347" s="16">
        <f>VLOOKUP(Tabela1[[#This Row],[SKU]],SKU!A:D,4,0)</f>
        <v>1000</v>
      </c>
      <c r="Z1347" s="18">
        <f>IFERROR((Tabela1[[#This Row],[Média]]-Tabela1[[#This Row],[Meta]])/Tabela1[[#This Row],[Meta]],"")</f>
        <v>4.7999999999999545E-3</v>
      </c>
      <c r="AA1347" s="31">
        <f>Tabela1[[#This Row],[Média]]-Tabela1[[#This Row],[Meta]]</f>
        <v>4.7999999999999545</v>
      </c>
      <c r="AB1347" s="6" t="str">
        <f>VLOOKUP(Tabela1[[#This Row],[SKU]],SKU!A:B,2,0)</f>
        <v>FILE PEITO MET CG BDJ SE</v>
      </c>
      <c r="AC1347" s="6" t="str">
        <f>VLOOKUP(Tabela1[[#This Row],[SKU]],SKU!A:C,3,0)</f>
        <v>PEITO</v>
      </c>
    </row>
    <row r="1348" spans="1:29" x14ac:dyDescent="0.3">
      <c r="A1348" s="2">
        <f>INT(Tabela1[[#This Row],[Data e Hora2]])</f>
        <v>46297</v>
      </c>
      <c r="B1348" s="6" t="str">
        <f>UPPER(TEXT(Tabela1[[#This Row],[Data Corrigida]],"MMM"))</f>
        <v>OUT</v>
      </c>
      <c r="C1348" t="s">
        <v>3002</v>
      </c>
      <c r="D1348" s="2" t="s">
        <v>3003</v>
      </c>
      <c r="E1348" s="1" t="s">
        <v>3004</v>
      </c>
      <c r="F1348" t="s">
        <v>24</v>
      </c>
      <c r="G1348" s="2" t="s">
        <v>2945</v>
      </c>
      <c r="H1348" t="s">
        <v>26</v>
      </c>
      <c r="I1348" t="s">
        <v>57</v>
      </c>
      <c r="J1348" s="6">
        <v>13188</v>
      </c>
      <c r="K1348" s="16">
        <v>999</v>
      </c>
      <c r="L1348" s="16">
        <v>1013</v>
      </c>
      <c r="M1348" s="16">
        <v>1019</v>
      </c>
      <c r="N1348" s="16">
        <v>1015</v>
      </c>
      <c r="O1348" s="16">
        <v>1001</v>
      </c>
      <c r="P1348" s="16">
        <v>1010</v>
      </c>
      <c r="Q1348" s="16">
        <v>997</v>
      </c>
      <c r="R1348" s="16">
        <v>994</v>
      </c>
      <c r="S1348" s="16">
        <v>1003</v>
      </c>
      <c r="T1348" s="16">
        <v>1011</v>
      </c>
      <c r="U1348" s="15">
        <v>1006.2</v>
      </c>
      <c r="V1348" t="s">
        <v>19</v>
      </c>
      <c r="W1348" t="s">
        <v>28</v>
      </c>
      <c r="X1348">
        <v>646</v>
      </c>
      <c r="Y1348" s="16">
        <f>VLOOKUP(Tabela1[[#This Row],[SKU]],SKU!A:D,4,0)</f>
        <v>1000</v>
      </c>
      <c r="Z1348" s="18">
        <f>IFERROR((Tabela1[[#This Row],[Média]]-Tabela1[[#This Row],[Meta]])/Tabela1[[#This Row],[Meta]],"")</f>
        <v>6.2000000000000458E-3</v>
      </c>
      <c r="AA1348" s="31">
        <f>Tabela1[[#This Row],[Média]]-Tabela1[[#This Row],[Meta]]</f>
        <v>6.2000000000000455</v>
      </c>
      <c r="AB1348" s="6" t="str">
        <f>VLOOKUP(Tabela1[[#This Row],[SKU]],SKU!A:B,2,0)</f>
        <v>SOBRECOXA CG BDJ SE</v>
      </c>
      <c r="AC1348" s="6" t="str">
        <f>VLOOKUP(Tabela1[[#This Row],[SKU]],SKU!A:C,3,0)</f>
        <v>PERNA</v>
      </c>
    </row>
    <row r="1349" spans="1:29" x14ac:dyDescent="0.3">
      <c r="A1349" s="2">
        <f>INT(Tabela1[[#This Row],[Data e Hora2]])</f>
        <v>46297</v>
      </c>
      <c r="B1349" s="6" t="str">
        <f>UPPER(TEXT(Tabela1[[#This Row],[Data Corrigida]],"MMM"))</f>
        <v>OUT</v>
      </c>
      <c r="C1349" t="s">
        <v>3005</v>
      </c>
      <c r="D1349" s="2" t="s">
        <v>3006</v>
      </c>
      <c r="E1349" s="1" t="s">
        <v>3004</v>
      </c>
      <c r="F1349" t="s">
        <v>24</v>
      </c>
      <c r="G1349" s="2" t="s">
        <v>2945</v>
      </c>
      <c r="H1349" t="s">
        <v>26</v>
      </c>
      <c r="I1349" t="s">
        <v>57</v>
      </c>
      <c r="J1349" s="6">
        <v>40762</v>
      </c>
      <c r="K1349" s="16">
        <v>9995</v>
      </c>
      <c r="L1349" s="16">
        <v>10055</v>
      </c>
      <c r="M1349" s="16">
        <v>10010</v>
      </c>
      <c r="N1349" s="16">
        <v>10010</v>
      </c>
      <c r="O1349" s="16">
        <v>9995</v>
      </c>
      <c r="P1349" s="16">
        <v>10055</v>
      </c>
      <c r="Q1349" s="16">
        <v>10010</v>
      </c>
      <c r="R1349" s="16">
        <v>10125</v>
      </c>
      <c r="S1349" s="16">
        <v>10005</v>
      </c>
      <c r="T1349" s="16">
        <v>10090</v>
      </c>
      <c r="U1349" s="15">
        <v>10035</v>
      </c>
      <c r="V1349" t="s">
        <v>19</v>
      </c>
      <c r="W1349" t="s">
        <v>28</v>
      </c>
      <c r="X1349">
        <v>1316</v>
      </c>
      <c r="Y1349" s="16">
        <f>VLOOKUP(Tabela1[[#This Row],[SKU]],SKU!A:D,4,0)</f>
        <v>10000</v>
      </c>
      <c r="Z1349" s="18">
        <f>IFERROR((Tabela1[[#This Row],[Média]]-Tabela1[[#This Row],[Meta]])/Tabela1[[#This Row],[Meta]],"")</f>
        <v>3.5000000000000001E-3</v>
      </c>
      <c r="AA1349" s="31">
        <f>Tabela1[[#This Row],[Média]]-Tabela1[[#This Row],[Meta]]</f>
        <v>35</v>
      </c>
      <c r="AB1349" s="6" t="str">
        <f>VLOOKUP(Tabela1[[#This Row],[SKU]],SKU!A:B,2,0)</f>
        <v>COXA SBCX LQ FG LP</v>
      </c>
      <c r="AC1349" s="6" t="str">
        <f>VLOOKUP(Tabela1[[#This Row],[SKU]],SKU!A:C,3,0)</f>
        <v>PERNA</v>
      </c>
    </row>
    <row r="1350" spans="1:29" x14ac:dyDescent="0.3">
      <c r="A1350" s="2">
        <f>INT(Tabela1[[#This Row],[Data e Hora2]])</f>
        <v>46297</v>
      </c>
      <c r="B1350" s="6" t="str">
        <f>UPPER(TEXT(Tabela1[[#This Row],[Data Corrigida]],"MMM"))</f>
        <v>OUT</v>
      </c>
      <c r="C1350" t="s">
        <v>3007</v>
      </c>
      <c r="D1350" s="2" t="s">
        <v>3008</v>
      </c>
      <c r="E1350" s="1" t="s">
        <v>3004</v>
      </c>
      <c r="F1350" t="s">
        <v>24</v>
      </c>
      <c r="G1350" s="2" t="s">
        <v>2945</v>
      </c>
      <c r="H1350" t="s">
        <v>26</v>
      </c>
      <c r="I1350" t="s">
        <v>57</v>
      </c>
      <c r="J1350" s="6">
        <v>963925</v>
      </c>
      <c r="K1350" s="16">
        <v>17980</v>
      </c>
      <c r="L1350" s="16">
        <v>18085</v>
      </c>
      <c r="M1350" s="16">
        <v>17995</v>
      </c>
      <c r="N1350" s="16">
        <v>17885</v>
      </c>
      <c r="O1350" s="16">
        <v>18110</v>
      </c>
      <c r="P1350" s="16">
        <v>18015</v>
      </c>
      <c r="Q1350" s="16">
        <v>18365</v>
      </c>
      <c r="R1350" s="16">
        <v>18325</v>
      </c>
      <c r="S1350" s="16">
        <v>17835</v>
      </c>
      <c r="T1350" s="16">
        <v>17995</v>
      </c>
      <c r="U1350" s="15">
        <v>18059</v>
      </c>
      <c r="V1350" t="s">
        <v>19</v>
      </c>
      <c r="W1350" t="s">
        <v>28</v>
      </c>
      <c r="X1350">
        <v>11847</v>
      </c>
      <c r="Y1350" s="16">
        <f>VLOOKUP(Tabela1[[#This Row],[SKU]],SKU!A:D,4,0)</f>
        <v>18000</v>
      </c>
      <c r="Z1350" s="18">
        <f>IFERROR((Tabela1[[#This Row],[Média]]-Tabela1[[#This Row],[Meta]])/Tabela1[[#This Row],[Meta]],"")</f>
        <v>3.2777777777777779E-3</v>
      </c>
      <c r="AA1350" s="31">
        <f>Tabela1[[#This Row],[Média]]-Tabela1[[#This Row],[Meta]]</f>
        <v>59</v>
      </c>
      <c r="AB1350" s="6" t="str">
        <f>VLOOKUP(Tabela1[[#This Row],[SKU]],SKU!A:B,2,0)</f>
        <v>COXINHA DA ASA FG CG PCT</v>
      </c>
      <c r="AC1350" s="6" t="str">
        <f>VLOOKUP(Tabela1[[#This Row],[SKU]],SKU!A:C,3,0)</f>
        <v>ASA</v>
      </c>
    </row>
    <row r="1351" spans="1:29" x14ac:dyDescent="0.3">
      <c r="A1351" s="2">
        <f>INT(Tabela1[[#This Row],[Data e Hora2]])</f>
        <v>46297</v>
      </c>
      <c r="B1351" s="6" t="str">
        <f>UPPER(TEXT(Tabela1[[#This Row],[Data Corrigida]],"MMM"))</f>
        <v>OUT</v>
      </c>
      <c r="C1351" t="s">
        <v>3009</v>
      </c>
      <c r="D1351" s="2" t="s">
        <v>3010</v>
      </c>
      <c r="E1351" s="1" t="s">
        <v>3011</v>
      </c>
      <c r="F1351" t="s">
        <v>24</v>
      </c>
      <c r="G1351" s="2" t="s">
        <v>2945</v>
      </c>
      <c r="H1351" t="s">
        <v>142</v>
      </c>
      <c r="I1351" t="s">
        <v>462</v>
      </c>
      <c r="J1351" s="6">
        <v>15105</v>
      </c>
      <c r="K1351" s="16">
        <v>990</v>
      </c>
      <c r="L1351" s="16">
        <v>1003</v>
      </c>
      <c r="M1351" s="16">
        <v>1020</v>
      </c>
      <c r="N1351" s="16">
        <v>1009</v>
      </c>
      <c r="O1351" s="16">
        <v>984</v>
      </c>
      <c r="P1351" s="16">
        <v>1048</v>
      </c>
      <c r="Q1351" s="16">
        <v>1013</v>
      </c>
      <c r="R1351" s="16">
        <v>1023</v>
      </c>
      <c r="S1351" s="16">
        <v>1000</v>
      </c>
      <c r="T1351" s="16">
        <v>999</v>
      </c>
      <c r="U1351" s="15">
        <v>1008.9</v>
      </c>
      <c r="V1351" t="s">
        <v>19</v>
      </c>
      <c r="W1351" t="s">
        <v>19</v>
      </c>
      <c r="X1351">
        <v>15168</v>
      </c>
      <c r="Y1351" s="16">
        <f>VLOOKUP(Tabela1[[#This Row],[SKU]],SKU!A:D,4,0)</f>
        <v>1000</v>
      </c>
      <c r="Z1351" s="18">
        <f>IFERROR((Tabela1[[#This Row],[Média]]-Tabela1[[#This Row],[Meta]])/Tabela1[[#This Row],[Meta]],"")</f>
        <v>8.8999999999999774E-3</v>
      </c>
      <c r="AA1351" s="31">
        <f>Tabela1[[#This Row],[Média]]-Tabela1[[#This Row],[Meta]]</f>
        <v>8.8999999999999773</v>
      </c>
      <c r="AB1351" s="6" t="str">
        <f>VLOOKUP(Tabela1[[#This Row],[SKU]],SKU!A:B,2,0)</f>
        <v>FILE PEITO MET CG BDJ SE</v>
      </c>
      <c r="AC1351" s="6" t="str">
        <f>VLOOKUP(Tabela1[[#This Row],[SKU]],SKU!A:C,3,0)</f>
        <v>PEITO</v>
      </c>
    </row>
    <row r="1352" spans="1:29" x14ac:dyDescent="0.3">
      <c r="A1352" s="2">
        <f>INT(Tabela1[[#This Row],[Data e Hora2]])</f>
        <v>46297</v>
      </c>
      <c r="B1352" s="6" t="str">
        <f>UPPER(TEXT(Tabela1[[#This Row],[Data Corrigida]],"MMM"))</f>
        <v>OUT</v>
      </c>
      <c r="C1352" t="s">
        <v>3012</v>
      </c>
      <c r="D1352" s="2" t="s">
        <v>3013</v>
      </c>
      <c r="E1352" s="1" t="s">
        <v>3014</v>
      </c>
      <c r="F1352" t="s">
        <v>24</v>
      </c>
      <c r="G1352" s="2" t="s">
        <v>2945</v>
      </c>
      <c r="H1352" t="s">
        <v>142</v>
      </c>
      <c r="I1352" t="s">
        <v>462</v>
      </c>
      <c r="J1352" s="6">
        <v>209039</v>
      </c>
      <c r="K1352" s="16">
        <v>1008</v>
      </c>
      <c r="L1352" s="16">
        <v>1004</v>
      </c>
      <c r="M1352" s="16">
        <v>1004</v>
      </c>
      <c r="N1352" s="16">
        <v>1005</v>
      </c>
      <c r="O1352" s="16">
        <v>1033</v>
      </c>
      <c r="P1352" s="16">
        <v>1172</v>
      </c>
      <c r="Q1352" s="16">
        <v>1001</v>
      </c>
      <c r="R1352" s="16">
        <v>1030</v>
      </c>
      <c r="S1352" s="16">
        <v>989</v>
      </c>
      <c r="T1352" s="16">
        <v>1003</v>
      </c>
      <c r="U1352" s="15">
        <v>1024.9000000000001</v>
      </c>
      <c r="V1352" t="s">
        <v>19</v>
      </c>
      <c r="W1352" t="s">
        <v>28</v>
      </c>
      <c r="X1352">
        <v>130</v>
      </c>
      <c r="Y1352" s="16">
        <f>VLOOKUP(Tabela1[[#This Row],[SKU]],SKU!A:D,4,0)</f>
        <v>1000</v>
      </c>
      <c r="Z1352" s="18">
        <f>IFERROR((Tabela1[[#This Row],[Média]]-Tabela1[[#This Row],[Meta]])/Tabela1[[#This Row],[Meta]],"")</f>
        <v>2.4900000000000092E-2</v>
      </c>
      <c r="AA1352" s="31">
        <f>Tabela1[[#This Row],[Média]]-Tabela1[[#This Row],[Meta]]</f>
        <v>24.900000000000091</v>
      </c>
      <c r="AB1352" s="6" t="str">
        <f>VLOOKUP(Tabela1[[#This Row],[SKU]],SKU!A:B,2,0)</f>
        <v>COXINHA ASA IQF ALM 1KG</v>
      </c>
      <c r="AC1352" s="6" t="str">
        <f>VLOOKUP(Tabela1[[#This Row],[SKU]],SKU!A:C,3,0)</f>
        <v>ASA</v>
      </c>
    </row>
    <row r="1353" spans="1:29" x14ac:dyDescent="0.3">
      <c r="A1353" s="2">
        <f>INT(Tabela1[[#This Row],[Data e Hora2]])</f>
        <v>46297</v>
      </c>
      <c r="B1353" s="6" t="str">
        <f>UPPER(TEXT(Tabela1[[#This Row],[Data Corrigida]],"MMM"))</f>
        <v>OUT</v>
      </c>
      <c r="C1353" t="s">
        <v>3015</v>
      </c>
      <c r="D1353" s="2" t="s">
        <v>3016</v>
      </c>
      <c r="E1353" s="1" t="s">
        <v>3017</v>
      </c>
      <c r="F1353" t="s">
        <v>24</v>
      </c>
      <c r="G1353" s="2" t="s">
        <v>2945</v>
      </c>
      <c r="H1353" t="s">
        <v>142</v>
      </c>
      <c r="I1353" t="s">
        <v>462</v>
      </c>
      <c r="J1353" s="6">
        <v>50580</v>
      </c>
      <c r="K1353" s="16">
        <v>1987</v>
      </c>
      <c r="L1353" s="16">
        <v>2005</v>
      </c>
      <c r="M1353" s="16">
        <v>2028</v>
      </c>
      <c r="N1353" s="16">
        <v>2027</v>
      </c>
      <c r="O1353" s="16">
        <v>2065</v>
      </c>
      <c r="P1353" s="16">
        <v>2091</v>
      </c>
      <c r="Q1353" s="16">
        <v>2104</v>
      </c>
      <c r="R1353" s="16">
        <v>1995</v>
      </c>
      <c r="S1353" s="16">
        <v>2088</v>
      </c>
      <c r="T1353" s="16">
        <v>2084</v>
      </c>
      <c r="U1353" s="15">
        <v>2047.4</v>
      </c>
      <c r="V1353" t="s">
        <v>19</v>
      </c>
      <c r="W1353" t="s">
        <v>28</v>
      </c>
      <c r="X1353">
        <v>16022</v>
      </c>
      <c r="Y1353" s="16">
        <f>VLOOKUP(Tabela1[[#This Row],[SKU]],SKU!A:D,4,0)</f>
        <v>2000</v>
      </c>
      <c r="Z1353" s="18">
        <f>IFERROR((Tabela1[[#This Row],[Média]]-Tabela1[[#This Row],[Meta]])/Tabela1[[#This Row],[Meta]],"")</f>
        <v>2.3700000000000044E-2</v>
      </c>
      <c r="AA1353" s="31">
        <f>Tabela1[[#This Row],[Média]]-Tabela1[[#This Row],[Meta]]</f>
        <v>47.400000000000091</v>
      </c>
      <c r="AB1353" s="6" t="str">
        <f>VLOOKUP(Tabela1[[#This Row],[SKU]],SKU!A:B,2,0)</f>
        <v>COXA SBCX S/O FG 200g UP PB</v>
      </c>
      <c r="AC1353" s="6" t="str">
        <f>VLOOKUP(Tabela1[[#This Row],[SKU]],SKU!A:C,3,0)</f>
        <v>PERNA</v>
      </c>
    </row>
    <row r="1354" spans="1:29" x14ac:dyDescent="0.3">
      <c r="A1354" s="2">
        <f>INT(Tabela1[[#This Row],[Data e Hora2]])</f>
        <v>46297</v>
      </c>
      <c r="B1354" s="6" t="str">
        <f>UPPER(TEXT(Tabela1[[#This Row],[Data Corrigida]],"MMM"))</f>
        <v>OUT</v>
      </c>
      <c r="C1354" t="s">
        <v>3018</v>
      </c>
      <c r="D1354" s="2" t="s">
        <v>3019</v>
      </c>
      <c r="E1354" s="1" t="s">
        <v>3017</v>
      </c>
      <c r="F1354" t="s">
        <v>24</v>
      </c>
      <c r="G1354" s="2" t="s">
        <v>2945</v>
      </c>
      <c r="H1354" t="s">
        <v>142</v>
      </c>
      <c r="I1354" t="s">
        <v>462</v>
      </c>
      <c r="J1354" s="6">
        <v>42862</v>
      </c>
      <c r="K1354" s="16">
        <v>2046</v>
      </c>
      <c r="L1354" s="16">
        <v>2054</v>
      </c>
      <c r="M1354" s="16">
        <v>2016</v>
      </c>
      <c r="N1354" s="16">
        <v>2016</v>
      </c>
      <c r="O1354" s="16">
        <v>2024</v>
      </c>
      <c r="P1354" s="16">
        <v>2029</v>
      </c>
      <c r="Q1354" s="16">
        <v>2038</v>
      </c>
      <c r="R1354" s="16">
        <v>2066</v>
      </c>
      <c r="S1354" s="16">
        <v>2025</v>
      </c>
      <c r="T1354" s="16">
        <v>2068</v>
      </c>
      <c r="U1354" s="15">
        <v>2038.2</v>
      </c>
      <c r="V1354" t="s">
        <v>19</v>
      </c>
      <c r="W1354" t="s">
        <v>28</v>
      </c>
      <c r="X1354">
        <v>16364</v>
      </c>
      <c r="Y1354" s="16">
        <f>VLOOKUP(Tabela1[[#This Row],[SKU]],SKU!A:D,4,0)</f>
        <v>2000</v>
      </c>
      <c r="Z1354" s="18">
        <f>IFERROR((Tabela1[[#This Row],[Média]]-Tabela1[[#This Row],[Meta]])/Tabela1[[#This Row],[Meta]],"")</f>
        <v>1.9100000000000023E-2</v>
      </c>
      <c r="AA1354" s="31">
        <f>Tabela1[[#This Row],[Média]]-Tabela1[[#This Row],[Meta]]</f>
        <v>38.200000000000045</v>
      </c>
      <c r="AB1354" s="6" t="str">
        <f>VLOOKUP(Tabela1[[#This Row],[SKU]],SKU!A:B,2,0)</f>
        <v>COXA SBCX S/O FG 280-300g PB</v>
      </c>
      <c r="AC1354" s="6" t="str">
        <f>VLOOKUP(Tabela1[[#This Row],[SKU]],SKU!A:C,3,0)</f>
        <v>PERNA</v>
      </c>
    </row>
    <row r="1355" spans="1:29" x14ac:dyDescent="0.3">
      <c r="A1355" s="2">
        <f>INT(Tabela1[[#This Row],[Data e Hora2]])</f>
        <v>46296</v>
      </c>
      <c r="B1355" s="6" t="str">
        <f>UPPER(TEXT(Tabela1[[#This Row],[Data Corrigida]],"MMM"))</f>
        <v>OUT</v>
      </c>
      <c r="C1355" t="s">
        <v>3020</v>
      </c>
      <c r="D1355" s="2" t="s">
        <v>3021</v>
      </c>
      <c r="E1355" s="1" t="s">
        <v>3017</v>
      </c>
      <c r="F1355" t="s">
        <v>24</v>
      </c>
      <c r="G1355" s="2" t="s">
        <v>2820</v>
      </c>
      <c r="H1355" t="s">
        <v>142</v>
      </c>
      <c r="I1355" t="s">
        <v>462</v>
      </c>
      <c r="J1355" s="6">
        <v>864048</v>
      </c>
      <c r="K1355" s="16">
        <v>2003</v>
      </c>
      <c r="L1355" s="16">
        <v>2023</v>
      </c>
      <c r="M1355" s="16">
        <v>2055</v>
      </c>
      <c r="N1355" s="16">
        <v>2016</v>
      </c>
      <c r="O1355" s="16">
        <v>2013</v>
      </c>
      <c r="P1355" s="16">
        <v>2072</v>
      </c>
      <c r="Q1355" s="16">
        <v>2069</v>
      </c>
      <c r="R1355" s="16">
        <v>2002</v>
      </c>
      <c r="S1355" s="16">
        <v>2113</v>
      </c>
      <c r="T1355" s="16">
        <v>2025</v>
      </c>
      <c r="U1355" s="15">
        <v>2039.1</v>
      </c>
      <c r="V1355" t="s">
        <v>19</v>
      </c>
      <c r="W1355" t="s">
        <v>28</v>
      </c>
      <c r="X1355">
        <v>96030</v>
      </c>
      <c r="Y1355" s="16">
        <f>VLOOKUP(Tabela1[[#This Row],[SKU]],SKU!A:D,4,0)</f>
        <v>2000</v>
      </c>
      <c r="Z1355" s="18">
        <f>IFERROR((Tabela1[[#This Row],[Média]]-Tabela1[[#This Row],[Meta]])/Tabela1[[#This Row],[Meta]],"")</f>
        <v>1.9549999999999953E-2</v>
      </c>
      <c r="AA1355" s="31">
        <f>Tabela1[[#This Row],[Média]]-Tabela1[[#This Row],[Meta]]</f>
        <v>39.099999999999909</v>
      </c>
      <c r="AB1355" s="6" t="str">
        <f>VLOOKUP(Tabela1[[#This Row],[SKU]],SKU!A:B,2,0)</f>
        <v>COXA SBCX S/O 200g FG UP PB</v>
      </c>
      <c r="AC1355" s="6" t="str">
        <f>VLOOKUP(Tabela1[[#This Row],[SKU]],SKU!A:C,3,0)</f>
        <v>PERNA</v>
      </c>
    </row>
    <row r="1356" spans="1:29" x14ac:dyDescent="0.3">
      <c r="A1356" s="2">
        <f>INT(Tabela1[[#This Row],[Data e Hora2]])</f>
        <v>46296</v>
      </c>
      <c r="B1356" s="6" t="str">
        <f>UPPER(TEXT(Tabela1[[#This Row],[Data Corrigida]],"MMM"))</f>
        <v>OUT</v>
      </c>
      <c r="C1356" t="s">
        <v>3022</v>
      </c>
      <c r="D1356" s="2" t="s">
        <v>3023</v>
      </c>
      <c r="E1356" s="1" t="s">
        <v>3017</v>
      </c>
      <c r="F1356" t="s">
        <v>24</v>
      </c>
      <c r="G1356" s="2" t="s">
        <v>2820</v>
      </c>
      <c r="H1356" t="s">
        <v>142</v>
      </c>
      <c r="I1356" t="s">
        <v>462</v>
      </c>
      <c r="J1356" s="6">
        <v>42862</v>
      </c>
      <c r="K1356" s="16">
        <v>2086</v>
      </c>
      <c r="L1356" s="16">
        <v>2031</v>
      </c>
      <c r="M1356" s="16">
        <v>2043</v>
      </c>
      <c r="N1356" s="16">
        <v>2027</v>
      </c>
      <c r="O1356" s="16">
        <v>2040</v>
      </c>
      <c r="P1356" s="16">
        <v>2025</v>
      </c>
      <c r="Q1356" s="16">
        <v>2059</v>
      </c>
      <c r="R1356" s="16">
        <v>2034</v>
      </c>
      <c r="S1356" s="16">
        <v>2048</v>
      </c>
      <c r="T1356" s="16">
        <v>2078</v>
      </c>
      <c r="U1356" s="15">
        <v>2047.1</v>
      </c>
      <c r="V1356" t="s">
        <v>19</v>
      </c>
      <c r="W1356" t="s">
        <v>28</v>
      </c>
      <c r="X1356">
        <v>96289</v>
      </c>
      <c r="Y1356" s="16">
        <f>VLOOKUP(Tabela1[[#This Row],[SKU]],SKU!A:D,4,0)</f>
        <v>2000</v>
      </c>
      <c r="Z1356" s="18">
        <f>IFERROR((Tabela1[[#This Row],[Média]]-Tabela1[[#This Row],[Meta]])/Tabela1[[#This Row],[Meta]],"")</f>
        <v>2.3549999999999953E-2</v>
      </c>
      <c r="AA1356" s="31">
        <f>Tabela1[[#This Row],[Média]]-Tabela1[[#This Row],[Meta]]</f>
        <v>47.099999999999909</v>
      </c>
      <c r="AB1356" s="6" t="str">
        <f>VLOOKUP(Tabela1[[#This Row],[SKU]],SKU!A:B,2,0)</f>
        <v>COXA SBCX S/O FG 280-300g PB</v>
      </c>
      <c r="AC1356" s="6" t="str">
        <f>VLOOKUP(Tabela1[[#This Row],[SKU]],SKU!A:C,3,0)</f>
        <v>PERNA</v>
      </c>
    </row>
    <row r="1357" spans="1:29" x14ac:dyDescent="0.3">
      <c r="A1357" s="2">
        <f>INT(Tabela1[[#This Row],[Data e Hora2]])</f>
        <v>46297</v>
      </c>
      <c r="B1357" s="6" t="str">
        <f>UPPER(TEXT(Tabela1[[#This Row],[Data Corrigida]],"MMM"))</f>
        <v>OUT</v>
      </c>
      <c r="C1357" t="s">
        <v>3024</v>
      </c>
      <c r="D1357" s="2" t="s">
        <v>3025</v>
      </c>
      <c r="E1357" s="1" t="s">
        <v>3026</v>
      </c>
      <c r="F1357" t="s">
        <v>24</v>
      </c>
      <c r="G1357" s="2" t="s">
        <v>2945</v>
      </c>
      <c r="H1357" t="s">
        <v>142</v>
      </c>
      <c r="I1357" t="s">
        <v>462</v>
      </c>
      <c r="J1357" s="6">
        <v>42846</v>
      </c>
      <c r="K1357" s="16">
        <v>2039</v>
      </c>
      <c r="L1357" s="16">
        <v>2011</v>
      </c>
      <c r="M1357" s="16">
        <v>2016</v>
      </c>
      <c r="N1357" s="16">
        <v>2070</v>
      </c>
      <c r="O1357" s="16">
        <v>2037</v>
      </c>
      <c r="P1357" s="16">
        <v>2060</v>
      </c>
      <c r="Q1357" s="16">
        <v>2005</v>
      </c>
      <c r="R1357" s="16">
        <v>2001</v>
      </c>
      <c r="S1357" s="16">
        <v>1987</v>
      </c>
      <c r="T1357" s="16">
        <v>1990</v>
      </c>
      <c r="U1357" s="15">
        <v>2021.6</v>
      </c>
      <c r="V1357" t="s">
        <v>19</v>
      </c>
      <c r="W1357" t="s">
        <v>28</v>
      </c>
      <c r="X1357">
        <v>499</v>
      </c>
      <c r="Y1357" s="16">
        <f>VLOOKUP(Tabela1[[#This Row],[SKU]],SKU!A:D,4,0)</f>
        <v>2000</v>
      </c>
      <c r="Z1357" s="18">
        <f>IFERROR((Tabela1[[#This Row],[Média]]-Tabela1[[#This Row],[Meta]])/Tabela1[[#This Row],[Meta]],"")</f>
        <v>1.0799999999999954E-2</v>
      </c>
      <c r="AA1357" s="31">
        <f>Tabela1[[#This Row],[Média]]-Tabela1[[#This Row],[Meta]]</f>
        <v>21.599999999999909</v>
      </c>
      <c r="AB1357" s="6" t="str">
        <f>VLOOKUP(Tabela1[[#This Row],[SKU]],SKU!A:B,2,0)</f>
        <v>COXA SBCX S/O FG 240-260g PB</v>
      </c>
      <c r="AC1357" s="6" t="str">
        <f>VLOOKUP(Tabela1[[#This Row],[SKU]],SKU!A:C,3,0)</f>
        <v>PERNA</v>
      </c>
    </row>
    <row r="1358" spans="1:29" x14ac:dyDescent="0.3">
      <c r="A1358" s="2">
        <f>INT(Tabela1[[#This Row],[Data e Hora2]])</f>
        <v>46297</v>
      </c>
      <c r="B1358" s="6" t="str">
        <f>UPPER(TEXT(Tabela1[[#This Row],[Data Corrigida]],"MMM"))</f>
        <v>OUT</v>
      </c>
      <c r="C1358" t="s">
        <v>3027</v>
      </c>
      <c r="D1358" s="2" t="s">
        <v>3028</v>
      </c>
      <c r="E1358" s="1" t="s">
        <v>3026</v>
      </c>
      <c r="F1358" t="s">
        <v>24</v>
      </c>
      <c r="G1358" s="2" t="s">
        <v>2945</v>
      </c>
      <c r="H1358" t="s">
        <v>142</v>
      </c>
      <c r="I1358" t="s">
        <v>462</v>
      </c>
      <c r="J1358" s="6">
        <v>42854</v>
      </c>
      <c r="K1358" s="16">
        <v>2159</v>
      </c>
      <c r="L1358" s="16">
        <v>2124</v>
      </c>
      <c r="M1358" s="16">
        <v>2003</v>
      </c>
      <c r="N1358" s="16">
        <v>2150</v>
      </c>
      <c r="O1358" s="16">
        <v>2130</v>
      </c>
      <c r="P1358" s="16">
        <v>1864</v>
      </c>
      <c r="Q1358" s="16">
        <v>2170</v>
      </c>
      <c r="R1358" s="16">
        <v>2223</v>
      </c>
      <c r="S1358" s="16">
        <v>2154</v>
      </c>
      <c r="T1358" s="16">
        <v>2189</v>
      </c>
      <c r="U1358" s="15">
        <v>2116.6</v>
      </c>
      <c r="V1358" t="s">
        <v>19</v>
      </c>
      <c r="W1358" t="s">
        <v>28</v>
      </c>
      <c r="X1358">
        <v>822</v>
      </c>
      <c r="Y1358" s="16">
        <f>VLOOKUP(Tabela1[[#This Row],[SKU]],SKU!A:D,4,0)</f>
        <v>2080</v>
      </c>
      <c r="Z1358" s="18">
        <f>IFERROR((Tabela1[[#This Row],[Média]]-Tabela1[[#This Row],[Meta]])/Tabela1[[#This Row],[Meta]],"")</f>
        <v>1.7596153846153803E-2</v>
      </c>
      <c r="AA1358" s="31">
        <f>Tabela1[[#This Row],[Média]]-Tabela1[[#This Row],[Meta]]</f>
        <v>36.599999999999909</v>
      </c>
      <c r="AB1358" s="6" t="str">
        <f>VLOOKUP(Tabela1[[#This Row],[SKU]],SKU!A:B,2,0)</f>
        <v>COXA SBCX S/O FG 260-280g PB</v>
      </c>
      <c r="AC1358" s="6" t="str">
        <f>VLOOKUP(Tabela1[[#This Row],[SKU]],SKU!A:C,3,0)</f>
        <v>PERNA</v>
      </c>
    </row>
    <row r="1359" spans="1:29" x14ac:dyDescent="0.3">
      <c r="A1359" s="2">
        <f>INT(Tabela1[[#This Row],[Data e Hora2]])</f>
        <v>46297</v>
      </c>
      <c r="B1359" s="6" t="str">
        <f>UPPER(TEXT(Tabela1[[#This Row],[Data Corrigida]],"MMM"))</f>
        <v>OUT</v>
      </c>
      <c r="C1359" t="s">
        <v>3029</v>
      </c>
      <c r="D1359" s="2" t="s">
        <v>3030</v>
      </c>
      <c r="E1359" s="1" t="s">
        <v>3026</v>
      </c>
      <c r="F1359" t="s">
        <v>24</v>
      </c>
      <c r="G1359" s="2" t="s">
        <v>2945</v>
      </c>
      <c r="H1359" t="s">
        <v>142</v>
      </c>
      <c r="I1359" t="s">
        <v>462</v>
      </c>
      <c r="J1359" s="6">
        <v>54632</v>
      </c>
      <c r="K1359" s="16">
        <v>999</v>
      </c>
      <c r="L1359" s="16">
        <v>1008</v>
      </c>
      <c r="M1359" s="16">
        <v>993</v>
      </c>
      <c r="N1359" s="16">
        <v>992</v>
      </c>
      <c r="O1359" s="16">
        <v>1014</v>
      </c>
      <c r="P1359" s="16">
        <v>1013</v>
      </c>
      <c r="Q1359" s="16">
        <v>991</v>
      </c>
      <c r="R1359" s="16">
        <v>1021</v>
      </c>
      <c r="S1359" s="16">
        <v>1012</v>
      </c>
      <c r="T1359" s="16">
        <v>1017</v>
      </c>
      <c r="U1359" s="15">
        <v>1006</v>
      </c>
      <c r="V1359" t="s">
        <v>19</v>
      </c>
      <c r="W1359" t="s">
        <v>28</v>
      </c>
      <c r="X1359">
        <v>1153</v>
      </c>
      <c r="Y1359" s="16">
        <f>VLOOKUP(Tabela1[[#This Row],[SKU]],SKU!A:D,4,0)</f>
        <v>1000</v>
      </c>
      <c r="Z1359" s="18">
        <f>IFERROR((Tabela1[[#This Row],[Média]]-Tabela1[[#This Row],[Meta]])/Tabela1[[#This Row],[Meta]],"")</f>
        <v>6.0000000000000001E-3</v>
      </c>
      <c r="AA1359" s="31">
        <f>Tabela1[[#This Row],[Média]]-Tabela1[[#This Row],[Meta]]</f>
        <v>6</v>
      </c>
      <c r="AB1359" s="6" t="str">
        <f>VLOOKUP(Tabela1[[#This Row],[SKU]],SKU!A:B,2,0)</f>
        <v>COXA SBCX S/O BDJ CG</v>
      </c>
      <c r="AC1359" s="6" t="str">
        <f>VLOOKUP(Tabela1[[#This Row],[SKU]],SKU!A:C,3,0)</f>
        <v>PERNA</v>
      </c>
    </row>
    <row r="1360" spans="1:29" x14ac:dyDescent="0.3">
      <c r="A1360" s="2">
        <f>INT(Tabela1[[#This Row],[Data e Hora2]])</f>
        <v>46297</v>
      </c>
      <c r="B1360" s="6" t="str">
        <f>UPPER(TEXT(Tabela1[[#This Row],[Data Corrigida]],"MMM"))</f>
        <v>OUT</v>
      </c>
      <c r="C1360" t="s">
        <v>3031</v>
      </c>
      <c r="D1360" s="2" t="s">
        <v>3032</v>
      </c>
      <c r="E1360" s="1" t="s">
        <v>3026</v>
      </c>
      <c r="F1360" t="s">
        <v>24</v>
      </c>
      <c r="G1360" s="2" t="s">
        <v>2945</v>
      </c>
      <c r="H1360" t="s">
        <v>142</v>
      </c>
      <c r="I1360" t="s">
        <v>462</v>
      </c>
      <c r="J1360" s="6">
        <v>54632</v>
      </c>
      <c r="K1360" s="16">
        <v>992</v>
      </c>
      <c r="L1360" s="16">
        <v>1010</v>
      </c>
      <c r="M1360" s="16">
        <v>1009</v>
      </c>
      <c r="N1360" s="16">
        <v>1011</v>
      </c>
      <c r="O1360" s="16">
        <v>996</v>
      </c>
      <c r="P1360" s="16">
        <v>997</v>
      </c>
      <c r="Q1360" s="16">
        <v>1003</v>
      </c>
      <c r="R1360" s="16">
        <v>1025</v>
      </c>
      <c r="S1360" s="16">
        <v>1009</v>
      </c>
      <c r="T1360" s="16">
        <v>1007</v>
      </c>
      <c r="U1360" s="15">
        <v>1005.9</v>
      </c>
      <c r="V1360" t="s">
        <v>19</v>
      </c>
      <c r="W1360" t="s">
        <v>28</v>
      </c>
      <c r="X1360">
        <v>1334</v>
      </c>
      <c r="Y1360" s="16">
        <f>VLOOKUP(Tabela1[[#This Row],[SKU]],SKU!A:D,4,0)</f>
        <v>1000</v>
      </c>
      <c r="Z1360" s="18">
        <f>IFERROR((Tabela1[[#This Row],[Média]]-Tabela1[[#This Row],[Meta]])/Tabela1[[#This Row],[Meta]],"")</f>
        <v>5.8999999999999773E-3</v>
      </c>
      <c r="AA1360" s="31">
        <f>Tabela1[[#This Row],[Média]]-Tabela1[[#This Row],[Meta]]</f>
        <v>5.8999999999999773</v>
      </c>
      <c r="AB1360" s="6" t="str">
        <f>VLOOKUP(Tabela1[[#This Row],[SKU]],SKU!A:B,2,0)</f>
        <v>COXA SBCX S/O BDJ CG</v>
      </c>
      <c r="AC1360" s="6" t="str">
        <f>VLOOKUP(Tabela1[[#This Row],[SKU]],SKU!A:C,3,0)</f>
        <v>PERNA</v>
      </c>
    </row>
    <row r="1361" spans="1:29" x14ac:dyDescent="0.3">
      <c r="A1361" s="2">
        <f>INT(Tabela1[[#This Row],[Data e Hora2]])</f>
        <v>46296</v>
      </c>
      <c r="B1361" s="6" t="str">
        <f>UPPER(TEXT(Tabela1[[#This Row],[Data Corrigida]],"MMM"))</f>
        <v>OUT</v>
      </c>
      <c r="C1361" t="s">
        <v>3033</v>
      </c>
      <c r="D1361" s="2" t="s">
        <v>3034</v>
      </c>
      <c r="E1361" s="1" t="s">
        <v>3026</v>
      </c>
      <c r="F1361" t="s">
        <v>24</v>
      </c>
      <c r="G1361" s="2" t="s">
        <v>2820</v>
      </c>
      <c r="H1361" t="s">
        <v>142</v>
      </c>
      <c r="I1361" t="s">
        <v>462</v>
      </c>
      <c r="J1361" s="6">
        <v>209039</v>
      </c>
      <c r="K1361" s="16">
        <v>1001</v>
      </c>
      <c r="L1361" s="16">
        <v>1002</v>
      </c>
      <c r="M1361" s="16">
        <v>1000</v>
      </c>
      <c r="N1361" s="16">
        <v>1023</v>
      </c>
      <c r="O1361" s="16">
        <v>1004</v>
      </c>
      <c r="P1361" s="16">
        <v>1002</v>
      </c>
      <c r="Q1361" s="16">
        <v>1001</v>
      </c>
      <c r="R1361" s="16">
        <v>997</v>
      </c>
      <c r="S1361" s="16">
        <v>1002</v>
      </c>
      <c r="T1361" s="16">
        <v>1002</v>
      </c>
      <c r="U1361" s="15">
        <v>1003.4</v>
      </c>
      <c r="V1361" t="s">
        <v>19</v>
      </c>
      <c r="W1361" t="s">
        <v>28</v>
      </c>
      <c r="X1361">
        <v>262</v>
      </c>
      <c r="Y1361" s="16">
        <f>VLOOKUP(Tabela1[[#This Row],[SKU]],SKU!A:D,4,0)</f>
        <v>1000</v>
      </c>
      <c r="Z1361" s="18">
        <f>IFERROR((Tabela1[[#This Row],[Média]]-Tabela1[[#This Row],[Meta]])/Tabela1[[#This Row],[Meta]],"")</f>
        <v>3.3999999999999773E-3</v>
      </c>
      <c r="AA1361" s="31">
        <f>Tabela1[[#This Row],[Média]]-Tabela1[[#This Row],[Meta]]</f>
        <v>3.3999999999999773</v>
      </c>
      <c r="AB1361" s="6" t="str">
        <f>VLOOKUP(Tabela1[[#This Row],[SKU]],SKU!A:B,2,0)</f>
        <v>COXINHA ASA IQF ALM 1KG</v>
      </c>
      <c r="AC1361" s="6" t="str">
        <f>VLOOKUP(Tabela1[[#This Row],[SKU]],SKU!A:C,3,0)</f>
        <v>ASA</v>
      </c>
    </row>
    <row r="1362" spans="1:29" x14ac:dyDescent="0.3">
      <c r="A1362" s="2">
        <f>INT(Tabela1[[#This Row],[Data e Hora2]])</f>
        <v>46303</v>
      </c>
      <c r="B1362" s="6" t="str">
        <f>UPPER(TEXT(Tabela1[[#This Row],[Data Corrigida]],"MMM"))</f>
        <v>OUT</v>
      </c>
      <c r="C1362" t="s">
        <v>3035</v>
      </c>
      <c r="D1362" s="2" t="s">
        <v>3036</v>
      </c>
      <c r="E1362" s="1" t="s">
        <v>3037</v>
      </c>
      <c r="F1362" t="s">
        <v>24</v>
      </c>
      <c r="G1362" s="2" t="s">
        <v>3038</v>
      </c>
      <c r="H1362" t="s">
        <v>142</v>
      </c>
      <c r="I1362" t="s">
        <v>462</v>
      </c>
      <c r="J1362" s="6">
        <v>13188</v>
      </c>
      <c r="K1362" s="16">
        <v>1007</v>
      </c>
      <c r="L1362" s="16">
        <v>993</v>
      </c>
      <c r="M1362" s="16">
        <v>1007</v>
      </c>
      <c r="N1362" s="16">
        <v>1006</v>
      </c>
      <c r="O1362" s="16">
        <v>1017</v>
      </c>
      <c r="P1362" s="16">
        <v>1018</v>
      </c>
      <c r="Q1362" s="16">
        <v>1007</v>
      </c>
      <c r="R1362" s="16">
        <v>989</v>
      </c>
      <c r="S1362" s="16">
        <v>1020</v>
      </c>
      <c r="T1362" s="16">
        <v>1006</v>
      </c>
      <c r="U1362" s="15">
        <v>1007</v>
      </c>
      <c r="V1362" t="s">
        <v>19</v>
      </c>
      <c r="W1362" t="s">
        <v>28</v>
      </c>
      <c r="X1362">
        <v>201</v>
      </c>
      <c r="Y1362" s="16">
        <f>VLOOKUP(Tabela1[[#This Row],[SKU]],SKU!A:D,4,0)</f>
        <v>1000</v>
      </c>
      <c r="Z1362" s="18">
        <f>IFERROR((Tabela1[[#This Row],[Média]]-Tabela1[[#This Row],[Meta]])/Tabela1[[#This Row],[Meta]],"")</f>
        <v>7.0000000000000001E-3</v>
      </c>
      <c r="AA1362" s="31">
        <f>Tabela1[[#This Row],[Média]]-Tabela1[[#This Row],[Meta]]</f>
        <v>7</v>
      </c>
      <c r="AB1362" s="6" t="str">
        <f>VLOOKUP(Tabela1[[#This Row],[SKU]],SKU!A:B,2,0)</f>
        <v>SOBRECOXA CG BDJ SE</v>
      </c>
      <c r="AC1362" s="6" t="str">
        <f>VLOOKUP(Tabela1[[#This Row],[SKU]],SKU!A:C,3,0)</f>
        <v>PERNA</v>
      </c>
    </row>
    <row r="1363" spans="1:29" x14ac:dyDescent="0.3">
      <c r="A1363" s="2">
        <f>INT(Tabela1[[#This Row],[Data e Hora2]])</f>
        <v>46303</v>
      </c>
      <c r="B1363" s="6" t="str">
        <f>UPPER(TEXT(Tabela1[[#This Row],[Data Corrigida]],"MMM"))</f>
        <v>OUT</v>
      </c>
      <c r="C1363" t="s">
        <v>3039</v>
      </c>
      <c r="D1363" s="2" t="s">
        <v>3040</v>
      </c>
      <c r="E1363" s="1" t="s">
        <v>3037</v>
      </c>
      <c r="F1363" t="s">
        <v>24</v>
      </c>
      <c r="G1363" s="2" t="s">
        <v>3038</v>
      </c>
      <c r="H1363" t="s">
        <v>142</v>
      </c>
      <c r="I1363" t="s">
        <v>462</v>
      </c>
      <c r="J1363" s="6">
        <v>793124</v>
      </c>
      <c r="K1363" s="16">
        <v>2010</v>
      </c>
      <c r="L1363" s="16">
        <v>2001</v>
      </c>
      <c r="M1363" s="16">
        <v>2003</v>
      </c>
      <c r="N1363" s="16">
        <v>2007</v>
      </c>
      <c r="O1363" s="16">
        <v>2007</v>
      </c>
      <c r="P1363" s="16">
        <v>2006</v>
      </c>
      <c r="Q1363" s="16">
        <v>2000</v>
      </c>
      <c r="R1363" s="16">
        <v>1999</v>
      </c>
      <c r="S1363" s="16">
        <v>2002</v>
      </c>
      <c r="T1363" s="16">
        <v>1998</v>
      </c>
      <c r="U1363" s="15">
        <v>2003.3</v>
      </c>
      <c r="V1363" t="s">
        <v>19</v>
      </c>
      <c r="W1363" t="s">
        <v>28</v>
      </c>
      <c r="X1363">
        <v>436</v>
      </c>
      <c r="Y1363" s="16">
        <f>VLOOKUP(Tabela1[[#This Row],[SKU]],SKU!A:D,4,0)</f>
        <v>2000</v>
      </c>
      <c r="Z1363" s="18">
        <f>IFERROR((Tabela1[[#This Row],[Média]]-Tabela1[[#This Row],[Meta]])/Tabela1[[#This Row],[Meta]],"")</f>
        <v>1.6499999999999772E-3</v>
      </c>
      <c r="AA1363" s="31">
        <f>Tabela1[[#This Row],[Média]]-Tabela1[[#This Row],[Meta]]</f>
        <v>3.2999999999999545</v>
      </c>
      <c r="AB1363" s="6" t="str">
        <f>VLOOKUP(Tabela1[[#This Row],[SKU]],SKU!A:B,2,0)</f>
        <v>CARTILAGEM JOELHO FG PB</v>
      </c>
      <c r="AC1363" s="6" t="str">
        <f>VLOOKUP(Tabela1[[#This Row],[SKU]],SKU!A:C,3,0)</f>
        <v>CARTILAGEM PERNA</v>
      </c>
    </row>
    <row r="1364" spans="1:29" x14ac:dyDescent="0.3">
      <c r="A1364" s="2">
        <f>INT(Tabela1[[#This Row],[Data e Hora2]])</f>
        <v>46303</v>
      </c>
      <c r="B1364" s="6" t="str">
        <f>UPPER(TEXT(Tabela1[[#This Row],[Data Corrigida]],"MMM"))</f>
        <v>OUT</v>
      </c>
      <c r="C1364" t="s">
        <v>3041</v>
      </c>
      <c r="D1364" s="2" t="s">
        <v>3042</v>
      </c>
      <c r="E1364" s="1" t="s">
        <v>3037</v>
      </c>
      <c r="F1364" t="s">
        <v>24</v>
      </c>
      <c r="G1364" s="2" t="s">
        <v>3038</v>
      </c>
      <c r="H1364" t="s">
        <v>142</v>
      </c>
      <c r="I1364" t="s">
        <v>462</v>
      </c>
      <c r="J1364" s="6">
        <v>42846</v>
      </c>
      <c r="K1364" s="16">
        <v>2006</v>
      </c>
      <c r="L1364" s="16">
        <v>2003</v>
      </c>
      <c r="M1364" s="16">
        <v>2003</v>
      </c>
      <c r="N1364" s="16">
        <v>1994</v>
      </c>
      <c r="O1364" s="16">
        <v>2012</v>
      </c>
      <c r="P1364" s="16">
        <v>2004</v>
      </c>
      <c r="Q1364" s="16">
        <v>1993</v>
      </c>
      <c r="R1364" s="16">
        <v>2068</v>
      </c>
      <c r="S1364" s="16">
        <v>2022</v>
      </c>
      <c r="T1364" s="16">
        <v>2016</v>
      </c>
      <c r="U1364" s="15">
        <v>2012.1</v>
      </c>
      <c r="V1364" t="s">
        <v>19</v>
      </c>
      <c r="W1364" t="s">
        <v>28</v>
      </c>
      <c r="X1364">
        <v>758</v>
      </c>
      <c r="Y1364" s="16">
        <f>VLOOKUP(Tabela1[[#This Row],[SKU]],SKU!A:D,4,0)</f>
        <v>2000</v>
      </c>
      <c r="Z1364" s="18">
        <f>IFERROR((Tabela1[[#This Row],[Média]]-Tabela1[[#This Row],[Meta]])/Tabela1[[#This Row],[Meta]],"")</f>
        <v>6.0499999999999547E-3</v>
      </c>
      <c r="AA1364" s="31">
        <f>Tabela1[[#This Row],[Média]]-Tabela1[[#This Row],[Meta]]</f>
        <v>12.099999999999909</v>
      </c>
      <c r="AB1364" s="6" t="str">
        <f>VLOOKUP(Tabela1[[#This Row],[SKU]],SKU!A:B,2,0)</f>
        <v>COXA SBCX S/O FG 240-260g PB</v>
      </c>
      <c r="AC1364" s="6" t="str">
        <f>VLOOKUP(Tabela1[[#This Row],[SKU]],SKU!A:C,3,0)</f>
        <v>PERNA</v>
      </c>
    </row>
    <row r="1365" spans="1:29" x14ac:dyDescent="0.3">
      <c r="A1365" s="2">
        <f>INT(Tabela1[[#This Row],[Data e Hora2]])</f>
        <v>46303</v>
      </c>
      <c r="B1365" s="6" t="str">
        <f>UPPER(TEXT(Tabela1[[#This Row],[Data Corrigida]],"MMM"))</f>
        <v>OUT</v>
      </c>
      <c r="C1365" t="s">
        <v>3043</v>
      </c>
      <c r="D1365" s="2" t="s">
        <v>3044</v>
      </c>
      <c r="E1365" s="1" t="s">
        <v>3037</v>
      </c>
      <c r="F1365" t="s">
        <v>24</v>
      </c>
      <c r="G1365" s="2" t="s">
        <v>3038</v>
      </c>
      <c r="H1365" t="s">
        <v>142</v>
      </c>
      <c r="I1365" t="s">
        <v>462</v>
      </c>
      <c r="J1365" s="6">
        <v>42838</v>
      </c>
      <c r="K1365" s="16">
        <v>2100</v>
      </c>
      <c r="L1365" s="16">
        <v>2075</v>
      </c>
      <c r="M1365" s="16">
        <v>2074</v>
      </c>
      <c r="N1365" s="16">
        <v>2064</v>
      </c>
      <c r="O1365" s="16">
        <v>2091</v>
      </c>
      <c r="P1365" s="16">
        <v>2078</v>
      </c>
      <c r="Q1365" s="16">
        <v>2078</v>
      </c>
      <c r="R1365" s="16">
        <v>2082</v>
      </c>
      <c r="S1365" s="16">
        <v>2097</v>
      </c>
      <c r="T1365" s="16">
        <v>2053</v>
      </c>
      <c r="U1365" s="15">
        <v>2079.1999999999998</v>
      </c>
      <c r="V1365" t="s">
        <v>19</v>
      </c>
      <c r="W1365" t="s">
        <v>28</v>
      </c>
      <c r="X1365">
        <v>1076</v>
      </c>
      <c r="Y1365" s="16">
        <f>VLOOKUP(Tabela1[[#This Row],[SKU]],SKU!A:D,4,0)</f>
        <v>2000</v>
      </c>
      <c r="Z1365" s="18">
        <f>IFERROR((Tabela1[[#This Row],[Média]]-Tabela1[[#This Row],[Meta]])/Tabela1[[#This Row],[Meta]],"")</f>
        <v>3.9599999999999906E-2</v>
      </c>
      <c r="AA1365" s="31">
        <f>Tabela1[[#This Row],[Média]]-Tabela1[[#This Row],[Meta]]</f>
        <v>79.199999999999818</v>
      </c>
      <c r="AB1365" s="6" t="str">
        <f>VLOOKUP(Tabela1[[#This Row],[SKU]],SKU!A:B,2,0)</f>
        <v>COXA SBCX S/O FG 220-240g PB</v>
      </c>
      <c r="AC1365" s="6" t="str">
        <f>VLOOKUP(Tabela1[[#This Row],[SKU]],SKU!A:C,3,0)</f>
        <v>PERNA</v>
      </c>
    </row>
    <row r="1366" spans="1:29" x14ac:dyDescent="0.3">
      <c r="A1366" s="2">
        <f>INT(Tabela1[[#This Row],[Data e Hora2]])</f>
        <v>46303</v>
      </c>
      <c r="B1366" s="6" t="str">
        <f>UPPER(TEXT(Tabela1[[#This Row],[Data Corrigida]],"MMM"))</f>
        <v>OUT</v>
      </c>
      <c r="C1366" t="s">
        <v>3045</v>
      </c>
      <c r="D1366" s="2" t="s">
        <v>3046</v>
      </c>
      <c r="E1366" s="1" t="s">
        <v>3037</v>
      </c>
      <c r="F1366" t="s">
        <v>24</v>
      </c>
      <c r="G1366" s="2" t="s">
        <v>3038</v>
      </c>
      <c r="H1366" t="s">
        <v>142</v>
      </c>
      <c r="I1366" t="s">
        <v>462</v>
      </c>
      <c r="J1366" s="6">
        <v>42854</v>
      </c>
      <c r="K1366" s="16">
        <v>2165</v>
      </c>
      <c r="L1366" s="16">
        <v>2185</v>
      </c>
      <c r="M1366" s="16">
        <v>2177</v>
      </c>
      <c r="N1366" s="16">
        <v>2137</v>
      </c>
      <c r="O1366" s="16">
        <v>2056</v>
      </c>
      <c r="P1366" s="16">
        <v>2003</v>
      </c>
      <c r="Q1366" s="16">
        <v>2125</v>
      </c>
      <c r="R1366" s="16">
        <v>2108</v>
      </c>
      <c r="S1366" s="16">
        <v>2133</v>
      </c>
      <c r="T1366" s="16">
        <v>2148</v>
      </c>
      <c r="U1366" s="15">
        <v>2123.6999999999998</v>
      </c>
      <c r="V1366" t="s">
        <v>19</v>
      </c>
      <c r="W1366" t="s">
        <v>28</v>
      </c>
      <c r="X1366">
        <v>1487</v>
      </c>
      <c r="Y1366" s="16">
        <f>VLOOKUP(Tabela1[[#This Row],[SKU]],SKU!A:D,4,0)</f>
        <v>2080</v>
      </c>
      <c r="Z1366" s="18">
        <f>IFERROR((Tabela1[[#This Row],[Média]]-Tabela1[[#This Row],[Meta]])/Tabela1[[#This Row],[Meta]],"")</f>
        <v>2.1009615384615297E-2</v>
      </c>
      <c r="AA1366" s="31">
        <f>Tabela1[[#This Row],[Média]]-Tabela1[[#This Row],[Meta]]</f>
        <v>43.699999999999818</v>
      </c>
      <c r="AB1366" s="6" t="str">
        <f>VLOOKUP(Tabela1[[#This Row],[SKU]],SKU!A:B,2,0)</f>
        <v>COXA SBCX S/O FG 260-280g PB</v>
      </c>
      <c r="AC1366" s="6" t="str">
        <f>VLOOKUP(Tabela1[[#This Row],[SKU]],SKU!A:C,3,0)</f>
        <v>PERNA</v>
      </c>
    </row>
    <row r="1367" spans="1:29" x14ac:dyDescent="0.3">
      <c r="A1367" s="2">
        <f>INT(Tabela1[[#This Row],[Data e Hora2]])</f>
        <v>46303</v>
      </c>
      <c r="B1367" s="6" t="str">
        <f>UPPER(TEXT(Tabela1[[#This Row],[Data Corrigida]],"MMM"))</f>
        <v>OUT</v>
      </c>
      <c r="C1367" t="s">
        <v>3047</v>
      </c>
      <c r="D1367" s="2" t="s">
        <v>3048</v>
      </c>
      <c r="E1367" s="1" t="s">
        <v>3037</v>
      </c>
      <c r="F1367" t="s">
        <v>24</v>
      </c>
      <c r="G1367" s="2" t="s">
        <v>3038</v>
      </c>
      <c r="H1367" t="s">
        <v>142</v>
      </c>
      <c r="I1367" t="s">
        <v>462</v>
      </c>
      <c r="J1367" s="6">
        <v>42862</v>
      </c>
      <c r="K1367" s="16">
        <v>2033</v>
      </c>
      <c r="L1367" s="16">
        <v>2061</v>
      </c>
      <c r="M1367" s="16">
        <v>2039</v>
      </c>
      <c r="N1367" s="16">
        <v>2033</v>
      </c>
      <c r="O1367" s="16">
        <v>2073</v>
      </c>
      <c r="P1367" s="16">
        <v>2004</v>
      </c>
      <c r="Q1367" s="16">
        <v>2091</v>
      </c>
      <c r="R1367" s="16">
        <v>2053</v>
      </c>
      <c r="S1367" s="16">
        <v>2047</v>
      </c>
      <c r="T1367" s="16">
        <v>2053</v>
      </c>
      <c r="U1367" s="15">
        <v>2048.6999999999998</v>
      </c>
      <c r="V1367" t="s">
        <v>19</v>
      </c>
      <c r="W1367" t="s">
        <v>28</v>
      </c>
      <c r="X1367">
        <v>1671</v>
      </c>
      <c r="Y1367" s="16">
        <f>VLOOKUP(Tabela1[[#This Row],[SKU]],SKU!A:D,4,0)</f>
        <v>2000</v>
      </c>
      <c r="Z1367" s="18">
        <f>IFERROR((Tabela1[[#This Row],[Média]]-Tabela1[[#This Row],[Meta]])/Tabela1[[#This Row],[Meta]],"")</f>
        <v>2.434999999999991E-2</v>
      </c>
      <c r="AA1367" s="31">
        <f>Tabela1[[#This Row],[Média]]-Tabela1[[#This Row],[Meta]]</f>
        <v>48.699999999999818</v>
      </c>
      <c r="AB1367" s="6" t="str">
        <f>VLOOKUP(Tabela1[[#This Row],[SKU]],SKU!A:B,2,0)</f>
        <v>COXA SBCX S/O FG 280-300g PB</v>
      </c>
      <c r="AC1367" s="6" t="str">
        <f>VLOOKUP(Tabela1[[#This Row],[SKU]],SKU!A:C,3,0)</f>
        <v>PERNA</v>
      </c>
    </row>
    <row r="1368" spans="1:29" x14ac:dyDescent="0.3">
      <c r="A1368" s="2">
        <f>INT(Tabela1[[#This Row],[Data e Hora2]])</f>
        <v>46303</v>
      </c>
      <c r="B1368" s="6" t="str">
        <f>UPPER(TEXT(Tabela1[[#This Row],[Data Corrigida]],"MMM"))</f>
        <v>OUT</v>
      </c>
      <c r="C1368" t="s">
        <v>3049</v>
      </c>
      <c r="D1368" s="2" t="s">
        <v>3050</v>
      </c>
      <c r="E1368" s="1" t="s">
        <v>3051</v>
      </c>
      <c r="F1368" t="s">
        <v>24</v>
      </c>
      <c r="G1368" s="2" t="s">
        <v>3038</v>
      </c>
      <c r="H1368" t="s">
        <v>142</v>
      </c>
      <c r="I1368" t="s">
        <v>462</v>
      </c>
      <c r="J1368" s="6">
        <v>43784</v>
      </c>
      <c r="K1368" s="16">
        <v>999</v>
      </c>
      <c r="L1368" s="16">
        <v>998</v>
      </c>
      <c r="M1368" s="16">
        <v>1000</v>
      </c>
      <c r="N1368" s="16">
        <v>999</v>
      </c>
      <c r="O1368" s="16">
        <v>995</v>
      </c>
      <c r="P1368" s="16">
        <v>998</v>
      </c>
      <c r="Q1368" s="16">
        <v>999</v>
      </c>
      <c r="R1368" s="16">
        <v>1000</v>
      </c>
      <c r="S1368" s="16">
        <v>1002</v>
      </c>
      <c r="T1368" s="16">
        <v>1000</v>
      </c>
      <c r="U1368" s="15">
        <v>999</v>
      </c>
      <c r="V1368" t="s">
        <v>19</v>
      </c>
      <c r="W1368" t="s">
        <v>28</v>
      </c>
      <c r="X1368">
        <v>11411</v>
      </c>
      <c r="Y1368" s="16">
        <f>VLOOKUP(Tabela1[[#This Row],[SKU]],SKU!A:D,4,0)</f>
        <v>1000</v>
      </c>
      <c r="Z1368" s="18">
        <f>IFERROR((Tabela1[[#This Row],[Média]]-Tabela1[[#This Row],[Meta]])/Tabela1[[#This Row],[Meta]],"")</f>
        <v>-1E-3</v>
      </c>
      <c r="AA1368" s="31">
        <f>Tabela1[[#This Row],[Média]]-Tabela1[[#This Row],[Meta]]</f>
        <v>-1</v>
      </c>
      <c r="AB1368" s="6" t="str">
        <f>VLOOKUP(Tabela1[[#This Row],[SKU]],SKU!A:B,2,0)</f>
        <v>CARTILAGEM PEITO FG PB</v>
      </c>
      <c r="AC1368" s="6" t="str">
        <f>VLOOKUP(Tabela1[[#This Row],[SKU]],SKU!A:C,3,0)</f>
        <v>CARTILAGEM PEITO</v>
      </c>
    </row>
    <row r="1369" spans="1:29" x14ac:dyDescent="0.3">
      <c r="A1369" s="2">
        <f>INT(Tabela1[[#This Row],[Data e Hora2]])</f>
        <v>46303</v>
      </c>
      <c r="B1369" s="6" t="str">
        <f>UPPER(TEXT(Tabela1[[#This Row],[Data Corrigida]],"MMM"))</f>
        <v>OUT</v>
      </c>
      <c r="C1369" t="s">
        <v>3052</v>
      </c>
      <c r="D1369" s="2" t="s">
        <v>3053</v>
      </c>
      <c r="E1369" s="1" t="s">
        <v>3051</v>
      </c>
      <c r="F1369" t="s">
        <v>24</v>
      </c>
      <c r="G1369" s="2" t="s">
        <v>3038</v>
      </c>
      <c r="H1369" t="s">
        <v>142</v>
      </c>
      <c r="I1369" t="s">
        <v>462</v>
      </c>
      <c r="J1369" s="6">
        <v>992014</v>
      </c>
      <c r="K1369" s="16">
        <v>669</v>
      </c>
      <c r="L1369" s="16">
        <v>668</v>
      </c>
      <c r="M1369" s="16">
        <v>700</v>
      </c>
      <c r="N1369" s="16">
        <v>665</v>
      </c>
      <c r="O1369" s="16">
        <v>669</v>
      </c>
      <c r="P1369" s="16">
        <v>668</v>
      </c>
      <c r="Q1369" s="16">
        <v>700</v>
      </c>
      <c r="R1369" s="16">
        <v>663</v>
      </c>
      <c r="S1369" s="16">
        <v>668</v>
      </c>
      <c r="T1369" s="16">
        <v>669</v>
      </c>
      <c r="U1369" s="15">
        <v>673.9</v>
      </c>
      <c r="V1369" t="s">
        <v>19</v>
      </c>
      <c r="W1369" t="s">
        <v>28</v>
      </c>
      <c r="X1369">
        <v>11552</v>
      </c>
      <c r="Y1369" s="16">
        <f>VLOOKUP(Tabela1[[#This Row],[SKU]],SKU!A:D,4,0)</f>
        <v>700</v>
      </c>
      <c r="Z1369" s="18">
        <f>IFERROR((Tabela1[[#This Row],[Média]]-Tabela1[[#This Row],[Meta]])/Tabela1[[#This Row],[Meta]],"")</f>
        <v>-3.7285714285714318E-2</v>
      </c>
      <c r="AA1369" s="31">
        <f>Tabela1[[#This Row],[Média]]-Tabela1[[#This Row],[Meta]]</f>
        <v>-26.100000000000023</v>
      </c>
      <c r="AB1369" s="6" t="str">
        <f>VLOOKUP(Tabela1[[#This Row],[SKU]],SKU!A:B,2,0)</f>
        <v>OSTRINHA CG PCT 700G SWIFT</v>
      </c>
      <c r="AC1369" s="6" t="str">
        <f>VLOOKUP(Tabela1[[#This Row],[SKU]],SKU!A:C,3,0)</f>
        <v>PERNA</v>
      </c>
    </row>
    <row r="1370" spans="1:29" x14ac:dyDescent="0.3">
      <c r="A1370" s="2">
        <f>INT(Tabela1[[#This Row],[Data e Hora2]])</f>
        <v>46303</v>
      </c>
      <c r="B1370" s="6" t="str">
        <f>UPPER(TEXT(Tabela1[[#This Row],[Data Corrigida]],"MMM"))</f>
        <v>OUT</v>
      </c>
      <c r="C1370" t="s">
        <v>3054</v>
      </c>
      <c r="D1370" s="2" t="s">
        <v>3055</v>
      </c>
      <c r="E1370" s="1" t="s">
        <v>3056</v>
      </c>
      <c r="F1370" t="s">
        <v>24</v>
      </c>
      <c r="G1370" s="2" t="s">
        <v>3038</v>
      </c>
      <c r="H1370" t="s">
        <v>142</v>
      </c>
      <c r="I1370" t="s">
        <v>462</v>
      </c>
      <c r="J1370" s="6">
        <v>197734</v>
      </c>
      <c r="K1370" s="16">
        <v>1020</v>
      </c>
      <c r="L1370" s="16">
        <v>1028</v>
      </c>
      <c r="M1370" s="16">
        <v>1019</v>
      </c>
      <c r="N1370" s="16">
        <v>1018</v>
      </c>
      <c r="O1370" s="16">
        <v>1019</v>
      </c>
      <c r="P1370" s="16">
        <v>1023</v>
      </c>
      <c r="Q1370" s="16">
        <v>1020</v>
      </c>
      <c r="R1370" s="16">
        <v>1057</v>
      </c>
      <c r="S1370" s="16">
        <v>1022</v>
      </c>
      <c r="T1370" s="16">
        <v>1022</v>
      </c>
      <c r="U1370" s="15">
        <v>1024.8</v>
      </c>
      <c r="V1370" t="s">
        <v>19</v>
      </c>
      <c r="W1370" t="s">
        <v>28</v>
      </c>
      <c r="X1370">
        <v>130</v>
      </c>
      <c r="Y1370" s="16">
        <f>VLOOKUP(Tabela1[[#This Row],[SKU]],SKU!A:D,4,0)</f>
        <v>1000</v>
      </c>
      <c r="Z1370" s="18">
        <f>IFERROR((Tabela1[[#This Row],[Média]]-Tabela1[[#This Row],[Meta]])/Tabela1[[#This Row],[Meta]],"")</f>
        <v>2.4799999999999954E-2</v>
      </c>
      <c r="AA1370" s="31">
        <f>Tabela1[[#This Row],[Média]]-Tabela1[[#This Row],[Meta]]</f>
        <v>24.799999999999955</v>
      </c>
      <c r="AB1370" s="6" t="str">
        <f>VLOOKUP(Tabela1[[#This Row],[SKU]],SKU!A:B,2,0)</f>
        <v>FILEZINHO FRANGO IQF ALM SE</v>
      </c>
      <c r="AC1370" s="6" t="str">
        <f>VLOOKUP(Tabela1[[#This Row],[SKU]],SKU!A:C,3,0)</f>
        <v>SASSAMI</v>
      </c>
    </row>
    <row r="1371" spans="1:29" x14ac:dyDescent="0.3">
      <c r="A1371" s="2">
        <f>INT(Tabela1[[#This Row],[Data e Hora2]])</f>
        <v>46302</v>
      </c>
      <c r="B1371" s="6" t="str">
        <f>UPPER(TEXT(Tabela1[[#This Row],[Data Corrigida]],"MMM"))</f>
        <v>OUT</v>
      </c>
      <c r="C1371" t="s">
        <v>3057</v>
      </c>
      <c r="D1371" s="2" t="s">
        <v>3058</v>
      </c>
      <c r="E1371" s="1" t="s">
        <v>3059</v>
      </c>
      <c r="F1371" t="s">
        <v>24</v>
      </c>
      <c r="G1371" s="2" t="s">
        <v>3060</v>
      </c>
      <c r="H1371" t="s">
        <v>142</v>
      </c>
      <c r="I1371" t="s">
        <v>462</v>
      </c>
      <c r="J1371" s="6">
        <v>992014</v>
      </c>
      <c r="K1371" s="16">
        <v>700</v>
      </c>
      <c r="L1371" s="16">
        <v>699</v>
      </c>
      <c r="M1371" s="16">
        <v>698</v>
      </c>
      <c r="N1371" s="16">
        <v>699</v>
      </c>
      <c r="O1371" s="16">
        <v>696</v>
      </c>
      <c r="P1371" s="16">
        <v>698</v>
      </c>
      <c r="Q1371" s="16">
        <v>700</v>
      </c>
      <c r="R1371" s="16">
        <v>698</v>
      </c>
      <c r="S1371" s="16">
        <v>699</v>
      </c>
      <c r="T1371" s="16">
        <v>700</v>
      </c>
      <c r="U1371" s="15">
        <v>698.7</v>
      </c>
      <c r="V1371" t="s">
        <v>19</v>
      </c>
      <c r="W1371" t="s">
        <v>28</v>
      </c>
      <c r="X1371">
        <v>75715</v>
      </c>
      <c r="Y1371" s="16">
        <f>VLOOKUP(Tabela1[[#This Row],[SKU]],SKU!A:D,4,0)</f>
        <v>700</v>
      </c>
      <c r="Z1371" s="18">
        <f>IFERROR((Tabela1[[#This Row],[Média]]-Tabela1[[#This Row],[Meta]])/Tabela1[[#This Row],[Meta]],"")</f>
        <v>-1.8571428571427923E-3</v>
      </c>
      <c r="AA1371" s="31">
        <f>Tabela1[[#This Row],[Média]]-Tabela1[[#This Row],[Meta]]</f>
        <v>-1.2999999999999545</v>
      </c>
      <c r="AB1371" s="6" t="str">
        <f>VLOOKUP(Tabela1[[#This Row],[SKU]],SKU!A:B,2,0)</f>
        <v>OSTRINHA CG PCT 700G SWIFT</v>
      </c>
      <c r="AC1371" s="6" t="str">
        <f>VLOOKUP(Tabela1[[#This Row],[SKU]],SKU!A:C,3,0)</f>
        <v>PERNA</v>
      </c>
    </row>
    <row r="1372" spans="1:29" x14ac:dyDescent="0.3">
      <c r="A1372" s="2">
        <f>INT(Tabela1[[#This Row],[Data e Hora2]])</f>
        <v>46302</v>
      </c>
      <c r="B1372" s="6" t="str">
        <f>UPPER(TEXT(Tabela1[[#This Row],[Data Corrigida]],"MMM"))</f>
        <v>OUT</v>
      </c>
      <c r="C1372" t="s">
        <v>3061</v>
      </c>
      <c r="D1372" s="2" t="s">
        <v>3062</v>
      </c>
      <c r="E1372" s="1" t="s">
        <v>3063</v>
      </c>
      <c r="F1372" t="s">
        <v>24</v>
      </c>
      <c r="G1372" s="2" t="s">
        <v>3060</v>
      </c>
      <c r="H1372" t="s">
        <v>142</v>
      </c>
      <c r="I1372" t="s">
        <v>462</v>
      </c>
      <c r="J1372" s="6">
        <v>43784</v>
      </c>
      <c r="K1372" s="16">
        <v>1000</v>
      </c>
      <c r="L1372" s="16">
        <v>999</v>
      </c>
      <c r="M1372" s="16">
        <v>997</v>
      </c>
      <c r="N1372" s="16">
        <v>999</v>
      </c>
      <c r="O1372" s="16">
        <v>1000</v>
      </c>
      <c r="P1372" s="16">
        <v>998</v>
      </c>
      <c r="Q1372" s="16">
        <v>996</v>
      </c>
      <c r="R1372" s="16">
        <v>999</v>
      </c>
      <c r="S1372" s="16">
        <v>996</v>
      </c>
      <c r="T1372" s="16">
        <v>999</v>
      </c>
      <c r="U1372" s="15">
        <v>998.3</v>
      </c>
      <c r="V1372" t="s">
        <v>19</v>
      </c>
      <c r="W1372" t="s">
        <v>28</v>
      </c>
      <c r="X1372">
        <v>75514</v>
      </c>
      <c r="Y1372" s="16">
        <f>VLOOKUP(Tabela1[[#This Row],[SKU]],SKU!A:D,4,0)</f>
        <v>1000</v>
      </c>
      <c r="Z1372" s="18">
        <f>IFERROR((Tabela1[[#This Row],[Média]]-Tabela1[[#This Row],[Meta]])/Tabela1[[#This Row],[Meta]],"")</f>
        <v>-1.7000000000000454E-3</v>
      </c>
      <c r="AA1372" s="31">
        <f>Tabela1[[#This Row],[Média]]-Tabela1[[#This Row],[Meta]]</f>
        <v>-1.7000000000000455</v>
      </c>
      <c r="AB1372" s="6" t="str">
        <f>VLOOKUP(Tabela1[[#This Row],[SKU]],SKU!A:B,2,0)</f>
        <v>CARTILAGEM PEITO FG PB</v>
      </c>
      <c r="AC1372" s="6" t="str">
        <f>VLOOKUP(Tabela1[[#This Row],[SKU]],SKU!A:C,3,0)</f>
        <v>CARTILAGEM PEITO</v>
      </c>
    </row>
    <row r="1373" spans="1:29" x14ac:dyDescent="0.3">
      <c r="A1373" s="2">
        <f>INT(Tabela1[[#This Row],[Data e Hora2]])</f>
        <v>46303</v>
      </c>
      <c r="B1373" s="6" t="str">
        <f>UPPER(TEXT(Tabela1[[#This Row],[Data Corrigida]],"MMM"))</f>
        <v>OUT</v>
      </c>
      <c r="C1373" t="s">
        <v>3064</v>
      </c>
      <c r="D1373" s="2" t="s">
        <v>3065</v>
      </c>
      <c r="E1373" s="1" t="s">
        <v>3066</v>
      </c>
      <c r="F1373" t="s">
        <v>24</v>
      </c>
      <c r="G1373" s="2" t="s">
        <v>3038</v>
      </c>
      <c r="H1373" t="s">
        <v>142</v>
      </c>
      <c r="I1373" t="s">
        <v>462</v>
      </c>
      <c r="J1373" s="6">
        <v>15105</v>
      </c>
      <c r="K1373" s="16">
        <v>1022</v>
      </c>
      <c r="L1373" s="16">
        <v>1036</v>
      </c>
      <c r="M1373" s="16">
        <v>1000</v>
      </c>
      <c r="N1373" s="16">
        <v>1002</v>
      </c>
      <c r="O1373" s="16">
        <v>1026</v>
      </c>
      <c r="P1373" s="16">
        <v>1011</v>
      </c>
      <c r="Q1373" s="16">
        <v>991</v>
      </c>
      <c r="R1373" s="16">
        <v>1014</v>
      </c>
      <c r="S1373" s="16">
        <v>1021</v>
      </c>
      <c r="T1373" s="16">
        <v>1017</v>
      </c>
      <c r="U1373" s="15">
        <v>1014</v>
      </c>
      <c r="V1373" t="s">
        <v>19</v>
      </c>
      <c r="W1373" t="s">
        <v>28</v>
      </c>
      <c r="X1373">
        <v>215</v>
      </c>
      <c r="Y1373" s="16">
        <f>VLOOKUP(Tabela1[[#This Row],[SKU]],SKU!A:D,4,0)</f>
        <v>1000</v>
      </c>
      <c r="Z1373" s="18">
        <f>IFERROR((Tabela1[[#This Row],[Média]]-Tabela1[[#This Row],[Meta]])/Tabela1[[#This Row],[Meta]],"")</f>
        <v>1.4E-2</v>
      </c>
      <c r="AA1373" s="31">
        <f>Tabela1[[#This Row],[Média]]-Tabela1[[#This Row],[Meta]]</f>
        <v>14</v>
      </c>
      <c r="AB1373" s="6" t="str">
        <f>VLOOKUP(Tabela1[[#This Row],[SKU]],SKU!A:B,2,0)</f>
        <v>FILE PEITO MET CG BDJ SE</v>
      </c>
      <c r="AC1373" s="6" t="str">
        <f>VLOOKUP(Tabela1[[#This Row],[SKU]],SKU!A:C,3,0)</f>
        <v>PEITO</v>
      </c>
    </row>
    <row r="1374" spans="1:29" x14ac:dyDescent="0.3">
      <c r="A1374" s="2">
        <f>INT(Tabela1[[#This Row],[Data e Hora2]])</f>
        <v>46302</v>
      </c>
      <c r="B1374" s="6" t="str">
        <f>UPPER(TEXT(Tabela1[[#This Row],[Data Corrigida]],"MMM"))</f>
        <v>OUT</v>
      </c>
      <c r="C1374" t="s">
        <v>3067</v>
      </c>
      <c r="D1374" s="2" t="s">
        <v>3068</v>
      </c>
      <c r="E1374" s="1" t="s">
        <v>3066</v>
      </c>
      <c r="F1374" t="s">
        <v>24</v>
      </c>
      <c r="G1374" s="2" t="s">
        <v>3060</v>
      </c>
      <c r="H1374" t="s">
        <v>142</v>
      </c>
      <c r="I1374" t="s">
        <v>462</v>
      </c>
      <c r="J1374" s="6">
        <v>15105</v>
      </c>
      <c r="K1374" s="16">
        <v>995</v>
      </c>
      <c r="L1374" s="16">
        <v>1014</v>
      </c>
      <c r="M1374" s="16">
        <v>1044</v>
      </c>
      <c r="N1374" s="16">
        <v>1040</v>
      </c>
      <c r="O1374" s="16">
        <v>994</v>
      </c>
      <c r="P1374" s="16">
        <v>1019</v>
      </c>
      <c r="Q1374" s="16">
        <v>1016</v>
      </c>
      <c r="R1374" s="16">
        <v>1041</v>
      </c>
      <c r="S1374" s="16">
        <v>1000</v>
      </c>
      <c r="T1374" s="16">
        <v>998</v>
      </c>
      <c r="U1374" s="15">
        <v>1016.1</v>
      </c>
      <c r="V1374" t="s">
        <v>19</v>
      </c>
      <c r="W1374" t="s">
        <v>28</v>
      </c>
      <c r="X1374">
        <v>205</v>
      </c>
      <c r="Y1374" s="16">
        <f>VLOOKUP(Tabela1[[#This Row],[SKU]],SKU!A:D,4,0)</f>
        <v>1000</v>
      </c>
      <c r="Z1374" s="18">
        <f>IFERROR((Tabela1[[#This Row],[Média]]-Tabela1[[#This Row],[Meta]])/Tabela1[[#This Row],[Meta]],"")</f>
        <v>1.6100000000000024E-2</v>
      </c>
      <c r="AA1374" s="31">
        <f>Tabela1[[#This Row],[Média]]-Tabela1[[#This Row],[Meta]]</f>
        <v>16.100000000000023</v>
      </c>
      <c r="AB1374" s="6" t="str">
        <f>VLOOKUP(Tabela1[[#This Row],[SKU]],SKU!A:B,2,0)</f>
        <v>FILE PEITO MET CG BDJ SE</v>
      </c>
      <c r="AC1374" s="6" t="str">
        <f>VLOOKUP(Tabela1[[#This Row],[SKU]],SKU!A:C,3,0)</f>
        <v>PEITO</v>
      </c>
    </row>
    <row r="1375" spans="1:29" x14ac:dyDescent="0.3">
      <c r="A1375" s="2">
        <f>INT(Tabela1[[#This Row],[Data e Hora2]])</f>
        <v>46302</v>
      </c>
      <c r="B1375" s="6" t="str">
        <f>UPPER(TEXT(Tabela1[[#This Row],[Data Corrigida]],"MMM"))</f>
        <v>OUT</v>
      </c>
      <c r="C1375" t="s">
        <v>3069</v>
      </c>
      <c r="D1375" s="2" t="s">
        <v>3070</v>
      </c>
      <c r="E1375" s="1" t="s">
        <v>3071</v>
      </c>
      <c r="F1375" t="s">
        <v>24</v>
      </c>
      <c r="G1375" s="2" t="s">
        <v>3060</v>
      </c>
      <c r="H1375" t="s">
        <v>26</v>
      </c>
      <c r="I1375" t="s">
        <v>27</v>
      </c>
      <c r="J1375" s="6">
        <v>992014</v>
      </c>
      <c r="K1375" s="16">
        <v>702</v>
      </c>
      <c r="L1375" s="16">
        <v>700</v>
      </c>
      <c r="M1375" s="16">
        <v>700</v>
      </c>
      <c r="N1375" s="16">
        <v>702</v>
      </c>
      <c r="O1375" s="16">
        <v>700</v>
      </c>
      <c r="P1375" s="16">
        <v>701</v>
      </c>
      <c r="Q1375" s="16">
        <v>703</v>
      </c>
      <c r="R1375" s="16">
        <v>700</v>
      </c>
      <c r="S1375" s="16">
        <v>705</v>
      </c>
      <c r="T1375" s="16">
        <v>706</v>
      </c>
      <c r="U1375" s="15">
        <v>701.9</v>
      </c>
      <c r="V1375" t="s">
        <v>19</v>
      </c>
      <c r="W1375" t="s">
        <v>28</v>
      </c>
      <c r="X1375">
        <v>4538</v>
      </c>
      <c r="Y1375" s="16">
        <f>VLOOKUP(Tabela1[[#This Row],[SKU]],SKU!A:D,4,0)</f>
        <v>700</v>
      </c>
      <c r="Z1375" s="18">
        <f>IFERROR((Tabela1[[#This Row],[Média]]-Tabela1[[#This Row],[Meta]])/Tabela1[[#This Row],[Meta]],"")</f>
        <v>2.7142857142856817E-3</v>
      </c>
      <c r="AA1375" s="31">
        <f>Tabela1[[#This Row],[Média]]-Tabela1[[#This Row],[Meta]]</f>
        <v>1.8999999999999773</v>
      </c>
      <c r="AB1375" s="6" t="str">
        <f>VLOOKUP(Tabela1[[#This Row],[SKU]],SKU!A:B,2,0)</f>
        <v>OSTRINHA CG PCT 700G SWIFT</v>
      </c>
      <c r="AC1375" s="6" t="str">
        <f>VLOOKUP(Tabela1[[#This Row],[SKU]],SKU!A:C,3,0)</f>
        <v>PERNA</v>
      </c>
    </row>
    <row r="1376" spans="1:29" x14ac:dyDescent="0.3">
      <c r="A1376" s="2">
        <f>INT(Tabela1[[#This Row],[Data e Hora2]])</f>
        <v>46302</v>
      </c>
      <c r="B1376" s="6" t="str">
        <f>UPPER(TEXT(Tabela1[[#This Row],[Data Corrigida]],"MMM"))</f>
        <v>OUT</v>
      </c>
      <c r="C1376" t="s">
        <v>3072</v>
      </c>
      <c r="D1376" s="2" t="s">
        <v>3073</v>
      </c>
      <c r="E1376" s="1" t="s">
        <v>3074</v>
      </c>
      <c r="F1376" t="s">
        <v>24</v>
      </c>
      <c r="G1376" s="2" t="s">
        <v>3060</v>
      </c>
      <c r="H1376" t="s">
        <v>26</v>
      </c>
      <c r="I1376" t="s">
        <v>27</v>
      </c>
      <c r="J1376" s="6">
        <v>995638</v>
      </c>
      <c r="K1376" s="16">
        <v>15015</v>
      </c>
      <c r="L1376" s="16">
        <v>15045</v>
      </c>
      <c r="M1376" s="16">
        <v>15040</v>
      </c>
      <c r="N1376" s="16">
        <v>15018</v>
      </c>
      <c r="O1376" s="16">
        <v>15020</v>
      </c>
      <c r="P1376" s="16">
        <v>15015</v>
      </c>
      <c r="Q1376" s="16">
        <v>15005</v>
      </c>
      <c r="R1376" s="16">
        <v>15030</v>
      </c>
      <c r="S1376" s="16">
        <v>14995</v>
      </c>
      <c r="T1376" s="16">
        <v>15010</v>
      </c>
      <c r="U1376" s="15">
        <v>15019.3</v>
      </c>
      <c r="V1376" t="s">
        <v>19</v>
      </c>
      <c r="W1376" t="s">
        <v>28</v>
      </c>
      <c r="X1376">
        <v>31082</v>
      </c>
      <c r="Y1376" s="16">
        <f>VLOOKUP(Tabela1[[#This Row],[SKU]],SKU!A:D,4,0)</f>
        <v>15000</v>
      </c>
      <c r="Z1376" s="18">
        <f>IFERROR((Tabela1[[#This Row],[Média]]-Tabela1[[#This Row],[Meta]])/Tabela1[[#This Row],[Meta]],"")</f>
        <v>1.2866666666666181E-3</v>
      </c>
      <c r="AA1376" s="31">
        <f>Tabela1[[#This Row],[Média]]-Tabela1[[#This Row],[Meta]]</f>
        <v>19.299999999999272</v>
      </c>
      <c r="AB1376" s="6" t="str">
        <f>VLOOKUP(Tabela1[[#This Row],[SKU]],SKU!A:B,2,0)</f>
        <v>MEIO DA ASA 40-50G LP</v>
      </c>
      <c r="AC1376" s="6" t="str">
        <f>VLOOKUP(Tabela1[[#This Row],[SKU]],SKU!A:C,3,0)</f>
        <v>ASA</v>
      </c>
    </row>
    <row r="1377" spans="1:29" x14ac:dyDescent="0.3">
      <c r="A1377" s="2">
        <f>INT(Tabela1[[#This Row],[Data e Hora2]])</f>
        <v>46302</v>
      </c>
      <c r="B1377" s="6" t="str">
        <f>UPPER(TEXT(Tabela1[[#This Row],[Data Corrigida]],"MMM"))</f>
        <v>OUT</v>
      </c>
      <c r="C1377" t="s">
        <v>3075</v>
      </c>
      <c r="D1377" s="2" t="s">
        <v>3076</v>
      </c>
      <c r="E1377" s="1" t="s">
        <v>3077</v>
      </c>
      <c r="F1377" t="s">
        <v>24</v>
      </c>
      <c r="G1377" s="2" t="s">
        <v>3060</v>
      </c>
      <c r="H1377" t="s">
        <v>26</v>
      </c>
      <c r="I1377" t="s">
        <v>27</v>
      </c>
      <c r="J1377" s="6">
        <v>963925</v>
      </c>
      <c r="K1377" s="16">
        <v>18250</v>
      </c>
      <c r="L1377" s="16">
        <v>18205</v>
      </c>
      <c r="M1377" s="16">
        <v>18195</v>
      </c>
      <c r="N1377" s="16">
        <v>18010</v>
      </c>
      <c r="O1377" s="16">
        <v>18045</v>
      </c>
      <c r="P1377" s="16">
        <v>18105</v>
      </c>
      <c r="Q1377" s="16">
        <v>18155</v>
      </c>
      <c r="R1377" s="16">
        <v>18140</v>
      </c>
      <c r="S1377" s="16">
        <v>18170</v>
      </c>
      <c r="T1377" s="16">
        <v>18000</v>
      </c>
      <c r="U1377" s="15">
        <v>18127.5</v>
      </c>
      <c r="V1377" t="s">
        <v>19</v>
      </c>
      <c r="W1377" t="s">
        <v>28</v>
      </c>
      <c r="X1377">
        <v>4210</v>
      </c>
      <c r="Y1377" s="16">
        <f>VLOOKUP(Tabela1[[#This Row],[SKU]],SKU!A:D,4,0)</f>
        <v>18000</v>
      </c>
      <c r="Z1377" s="18">
        <f>IFERROR((Tabela1[[#This Row],[Média]]-Tabela1[[#This Row],[Meta]])/Tabela1[[#This Row],[Meta]],"")</f>
        <v>7.083333333333333E-3</v>
      </c>
      <c r="AA1377" s="31">
        <f>Tabela1[[#This Row],[Média]]-Tabela1[[#This Row],[Meta]]</f>
        <v>127.5</v>
      </c>
      <c r="AB1377" s="6" t="str">
        <f>VLOOKUP(Tabela1[[#This Row],[SKU]],SKU!A:B,2,0)</f>
        <v>COXINHA DA ASA FG CG PCT</v>
      </c>
      <c r="AC1377" s="6" t="str">
        <f>VLOOKUP(Tabela1[[#This Row],[SKU]],SKU!A:C,3,0)</f>
        <v>ASA</v>
      </c>
    </row>
    <row r="1378" spans="1:29" x14ac:dyDescent="0.3">
      <c r="A1378" s="2">
        <f>INT(Tabela1[[#This Row],[Data e Hora2]])</f>
        <v>46302</v>
      </c>
      <c r="B1378" s="6" t="str">
        <f>UPPER(TEXT(Tabela1[[#This Row],[Data Corrigida]],"MMM"))</f>
        <v>OUT</v>
      </c>
      <c r="C1378" t="s">
        <v>3078</v>
      </c>
      <c r="D1378" s="2" t="s">
        <v>3079</v>
      </c>
      <c r="E1378" s="1" t="s">
        <v>3077</v>
      </c>
      <c r="F1378" t="s">
        <v>24</v>
      </c>
      <c r="G1378" s="2" t="s">
        <v>3060</v>
      </c>
      <c r="H1378" t="s">
        <v>26</v>
      </c>
      <c r="I1378" t="s">
        <v>27</v>
      </c>
      <c r="J1378" s="6">
        <v>209069</v>
      </c>
      <c r="K1378" s="16">
        <v>1095</v>
      </c>
      <c r="L1378" s="16">
        <v>1099</v>
      </c>
      <c r="M1378" s="16">
        <v>1092</v>
      </c>
      <c r="N1378" s="16">
        <v>1000</v>
      </c>
      <c r="O1378" s="16">
        <v>1006</v>
      </c>
      <c r="P1378" s="16">
        <v>1000</v>
      </c>
      <c r="Q1378" s="16">
        <v>1000</v>
      </c>
      <c r="R1378" s="16">
        <v>1073</v>
      </c>
      <c r="S1378" s="16">
        <v>1078</v>
      </c>
      <c r="T1378" s="16">
        <v>1074</v>
      </c>
      <c r="U1378" s="15">
        <v>1051.7</v>
      </c>
      <c r="V1378" t="s">
        <v>19</v>
      </c>
      <c r="W1378" t="s">
        <v>28</v>
      </c>
      <c r="X1378">
        <v>5022</v>
      </c>
      <c r="Y1378" s="16">
        <f>VLOOKUP(Tabela1[[#This Row],[SKU]],SKU!A:D,4,0)</f>
        <v>1000</v>
      </c>
      <c r="Z1378" s="18">
        <f>IFERROR((Tabela1[[#This Row],[Média]]-Tabela1[[#This Row],[Meta]])/Tabela1[[#This Row],[Meta]],"")</f>
        <v>5.1700000000000045E-2</v>
      </c>
      <c r="AA1378" s="31">
        <f>Tabela1[[#This Row],[Média]]-Tabela1[[#This Row],[Meta]]</f>
        <v>51.700000000000045</v>
      </c>
      <c r="AB1378" s="6" t="str">
        <f>VLOOKUP(Tabela1[[#This Row],[SKU]],SKU!A:B,2,0)</f>
        <v>FILE PEITO CG IQF1KG</v>
      </c>
      <c r="AC1378" s="6" t="str">
        <f>VLOOKUP(Tabela1[[#This Row],[SKU]],SKU!A:C,3,0)</f>
        <v>PEITO</v>
      </c>
    </row>
    <row r="1379" spans="1:29" x14ac:dyDescent="0.3">
      <c r="A1379" s="2">
        <f>INT(Tabela1[[#This Row],[Data e Hora2]])</f>
        <v>46302</v>
      </c>
      <c r="B1379" s="6" t="str">
        <f>UPPER(TEXT(Tabela1[[#This Row],[Data Corrigida]],"MMM"))</f>
        <v>OUT</v>
      </c>
      <c r="C1379" t="s">
        <v>3080</v>
      </c>
      <c r="D1379" s="2" t="s">
        <v>3081</v>
      </c>
      <c r="E1379" s="1" t="s">
        <v>3077</v>
      </c>
      <c r="F1379" t="s">
        <v>24</v>
      </c>
      <c r="G1379" s="2" t="s">
        <v>3060</v>
      </c>
      <c r="H1379" t="s">
        <v>26</v>
      </c>
      <c r="I1379" t="s">
        <v>27</v>
      </c>
      <c r="J1379" s="6">
        <v>209319</v>
      </c>
      <c r="K1379" s="16">
        <v>1051</v>
      </c>
      <c r="L1379" s="16">
        <v>1002</v>
      </c>
      <c r="M1379" s="16">
        <v>1001</v>
      </c>
      <c r="N1379" s="16">
        <v>1062</v>
      </c>
      <c r="O1379" s="16">
        <v>1014</v>
      </c>
      <c r="P1379" s="16">
        <v>1020</v>
      </c>
      <c r="Q1379" s="16">
        <v>1023</v>
      </c>
      <c r="R1379" s="16">
        <v>1027</v>
      </c>
      <c r="S1379" s="16">
        <v>1002</v>
      </c>
      <c r="T1379" s="16">
        <v>1037</v>
      </c>
      <c r="U1379" s="15">
        <v>1023.9</v>
      </c>
      <c r="V1379" t="s">
        <v>19</v>
      </c>
      <c r="W1379" t="s">
        <v>28</v>
      </c>
      <c r="X1379">
        <v>15158</v>
      </c>
      <c r="Y1379" s="16">
        <f>VLOOKUP(Tabela1[[#This Row],[SKU]],SKU!A:D,4,0)</f>
        <v>1000</v>
      </c>
      <c r="Z1379" s="18">
        <f>IFERROR((Tabela1[[#This Row],[Média]]-Tabela1[[#This Row],[Meta]])/Tabela1[[#This Row],[Meta]],"")</f>
        <v>2.3899999999999977E-2</v>
      </c>
      <c r="AA1379" s="31">
        <f>Tabela1[[#This Row],[Média]]-Tabela1[[#This Row],[Meta]]</f>
        <v>23.899999999999977</v>
      </c>
      <c r="AB1379" s="6" t="str">
        <f>VLOOKUP(Tabela1[[#This Row],[SKU]],SKU!A:B,2,0)</f>
        <v>SOBRECOXA IQF ALM 1KG</v>
      </c>
      <c r="AC1379" s="6" t="str">
        <f>VLOOKUP(Tabela1[[#This Row],[SKU]],SKU!A:C,3,0)</f>
        <v>PERNA</v>
      </c>
    </row>
    <row r="1380" spans="1:29" x14ac:dyDescent="0.3">
      <c r="A1380" s="2">
        <f>INT(Tabela1[[#This Row],[Data e Hora2]])</f>
        <v>46302</v>
      </c>
      <c r="B1380" s="6" t="str">
        <f>UPPER(TEXT(Tabela1[[#This Row],[Data Corrigida]],"MMM"))</f>
        <v>OUT</v>
      </c>
      <c r="C1380" t="s">
        <v>3082</v>
      </c>
      <c r="D1380" s="2" t="s">
        <v>3083</v>
      </c>
      <c r="E1380" s="1" t="s">
        <v>3077</v>
      </c>
      <c r="F1380" t="s">
        <v>24</v>
      </c>
      <c r="G1380" s="2" t="s">
        <v>3060</v>
      </c>
      <c r="H1380" t="s">
        <v>26</v>
      </c>
      <c r="I1380" t="s">
        <v>27</v>
      </c>
      <c r="J1380" s="6">
        <v>963925</v>
      </c>
      <c r="K1380" s="16">
        <v>18025</v>
      </c>
      <c r="L1380" s="16">
        <v>18330</v>
      </c>
      <c r="M1380" s="16">
        <v>18440</v>
      </c>
      <c r="N1380" s="16">
        <v>18425</v>
      </c>
      <c r="O1380" s="16">
        <v>18305</v>
      </c>
      <c r="P1380" s="16">
        <v>18020</v>
      </c>
      <c r="Q1380" s="16">
        <v>18055</v>
      </c>
      <c r="R1380" s="16">
        <v>18085</v>
      </c>
      <c r="S1380" s="16">
        <v>18110</v>
      </c>
      <c r="T1380" s="16">
        <v>18095</v>
      </c>
      <c r="U1380" s="15">
        <v>18189</v>
      </c>
      <c r="V1380" t="s">
        <v>19</v>
      </c>
      <c r="W1380" t="s">
        <v>28</v>
      </c>
      <c r="X1380">
        <v>16103</v>
      </c>
      <c r="Y1380" s="16">
        <f>VLOOKUP(Tabela1[[#This Row],[SKU]],SKU!A:D,4,0)</f>
        <v>18000</v>
      </c>
      <c r="Z1380" s="18">
        <f>IFERROR((Tabela1[[#This Row],[Média]]-Tabela1[[#This Row],[Meta]])/Tabela1[[#This Row],[Meta]],"")</f>
        <v>1.0500000000000001E-2</v>
      </c>
      <c r="AA1380" s="31">
        <f>Tabela1[[#This Row],[Média]]-Tabela1[[#This Row],[Meta]]</f>
        <v>189</v>
      </c>
      <c r="AB1380" s="6" t="str">
        <f>VLOOKUP(Tabela1[[#This Row],[SKU]],SKU!A:B,2,0)</f>
        <v>COXINHA DA ASA FG CG PCT</v>
      </c>
      <c r="AC1380" s="6" t="str">
        <f>VLOOKUP(Tabela1[[#This Row],[SKU]],SKU!A:C,3,0)</f>
        <v>ASA</v>
      </c>
    </row>
    <row r="1381" spans="1:29" x14ac:dyDescent="0.3">
      <c r="A1381" s="2">
        <f>INT(Tabela1[[#This Row],[Data e Hora2]])</f>
        <v>46302</v>
      </c>
      <c r="B1381" s="6" t="str">
        <f>UPPER(TEXT(Tabela1[[#This Row],[Data Corrigida]],"MMM"))</f>
        <v>OUT</v>
      </c>
      <c r="C1381" t="s">
        <v>3084</v>
      </c>
      <c r="D1381" s="2" t="s">
        <v>3085</v>
      </c>
      <c r="E1381" s="1" t="s">
        <v>3077</v>
      </c>
      <c r="F1381" t="s">
        <v>24</v>
      </c>
      <c r="G1381" s="2" t="s">
        <v>3060</v>
      </c>
      <c r="H1381" t="s">
        <v>26</v>
      </c>
      <c r="I1381" t="s">
        <v>27</v>
      </c>
      <c r="J1381" s="6">
        <v>40762</v>
      </c>
      <c r="K1381" s="16">
        <v>10040</v>
      </c>
      <c r="L1381" s="16">
        <v>9985</v>
      </c>
      <c r="M1381" s="16">
        <v>10035</v>
      </c>
      <c r="N1381" s="16">
        <v>10000</v>
      </c>
      <c r="O1381" s="16">
        <v>10025</v>
      </c>
      <c r="P1381" s="16">
        <v>10115</v>
      </c>
      <c r="Q1381" s="16">
        <v>10005</v>
      </c>
      <c r="R1381" s="16">
        <v>10100</v>
      </c>
      <c r="S1381" s="16">
        <v>10055</v>
      </c>
      <c r="T1381" s="16">
        <v>9965</v>
      </c>
      <c r="U1381" s="15">
        <v>10032.5</v>
      </c>
      <c r="V1381" t="s">
        <v>19</v>
      </c>
      <c r="W1381" t="s">
        <v>28</v>
      </c>
      <c r="X1381">
        <v>176</v>
      </c>
      <c r="Y1381" s="16">
        <f>VLOOKUP(Tabela1[[#This Row],[SKU]],SKU!A:D,4,0)</f>
        <v>10000</v>
      </c>
      <c r="Z1381" s="18">
        <f>IFERROR((Tabela1[[#This Row],[Média]]-Tabela1[[#This Row],[Meta]])/Tabela1[[#This Row],[Meta]],"")</f>
        <v>3.2499999999999999E-3</v>
      </c>
      <c r="AA1381" s="31">
        <f>Tabela1[[#This Row],[Média]]-Tabela1[[#This Row],[Meta]]</f>
        <v>32.5</v>
      </c>
      <c r="AB1381" s="6" t="str">
        <f>VLOOKUP(Tabela1[[#This Row],[SKU]],SKU!A:B,2,0)</f>
        <v>COXA SBCX LQ FG LP</v>
      </c>
      <c r="AC1381" s="6" t="str">
        <f>VLOOKUP(Tabela1[[#This Row],[SKU]],SKU!A:C,3,0)</f>
        <v>PERNA</v>
      </c>
    </row>
    <row r="1382" spans="1:29" x14ac:dyDescent="0.3">
      <c r="A1382" s="2">
        <f>INT(Tabela1[[#This Row],[Data e Hora2]])</f>
        <v>46302</v>
      </c>
      <c r="B1382" s="6" t="str">
        <f>UPPER(TEXT(Tabela1[[#This Row],[Data Corrigida]],"MMM"))</f>
        <v>OUT</v>
      </c>
      <c r="C1382" t="s">
        <v>3086</v>
      </c>
      <c r="D1382" s="2" t="s">
        <v>3087</v>
      </c>
      <c r="E1382" s="1" t="s">
        <v>3077</v>
      </c>
      <c r="F1382" t="s">
        <v>24</v>
      </c>
      <c r="G1382" s="2" t="s">
        <v>3060</v>
      </c>
      <c r="H1382" t="s">
        <v>26</v>
      </c>
      <c r="I1382" t="s">
        <v>27</v>
      </c>
      <c r="J1382" s="6">
        <v>40762</v>
      </c>
      <c r="K1382" s="16">
        <v>9985</v>
      </c>
      <c r="L1382" s="16">
        <v>10055</v>
      </c>
      <c r="M1382" s="16">
        <v>10005</v>
      </c>
      <c r="N1382" s="16">
        <v>9965</v>
      </c>
      <c r="O1382" s="16">
        <v>10050</v>
      </c>
      <c r="P1382" s="16">
        <v>9970</v>
      </c>
      <c r="Q1382" s="16">
        <v>10000</v>
      </c>
      <c r="R1382" s="16">
        <v>9975</v>
      </c>
      <c r="S1382" s="16">
        <v>10055</v>
      </c>
      <c r="T1382" s="16">
        <v>10025</v>
      </c>
      <c r="U1382" s="15">
        <v>10008.5</v>
      </c>
      <c r="V1382" t="s">
        <v>19</v>
      </c>
      <c r="W1382" t="s">
        <v>28</v>
      </c>
      <c r="X1382">
        <v>16589</v>
      </c>
      <c r="Y1382" s="16">
        <f>VLOOKUP(Tabela1[[#This Row],[SKU]],SKU!A:D,4,0)</f>
        <v>10000</v>
      </c>
      <c r="Z1382" s="18">
        <f>IFERROR((Tabela1[[#This Row],[Média]]-Tabela1[[#This Row],[Meta]])/Tabela1[[#This Row],[Meta]],"")</f>
        <v>8.4999999999999995E-4</v>
      </c>
      <c r="AA1382" s="31">
        <f>Tabela1[[#This Row],[Média]]-Tabela1[[#This Row],[Meta]]</f>
        <v>8.5</v>
      </c>
      <c r="AB1382" s="6" t="str">
        <f>VLOOKUP(Tabela1[[#This Row],[SKU]],SKU!A:B,2,0)</f>
        <v>COXA SBCX LQ FG LP</v>
      </c>
      <c r="AC1382" s="6" t="str">
        <f>VLOOKUP(Tabela1[[#This Row],[SKU]],SKU!A:C,3,0)</f>
        <v>PERNA</v>
      </c>
    </row>
    <row r="1383" spans="1:29" x14ac:dyDescent="0.3">
      <c r="A1383" s="2">
        <f>INT(Tabela1[[#This Row],[Data e Hora2]])</f>
        <v>46302</v>
      </c>
      <c r="B1383" s="6" t="str">
        <f>UPPER(TEXT(Tabela1[[#This Row],[Data Corrigida]],"MMM"))</f>
        <v>OUT</v>
      </c>
      <c r="C1383" t="s">
        <v>3088</v>
      </c>
      <c r="D1383" s="2" t="s">
        <v>3089</v>
      </c>
      <c r="E1383" s="1" t="s">
        <v>3077</v>
      </c>
      <c r="F1383" t="s">
        <v>24</v>
      </c>
      <c r="G1383" s="2" t="s">
        <v>3060</v>
      </c>
      <c r="H1383" t="s">
        <v>26</v>
      </c>
      <c r="I1383" t="s">
        <v>27</v>
      </c>
      <c r="J1383" s="6">
        <v>15105</v>
      </c>
      <c r="K1383" s="16">
        <v>1010</v>
      </c>
      <c r="L1383" s="16">
        <v>1049</v>
      </c>
      <c r="M1383" s="16">
        <v>1038</v>
      </c>
      <c r="N1383" s="16">
        <v>1017</v>
      </c>
      <c r="O1383" s="16">
        <v>1053</v>
      </c>
      <c r="P1383" s="16">
        <v>1004</v>
      </c>
      <c r="Q1383" s="16">
        <v>1014</v>
      </c>
      <c r="R1383" s="16">
        <v>1006</v>
      </c>
      <c r="S1383" s="16">
        <v>1003</v>
      </c>
      <c r="T1383" s="16">
        <v>1047</v>
      </c>
      <c r="U1383" s="15">
        <v>1024.0999999999999</v>
      </c>
      <c r="V1383" t="s">
        <v>19</v>
      </c>
      <c r="W1383" t="s">
        <v>19</v>
      </c>
      <c r="X1383">
        <v>16809</v>
      </c>
      <c r="Y1383" s="16">
        <f>VLOOKUP(Tabela1[[#This Row],[SKU]],SKU!A:D,4,0)</f>
        <v>1000</v>
      </c>
      <c r="Z1383" s="18">
        <f>IFERROR((Tabela1[[#This Row],[Média]]-Tabela1[[#This Row],[Meta]])/Tabela1[[#This Row],[Meta]],"")</f>
        <v>2.409999999999991E-2</v>
      </c>
      <c r="AA1383" s="31">
        <f>Tabela1[[#This Row],[Média]]-Tabela1[[#This Row],[Meta]]</f>
        <v>24.099999999999909</v>
      </c>
      <c r="AB1383" s="6" t="str">
        <f>VLOOKUP(Tabela1[[#This Row],[SKU]],SKU!A:B,2,0)</f>
        <v>FILE PEITO MET CG BDJ SE</v>
      </c>
      <c r="AC1383" s="6" t="str">
        <f>VLOOKUP(Tabela1[[#This Row],[SKU]],SKU!A:C,3,0)</f>
        <v>PEITO</v>
      </c>
    </row>
    <row r="1384" spans="1:29" x14ac:dyDescent="0.3">
      <c r="A1384" s="2">
        <f>INT(Tabela1[[#This Row],[Data e Hora2]])</f>
        <v>46302</v>
      </c>
      <c r="B1384" s="6" t="str">
        <f>UPPER(TEXT(Tabela1[[#This Row],[Data Corrigida]],"MMM"))</f>
        <v>OUT</v>
      </c>
      <c r="C1384" t="s">
        <v>3090</v>
      </c>
      <c r="D1384" s="2" t="s">
        <v>3091</v>
      </c>
      <c r="E1384" s="1" t="s">
        <v>3077</v>
      </c>
      <c r="F1384" t="s">
        <v>24</v>
      </c>
      <c r="G1384" s="2" t="s">
        <v>3060</v>
      </c>
      <c r="H1384" t="s">
        <v>26</v>
      </c>
      <c r="I1384" t="s">
        <v>27</v>
      </c>
      <c r="J1384" s="6">
        <v>42641</v>
      </c>
      <c r="K1384" s="16">
        <v>15000</v>
      </c>
      <c r="L1384" s="16">
        <v>15005</v>
      </c>
      <c r="M1384" s="16">
        <v>15045</v>
      </c>
      <c r="N1384" s="16">
        <v>15025</v>
      </c>
      <c r="O1384" s="16">
        <v>15025</v>
      </c>
      <c r="P1384" s="16">
        <v>15065</v>
      </c>
      <c r="Q1384" s="16">
        <v>15060</v>
      </c>
      <c r="R1384" s="16">
        <v>15040</v>
      </c>
      <c r="S1384" s="16">
        <v>15015</v>
      </c>
      <c r="T1384" s="16">
        <v>15055</v>
      </c>
      <c r="U1384" s="15">
        <v>15033.5</v>
      </c>
      <c r="V1384" t="s">
        <v>19</v>
      </c>
      <c r="W1384" t="s">
        <v>28</v>
      </c>
      <c r="X1384">
        <v>17096</v>
      </c>
      <c r="Y1384" s="16">
        <f>VLOOKUP(Tabela1[[#This Row],[SKU]],SKU!A:D,4,0)</f>
        <v>15000</v>
      </c>
      <c r="Z1384" s="18">
        <f>IFERROR((Tabela1[[#This Row],[Média]]-Tabela1[[#This Row],[Meta]])/Tabela1[[#This Row],[Meta]],"")</f>
        <v>2.2333333333333333E-3</v>
      </c>
      <c r="AA1384" s="31">
        <f>Tabela1[[#This Row],[Média]]-Tabela1[[#This Row],[Meta]]</f>
        <v>33.5</v>
      </c>
      <c r="AB1384" s="6" t="str">
        <f>VLOOKUP(Tabela1[[#This Row],[SKU]],SKU!A:B,2,0)</f>
        <v>ASAS FG 100g UP LP</v>
      </c>
      <c r="AC1384" s="6" t="str">
        <f>VLOOKUP(Tabela1[[#This Row],[SKU]],SKU!A:C,3,0)</f>
        <v>ASA</v>
      </c>
    </row>
    <row r="1385" spans="1:29" x14ac:dyDescent="0.3">
      <c r="A1385" s="2">
        <f>INT(Tabela1[[#This Row],[Data e Hora2]])</f>
        <v>46302</v>
      </c>
      <c r="B1385" s="6" t="str">
        <f>UPPER(TEXT(Tabela1[[#This Row],[Data Corrigida]],"MMM"))</f>
        <v>OUT</v>
      </c>
      <c r="C1385" t="s">
        <v>3092</v>
      </c>
      <c r="D1385" s="2" t="s">
        <v>3093</v>
      </c>
      <c r="E1385" s="1" t="s">
        <v>3077</v>
      </c>
      <c r="F1385" t="s">
        <v>24</v>
      </c>
      <c r="G1385" s="2" t="s">
        <v>3060</v>
      </c>
      <c r="H1385" t="s">
        <v>26</v>
      </c>
      <c r="I1385" t="s">
        <v>27</v>
      </c>
      <c r="J1385" s="6">
        <v>42820</v>
      </c>
      <c r="K1385" s="16">
        <v>2018</v>
      </c>
      <c r="L1385" s="16">
        <v>2048</v>
      </c>
      <c r="M1385" s="16">
        <v>2025</v>
      </c>
      <c r="N1385" s="16">
        <v>2028</v>
      </c>
      <c r="O1385" s="16">
        <v>2022</v>
      </c>
      <c r="P1385" s="16">
        <v>2018</v>
      </c>
      <c r="Q1385" s="16">
        <v>2024</v>
      </c>
      <c r="R1385" s="16">
        <v>2042</v>
      </c>
      <c r="S1385" s="16">
        <v>2040</v>
      </c>
      <c r="T1385" s="16">
        <v>2045</v>
      </c>
      <c r="U1385" s="15">
        <v>2031</v>
      </c>
      <c r="V1385" t="s">
        <v>19</v>
      </c>
      <c r="W1385" t="s">
        <v>19</v>
      </c>
      <c r="X1385">
        <v>19934</v>
      </c>
      <c r="Y1385" s="16">
        <f>VLOOKUP(Tabela1[[#This Row],[SKU]],SKU!A:D,4,0)</f>
        <v>2000</v>
      </c>
      <c r="Z1385" s="18">
        <f>IFERROR((Tabela1[[#This Row],[Média]]-Tabela1[[#This Row],[Meta]])/Tabela1[[#This Row],[Meta]],"")</f>
        <v>1.55E-2</v>
      </c>
      <c r="AA1385" s="31">
        <f>Tabela1[[#This Row],[Média]]-Tabela1[[#This Row],[Meta]]</f>
        <v>31</v>
      </c>
      <c r="AB1385" s="6" t="str">
        <f>VLOOKUP(Tabela1[[#This Row],[SKU]],SKU!A:B,2,0)</f>
        <v>COXA SBCX S/O FG 200-220g PB</v>
      </c>
      <c r="AC1385" s="6" t="str">
        <f>VLOOKUP(Tabela1[[#This Row],[SKU]],SKU!A:C,3,0)</f>
        <v>PERNA</v>
      </c>
    </row>
    <row r="1386" spans="1:29" x14ac:dyDescent="0.3">
      <c r="A1386" s="2">
        <f>INT(Tabela1[[#This Row],[Data e Hora2]])</f>
        <v>46302</v>
      </c>
      <c r="B1386" s="6" t="str">
        <f>UPPER(TEXT(Tabela1[[#This Row],[Data Corrigida]],"MMM"))</f>
        <v>OUT</v>
      </c>
      <c r="C1386" t="s">
        <v>3094</v>
      </c>
      <c r="D1386" s="2" t="s">
        <v>3095</v>
      </c>
      <c r="E1386" s="1" t="s">
        <v>3077</v>
      </c>
      <c r="F1386" t="s">
        <v>24</v>
      </c>
      <c r="G1386" s="2" t="s">
        <v>3060</v>
      </c>
      <c r="H1386" t="s">
        <v>26</v>
      </c>
      <c r="I1386" t="s">
        <v>27</v>
      </c>
      <c r="J1386" s="6">
        <v>42862</v>
      </c>
      <c r="K1386" s="16">
        <v>2038</v>
      </c>
      <c r="L1386" s="16">
        <v>2006</v>
      </c>
      <c r="M1386" s="16">
        <v>2008</v>
      </c>
      <c r="N1386" s="16">
        <v>2023</v>
      </c>
      <c r="O1386" s="16">
        <v>2013</v>
      </c>
      <c r="P1386" s="16">
        <v>2004</v>
      </c>
      <c r="Q1386" s="16">
        <v>2020</v>
      </c>
      <c r="R1386" s="16">
        <v>2012</v>
      </c>
      <c r="S1386" s="16">
        <v>2017</v>
      </c>
      <c r="T1386" s="16">
        <v>2023</v>
      </c>
      <c r="U1386" s="15">
        <v>2016.4</v>
      </c>
      <c r="V1386" t="s">
        <v>19</v>
      </c>
      <c r="W1386" t="s">
        <v>28</v>
      </c>
      <c r="X1386">
        <v>20049</v>
      </c>
      <c r="Y1386" s="16">
        <f>VLOOKUP(Tabela1[[#This Row],[SKU]],SKU!A:D,4,0)</f>
        <v>2000</v>
      </c>
      <c r="Z1386" s="18">
        <f>IFERROR((Tabela1[[#This Row],[Média]]-Tabela1[[#This Row],[Meta]])/Tabela1[[#This Row],[Meta]],"")</f>
        <v>8.2000000000000458E-3</v>
      </c>
      <c r="AA1386" s="31">
        <f>Tabela1[[#This Row],[Média]]-Tabela1[[#This Row],[Meta]]</f>
        <v>16.400000000000091</v>
      </c>
      <c r="AB1386" s="6" t="str">
        <f>VLOOKUP(Tabela1[[#This Row],[SKU]],SKU!A:B,2,0)</f>
        <v>COXA SBCX S/O FG 280-300g PB</v>
      </c>
      <c r="AC1386" s="6" t="str">
        <f>VLOOKUP(Tabela1[[#This Row],[SKU]],SKU!A:C,3,0)</f>
        <v>PERNA</v>
      </c>
    </row>
    <row r="1387" spans="1:29" x14ac:dyDescent="0.3">
      <c r="A1387" s="2">
        <f>INT(Tabela1[[#This Row],[Data e Hora2]])</f>
        <v>46302</v>
      </c>
      <c r="B1387" s="6" t="str">
        <f>UPPER(TEXT(Tabela1[[#This Row],[Data Corrigida]],"MMM"))</f>
        <v>OUT</v>
      </c>
      <c r="C1387" t="s">
        <v>3096</v>
      </c>
      <c r="D1387" s="2" t="s">
        <v>3097</v>
      </c>
      <c r="E1387" s="1" t="s">
        <v>3098</v>
      </c>
      <c r="F1387" t="s">
        <v>24</v>
      </c>
      <c r="G1387" s="2" t="s">
        <v>3060</v>
      </c>
      <c r="H1387" t="s">
        <v>26</v>
      </c>
      <c r="I1387" t="s">
        <v>27</v>
      </c>
      <c r="J1387" s="6">
        <v>42854</v>
      </c>
      <c r="K1387" s="16">
        <v>2040</v>
      </c>
      <c r="L1387" s="16">
        <v>2087</v>
      </c>
      <c r="M1387" s="16">
        <v>2011</v>
      </c>
      <c r="N1387" s="16">
        <v>2095</v>
      </c>
      <c r="O1387" s="16">
        <v>2002</v>
      </c>
      <c r="P1387" s="16">
        <v>2091</v>
      </c>
      <c r="Q1387" s="16">
        <v>2095</v>
      </c>
      <c r="R1387" s="16">
        <v>2106</v>
      </c>
      <c r="S1387" s="16">
        <v>2100</v>
      </c>
      <c r="T1387" s="16">
        <v>2064</v>
      </c>
      <c r="U1387" s="15">
        <v>2069.1</v>
      </c>
      <c r="V1387" t="s">
        <v>19</v>
      </c>
      <c r="W1387" t="s">
        <v>28</v>
      </c>
      <c r="X1387">
        <v>20185</v>
      </c>
      <c r="Y1387" s="16">
        <f>VLOOKUP(Tabela1[[#This Row],[SKU]],SKU!A:D,4,0)</f>
        <v>2080</v>
      </c>
      <c r="Z1387" s="18">
        <f>IFERROR((Tabela1[[#This Row],[Média]]-Tabela1[[#This Row],[Meta]])/Tabela1[[#This Row],[Meta]],"")</f>
        <v>-5.2403846153846589E-3</v>
      </c>
      <c r="AA1387" s="31">
        <f>Tabela1[[#This Row],[Média]]-Tabela1[[#This Row],[Meta]]</f>
        <v>-10.900000000000091</v>
      </c>
      <c r="AB1387" s="6" t="str">
        <f>VLOOKUP(Tabela1[[#This Row],[SKU]],SKU!A:B,2,0)</f>
        <v>COXA SBCX S/O FG 260-280g PB</v>
      </c>
      <c r="AC1387" s="6" t="str">
        <f>VLOOKUP(Tabela1[[#This Row],[SKU]],SKU!A:C,3,0)</f>
        <v>PERNA</v>
      </c>
    </row>
    <row r="1388" spans="1:29" x14ac:dyDescent="0.3">
      <c r="A1388" s="2">
        <f>INT(Tabela1[[#This Row],[Data e Hora2]])</f>
        <v>46302</v>
      </c>
      <c r="B1388" s="6" t="str">
        <f>UPPER(TEXT(Tabela1[[#This Row],[Data Corrigida]],"MMM"))</f>
        <v>OUT</v>
      </c>
      <c r="C1388" t="s">
        <v>3099</v>
      </c>
      <c r="D1388" s="2" t="s">
        <v>3100</v>
      </c>
      <c r="E1388" s="1" t="s">
        <v>3098</v>
      </c>
      <c r="F1388" t="s">
        <v>24</v>
      </c>
      <c r="G1388" s="2" t="s">
        <v>3060</v>
      </c>
      <c r="H1388" t="s">
        <v>26</v>
      </c>
      <c r="I1388" t="s">
        <v>27</v>
      </c>
      <c r="J1388" s="6">
        <v>42846</v>
      </c>
      <c r="K1388" s="16">
        <v>2017</v>
      </c>
      <c r="L1388" s="16">
        <v>2046</v>
      </c>
      <c r="M1388" s="16">
        <v>2000</v>
      </c>
      <c r="N1388" s="16">
        <v>2033</v>
      </c>
      <c r="O1388" s="16">
        <v>2006</v>
      </c>
      <c r="P1388" s="16">
        <v>2001</v>
      </c>
      <c r="Q1388" s="16">
        <v>2012</v>
      </c>
      <c r="R1388" s="16">
        <v>2010</v>
      </c>
      <c r="S1388" s="16">
        <v>2019</v>
      </c>
      <c r="T1388" s="16">
        <v>2013</v>
      </c>
      <c r="U1388" s="15">
        <v>2015.7</v>
      </c>
      <c r="V1388" t="s">
        <v>19</v>
      </c>
      <c r="W1388" t="s">
        <v>19</v>
      </c>
      <c r="X1388">
        <v>20301</v>
      </c>
      <c r="Y1388" s="16">
        <f>VLOOKUP(Tabela1[[#This Row],[SKU]],SKU!A:D,4,0)</f>
        <v>2000</v>
      </c>
      <c r="Z1388" s="18">
        <f>IFERROR((Tabela1[[#This Row],[Média]]-Tabela1[[#This Row],[Meta]])/Tabela1[[#This Row],[Meta]],"")</f>
        <v>7.8500000000000219E-3</v>
      </c>
      <c r="AA1388" s="31">
        <f>Tabela1[[#This Row],[Média]]-Tabela1[[#This Row],[Meta]]</f>
        <v>15.700000000000045</v>
      </c>
      <c r="AB1388" s="6" t="str">
        <f>VLOOKUP(Tabela1[[#This Row],[SKU]],SKU!A:B,2,0)</f>
        <v>COXA SBCX S/O FG 240-260g PB</v>
      </c>
      <c r="AC1388" s="6" t="str">
        <f>VLOOKUP(Tabela1[[#This Row],[SKU]],SKU!A:C,3,0)</f>
        <v>PERNA</v>
      </c>
    </row>
    <row r="1389" spans="1:29" x14ac:dyDescent="0.3">
      <c r="A1389" s="2">
        <f>INT(Tabela1[[#This Row],[Data e Hora2]])</f>
        <v>46302</v>
      </c>
      <c r="B1389" s="6" t="str">
        <f>UPPER(TEXT(Tabela1[[#This Row],[Data Corrigida]],"MMM"))</f>
        <v>OUT</v>
      </c>
      <c r="C1389" t="s">
        <v>3101</v>
      </c>
      <c r="D1389" s="2" t="s">
        <v>3102</v>
      </c>
      <c r="E1389" s="1" t="s">
        <v>3098</v>
      </c>
      <c r="F1389" t="s">
        <v>24</v>
      </c>
      <c r="G1389" s="2" t="s">
        <v>3060</v>
      </c>
      <c r="H1389" t="s">
        <v>26</v>
      </c>
      <c r="I1389" t="s">
        <v>27</v>
      </c>
      <c r="J1389" s="6">
        <v>42838</v>
      </c>
      <c r="K1389" s="16">
        <v>2020</v>
      </c>
      <c r="L1389" s="16">
        <v>2017</v>
      </c>
      <c r="M1389" s="16">
        <v>2020</v>
      </c>
      <c r="N1389" s="16">
        <v>2018</v>
      </c>
      <c r="O1389" s="16">
        <v>2075</v>
      </c>
      <c r="P1389" s="16">
        <v>2005</v>
      </c>
      <c r="Q1389" s="16">
        <v>2028</v>
      </c>
      <c r="R1389" s="16">
        <v>2012</v>
      </c>
      <c r="S1389" s="16">
        <v>2045</v>
      </c>
      <c r="T1389" s="16">
        <v>2041</v>
      </c>
      <c r="U1389" s="15">
        <v>2028.1</v>
      </c>
      <c r="V1389" t="s">
        <v>19</v>
      </c>
      <c r="W1389" t="s">
        <v>28</v>
      </c>
      <c r="X1389">
        <v>20380</v>
      </c>
      <c r="Y1389" s="16">
        <f>VLOOKUP(Tabela1[[#This Row],[SKU]],SKU!A:D,4,0)</f>
        <v>2000</v>
      </c>
      <c r="Z1389" s="18">
        <f>IFERROR((Tabela1[[#This Row],[Média]]-Tabela1[[#This Row],[Meta]])/Tabela1[[#This Row],[Meta]],"")</f>
        <v>1.4049999999999955E-2</v>
      </c>
      <c r="AA1389" s="31">
        <f>Tabela1[[#This Row],[Média]]-Tabela1[[#This Row],[Meta]]</f>
        <v>28.099999999999909</v>
      </c>
      <c r="AB1389" s="6" t="str">
        <f>VLOOKUP(Tabela1[[#This Row],[SKU]],SKU!A:B,2,0)</f>
        <v>COXA SBCX S/O FG 220-240g PB</v>
      </c>
      <c r="AC1389" s="6" t="str">
        <f>VLOOKUP(Tabela1[[#This Row],[SKU]],SKU!A:C,3,0)</f>
        <v>PERNA</v>
      </c>
    </row>
    <row r="1390" spans="1:29" x14ac:dyDescent="0.3">
      <c r="A1390" s="2">
        <f>INT(Tabela1[[#This Row],[Data e Hora2]])</f>
        <v>46302</v>
      </c>
      <c r="B1390" s="6" t="str">
        <f>UPPER(TEXT(Tabela1[[#This Row],[Data Corrigida]],"MMM"))</f>
        <v>OUT</v>
      </c>
      <c r="C1390" t="s">
        <v>3103</v>
      </c>
      <c r="D1390" s="2" t="s">
        <v>3104</v>
      </c>
      <c r="E1390" s="1" t="s">
        <v>3098</v>
      </c>
      <c r="F1390" t="s">
        <v>24</v>
      </c>
      <c r="G1390" s="2" t="s">
        <v>3060</v>
      </c>
      <c r="H1390" t="s">
        <v>26</v>
      </c>
      <c r="I1390" t="s">
        <v>27</v>
      </c>
      <c r="J1390" s="6">
        <v>15105</v>
      </c>
      <c r="K1390" s="16">
        <v>1014</v>
      </c>
      <c r="L1390" s="16">
        <v>1008</v>
      </c>
      <c r="M1390" s="16">
        <v>999</v>
      </c>
      <c r="N1390" s="16">
        <v>990</v>
      </c>
      <c r="O1390" s="16">
        <v>1038</v>
      </c>
      <c r="P1390" s="16">
        <v>1006</v>
      </c>
      <c r="Q1390" s="16">
        <v>1070</v>
      </c>
      <c r="R1390" s="16">
        <v>1006</v>
      </c>
      <c r="S1390" s="16">
        <v>1021</v>
      </c>
      <c r="T1390" s="16">
        <v>1021</v>
      </c>
      <c r="U1390" s="15">
        <v>1017.3</v>
      </c>
      <c r="V1390" t="s">
        <v>19</v>
      </c>
      <c r="W1390" t="s">
        <v>28</v>
      </c>
      <c r="X1390">
        <v>31245</v>
      </c>
      <c r="Y1390" s="16">
        <f>VLOOKUP(Tabela1[[#This Row],[SKU]],SKU!A:D,4,0)</f>
        <v>1000</v>
      </c>
      <c r="Z1390" s="18">
        <f>IFERROR((Tabela1[[#This Row],[Média]]-Tabela1[[#This Row],[Meta]])/Tabela1[[#This Row],[Meta]],"")</f>
        <v>1.7299999999999954E-2</v>
      </c>
      <c r="AA1390" s="31">
        <f>Tabela1[[#This Row],[Média]]-Tabela1[[#This Row],[Meta]]</f>
        <v>17.299999999999955</v>
      </c>
      <c r="AB1390" s="6" t="str">
        <f>VLOOKUP(Tabela1[[#This Row],[SKU]],SKU!A:B,2,0)</f>
        <v>FILE PEITO MET CG BDJ SE</v>
      </c>
      <c r="AC1390" s="6" t="str">
        <f>VLOOKUP(Tabela1[[#This Row],[SKU]],SKU!A:C,3,0)</f>
        <v>PEITO</v>
      </c>
    </row>
    <row r="1391" spans="1:29" x14ac:dyDescent="0.3">
      <c r="A1391" s="2">
        <f>INT(Tabela1[[#This Row],[Data e Hora2]])</f>
        <v>46302</v>
      </c>
      <c r="B1391" s="6" t="str">
        <f>UPPER(TEXT(Tabela1[[#This Row],[Data Corrigida]],"MMM"))</f>
        <v>OUT</v>
      </c>
      <c r="C1391" t="s">
        <v>3105</v>
      </c>
      <c r="D1391" s="2" t="s">
        <v>3106</v>
      </c>
      <c r="E1391" s="1" t="s">
        <v>3107</v>
      </c>
      <c r="F1391" t="s">
        <v>24</v>
      </c>
      <c r="G1391" s="2" t="s">
        <v>3060</v>
      </c>
      <c r="H1391" t="s">
        <v>142</v>
      </c>
      <c r="I1391" t="s">
        <v>462</v>
      </c>
      <c r="J1391" s="6">
        <v>209039</v>
      </c>
      <c r="K1391" s="16">
        <v>1015</v>
      </c>
      <c r="L1391" s="16">
        <v>1025</v>
      </c>
      <c r="M1391" s="16">
        <v>993</v>
      </c>
      <c r="N1391" s="16">
        <v>990</v>
      </c>
      <c r="O1391" s="16">
        <v>1016</v>
      </c>
      <c r="P1391" s="16">
        <v>1030</v>
      </c>
      <c r="Q1391" s="16">
        <v>995</v>
      </c>
      <c r="R1391" s="16">
        <v>1010</v>
      </c>
      <c r="S1391" s="16">
        <v>1011</v>
      </c>
      <c r="T1391" s="16">
        <v>1004</v>
      </c>
      <c r="U1391" s="15">
        <v>1008.9</v>
      </c>
      <c r="V1391" t="s">
        <v>19</v>
      </c>
      <c r="W1391" t="s">
        <v>28</v>
      </c>
      <c r="X1391">
        <v>219</v>
      </c>
      <c r="Y1391" s="16">
        <f>VLOOKUP(Tabela1[[#This Row],[SKU]],SKU!A:D,4,0)</f>
        <v>1000</v>
      </c>
      <c r="Z1391" s="18">
        <f>IFERROR((Tabela1[[#This Row],[Média]]-Tabela1[[#This Row],[Meta]])/Tabela1[[#This Row],[Meta]],"")</f>
        <v>8.8999999999999774E-3</v>
      </c>
      <c r="AA1391" s="31">
        <f>Tabela1[[#This Row],[Média]]-Tabela1[[#This Row],[Meta]]</f>
        <v>8.8999999999999773</v>
      </c>
      <c r="AB1391" s="6" t="str">
        <f>VLOOKUP(Tabela1[[#This Row],[SKU]],SKU!A:B,2,0)</f>
        <v>COXINHA ASA IQF ALM 1KG</v>
      </c>
      <c r="AC1391" s="6" t="str">
        <f>VLOOKUP(Tabela1[[#This Row],[SKU]],SKU!A:C,3,0)</f>
        <v>ASA</v>
      </c>
    </row>
    <row r="1392" spans="1:29" x14ac:dyDescent="0.3">
      <c r="A1392" s="2">
        <f>INT(Tabela1[[#This Row],[Data e Hora2]])</f>
        <v>46302</v>
      </c>
      <c r="B1392" s="6" t="str">
        <f>UPPER(TEXT(Tabela1[[#This Row],[Data Corrigida]],"MMM"))</f>
        <v>OUT</v>
      </c>
      <c r="C1392" t="s">
        <v>3108</v>
      </c>
      <c r="D1392" s="2" t="s">
        <v>3109</v>
      </c>
      <c r="E1392" s="1" t="s">
        <v>3110</v>
      </c>
      <c r="F1392" t="s">
        <v>24</v>
      </c>
      <c r="G1392" s="2" t="s">
        <v>3060</v>
      </c>
      <c r="H1392" t="s">
        <v>142</v>
      </c>
      <c r="I1392" t="s">
        <v>462</v>
      </c>
      <c r="J1392" s="6">
        <v>18228</v>
      </c>
      <c r="K1392" s="16">
        <v>1001</v>
      </c>
      <c r="L1392" s="16">
        <v>1006</v>
      </c>
      <c r="M1392" s="16">
        <v>999</v>
      </c>
      <c r="N1392" s="16">
        <v>1005</v>
      </c>
      <c r="O1392" s="16">
        <v>1003</v>
      </c>
      <c r="P1392" s="16">
        <v>1000</v>
      </c>
      <c r="Q1392" s="16">
        <v>995</v>
      </c>
      <c r="R1392" s="16">
        <v>1000</v>
      </c>
      <c r="S1392" s="16">
        <v>1004</v>
      </c>
      <c r="T1392" s="16">
        <v>1006</v>
      </c>
      <c r="U1392" s="15">
        <v>1001.9</v>
      </c>
      <c r="V1392" t="s">
        <v>19</v>
      </c>
      <c r="W1392" t="s">
        <v>28</v>
      </c>
      <c r="X1392">
        <v>1284</v>
      </c>
      <c r="Y1392" s="16">
        <f>VLOOKUP(Tabela1[[#This Row],[SKU]],SKU!A:D,4,0)</f>
        <v>1000</v>
      </c>
      <c r="Z1392" s="18">
        <f>IFERROR((Tabela1[[#This Row],[Média]]-Tabela1[[#This Row],[Meta]])/Tabela1[[#This Row],[Meta]],"")</f>
        <v>1.8999999999999772E-3</v>
      </c>
      <c r="AA1392" s="31">
        <f>Tabela1[[#This Row],[Média]]-Tabela1[[#This Row],[Meta]]</f>
        <v>1.8999999999999773</v>
      </c>
      <c r="AB1392" s="6" t="str">
        <f>VLOOKUP(Tabela1[[#This Row],[SKU]],SKU!A:B,2,0)</f>
        <v>MOELA FRANGO CG ALM SE</v>
      </c>
      <c r="AC1392" s="6" t="str">
        <f>VLOOKUP(Tabela1[[#This Row],[SKU]],SKU!A:C,3,0)</f>
        <v>MOELA</v>
      </c>
    </row>
    <row r="1393" spans="1:29" x14ac:dyDescent="0.3">
      <c r="A1393" s="2">
        <f>INT(Tabela1[[#This Row],[Data e Hora2]])</f>
        <v>46302</v>
      </c>
      <c r="B1393" s="6" t="str">
        <f>UPPER(TEXT(Tabela1[[#This Row],[Data Corrigida]],"MMM"))</f>
        <v>OUT</v>
      </c>
      <c r="C1393" t="s">
        <v>3111</v>
      </c>
      <c r="D1393" s="2" t="s">
        <v>3112</v>
      </c>
      <c r="E1393" s="1" t="s">
        <v>3113</v>
      </c>
      <c r="F1393" t="s">
        <v>24</v>
      </c>
      <c r="G1393" s="2" t="s">
        <v>3060</v>
      </c>
      <c r="H1393" t="s">
        <v>142</v>
      </c>
      <c r="I1393" t="s">
        <v>462</v>
      </c>
      <c r="J1393" s="6">
        <v>15105</v>
      </c>
      <c r="K1393" s="16">
        <v>1034</v>
      </c>
      <c r="L1393" s="16">
        <v>998</v>
      </c>
      <c r="M1393" s="16">
        <v>993</v>
      </c>
      <c r="N1393" s="16">
        <v>1014</v>
      </c>
      <c r="O1393" s="16">
        <v>1009</v>
      </c>
      <c r="P1393" s="16">
        <v>999</v>
      </c>
      <c r="Q1393" s="16">
        <v>999</v>
      </c>
      <c r="R1393" s="16">
        <v>1057</v>
      </c>
      <c r="S1393" s="16">
        <v>1029</v>
      </c>
      <c r="T1393" s="16">
        <v>999</v>
      </c>
      <c r="U1393" s="15">
        <v>1013.1</v>
      </c>
      <c r="V1393" t="s">
        <v>19</v>
      </c>
      <c r="W1393" t="s">
        <v>28</v>
      </c>
      <c r="X1393">
        <v>255</v>
      </c>
      <c r="Y1393" s="16">
        <f>VLOOKUP(Tabela1[[#This Row],[SKU]],SKU!A:D,4,0)</f>
        <v>1000</v>
      </c>
      <c r="Z1393" s="18">
        <f>IFERROR((Tabela1[[#This Row],[Média]]-Tabela1[[#This Row],[Meta]])/Tabela1[[#This Row],[Meta]],"")</f>
        <v>1.3100000000000023E-2</v>
      </c>
      <c r="AA1393" s="31">
        <f>Tabela1[[#This Row],[Média]]-Tabela1[[#This Row],[Meta]]</f>
        <v>13.100000000000023</v>
      </c>
      <c r="AB1393" s="6" t="str">
        <f>VLOOKUP(Tabela1[[#This Row],[SKU]],SKU!A:B,2,0)</f>
        <v>FILE PEITO MET CG BDJ SE</v>
      </c>
      <c r="AC1393" s="6" t="str">
        <f>VLOOKUP(Tabela1[[#This Row],[SKU]],SKU!A:C,3,0)</f>
        <v>PEITO</v>
      </c>
    </row>
    <row r="1394" spans="1:29" x14ac:dyDescent="0.3">
      <c r="A1394" s="2">
        <f>INT(Tabela1[[#This Row],[Data e Hora2]])</f>
        <v>46302</v>
      </c>
      <c r="B1394" s="6" t="str">
        <f>UPPER(TEXT(Tabela1[[#This Row],[Data Corrigida]],"MMM"))</f>
        <v>OUT</v>
      </c>
      <c r="C1394" t="s">
        <v>3114</v>
      </c>
      <c r="D1394" s="2" t="s">
        <v>3115</v>
      </c>
      <c r="E1394" s="1" t="s">
        <v>3116</v>
      </c>
      <c r="F1394" t="s">
        <v>24</v>
      </c>
      <c r="G1394" s="2" t="s">
        <v>3060</v>
      </c>
      <c r="H1394" t="s">
        <v>142</v>
      </c>
      <c r="I1394" t="s">
        <v>462</v>
      </c>
      <c r="J1394" s="6">
        <v>54632</v>
      </c>
      <c r="K1394" s="16">
        <v>1017</v>
      </c>
      <c r="L1394" s="16">
        <v>997</v>
      </c>
      <c r="M1394" s="16">
        <v>1006</v>
      </c>
      <c r="N1394" s="16">
        <v>1025</v>
      </c>
      <c r="O1394" s="16">
        <v>1036</v>
      </c>
      <c r="P1394" s="16">
        <v>1010</v>
      </c>
      <c r="Q1394" s="16">
        <v>1025</v>
      </c>
      <c r="R1394" s="16">
        <v>1031</v>
      </c>
      <c r="S1394" s="16">
        <v>1015</v>
      </c>
      <c r="T1394" s="16">
        <v>1001</v>
      </c>
      <c r="U1394" s="15">
        <v>1016.3</v>
      </c>
      <c r="V1394" t="s">
        <v>19</v>
      </c>
      <c r="W1394" t="s">
        <v>28</v>
      </c>
      <c r="X1394">
        <v>695</v>
      </c>
      <c r="Y1394" s="16">
        <f>VLOOKUP(Tabela1[[#This Row],[SKU]],SKU!A:D,4,0)</f>
        <v>1000</v>
      </c>
      <c r="Z1394" s="18">
        <f>IFERROR((Tabela1[[#This Row],[Média]]-Tabela1[[#This Row],[Meta]])/Tabela1[[#This Row],[Meta]],"")</f>
        <v>1.6299999999999953E-2</v>
      </c>
      <c r="AA1394" s="31">
        <f>Tabela1[[#This Row],[Média]]-Tabela1[[#This Row],[Meta]]</f>
        <v>16.299999999999955</v>
      </c>
      <c r="AB1394" s="6" t="str">
        <f>VLOOKUP(Tabela1[[#This Row],[SKU]],SKU!A:B,2,0)</f>
        <v>COXA SBCX S/O BDJ CG</v>
      </c>
      <c r="AC1394" s="6" t="str">
        <f>VLOOKUP(Tabela1[[#This Row],[SKU]],SKU!A:C,3,0)</f>
        <v>PERNA</v>
      </c>
    </row>
    <row r="1395" spans="1:29" x14ac:dyDescent="0.3">
      <c r="A1395" s="2">
        <f>INT(Tabela1[[#This Row],[Data e Hora2]])</f>
        <v>46302</v>
      </c>
      <c r="B1395" s="6" t="str">
        <f>UPPER(TEXT(Tabela1[[#This Row],[Data Corrigida]],"MMM"))</f>
        <v>OUT</v>
      </c>
      <c r="C1395" t="s">
        <v>3117</v>
      </c>
      <c r="D1395" s="2" t="s">
        <v>3118</v>
      </c>
      <c r="E1395" s="1" t="s">
        <v>3119</v>
      </c>
      <c r="F1395" t="s">
        <v>24</v>
      </c>
      <c r="G1395" s="2" t="s">
        <v>3060</v>
      </c>
      <c r="H1395" t="s">
        <v>142</v>
      </c>
      <c r="I1395" t="s">
        <v>462</v>
      </c>
      <c r="J1395" s="6">
        <v>42854</v>
      </c>
      <c r="K1395" s="16">
        <v>2141</v>
      </c>
      <c r="L1395" s="16">
        <v>2154</v>
      </c>
      <c r="M1395" s="16">
        <v>2168</v>
      </c>
      <c r="N1395" s="16">
        <v>2150</v>
      </c>
      <c r="O1395" s="16">
        <v>2153</v>
      </c>
      <c r="P1395" s="16">
        <v>2154</v>
      </c>
      <c r="Q1395" s="16">
        <v>2142</v>
      </c>
      <c r="R1395" s="16">
        <v>2137</v>
      </c>
      <c r="S1395" s="16">
        <v>2153</v>
      </c>
      <c r="T1395" s="16">
        <v>2096</v>
      </c>
      <c r="U1395" s="15">
        <v>2144.8000000000002</v>
      </c>
      <c r="V1395" t="s">
        <v>19</v>
      </c>
      <c r="W1395" t="s">
        <v>28</v>
      </c>
      <c r="X1395">
        <v>408</v>
      </c>
      <c r="Y1395" s="16">
        <f>VLOOKUP(Tabela1[[#This Row],[SKU]],SKU!A:D,4,0)</f>
        <v>2080</v>
      </c>
      <c r="Z1395" s="18">
        <f>IFERROR((Tabela1[[#This Row],[Média]]-Tabela1[[#This Row],[Meta]])/Tabela1[[#This Row],[Meta]],"")</f>
        <v>3.115384615384624E-2</v>
      </c>
      <c r="AA1395" s="31">
        <f>Tabela1[[#This Row],[Média]]-Tabela1[[#This Row],[Meta]]</f>
        <v>64.800000000000182</v>
      </c>
      <c r="AB1395" s="6" t="str">
        <f>VLOOKUP(Tabela1[[#This Row],[SKU]],SKU!A:B,2,0)</f>
        <v>COXA SBCX S/O FG 260-280g PB</v>
      </c>
      <c r="AC1395" s="6" t="str">
        <f>VLOOKUP(Tabela1[[#This Row],[SKU]],SKU!A:C,3,0)</f>
        <v>PERNA</v>
      </c>
    </row>
    <row r="1396" spans="1:29" x14ac:dyDescent="0.3">
      <c r="A1396" s="2">
        <f>INT(Tabela1[[#This Row],[Data e Hora2]])</f>
        <v>46301</v>
      </c>
      <c r="B1396" s="6" t="str">
        <f>UPPER(TEXT(Tabela1[[#This Row],[Data Corrigida]],"MMM"))</f>
        <v>OUT</v>
      </c>
      <c r="C1396" t="s">
        <v>3120</v>
      </c>
      <c r="D1396" s="2" t="s">
        <v>3121</v>
      </c>
      <c r="E1396" s="1" t="s">
        <v>3122</v>
      </c>
      <c r="F1396" t="s">
        <v>24</v>
      </c>
      <c r="G1396" s="2" t="s">
        <v>3123</v>
      </c>
      <c r="H1396" t="s">
        <v>26</v>
      </c>
      <c r="I1396" t="s">
        <v>27</v>
      </c>
      <c r="J1396" s="6">
        <v>209039</v>
      </c>
      <c r="K1396" s="16">
        <v>1023</v>
      </c>
      <c r="L1396" s="16">
        <v>1024</v>
      </c>
      <c r="M1396" s="16">
        <v>1051</v>
      </c>
      <c r="N1396" s="16">
        <v>997</v>
      </c>
      <c r="O1396" s="16">
        <v>1004</v>
      </c>
      <c r="P1396" s="16">
        <v>1002</v>
      </c>
      <c r="Q1396" s="16">
        <v>930</v>
      </c>
      <c r="R1396" s="16">
        <v>1026</v>
      </c>
      <c r="S1396" s="16">
        <v>1077</v>
      </c>
      <c r="T1396" s="16">
        <v>1006</v>
      </c>
      <c r="U1396" s="15">
        <v>1014</v>
      </c>
      <c r="V1396" t="s">
        <v>19</v>
      </c>
      <c r="W1396" t="s">
        <v>28</v>
      </c>
      <c r="X1396">
        <v>8158</v>
      </c>
      <c r="Y1396" s="16">
        <f>VLOOKUP(Tabela1[[#This Row],[SKU]],SKU!A:D,4,0)</f>
        <v>1000</v>
      </c>
      <c r="Z1396" s="18">
        <f>IFERROR((Tabela1[[#This Row],[Média]]-Tabela1[[#This Row],[Meta]])/Tabela1[[#This Row],[Meta]],"")</f>
        <v>1.4E-2</v>
      </c>
      <c r="AA1396" s="31">
        <f>Tabela1[[#This Row],[Média]]-Tabela1[[#This Row],[Meta]]</f>
        <v>14</v>
      </c>
      <c r="AB1396" s="6" t="str">
        <f>VLOOKUP(Tabela1[[#This Row],[SKU]],SKU!A:B,2,0)</f>
        <v>COXINHA ASA IQF ALM 1KG</v>
      </c>
      <c r="AC1396" s="6" t="str">
        <f>VLOOKUP(Tabela1[[#This Row],[SKU]],SKU!A:C,3,0)</f>
        <v>ASA</v>
      </c>
    </row>
    <row r="1397" spans="1:29" x14ac:dyDescent="0.3">
      <c r="A1397" s="2">
        <f>INT(Tabela1[[#This Row],[Data e Hora2]])</f>
        <v>46301</v>
      </c>
      <c r="B1397" s="6" t="str">
        <f>UPPER(TEXT(Tabela1[[#This Row],[Data Corrigida]],"MMM"))</f>
        <v>OUT</v>
      </c>
      <c r="C1397" t="s">
        <v>3124</v>
      </c>
      <c r="D1397" s="2" t="s">
        <v>3125</v>
      </c>
      <c r="E1397" s="1" t="s">
        <v>3122</v>
      </c>
      <c r="F1397" t="s">
        <v>24</v>
      </c>
      <c r="G1397" s="2" t="s">
        <v>3123</v>
      </c>
      <c r="H1397" t="s">
        <v>26</v>
      </c>
      <c r="I1397" t="s">
        <v>27</v>
      </c>
      <c r="J1397" s="6">
        <v>40762</v>
      </c>
      <c r="K1397" s="16">
        <v>10020</v>
      </c>
      <c r="L1397" s="16">
        <v>10050</v>
      </c>
      <c r="M1397" s="16">
        <v>9985</v>
      </c>
      <c r="N1397" s="16">
        <v>10080</v>
      </c>
      <c r="O1397" s="16">
        <v>10035</v>
      </c>
      <c r="P1397" s="16">
        <v>10010</v>
      </c>
      <c r="Q1397" s="16">
        <v>9960</v>
      </c>
      <c r="R1397" s="16">
        <v>10050</v>
      </c>
      <c r="S1397" s="16">
        <v>10005</v>
      </c>
      <c r="T1397" s="16">
        <v>9990</v>
      </c>
      <c r="U1397" s="15">
        <v>10018.5</v>
      </c>
      <c r="V1397" t="s">
        <v>19</v>
      </c>
      <c r="W1397" t="s">
        <v>28</v>
      </c>
      <c r="X1397">
        <v>11739</v>
      </c>
      <c r="Y1397" s="16">
        <f>VLOOKUP(Tabela1[[#This Row],[SKU]],SKU!A:D,4,0)</f>
        <v>10000</v>
      </c>
      <c r="Z1397" s="18">
        <f>IFERROR((Tabela1[[#This Row],[Média]]-Tabela1[[#This Row],[Meta]])/Tabela1[[#This Row],[Meta]],"")</f>
        <v>1.8500000000000001E-3</v>
      </c>
      <c r="AA1397" s="31">
        <f>Tabela1[[#This Row],[Média]]-Tabela1[[#This Row],[Meta]]</f>
        <v>18.5</v>
      </c>
      <c r="AB1397" s="6" t="str">
        <f>VLOOKUP(Tabela1[[#This Row],[SKU]],SKU!A:B,2,0)</f>
        <v>COXA SBCX LQ FG LP</v>
      </c>
      <c r="AC1397" s="6" t="str">
        <f>VLOOKUP(Tabela1[[#This Row],[SKU]],SKU!A:C,3,0)</f>
        <v>PERNA</v>
      </c>
    </row>
    <row r="1398" spans="1:29" x14ac:dyDescent="0.3">
      <c r="A1398" s="2">
        <f>INT(Tabela1[[#This Row],[Data e Hora2]])</f>
        <v>46301</v>
      </c>
      <c r="B1398" s="6" t="str">
        <f>UPPER(TEXT(Tabela1[[#This Row],[Data Corrigida]],"MMM"))</f>
        <v>OUT</v>
      </c>
      <c r="C1398" t="s">
        <v>3126</v>
      </c>
      <c r="D1398" s="2" t="s">
        <v>3127</v>
      </c>
      <c r="E1398" s="1" t="s">
        <v>3122</v>
      </c>
      <c r="F1398" t="s">
        <v>24</v>
      </c>
      <c r="G1398" s="2" t="s">
        <v>3123</v>
      </c>
      <c r="H1398" t="s">
        <v>26</v>
      </c>
      <c r="I1398" t="s">
        <v>27</v>
      </c>
      <c r="J1398" s="6">
        <v>963925</v>
      </c>
      <c r="K1398" s="16">
        <v>18090</v>
      </c>
      <c r="L1398" s="16">
        <v>18045</v>
      </c>
      <c r="M1398" s="16">
        <v>18315</v>
      </c>
      <c r="N1398" s="16">
        <v>18570</v>
      </c>
      <c r="O1398" s="16">
        <v>18130</v>
      </c>
      <c r="P1398" s="16">
        <v>18115</v>
      </c>
      <c r="Q1398" s="16">
        <v>18230</v>
      </c>
      <c r="R1398" s="16">
        <v>18260</v>
      </c>
      <c r="S1398" s="16">
        <v>18405</v>
      </c>
      <c r="T1398" s="16">
        <v>18445</v>
      </c>
      <c r="U1398" s="15">
        <v>18260.5</v>
      </c>
      <c r="V1398" t="s">
        <v>19</v>
      </c>
      <c r="W1398" t="s">
        <v>28</v>
      </c>
      <c r="X1398">
        <v>12411</v>
      </c>
      <c r="Y1398" s="16">
        <f>VLOOKUP(Tabela1[[#This Row],[SKU]],SKU!A:D,4,0)</f>
        <v>18000</v>
      </c>
      <c r="Z1398" s="18">
        <f>IFERROR((Tabela1[[#This Row],[Média]]-Tabela1[[#This Row],[Meta]])/Tabela1[[#This Row],[Meta]],"")</f>
        <v>1.4472222222222221E-2</v>
      </c>
      <c r="AA1398" s="31">
        <f>Tabela1[[#This Row],[Média]]-Tabela1[[#This Row],[Meta]]</f>
        <v>260.5</v>
      </c>
      <c r="AB1398" s="6" t="str">
        <f>VLOOKUP(Tabela1[[#This Row],[SKU]],SKU!A:B,2,0)</f>
        <v>COXINHA DA ASA FG CG PCT</v>
      </c>
      <c r="AC1398" s="6" t="str">
        <f>VLOOKUP(Tabela1[[#This Row],[SKU]],SKU!A:C,3,0)</f>
        <v>ASA</v>
      </c>
    </row>
    <row r="1399" spans="1:29" x14ac:dyDescent="0.3">
      <c r="A1399" s="2">
        <f>INT(Tabela1[[#This Row],[Data e Hora2]])</f>
        <v>46301</v>
      </c>
      <c r="B1399" s="6" t="str">
        <f>UPPER(TEXT(Tabela1[[#This Row],[Data Corrigida]],"MMM"))</f>
        <v>OUT</v>
      </c>
      <c r="C1399" t="s">
        <v>3128</v>
      </c>
      <c r="D1399" s="2" t="s">
        <v>3129</v>
      </c>
      <c r="E1399" s="1" t="s">
        <v>3122</v>
      </c>
      <c r="F1399" t="s">
        <v>24</v>
      </c>
      <c r="G1399" s="2" t="s">
        <v>3123</v>
      </c>
      <c r="H1399" t="s">
        <v>26</v>
      </c>
      <c r="I1399" t="s">
        <v>27</v>
      </c>
      <c r="J1399" s="6">
        <v>992014</v>
      </c>
      <c r="K1399" s="16">
        <v>710</v>
      </c>
      <c r="L1399" s="16">
        <v>710</v>
      </c>
      <c r="M1399" s="16">
        <v>709</v>
      </c>
      <c r="N1399" s="16">
        <v>702</v>
      </c>
      <c r="O1399" s="16">
        <v>702</v>
      </c>
      <c r="P1399" s="16">
        <v>713</v>
      </c>
      <c r="Q1399" s="16">
        <v>716</v>
      </c>
      <c r="R1399" s="16">
        <v>696</v>
      </c>
      <c r="S1399" s="16">
        <v>705</v>
      </c>
      <c r="T1399" s="16">
        <v>699</v>
      </c>
      <c r="U1399" s="15">
        <v>706.2</v>
      </c>
      <c r="V1399" t="s">
        <v>19</v>
      </c>
      <c r="W1399" t="s">
        <v>28</v>
      </c>
      <c r="X1399">
        <v>12613</v>
      </c>
      <c r="Y1399" s="16">
        <f>VLOOKUP(Tabela1[[#This Row],[SKU]],SKU!A:D,4,0)</f>
        <v>700</v>
      </c>
      <c r="Z1399" s="18">
        <f>IFERROR((Tabela1[[#This Row],[Média]]-Tabela1[[#This Row],[Meta]])/Tabela1[[#This Row],[Meta]],"")</f>
        <v>8.8571428571429228E-3</v>
      </c>
      <c r="AA1399" s="31">
        <f>Tabela1[[#This Row],[Média]]-Tabela1[[#This Row],[Meta]]</f>
        <v>6.2000000000000455</v>
      </c>
      <c r="AB1399" s="6" t="str">
        <f>VLOOKUP(Tabela1[[#This Row],[SKU]],SKU!A:B,2,0)</f>
        <v>OSTRINHA CG PCT 700G SWIFT</v>
      </c>
      <c r="AC1399" s="6" t="str">
        <f>VLOOKUP(Tabela1[[#This Row],[SKU]],SKU!A:C,3,0)</f>
        <v>PERNA</v>
      </c>
    </row>
    <row r="1400" spans="1:29" x14ac:dyDescent="0.3">
      <c r="A1400" s="2">
        <f>INT(Tabela1[[#This Row],[Data e Hora2]])</f>
        <v>46301</v>
      </c>
      <c r="B1400" s="6" t="str">
        <f>UPPER(TEXT(Tabela1[[#This Row],[Data Corrigida]],"MMM"))</f>
        <v>OUT</v>
      </c>
      <c r="C1400" t="s">
        <v>3130</v>
      </c>
      <c r="D1400" s="2" t="s">
        <v>3131</v>
      </c>
      <c r="E1400" s="1" t="s">
        <v>3122</v>
      </c>
      <c r="F1400" t="s">
        <v>24</v>
      </c>
      <c r="G1400" s="2" t="s">
        <v>3123</v>
      </c>
      <c r="H1400" t="s">
        <v>26</v>
      </c>
      <c r="I1400" t="s">
        <v>27</v>
      </c>
      <c r="J1400" s="6">
        <v>15105</v>
      </c>
      <c r="K1400" s="16">
        <v>1000</v>
      </c>
      <c r="L1400" s="16">
        <v>1005</v>
      </c>
      <c r="M1400" s="16">
        <v>996</v>
      </c>
      <c r="N1400" s="16">
        <v>1004</v>
      </c>
      <c r="O1400" s="16">
        <v>1028</v>
      </c>
      <c r="P1400" s="16">
        <v>1019</v>
      </c>
      <c r="Q1400" s="16">
        <v>1008</v>
      </c>
      <c r="R1400" s="16">
        <v>1014</v>
      </c>
      <c r="S1400" s="16">
        <v>1000</v>
      </c>
      <c r="T1400" s="16">
        <v>1022</v>
      </c>
      <c r="U1400" s="15">
        <v>1009.6</v>
      </c>
      <c r="V1400" t="s">
        <v>19</v>
      </c>
      <c r="W1400" t="s">
        <v>28</v>
      </c>
      <c r="X1400">
        <v>12730</v>
      </c>
      <c r="Y1400" s="16">
        <f>VLOOKUP(Tabela1[[#This Row],[SKU]],SKU!A:D,4,0)</f>
        <v>1000</v>
      </c>
      <c r="Z1400" s="18">
        <f>IFERROR((Tabela1[[#This Row],[Média]]-Tabela1[[#This Row],[Meta]])/Tabela1[[#This Row],[Meta]],"")</f>
        <v>9.6000000000000234E-3</v>
      </c>
      <c r="AA1400" s="31">
        <f>Tabela1[[#This Row],[Média]]-Tabela1[[#This Row],[Meta]]</f>
        <v>9.6000000000000227</v>
      </c>
      <c r="AB1400" s="6" t="str">
        <f>VLOOKUP(Tabela1[[#This Row],[SKU]],SKU!A:B,2,0)</f>
        <v>FILE PEITO MET CG BDJ SE</v>
      </c>
      <c r="AC1400" s="6" t="str">
        <f>VLOOKUP(Tabela1[[#This Row],[SKU]],SKU!A:C,3,0)</f>
        <v>PEITO</v>
      </c>
    </row>
    <row r="1401" spans="1:29" x14ac:dyDescent="0.3">
      <c r="A1401" s="2">
        <f>INT(Tabela1[[#This Row],[Data e Hora2]])</f>
        <v>46301</v>
      </c>
      <c r="B1401" s="6" t="str">
        <f>UPPER(TEXT(Tabela1[[#This Row],[Data Corrigida]],"MMM"))</f>
        <v>OUT</v>
      </c>
      <c r="C1401" t="s">
        <v>3132</v>
      </c>
      <c r="D1401" s="2" t="s">
        <v>3133</v>
      </c>
      <c r="E1401" s="1" t="s">
        <v>3134</v>
      </c>
      <c r="F1401" t="s">
        <v>24</v>
      </c>
      <c r="G1401" s="2" t="s">
        <v>3123</v>
      </c>
      <c r="H1401" t="s">
        <v>26</v>
      </c>
      <c r="I1401" t="s">
        <v>27</v>
      </c>
      <c r="J1401" s="6">
        <v>197734</v>
      </c>
      <c r="K1401" s="16">
        <v>1015</v>
      </c>
      <c r="L1401" s="16">
        <v>1014</v>
      </c>
      <c r="M1401" s="16">
        <v>1016</v>
      </c>
      <c r="N1401" s="16">
        <v>1035</v>
      </c>
      <c r="O1401" s="16">
        <v>1007</v>
      </c>
      <c r="P1401" s="16">
        <v>1003</v>
      </c>
      <c r="Q1401" s="16">
        <v>1009</v>
      </c>
      <c r="R1401" s="16">
        <v>1002</v>
      </c>
      <c r="S1401" s="16">
        <v>1051</v>
      </c>
      <c r="T1401" s="16">
        <v>1011</v>
      </c>
      <c r="U1401" s="15">
        <v>1016.3</v>
      </c>
      <c r="V1401" t="s">
        <v>19</v>
      </c>
      <c r="W1401" t="s">
        <v>28</v>
      </c>
      <c r="X1401">
        <v>23227</v>
      </c>
      <c r="Y1401" s="16">
        <f>VLOOKUP(Tabela1[[#This Row],[SKU]],SKU!A:D,4,0)</f>
        <v>1000</v>
      </c>
      <c r="Z1401" s="18">
        <f>IFERROR((Tabela1[[#This Row],[Média]]-Tabela1[[#This Row],[Meta]])/Tabela1[[#This Row],[Meta]],"")</f>
        <v>1.6299999999999953E-2</v>
      </c>
      <c r="AA1401" s="31">
        <f>Tabela1[[#This Row],[Média]]-Tabela1[[#This Row],[Meta]]</f>
        <v>16.299999999999955</v>
      </c>
      <c r="AB1401" s="6" t="str">
        <f>VLOOKUP(Tabela1[[#This Row],[SKU]],SKU!A:B,2,0)</f>
        <v>FILEZINHO FRANGO IQF ALM SE</v>
      </c>
      <c r="AC1401" s="6" t="str">
        <f>VLOOKUP(Tabela1[[#This Row],[SKU]],SKU!A:C,3,0)</f>
        <v>SASSAMI</v>
      </c>
    </row>
    <row r="1402" spans="1:29" x14ac:dyDescent="0.3">
      <c r="A1402" s="2">
        <f>INT(Tabela1[[#This Row],[Data e Hora2]])</f>
        <v>46301</v>
      </c>
      <c r="B1402" s="6" t="str">
        <f>UPPER(TEXT(Tabela1[[#This Row],[Data Corrigida]],"MMM"))</f>
        <v>OUT</v>
      </c>
      <c r="C1402" t="s">
        <v>3135</v>
      </c>
      <c r="D1402" s="2" t="s">
        <v>3136</v>
      </c>
      <c r="E1402" s="1" t="s">
        <v>3134</v>
      </c>
      <c r="F1402" t="s">
        <v>24</v>
      </c>
      <c r="G1402" s="2" t="s">
        <v>3123</v>
      </c>
      <c r="H1402" t="s">
        <v>26</v>
      </c>
      <c r="I1402" t="s">
        <v>27</v>
      </c>
      <c r="J1402" s="6">
        <v>42820</v>
      </c>
      <c r="K1402" s="16">
        <v>2047</v>
      </c>
      <c r="L1402" s="16">
        <v>2072</v>
      </c>
      <c r="M1402" s="16">
        <v>2032</v>
      </c>
      <c r="N1402" s="16">
        <v>2033</v>
      </c>
      <c r="O1402" s="16">
        <v>2152</v>
      </c>
      <c r="P1402" s="16">
        <v>2079</v>
      </c>
      <c r="Q1402" s="16">
        <v>2008</v>
      </c>
      <c r="R1402" s="16">
        <v>2080</v>
      </c>
      <c r="S1402" s="16">
        <v>2038</v>
      </c>
      <c r="T1402" s="16">
        <v>2007</v>
      </c>
      <c r="U1402" s="15">
        <v>2054.8000000000002</v>
      </c>
      <c r="V1402" t="s">
        <v>19</v>
      </c>
      <c r="W1402" t="s">
        <v>28</v>
      </c>
      <c r="X1402">
        <v>23818</v>
      </c>
      <c r="Y1402" s="16">
        <f>VLOOKUP(Tabela1[[#This Row],[SKU]],SKU!A:D,4,0)</f>
        <v>2000</v>
      </c>
      <c r="Z1402" s="18">
        <f>IFERROR((Tabela1[[#This Row],[Média]]-Tabela1[[#This Row],[Meta]])/Tabela1[[#This Row],[Meta]],"")</f>
        <v>2.7400000000000091E-2</v>
      </c>
      <c r="AA1402" s="31">
        <f>Tabela1[[#This Row],[Média]]-Tabela1[[#This Row],[Meta]]</f>
        <v>54.800000000000182</v>
      </c>
      <c r="AB1402" s="6" t="str">
        <f>VLOOKUP(Tabela1[[#This Row],[SKU]],SKU!A:B,2,0)</f>
        <v>COXA SBCX S/O FG 200-220g PB</v>
      </c>
      <c r="AC1402" s="6" t="str">
        <f>VLOOKUP(Tabela1[[#This Row],[SKU]],SKU!A:C,3,0)</f>
        <v>PERNA</v>
      </c>
    </row>
    <row r="1403" spans="1:29" x14ac:dyDescent="0.3">
      <c r="A1403" s="2">
        <f>INT(Tabela1[[#This Row],[Data e Hora2]])</f>
        <v>46301</v>
      </c>
      <c r="B1403" s="6" t="str">
        <f>UPPER(TEXT(Tabela1[[#This Row],[Data Corrigida]],"MMM"))</f>
        <v>OUT</v>
      </c>
      <c r="C1403" t="s">
        <v>3137</v>
      </c>
      <c r="D1403" s="2" t="s">
        <v>3138</v>
      </c>
      <c r="E1403" s="1" t="s">
        <v>3134</v>
      </c>
      <c r="F1403" t="s">
        <v>24</v>
      </c>
      <c r="G1403" s="2" t="s">
        <v>3123</v>
      </c>
      <c r="H1403" t="s">
        <v>26</v>
      </c>
      <c r="I1403" t="s">
        <v>27</v>
      </c>
      <c r="J1403" s="6">
        <v>42811</v>
      </c>
      <c r="K1403" s="16">
        <v>2027</v>
      </c>
      <c r="L1403" s="16">
        <v>2007</v>
      </c>
      <c r="M1403" s="16">
        <v>2072</v>
      </c>
      <c r="N1403" s="16">
        <v>2059</v>
      </c>
      <c r="O1403" s="16">
        <v>2044</v>
      </c>
      <c r="P1403" s="16">
        <v>2005</v>
      </c>
      <c r="Q1403" s="16">
        <v>2075</v>
      </c>
      <c r="R1403" s="16">
        <v>2008</v>
      </c>
      <c r="S1403" s="16">
        <v>2017</v>
      </c>
      <c r="T1403" s="16">
        <v>2012</v>
      </c>
      <c r="U1403" s="15">
        <v>2032.6</v>
      </c>
      <c r="V1403" t="s">
        <v>19</v>
      </c>
      <c r="W1403" t="s">
        <v>28</v>
      </c>
      <c r="X1403">
        <v>24063</v>
      </c>
      <c r="Y1403" s="16">
        <f>VLOOKUP(Tabela1[[#This Row],[SKU]],SKU!A:D,4,0)</f>
        <v>2000</v>
      </c>
      <c r="Z1403" s="18">
        <f>IFERROR((Tabela1[[#This Row],[Média]]-Tabela1[[#This Row],[Meta]])/Tabela1[[#This Row],[Meta]],"")</f>
        <v>1.6299999999999953E-2</v>
      </c>
      <c r="AA1403" s="31">
        <f>Tabela1[[#This Row],[Média]]-Tabela1[[#This Row],[Meta]]</f>
        <v>32.599999999999909</v>
      </c>
      <c r="AB1403" s="6" t="str">
        <f>VLOOKUP(Tabela1[[#This Row],[SKU]],SKU!A:B,2,0)</f>
        <v>COXA SBCX S/O FG 180-200g PB</v>
      </c>
      <c r="AC1403" s="6" t="str">
        <f>VLOOKUP(Tabela1[[#This Row],[SKU]],SKU!A:C,3,0)</f>
        <v>PERNA</v>
      </c>
    </row>
    <row r="1404" spans="1:29" x14ac:dyDescent="0.3">
      <c r="A1404" s="2">
        <f>INT(Tabela1[[#This Row],[Data e Hora2]])</f>
        <v>46301</v>
      </c>
      <c r="B1404" s="6" t="str">
        <f>UPPER(TEXT(Tabela1[[#This Row],[Data Corrigida]],"MMM"))</f>
        <v>OUT</v>
      </c>
      <c r="C1404" t="s">
        <v>3139</v>
      </c>
      <c r="D1404" s="2" t="s">
        <v>3140</v>
      </c>
      <c r="E1404" s="1" t="s">
        <v>3134</v>
      </c>
      <c r="F1404" t="s">
        <v>24</v>
      </c>
      <c r="G1404" s="2" t="s">
        <v>3123</v>
      </c>
      <c r="H1404" t="s">
        <v>26</v>
      </c>
      <c r="I1404" t="s">
        <v>27</v>
      </c>
      <c r="J1404" s="6">
        <v>42838</v>
      </c>
      <c r="K1404" s="16">
        <v>2038</v>
      </c>
      <c r="L1404" s="16">
        <v>2023</v>
      </c>
      <c r="M1404" s="16">
        <v>2028</v>
      </c>
      <c r="N1404" s="16">
        <v>2021</v>
      </c>
      <c r="O1404" s="16">
        <v>2014</v>
      </c>
      <c r="P1404" s="16">
        <v>2020</v>
      </c>
      <c r="Q1404" s="16">
        <v>2028</v>
      </c>
      <c r="R1404" s="16">
        <v>2018</v>
      </c>
      <c r="S1404" s="16">
        <v>2021</v>
      </c>
      <c r="T1404" s="16">
        <v>2018</v>
      </c>
      <c r="U1404" s="15">
        <v>2022.9</v>
      </c>
      <c r="V1404" t="s">
        <v>19</v>
      </c>
      <c r="W1404" t="s">
        <v>28</v>
      </c>
      <c r="X1404">
        <v>24204</v>
      </c>
      <c r="Y1404" s="16">
        <f>VLOOKUP(Tabela1[[#This Row],[SKU]],SKU!A:D,4,0)</f>
        <v>2000</v>
      </c>
      <c r="Z1404" s="18">
        <f>IFERROR((Tabela1[[#This Row],[Média]]-Tabela1[[#This Row],[Meta]])/Tabela1[[#This Row],[Meta]],"")</f>
        <v>1.1450000000000045E-2</v>
      </c>
      <c r="AA1404" s="31">
        <f>Tabela1[[#This Row],[Média]]-Tabela1[[#This Row],[Meta]]</f>
        <v>22.900000000000091</v>
      </c>
      <c r="AB1404" s="6" t="str">
        <f>VLOOKUP(Tabela1[[#This Row],[SKU]],SKU!A:B,2,0)</f>
        <v>COXA SBCX S/O FG 220-240g PB</v>
      </c>
      <c r="AC1404" s="6" t="str">
        <f>VLOOKUP(Tabela1[[#This Row],[SKU]],SKU!A:C,3,0)</f>
        <v>PERNA</v>
      </c>
    </row>
    <row r="1405" spans="1:29" x14ac:dyDescent="0.3">
      <c r="A1405" s="2">
        <f>INT(Tabela1[[#This Row],[Data e Hora2]])</f>
        <v>46301</v>
      </c>
      <c r="B1405" s="6" t="str">
        <f>UPPER(TEXT(Tabela1[[#This Row],[Data Corrigida]],"MMM"))</f>
        <v>OUT</v>
      </c>
      <c r="C1405" t="s">
        <v>3141</v>
      </c>
      <c r="D1405" s="2" t="s">
        <v>3142</v>
      </c>
      <c r="E1405" s="1" t="s">
        <v>3134</v>
      </c>
      <c r="F1405" t="s">
        <v>24</v>
      </c>
      <c r="G1405" s="2" t="s">
        <v>3123</v>
      </c>
      <c r="H1405" t="s">
        <v>26</v>
      </c>
      <c r="I1405" t="s">
        <v>27</v>
      </c>
      <c r="J1405" s="6">
        <v>42846</v>
      </c>
      <c r="K1405" s="16">
        <v>2013</v>
      </c>
      <c r="L1405" s="16">
        <v>2005</v>
      </c>
      <c r="M1405" s="16">
        <v>2007</v>
      </c>
      <c r="N1405" s="16">
        <v>2019</v>
      </c>
      <c r="O1405" s="16">
        <v>1999</v>
      </c>
      <c r="P1405" s="16">
        <v>1999</v>
      </c>
      <c r="Q1405" s="16">
        <v>2021</v>
      </c>
      <c r="R1405" s="16">
        <v>2114</v>
      </c>
      <c r="S1405" s="16">
        <v>1992</v>
      </c>
      <c r="T1405" s="16">
        <v>2012</v>
      </c>
      <c r="U1405" s="15">
        <v>2018.1</v>
      </c>
      <c r="V1405" t="s">
        <v>19</v>
      </c>
      <c r="W1405" t="s">
        <v>28</v>
      </c>
      <c r="X1405">
        <v>24260</v>
      </c>
      <c r="Y1405" s="16">
        <f>VLOOKUP(Tabela1[[#This Row],[SKU]],SKU!A:D,4,0)</f>
        <v>2000</v>
      </c>
      <c r="Z1405" s="18">
        <f>IFERROR((Tabela1[[#This Row],[Média]]-Tabela1[[#This Row],[Meta]])/Tabela1[[#This Row],[Meta]],"")</f>
        <v>9.0499999999999539E-3</v>
      </c>
      <c r="AA1405" s="31">
        <f>Tabela1[[#This Row],[Média]]-Tabela1[[#This Row],[Meta]]</f>
        <v>18.099999999999909</v>
      </c>
      <c r="AB1405" s="6" t="str">
        <f>VLOOKUP(Tabela1[[#This Row],[SKU]],SKU!A:B,2,0)</f>
        <v>COXA SBCX S/O FG 240-260g PB</v>
      </c>
      <c r="AC1405" s="6" t="str">
        <f>VLOOKUP(Tabela1[[#This Row],[SKU]],SKU!A:C,3,0)</f>
        <v>PERNA</v>
      </c>
    </row>
    <row r="1406" spans="1:29" x14ac:dyDescent="0.3">
      <c r="A1406" s="2">
        <f>INT(Tabela1[[#This Row],[Data e Hora2]])</f>
        <v>46301</v>
      </c>
      <c r="B1406" s="6" t="str">
        <f>UPPER(TEXT(Tabela1[[#This Row],[Data Corrigida]],"MMM"))</f>
        <v>OUT</v>
      </c>
      <c r="C1406" t="s">
        <v>3143</v>
      </c>
      <c r="D1406" s="2" t="s">
        <v>3144</v>
      </c>
      <c r="E1406" s="1" t="s">
        <v>3134</v>
      </c>
      <c r="F1406" t="s">
        <v>24</v>
      </c>
      <c r="G1406" s="2" t="s">
        <v>3123</v>
      </c>
      <c r="H1406" t="s">
        <v>26</v>
      </c>
      <c r="I1406" t="s">
        <v>27</v>
      </c>
      <c r="J1406" s="6">
        <v>42862</v>
      </c>
      <c r="K1406" s="16">
        <v>2006</v>
      </c>
      <c r="L1406" s="16">
        <v>2005</v>
      </c>
      <c r="M1406" s="16">
        <v>2012</v>
      </c>
      <c r="N1406" s="16">
        <v>2020</v>
      </c>
      <c r="O1406" s="16">
        <v>2011</v>
      </c>
      <c r="P1406" s="16">
        <v>2027</v>
      </c>
      <c r="Q1406" s="16">
        <v>2000</v>
      </c>
      <c r="R1406" s="16">
        <v>2001</v>
      </c>
      <c r="S1406" s="16">
        <v>2017</v>
      </c>
      <c r="T1406" s="16">
        <v>2011</v>
      </c>
      <c r="U1406" s="15">
        <v>2011</v>
      </c>
      <c r="V1406" t="s">
        <v>19</v>
      </c>
      <c r="W1406" t="s">
        <v>28</v>
      </c>
      <c r="X1406">
        <v>24342</v>
      </c>
      <c r="Y1406" s="16">
        <f>VLOOKUP(Tabela1[[#This Row],[SKU]],SKU!A:D,4,0)</f>
        <v>2000</v>
      </c>
      <c r="Z1406" s="18">
        <f>IFERROR((Tabela1[[#This Row],[Média]]-Tabela1[[#This Row],[Meta]])/Tabela1[[#This Row],[Meta]],"")</f>
        <v>5.4999999999999997E-3</v>
      </c>
      <c r="AA1406" s="31">
        <f>Tabela1[[#This Row],[Média]]-Tabela1[[#This Row],[Meta]]</f>
        <v>11</v>
      </c>
      <c r="AB1406" s="6" t="str">
        <f>VLOOKUP(Tabela1[[#This Row],[SKU]],SKU!A:B,2,0)</f>
        <v>COXA SBCX S/O FG 280-300g PB</v>
      </c>
      <c r="AC1406" s="6" t="str">
        <f>VLOOKUP(Tabela1[[#This Row],[SKU]],SKU!A:C,3,0)</f>
        <v>PERNA</v>
      </c>
    </row>
    <row r="1407" spans="1:29" x14ac:dyDescent="0.3">
      <c r="A1407" s="2">
        <f>INT(Tabela1[[#This Row],[Data e Hora2]])</f>
        <v>46301</v>
      </c>
      <c r="B1407" s="6" t="str">
        <f>UPPER(TEXT(Tabela1[[#This Row],[Data Corrigida]],"MMM"))</f>
        <v>OUT</v>
      </c>
      <c r="C1407" t="s">
        <v>3145</v>
      </c>
      <c r="D1407" s="2" t="s">
        <v>3146</v>
      </c>
      <c r="E1407" s="1" t="s">
        <v>3134</v>
      </c>
      <c r="F1407" t="s">
        <v>24</v>
      </c>
      <c r="G1407" s="2" t="s">
        <v>3123</v>
      </c>
      <c r="H1407" t="s">
        <v>26</v>
      </c>
      <c r="I1407" t="s">
        <v>27</v>
      </c>
      <c r="J1407" s="6">
        <v>42854</v>
      </c>
      <c r="K1407" s="16">
        <v>2110</v>
      </c>
      <c r="L1407" s="16">
        <v>2093</v>
      </c>
      <c r="M1407" s="16">
        <v>2031</v>
      </c>
      <c r="N1407" s="16">
        <v>2098</v>
      </c>
      <c r="O1407" s="16">
        <v>2107</v>
      </c>
      <c r="P1407" s="16">
        <v>2105</v>
      </c>
      <c r="Q1407" s="16">
        <v>2107</v>
      </c>
      <c r="R1407" s="16">
        <v>2112</v>
      </c>
      <c r="S1407" s="16">
        <v>2111</v>
      </c>
      <c r="T1407" s="16">
        <v>2106</v>
      </c>
      <c r="U1407" s="15">
        <v>2098</v>
      </c>
      <c r="V1407" t="s">
        <v>19</v>
      </c>
      <c r="W1407" t="s">
        <v>28</v>
      </c>
      <c r="X1407">
        <v>24446</v>
      </c>
      <c r="Y1407" s="16">
        <f>VLOOKUP(Tabela1[[#This Row],[SKU]],SKU!A:D,4,0)</f>
        <v>2080</v>
      </c>
      <c r="Z1407" s="18">
        <f>IFERROR((Tabela1[[#This Row],[Média]]-Tabela1[[#This Row],[Meta]])/Tabela1[[#This Row],[Meta]],"")</f>
        <v>8.6538461538461543E-3</v>
      </c>
      <c r="AA1407" s="31">
        <f>Tabela1[[#This Row],[Média]]-Tabela1[[#This Row],[Meta]]</f>
        <v>18</v>
      </c>
      <c r="AB1407" s="6" t="str">
        <f>VLOOKUP(Tabela1[[#This Row],[SKU]],SKU!A:B,2,0)</f>
        <v>COXA SBCX S/O FG 260-280g PB</v>
      </c>
      <c r="AC1407" s="6" t="str">
        <f>VLOOKUP(Tabela1[[#This Row],[SKU]],SKU!A:C,3,0)</f>
        <v>PERNA</v>
      </c>
    </row>
    <row r="1408" spans="1:29" x14ac:dyDescent="0.3">
      <c r="A1408" s="2">
        <f>INT(Tabela1[[#This Row],[Data e Hora2]])</f>
        <v>46301</v>
      </c>
      <c r="B1408" s="6" t="str">
        <f>UPPER(TEXT(Tabela1[[#This Row],[Data Corrigida]],"MMM"))</f>
        <v>OUT</v>
      </c>
      <c r="C1408" t="s">
        <v>3147</v>
      </c>
      <c r="D1408" s="2" t="s">
        <v>3148</v>
      </c>
      <c r="E1408" s="1" t="s">
        <v>3149</v>
      </c>
      <c r="F1408" t="s">
        <v>24</v>
      </c>
      <c r="G1408" s="2" t="s">
        <v>3123</v>
      </c>
      <c r="H1408" t="s">
        <v>26</v>
      </c>
      <c r="I1408" t="s">
        <v>27</v>
      </c>
      <c r="J1408" s="6">
        <v>40762</v>
      </c>
      <c r="K1408" s="16">
        <v>9965</v>
      </c>
      <c r="L1408" s="16">
        <v>10025</v>
      </c>
      <c r="M1408" s="16">
        <v>9995</v>
      </c>
      <c r="N1408" s="16">
        <v>9935</v>
      </c>
      <c r="O1408" s="16">
        <v>9915</v>
      </c>
      <c r="P1408" s="16">
        <v>10030</v>
      </c>
      <c r="Q1408" s="16">
        <v>9995</v>
      </c>
      <c r="R1408" s="16">
        <v>10010</v>
      </c>
      <c r="S1408" s="16">
        <v>9815</v>
      </c>
      <c r="T1408" s="16">
        <v>10015</v>
      </c>
      <c r="U1408" s="15">
        <v>9970</v>
      </c>
      <c r="V1408" t="s">
        <v>19</v>
      </c>
      <c r="W1408" t="s">
        <v>28</v>
      </c>
      <c r="X1408">
        <v>29956</v>
      </c>
      <c r="Y1408" s="16">
        <f>VLOOKUP(Tabela1[[#This Row],[SKU]],SKU!A:D,4,0)</f>
        <v>10000</v>
      </c>
      <c r="Z1408" s="18">
        <f>IFERROR((Tabela1[[#This Row],[Média]]-Tabela1[[#This Row],[Meta]])/Tabela1[[#This Row],[Meta]],"")</f>
        <v>-3.0000000000000001E-3</v>
      </c>
      <c r="AA1408" s="31">
        <f>Tabela1[[#This Row],[Média]]-Tabela1[[#This Row],[Meta]]</f>
        <v>-30</v>
      </c>
      <c r="AB1408" s="6" t="str">
        <f>VLOOKUP(Tabela1[[#This Row],[SKU]],SKU!A:B,2,0)</f>
        <v>COXA SBCX LQ FG LP</v>
      </c>
      <c r="AC1408" s="6" t="str">
        <f>VLOOKUP(Tabela1[[#This Row],[SKU]],SKU!A:C,3,0)</f>
        <v>PERNA</v>
      </c>
    </row>
    <row r="1409" spans="1:29" x14ac:dyDescent="0.3">
      <c r="A1409" s="2">
        <f>INT(Tabela1[[#This Row],[Data e Hora2]])</f>
        <v>46301</v>
      </c>
      <c r="B1409" s="6" t="str">
        <f>UPPER(TEXT(Tabela1[[#This Row],[Data Corrigida]],"MMM"))</f>
        <v>OUT</v>
      </c>
      <c r="C1409" t="s">
        <v>3150</v>
      </c>
      <c r="D1409" s="2" t="s">
        <v>3151</v>
      </c>
      <c r="E1409" s="1" t="s">
        <v>3149</v>
      </c>
      <c r="F1409" t="s">
        <v>24</v>
      </c>
      <c r="G1409" s="2" t="s">
        <v>3123</v>
      </c>
      <c r="H1409" t="s">
        <v>26</v>
      </c>
      <c r="I1409" t="s">
        <v>27</v>
      </c>
      <c r="J1409" s="6">
        <v>995638</v>
      </c>
      <c r="K1409" s="16">
        <v>15030</v>
      </c>
      <c r="L1409" s="16">
        <v>15035</v>
      </c>
      <c r="M1409" s="16">
        <v>15050</v>
      </c>
      <c r="N1409" s="16">
        <v>15025</v>
      </c>
      <c r="O1409" s="16">
        <v>15035</v>
      </c>
      <c r="P1409" s="16">
        <v>15030</v>
      </c>
      <c r="Q1409" s="16">
        <v>15040</v>
      </c>
      <c r="R1409" s="16">
        <v>15045</v>
      </c>
      <c r="S1409" s="16">
        <v>15040</v>
      </c>
      <c r="T1409" s="16">
        <v>15005</v>
      </c>
      <c r="U1409" s="15">
        <v>15033.5</v>
      </c>
      <c r="V1409" t="s">
        <v>19</v>
      </c>
      <c r="W1409" t="s">
        <v>28</v>
      </c>
      <c r="X1409">
        <v>30432</v>
      </c>
      <c r="Y1409" s="16">
        <f>VLOOKUP(Tabela1[[#This Row],[SKU]],SKU!A:D,4,0)</f>
        <v>15000</v>
      </c>
      <c r="Z1409" s="18">
        <f>IFERROR((Tabela1[[#This Row],[Média]]-Tabela1[[#This Row],[Meta]])/Tabela1[[#This Row],[Meta]],"")</f>
        <v>2.2333333333333333E-3</v>
      </c>
      <c r="AA1409" s="31">
        <f>Tabela1[[#This Row],[Média]]-Tabela1[[#This Row],[Meta]]</f>
        <v>33.5</v>
      </c>
      <c r="AB1409" s="6" t="str">
        <f>VLOOKUP(Tabela1[[#This Row],[SKU]],SKU!A:B,2,0)</f>
        <v>MEIO DA ASA 40-50G LP</v>
      </c>
      <c r="AC1409" s="6" t="str">
        <f>VLOOKUP(Tabela1[[#This Row],[SKU]],SKU!A:C,3,0)</f>
        <v>ASA</v>
      </c>
    </row>
    <row r="1410" spans="1:29" x14ac:dyDescent="0.3">
      <c r="A1410" s="2">
        <f>INT(Tabela1[[#This Row],[Data e Hora2]])</f>
        <v>46301</v>
      </c>
      <c r="B1410" s="6" t="str">
        <f>UPPER(TEXT(Tabela1[[#This Row],[Data Corrigida]],"MMM"))</f>
        <v>OUT</v>
      </c>
      <c r="C1410" t="s">
        <v>3152</v>
      </c>
      <c r="D1410" s="2" t="s">
        <v>3153</v>
      </c>
      <c r="E1410" s="1" t="s">
        <v>3149</v>
      </c>
      <c r="F1410" t="s">
        <v>24</v>
      </c>
      <c r="G1410" s="2" t="s">
        <v>3123</v>
      </c>
      <c r="H1410" t="s">
        <v>26</v>
      </c>
      <c r="I1410" t="s">
        <v>27</v>
      </c>
      <c r="J1410" s="6">
        <v>15105</v>
      </c>
      <c r="K1410" s="16">
        <v>1002</v>
      </c>
      <c r="L1410" s="16">
        <v>1038</v>
      </c>
      <c r="M1410" s="16">
        <v>1014</v>
      </c>
      <c r="N1410" s="16">
        <v>1041</v>
      </c>
      <c r="O1410" s="16">
        <v>1003</v>
      </c>
      <c r="P1410" s="16">
        <v>1038</v>
      </c>
      <c r="Q1410" s="16">
        <v>996</v>
      </c>
      <c r="R1410" s="16">
        <v>1033</v>
      </c>
      <c r="S1410" s="16">
        <v>995</v>
      </c>
      <c r="T1410" s="16">
        <v>1013</v>
      </c>
      <c r="U1410" s="15">
        <v>1017.3</v>
      </c>
      <c r="V1410" t="s">
        <v>19</v>
      </c>
      <c r="W1410" t="s">
        <v>28</v>
      </c>
      <c r="X1410">
        <v>30694</v>
      </c>
      <c r="Y1410" s="16">
        <f>VLOOKUP(Tabela1[[#This Row],[SKU]],SKU!A:D,4,0)</f>
        <v>1000</v>
      </c>
      <c r="Z1410" s="18">
        <f>IFERROR((Tabela1[[#This Row],[Média]]-Tabela1[[#This Row],[Meta]])/Tabela1[[#This Row],[Meta]],"")</f>
        <v>1.7299999999999954E-2</v>
      </c>
      <c r="AA1410" s="31">
        <f>Tabela1[[#This Row],[Média]]-Tabela1[[#This Row],[Meta]]</f>
        <v>17.299999999999955</v>
      </c>
      <c r="AB1410" s="6" t="str">
        <f>VLOOKUP(Tabela1[[#This Row],[SKU]],SKU!A:B,2,0)</f>
        <v>FILE PEITO MET CG BDJ SE</v>
      </c>
      <c r="AC1410" s="6" t="str">
        <f>VLOOKUP(Tabela1[[#This Row],[SKU]],SKU!A:C,3,0)</f>
        <v>PEITO</v>
      </c>
    </row>
    <row r="1411" spans="1:29" x14ac:dyDescent="0.3">
      <c r="A1411" s="2">
        <f>INT(Tabela1[[#This Row],[Data e Hora2]])</f>
        <v>46302</v>
      </c>
      <c r="B1411" s="6" t="str">
        <f>UPPER(TEXT(Tabela1[[#This Row],[Data Corrigida]],"MMM"))</f>
        <v>OUT</v>
      </c>
      <c r="C1411" t="s">
        <v>3154</v>
      </c>
      <c r="D1411" s="2" t="s">
        <v>3155</v>
      </c>
      <c r="E1411" s="1" t="s">
        <v>3156</v>
      </c>
      <c r="F1411" t="s">
        <v>24</v>
      </c>
      <c r="G1411" s="2" t="s">
        <v>3060</v>
      </c>
      <c r="H1411" t="s">
        <v>26</v>
      </c>
      <c r="I1411" t="s">
        <v>57</v>
      </c>
      <c r="J1411" s="6">
        <v>42838</v>
      </c>
      <c r="K1411" s="16">
        <v>2012</v>
      </c>
      <c r="L1411" s="16">
        <v>2029</v>
      </c>
      <c r="M1411" s="16">
        <v>2023</v>
      </c>
      <c r="N1411" s="16">
        <v>2020</v>
      </c>
      <c r="O1411" s="16">
        <v>2026</v>
      </c>
      <c r="P1411" s="16">
        <v>2029</v>
      </c>
      <c r="Q1411" s="16">
        <v>2030</v>
      </c>
      <c r="R1411" s="16">
        <v>2019</v>
      </c>
      <c r="S1411" s="16">
        <v>2017</v>
      </c>
      <c r="T1411" s="16">
        <v>2024</v>
      </c>
      <c r="U1411" s="15">
        <v>2022.9</v>
      </c>
      <c r="V1411" t="s">
        <v>19</v>
      </c>
      <c r="W1411" t="s">
        <v>28</v>
      </c>
      <c r="X1411">
        <v>293</v>
      </c>
      <c r="Y1411" s="16">
        <f>VLOOKUP(Tabela1[[#This Row],[SKU]],SKU!A:D,4,0)</f>
        <v>2000</v>
      </c>
      <c r="Z1411" s="18">
        <f>IFERROR((Tabela1[[#This Row],[Média]]-Tabela1[[#This Row],[Meta]])/Tabela1[[#This Row],[Meta]],"")</f>
        <v>1.1450000000000045E-2</v>
      </c>
      <c r="AA1411" s="31">
        <f>Tabela1[[#This Row],[Média]]-Tabela1[[#This Row],[Meta]]</f>
        <v>22.900000000000091</v>
      </c>
      <c r="AB1411" s="6" t="str">
        <f>VLOOKUP(Tabela1[[#This Row],[SKU]],SKU!A:B,2,0)</f>
        <v>COXA SBCX S/O FG 220-240g PB</v>
      </c>
      <c r="AC1411" s="6" t="str">
        <f>VLOOKUP(Tabela1[[#This Row],[SKU]],SKU!A:C,3,0)</f>
        <v>PERNA</v>
      </c>
    </row>
    <row r="1412" spans="1:29" x14ac:dyDescent="0.3">
      <c r="A1412" s="2">
        <f>INT(Tabela1[[#This Row],[Data e Hora2]])</f>
        <v>46302</v>
      </c>
      <c r="B1412" s="6" t="str">
        <f>UPPER(TEXT(Tabela1[[#This Row],[Data Corrigida]],"MMM"))</f>
        <v>OUT</v>
      </c>
      <c r="C1412" t="s">
        <v>3157</v>
      </c>
      <c r="D1412" s="2" t="s">
        <v>3158</v>
      </c>
      <c r="E1412" s="1" t="s">
        <v>3156</v>
      </c>
      <c r="F1412" t="s">
        <v>24</v>
      </c>
      <c r="G1412" s="2" t="s">
        <v>3060</v>
      </c>
      <c r="H1412" t="s">
        <v>26</v>
      </c>
      <c r="I1412" t="s">
        <v>57</v>
      </c>
      <c r="J1412" s="6">
        <v>42846</v>
      </c>
      <c r="K1412" s="16">
        <v>2008</v>
      </c>
      <c r="L1412" s="16">
        <v>2005</v>
      </c>
      <c r="M1412" s="16">
        <v>2015</v>
      </c>
      <c r="N1412" s="16">
        <v>2016</v>
      </c>
      <c r="O1412" s="16">
        <v>2001</v>
      </c>
      <c r="P1412" s="16">
        <v>2012</v>
      </c>
      <c r="Q1412" s="16">
        <v>1992</v>
      </c>
      <c r="R1412" s="16">
        <v>2004</v>
      </c>
      <c r="S1412" s="16">
        <v>2007</v>
      </c>
      <c r="T1412" s="16">
        <v>2000</v>
      </c>
      <c r="U1412" s="15">
        <v>2006</v>
      </c>
      <c r="V1412" t="s">
        <v>19</v>
      </c>
      <c r="W1412" t="s">
        <v>28</v>
      </c>
      <c r="X1412">
        <v>410</v>
      </c>
      <c r="Y1412" s="16">
        <f>VLOOKUP(Tabela1[[#This Row],[SKU]],SKU!A:D,4,0)</f>
        <v>2000</v>
      </c>
      <c r="Z1412" s="18">
        <f>IFERROR((Tabela1[[#This Row],[Média]]-Tabela1[[#This Row],[Meta]])/Tabela1[[#This Row],[Meta]],"")</f>
        <v>3.0000000000000001E-3</v>
      </c>
      <c r="AA1412" s="31">
        <f>Tabela1[[#This Row],[Média]]-Tabela1[[#This Row],[Meta]]</f>
        <v>6</v>
      </c>
      <c r="AB1412" s="6" t="str">
        <f>VLOOKUP(Tabela1[[#This Row],[SKU]],SKU!A:B,2,0)</f>
        <v>COXA SBCX S/O FG 240-260g PB</v>
      </c>
      <c r="AC1412" s="6" t="str">
        <f>VLOOKUP(Tabela1[[#This Row],[SKU]],SKU!A:C,3,0)</f>
        <v>PERNA</v>
      </c>
    </row>
    <row r="1413" spans="1:29" x14ac:dyDescent="0.3">
      <c r="A1413" s="2">
        <f>INT(Tabela1[[#This Row],[Data e Hora2]])</f>
        <v>46302</v>
      </c>
      <c r="B1413" s="6" t="str">
        <f>UPPER(TEXT(Tabela1[[#This Row],[Data Corrigida]],"MMM"))</f>
        <v>OUT</v>
      </c>
      <c r="C1413" t="s">
        <v>3159</v>
      </c>
      <c r="D1413" s="2" t="s">
        <v>3160</v>
      </c>
      <c r="E1413" s="1" t="s">
        <v>3156</v>
      </c>
      <c r="F1413" t="s">
        <v>24</v>
      </c>
      <c r="G1413" s="2" t="s">
        <v>3060</v>
      </c>
      <c r="H1413" t="s">
        <v>26</v>
      </c>
      <c r="I1413" t="s">
        <v>57</v>
      </c>
      <c r="J1413" s="6">
        <v>42854</v>
      </c>
      <c r="K1413" s="16">
        <v>2115</v>
      </c>
      <c r="L1413" s="16">
        <v>2089</v>
      </c>
      <c r="M1413" s="16">
        <v>2096</v>
      </c>
      <c r="N1413" s="16">
        <v>2088</v>
      </c>
      <c r="O1413" s="16">
        <v>2095</v>
      </c>
      <c r="P1413" s="16">
        <v>2075</v>
      </c>
      <c r="Q1413" s="16">
        <v>2117</v>
      </c>
      <c r="R1413" s="16">
        <v>2108</v>
      </c>
      <c r="S1413" s="16">
        <v>2113</v>
      </c>
      <c r="T1413" s="16">
        <v>2112</v>
      </c>
      <c r="U1413" s="15">
        <v>2100.8000000000002</v>
      </c>
      <c r="V1413" t="s">
        <v>19</v>
      </c>
      <c r="W1413" t="s">
        <v>28</v>
      </c>
      <c r="X1413">
        <v>601</v>
      </c>
      <c r="Y1413" s="16">
        <f>VLOOKUP(Tabela1[[#This Row],[SKU]],SKU!A:D,4,0)</f>
        <v>2080</v>
      </c>
      <c r="Z1413" s="18">
        <f>IFERROR((Tabela1[[#This Row],[Média]]-Tabela1[[#This Row],[Meta]])/Tabela1[[#This Row],[Meta]],"")</f>
        <v>1.0000000000000087E-2</v>
      </c>
      <c r="AA1413" s="31">
        <f>Tabela1[[#This Row],[Média]]-Tabela1[[#This Row],[Meta]]</f>
        <v>20.800000000000182</v>
      </c>
      <c r="AB1413" s="6" t="str">
        <f>VLOOKUP(Tabela1[[#This Row],[SKU]],SKU!A:B,2,0)</f>
        <v>COXA SBCX S/O FG 260-280g PB</v>
      </c>
      <c r="AC1413" s="6" t="str">
        <f>VLOOKUP(Tabela1[[#This Row],[SKU]],SKU!A:C,3,0)</f>
        <v>PERNA</v>
      </c>
    </row>
    <row r="1414" spans="1:29" x14ac:dyDescent="0.3">
      <c r="A1414" s="2">
        <f>INT(Tabela1[[#This Row],[Data e Hora2]])</f>
        <v>46302</v>
      </c>
      <c r="B1414" s="6" t="str">
        <f>UPPER(TEXT(Tabela1[[#This Row],[Data Corrigida]],"MMM"))</f>
        <v>OUT</v>
      </c>
      <c r="C1414" t="s">
        <v>3161</v>
      </c>
      <c r="D1414" s="2" t="s">
        <v>3162</v>
      </c>
      <c r="E1414" s="1" t="s">
        <v>3156</v>
      </c>
      <c r="F1414" t="s">
        <v>24</v>
      </c>
      <c r="G1414" s="2" t="s">
        <v>3060</v>
      </c>
      <c r="H1414" t="s">
        <v>26</v>
      </c>
      <c r="I1414" t="s">
        <v>57</v>
      </c>
      <c r="J1414" s="6">
        <v>42862</v>
      </c>
      <c r="K1414" s="16">
        <v>2005</v>
      </c>
      <c r="L1414" s="16">
        <v>2013</v>
      </c>
      <c r="M1414" s="16">
        <v>2016</v>
      </c>
      <c r="N1414" s="16">
        <v>2022</v>
      </c>
      <c r="O1414" s="16">
        <v>1993</v>
      </c>
      <c r="P1414" s="16">
        <v>2008</v>
      </c>
      <c r="Q1414" s="16">
        <v>1989</v>
      </c>
      <c r="R1414" s="16">
        <v>2007</v>
      </c>
      <c r="S1414" s="16">
        <v>1998</v>
      </c>
      <c r="T1414" s="16">
        <v>2013</v>
      </c>
      <c r="U1414" s="15">
        <v>2006.4</v>
      </c>
      <c r="V1414" t="s">
        <v>19</v>
      </c>
      <c r="W1414" t="s">
        <v>28</v>
      </c>
      <c r="X1414">
        <v>742</v>
      </c>
      <c r="Y1414" s="16">
        <f>VLOOKUP(Tabela1[[#This Row],[SKU]],SKU!A:D,4,0)</f>
        <v>2000</v>
      </c>
      <c r="Z1414" s="18">
        <f>IFERROR((Tabela1[[#This Row],[Média]]-Tabela1[[#This Row],[Meta]])/Tabela1[[#This Row],[Meta]],"")</f>
        <v>3.2000000000000457E-3</v>
      </c>
      <c r="AA1414" s="31">
        <f>Tabela1[[#This Row],[Média]]-Tabela1[[#This Row],[Meta]]</f>
        <v>6.4000000000000909</v>
      </c>
      <c r="AB1414" s="6" t="str">
        <f>VLOOKUP(Tabela1[[#This Row],[SKU]],SKU!A:B,2,0)</f>
        <v>COXA SBCX S/O FG 280-300g PB</v>
      </c>
      <c r="AC1414" s="6" t="str">
        <f>VLOOKUP(Tabela1[[#This Row],[SKU]],SKU!A:C,3,0)</f>
        <v>PERNA</v>
      </c>
    </row>
    <row r="1415" spans="1:29" x14ac:dyDescent="0.3">
      <c r="A1415" s="2">
        <f>INT(Tabela1[[#This Row],[Data e Hora2]])</f>
        <v>46302</v>
      </c>
      <c r="B1415" s="6" t="str">
        <f>UPPER(TEXT(Tabela1[[#This Row],[Data Corrigida]],"MMM"))</f>
        <v>OUT</v>
      </c>
      <c r="C1415" t="s">
        <v>3163</v>
      </c>
      <c r="D1415" s="2" t="s">
        <v>3164</v>
      </c>
      <c r="E1415" s="1" t="s">
        <v>3165</v>
      </c>
      <c r="F1415" t="s">
        <v>24</v>
      </c>
      <c r="G1415" s="2" t="s">
        <v>3060</v>
      </c>
      <c r="H1415" t="s">
        <v>26</v>
      </c>
      <c r="I1415" t="s">
        <v>57</v>
      </c>
      <c r="J1415" s="6">
        <v>40762</v>
      </c>
      <c r="K1415" s="16">
        <v>9990</v>
      </c>
      <c r="L1415" s="16">
        <v>10060</v>
      </c>
      <c r="M1415" s="16">
        <v>10115</v>
      </c>
      <c r="N1415" s="16">
        <v>10050</v>
      </c>
      <c r="O1415" s="16">
        <v>10035</v>
      </c>
      <c r="P1415" s="16">
        <v>10000</v>
      </c>
      <c r="Q1415" s="16">
        <v>10040</v>
      </c>
      <c r="R1415" s="16">
        <v>9975</v>
      </c>
      <c r="S1415" s="16">
        <v>9995</v>
      </c>
      <c r="T1415" s="16">
        <v>10075</v>
      </c>
      <c r="U1415" s="15">
        <v>10033.5</v>
      </c>
      <c r="V1415" t="s">
        <v>19</v>
      </c>
      <c r="W1415" t="s">
        <v>28</v>
      </c>
      <c r="X1415">
        <v>1154</v>
      </c>
      <c r="Y1415" s="16">
        <f>VLOOKUP(Tabela1[[#This Row],[SKU]],SKU!A:D,4,0)</f>
        <v>10000</v>
      </c>
      <c r="Z1415" s="18">
        <f>IFERROR((Tabela1[[#This Row],[Média]]-Tabela1[[#This Row],[Meta]])/Tabela1[[#This Row],[Meta]],"")</f>
        <v>3.3500000000000001E-3</v>
      </c>
      <c r="AA1415" s="31">
        <f>Tabela1[[#This Row],[Média]]-Tabela1[[#This Row],[Meta]]</f>
        <v>33.5</v>
      </c>
      <c r="AB1415" s="6" t="str">
        <f>VLOOKUP(Tabela1[[#This Row],[SKU]],SKU!A:B,2,0)</f>
        <v>COXA SBCX LQ FG LP</v>
      </c>
      <c r="AC1415" s="6" t="str">
        <f>VLOOKUP(Tabela1[[#This Row],[SKU]],SKU!A:C,3,0)</f>
        <v>PERNA</v>
      </c>
    </row>
    <row r="1416" spans="1:29" x14ac:dyDescent="0.3">
      <c r="A1416" s="2">
        <f>INT(Tabela1[[#This Row],[Data e Hora2]])</f>
        <v>46301</v>
      </c>
      <c r="B1416" s="6" t="str">
        <f>UPPER(TEXT(Tabela1[[#This Row],[Data Corrigida]],"MMM"))</f>
        <v>OUT</v>
      </c>
      <c r="C1416" t="s">
        <v>3166</v>
      </c>
      <c r="D1416" s="2" t="s">
        <v>3167</v>
      </c>
      <c r="E1416" s="1" t="s">
        <v>3165</v>
      </c>
      <c r="F1416" t="s">
        <v>24</v>
      </c>
      <c r="G1416" s="2" t="s">
        <v>3123</v>
      </c>
      <c r="H1416" t="s">
        <v>26</v>
      </c>
      <c r="I1416" t="s">
        <v>57</v>
      </c>
      <c r="J1416" s="6">
        <v>15105</v>
      </c>
      <c r="K1416" s="16">
        <v>1026</v>
      </c>
      <c r="L1416" s="16">
        <v>937</v>
      </c>
      <c r="M1416" s="16">
        <v>1198</v>
      </c>
      <c r="N1416" s="16">
        <v>1011</v>
      </c>
      <c r="O1416" s="16">
        <v>1045</v>
      </c>
      <c r="P1416" s="16">
        <v>1006</v>
      </c>
      <c r="Q1416" s="16">
        <v>1050</v>
      </c>
      <c r="R1416" s="16">
        <v>1015</v>
      </c>
      <c r="S1416" s="16">
        <v>1007</v>
      </c>
      <c r="T1416" s="16">
        <v>1007</v>
      </c>
      <c r="U1416" s="15">
        <v>1030.2</v>
      </c>
      <c r="V1416" t="s">
        <v>19</v>
      </c>
      <c r="W1416" t="s">
        <v>28</v>
      </c>
      <c r="X1416">
        <v>784</v>
      </c>
      <c r="Y1416" s="16">
        <f>VLOOKUP(Tabela1[[#This Row],[SKU]],SKU!A:D,4,0)</f>
        <v>1000</v>
      </c>
      <c r="Z1416" s="18">
        <f>IFERROR((Tabela1[[#This Row],[Média]]-Tabela1[[#This Row],[Meta]])/Tabela1[[#This Row],[Meta]],"")</f>
        <v>3.0200000000000046E-2</v>
      </c>
      <c r="AA1416" s="31">
        <f>Tabela1[[#This Row],[Média]]-Tabela1[[#This Row],[Meta]]</f>
        <v>30.200000000000045</v>
      </c>
      <c r="AB1416" s="6" t="str">
        <f>VLOOKUP(Tabela1[[#This Row],[SKU]],SKU!A:B,2,0)</f>
        <v>FILE PEITO MET CG BDJ SE</v>
      </c>
      <c r="AC1416" s="6" t="str">
        <f>VLOOKUP(Tabela1[[#This Row],[SKU]],SKU!A:C,3,0)</f>
        <v>PEITO</v>
      </c>
    </row>
    <row r="1417" spans="1:29" x14ac:dyDescent="0.3">
      <c r="A1417" s="2">
        <f>INT(Tabela1[[#This Row],[Data e Hora2]])</f>
        <v>46301</v>
      </c>
      <c r="B1417" s="6" t="str">
        <f>UPPER(TEXT(Tabela1[[#This Row],[Data Corrigida]],"MMM"))</f>
        <v>OUT</v>
      </c>
      <c r="C1417" t="s">
        <v>3168</v>
      </c>
      <c r="D1417" s="2" t="s">
        <v>3169</v>
      </c>
      <c r="E1417" s="1" t="s">
        <v>3170</v>
      </c>
      <c r="F1417" t="s">
        <v>24</v>
      </c>
      <c r="G1417" s="2" t="s">
        <v>3123</v>
      </c>
      <c r="H1417" t="s">
        <v>142</v>
      </c>
      <c r="I1417" t="s">
        <v>462</v>
      </c>
      <c r="J1417" s="6">
        <v>992014</v>
      </c>
      <c r="K1417" s="16">
        <v>689</v>
      </c>
      <c r="L1417" s="16">
        <v>699</v>
      </c>
      <c r="M1417" s="16">
        <v>700</v>
      </c>
      <c r="N1417" s="16">
        <v>700</v>
      </c>
      <c r="O1417" s="16">
        <v>693</v>
      </c>
      <c r="P1417" s="16">
        <v>699</v>
      </c>
      <c r="Q1417" s="16">
        <v>686</v>
      </c>
      <c r="R1417" s="16">
        <v>700</v>
      </c>
      <c r="S1417" s="16">
        <v>699</v>
      </c>
      <c r="T1417" s="16">
        <v>697</v>
      </c>
      <c r="U1417" s="15">
        <v>696.2</v>
      </c>
      <c r="V1417" t="s">
        <v>19</v>
      </c>
      <c r="W1417" t="s">
        <v>28</v>
      </c>
      <c r="X1417">
        <v>12303</v>
      </c>
      <c r="Y1417" s="16">
        <f>VLOOKUP(Tabela1[[#This Row],[SKU]],SKU!A:D,4,0)</f>
        <v>700</v>
      </c>
      <c r="Z1417" s="18">
        <f>IFERROR((Tabela1[[#This Row],[Média]]-Tabela1[[#This Row],[Meta]])/Tabela1[[#This Row],[Meta]],"")</f>
        <v>-5.4285714285713634E-3</v>
      </c>
      <c r="AA1417" s="31">
        <f>Tabela1[[#This Row],[Média]]-Tabela1[[#This Row],[Meta]]</f>
        <v>-3.7999999999999545</v>
      </c>
      <c r="AB1417" s="6" t="str">
        <f>VLOOKUP(Tabela1[[#This Row],[SKU]],SKU!A:B,2,0)</f>
        <v>OSTRINHA CG PCT 700G SWIFT</v>
      </c>
      <c r="AC1417" s="6" t="str">
        <f>VLOOKUP(Tabela1[[#This Row],[SKU]],SKU!A:C,3,0)</f>
        <v>PERNA</v>
      </c>
    </row>
    <row r="1418" spans="1:29" x14ac:dyDescent="0.3">
      <c r="A1418" s="2">
        <f>INT(Tabela1[[#This Row],[Data e Hora2]])</f>
        <v>46301</v>
      </c>
      <c r="B1418" s="6" t="str">
        <f>UPPER(TEXT(Tabela1[[#This Row],[Data Corrigida]],"MMM"))</f>
        <v>OUT</v>
      </c>
      <c r="C1418" t="s">
        <v>3171</v>
      </c>
      <c r="D1418" s="2" t="s">
        <v>3172</v>
      </c>
      <c r="E1418" s="1" t="s">
        <v>3170</v>
      </c>
      <c r="F1418" t="s">
        <v>24</v>
      </c>
      <c r="G1418" s="2" t="s">
        <v>3123</v>
      </c>
      <c r="H1418" t="s">
        <v>142</v>
      </c>
      <c r="I1418" t="s">
        <v>462</v>
      </c>
      <c r="J1418" s="6">
        <v>15105</v>
      </c>
      <c r="K1418" s="16">
        <v>1028</v>
      </c>
      <c r="L1418" s="16">
        <v>836</v>
      </c>
      <c r="M1418" s="16">
        <v>1015</v>
      </c>
      <c r="N1418" s="16">
        <v>823</v>
      </c>
      <c r="O1418" s="16">
        <v>942</v>
      </c>
      <c r="P1418" s="16">
        <v>998</v>
      </c>
      <c r="Q1418" s="16">
        <v>1002</v>
      </c>
      <c r="R1418" s="16">
        <v>985</v>
      </c>
      <c r="S1418" s="16">
        <v>994</v>
      </c>
      <c r="T1418" s="16">
        <v>1001</v>
      </c>
      <c r="U1418" s="15">
        <v>962.4</v>
      </c>
      <c r="V1418" t="s">
        <v>19</v>
      </c>
      <c r="W1418" t="s">
        <v>28</v>
      </c>
      <c r="X1418">
        <v>12725</v>
      </c>
      <c r="Y1418" s="16">
        <f>VLOOKUP(Tabela1[[#This Row],[SKU]],SKU!A:D,4,0)</f>
        <v>1000</v>
      </c>
      <c r="Z1418" s="18">
        <f>IFERROR((Tabela1[[#This Row],[Média]]-Tabela1[[#This Row],[Meta]])/Tabela1[[#This Row],[Meta]],"")</f>
        <v>-3.7600000000000022E-2</v>
      </c>
      <c r="AA1418" s="31">
        <f>Tabela1[[#This Row],[Média]]-Tabela1[[#This Row],[Meta]]</f>
        <v>-37.600000000000023</v>
      </c>
      <c r="AB1418" s="6" t="str">
        <f>VLOOKUP(Tabela1[[#This Row],[SKU]],SKU!A:B,2,0)</f>
        <v>FILE PEITO MET CG BDJ SE</v>
      </c>
      <c r="AC1418" s="6" t="str">
        <f>VLOOKUP(Tabela1[[#This Row],[SKU]],SKU!A:C,3,0)</f>
        <v>PEITO</v>
      </c>
    </row>
    <row r="1419" spans="1:29" x14ac:dyDescent="0.3">
      <c r="A1419" s="2">
        <f>INT(Tabela1[[#This Row],[Data e Hora2]])</f>
        <v>46301</v>
      </c>
      <c r="B1419" s="6" t="str">
        <f>UPPER(TEXT(Tabela1[[#This Row],[Data Corrigida]],"MMM"))</f>
        <v>OUT</v>
      </c>
      <c r="C1419" t="s">
        <v>3173</v>
      </c>
      <c r="D1419" s="2" t="s">
        <v>3174</v>
      </c>
      <c r="E1419" s="1" t="s">
        <v>3170</v>
      </c>
      <c r="F1419" t="s">
        <v>24</v>
      </c>
      <c r="G1419" s="2" t="s">
        <v>3123</v>
      </c>
      <c r="H1419" t="s">
        <v>142</v>
      </c>
      <c r="I1419" t="s">
        <v>462</v>
      </c>
      <c r="J1419" s="6">
        <v>42862</v>
      </c>
      <c r="K1419" s="16">
        <v>2061</v>
      </c>
      <c r="L1419" s="16">
        <v>2045</v>
      </c>
      <c r="M1419" s="16">
        <v>1972</v>
      </c>
      <c r="N1419" s="16">
        <v>1991</v>
      </c>
      <c r="O1419" s="16">
        <v>2012</v>
      </c>
      <c r="P1419" s="16">
        <v>2038</v>
      </c>
      <c r="Q1419" s="16">
        <v>2078</v>
      </c>
      <c r="R1419" s="16">
        <v>2008</v>
      </c>
      <c r="S1419" s="16">
        <v>2040</v>
      </c>
      <c r="T1419" s="16">
        <v>2058</v>
      </c>
      <c r="U1419" s="15">
        <v>2030.3</v>
      </c>
      <c r="V1419" t="s">
        <v>19</v>
      </c>
      <c r="W1419" t="s">
        <v>28</v>
      </c>
      <c r="X1419">
        <v>13424</v>
      </c>
      <c r="Y1419" s="16">
        <f>VLOOKUP(Tabela1[[#This Row],[SKU]],SKU!A:D,4,0)</f>
        <v>2000</v>
      </c>
      <c r="Z1419" s="18">
        <f>IFERROR((Tabela1[[#This Row],[Média]]-Tabela1[[#This Row],[Meta]])/Tabela1[[#This Row],[Meta]],"")</f>
        <v>1.5149999999999978E-2</v>
      </c>
      <c r="AA1419" s="31">
        <f>Tabela1[[#This Row],[Média]]-Tabela1[[#This Row],[Meta]]</f>
        <v>30.299999999999955</v>
      </c>
      <c r="AB1419" s="6" t="str">
        <f>VLOOKUP(Tabela1[[#This Row],[SKU]],SKU!A:B,2,0)</f>
        <v>COXA SBCX S/O FG 280-300g PB</v>
      </c>
      <c r="AC1419" s="6" t="str">
        <f>VLOOKUP(Tabela1[[#This Row],[SKU]],SKU!A:C,3,0)</f>
        <v>PERNA</v>
      </c>
    </row>
    <row r="1420" spans="1:29" x14ac:dyDescent="0.3">
      <c r="A1420" s="2">
        <f>INT(Tabela1[[#This Row],[Data e Hora2]])</f>
        <v>46301</v>
      </c>
      <c r="B1420" s="6" t="str">
        <f>UPPER(TEXT(Tabela1[[#This Row],[Data Corrigida]],"MMM"))</f>
        <v>OUT</v>
      </c>
      <c r="C1420" t="s">
        <v>3175</v>
      </c>
      <c r="D1420" s="2" t="s">
        <v>3176</v>
      </c>
      <c r="E1420" s="1" t="s">
        <v>3170</v>
      </c>
      <c r="F1420" t="s">
        <v>24</v>
      </c>
      <c r="G1420" s="2" t="s">
        <v>3123</v>
      </c>
      <c r="H1420" t="s">
        <v>142</v>
      </c>
      <c r="I1420" t="s">
        <v>462</v>
      </c>
      <c r="J1420" s="6">
        <v>15105</v>
      </c>
      <c r="K1420" s="16">
        <v>1048</v>
      </c>
      <c r="L1420" s="16">
        <v>999</v>
      </c>
      <c r="M1420" s="16">
        <v>1005</v>
      </c>
      <c r="N1420" s="16">
        <v>1023</v>
      </c>
      <c r="O1420" s="16">
        <v>1042</v>
      </c>
      <c r="P1420" s="16">
        <v>999</v>
      </c>
      <c r="Q1420" s="16">
        <v>1029</v>
      </c>
      <c r="R1420" s="16">
        <v>1013</v>
      </c>
      <c r="S1420" s="16">
        <v>1038</v>
      </c>
      <c r="T1420" s="16">
        <v>1006</v>
      </c>
      <c r="U1420" s="15">
        <v>1020.2</v>
      </c>
      <c r="V1420" t="s">
        <v>19</v>
      </c>
      <c r="W1420" t="s">
        <v>28</v>
      </c>
      <c r="X1420">
        <v>23292</v>
      </c>
      <c r="Y1420" s="16">
        <f>VLOOKUP(Tabela1[[#This Row],[SKU]],SKU!A:D,4,0)</f>
        <v>1000</v>
      </c>
      <c r="Z1420" s="18">
        <f>IFERROR((Tabela1[[#This Row],[Média]]-Tabela1[[#This Row],[Meta]])/Tabela1[[#This Row],[Meta]],"")</f>
        <v>2.0200000000000044E-2</v>
      </c>
      <c r="AA1420" s="31">
        <f>Tabela1[[#This Row],[Média]]-Tabela1[[#This Row],[Meta]]</f>
        <v>20.200000000000045</v>
      </c>
      <c r="AB1420" s="6" t="str">
        <f>VLOOKUP(Tabela1[[#This Row],[SKU]],SKU!A:B,2,0)</f>
        <v>FILE PEITO MET CG BDJ SE</v>
      </c>
      <c r="AC1420" s="6" t="str">
        <f>VLOOKUP(Tabela1[[#This Row],[SKU]],SKU!A:C,3,0)</f>
        <v>PEITO</v>
      </c>
    </row>
    <row r="1421" spans="1:29" x14ac:dyDescent="0.3">
      <c r="A1421" s="2">
        <f>INT(Tabela1[[#This Row],[Data e Hora2]])</f>
        <v>46301</v>
      </c>
      <c r="B1421" s="6" t="str">
        <f>UPPER(TEXT(Tabela1[[#This Row],[Data Corrigida]],"MMM"))</f>
        <v>OUT</v>
      </c>
      <c r="C1421" t="s">
        <v>3177</v>
      </c>
      <c r="D1421" s="2" t="s">
        <v>3178</v>
      </c>
      <c r="E1421" s="1" t="s">
        <v>3179</v>
      </c>
      <c r="F1421" t="s">
        <v>24</v>
      </c>
      <c r="G1421" s="2" t="s">
        <v>3123</v>
      </c>
      <c r="H1421" t="s">
        <v>142</v>
      </c>
      <c r="I1421" t="s">
        <v>462</v>
      </c>
      <c r="J1421" s="6">
        <v>42846</v>
      </c>
      <c r="K1421" s="16">
        <v>2006</v>
      </c>
      <c r="L1421" s="16">
        <v>1982</v>
      </c>
      <c r="M1421" s="16">
        <v>1984</v>
      </c>
      <c r="N1421" s="16">
        <v>1980</v>
      </c>
      <c r="O1421" s="16">
        <v>2008</v>
      </c>
      <c r="P1421" s="16">
        <v>1915</v>
      </c>
      <c r="Q1421" s="16">
        <v>1961</v>
      </c>
      <c r="R1421" s="16">
        <v>2056</v>
      </c>
      <c r="S1421" s="16">
        <v>2006</v>
      </c>
      <c r="T1421" s="16">
        <v>2135</v>
      </c>
      <c r="U1421" s="15">
        <v>2003.3</v>
      </c>
      <c r="V1421" t="s">
        <v>19</v>
      </c>
      <c r="W1421" t="s">
        <v>28</v>
      </c>
      <c r="X1421">
        <v>470</v>
      </c>
      <c r="Y1421" s="16">
        <f>VLOOKUP(Tabela1[[#This Row],[SKU]],SKU!A:D,4,0)</f>
        <v>2000</v>
      </c>
      <c r="Z1421" s="18">
        <f>IFERROR((Tabela1[[#This Row],[Média]]-Tabela1[[#This Row],[Meta]])/Tabela1[[#This Row],[Meta]],"")</f>
        <v>1.6499999999999772E-3</v>
      </c>
      <c r="AA1421" s="31">
        <f>Tabela1[[#This Row],[Média]]-Tabela1[[#This Row],[Meta]]</f>
        <v>3.2999999999999545</v>
      </c>
      <c r="AB1421" s="6" t="str">
        <f>VLOOKUP(Tabela1[[#This Row],[SKU]],SKU!A:B,2,0)</f>
        <v>COXA SBCX S/O FG 240-260g PB</v>
      </c>
      <c r="AC1421" s="6" t="str">
        <f>VLOOKUP(Tabela1[[#This Row],[SKU]],SKU!A:C,3,0)</f>
        <v>PERNA</v>
      </c>
    </row>
    <row r="1422" spans="1:29" x14ac:dyDescent="0.3">
      <c r="A1422" s="2">
        <f>INT(Tabela1[[#This Row],[Data e Hora2]])</f>
        <v>46301</v>
      </c>
      <c r="B1422" s="6" t="str">
        <f>UPPER(TEXT(Tabela1[[#This Row],[Data Corrigida]],"MMM"))</f>
        <v>OUT</v>
      </c>
      <c r="C1422" t="s">
        <v>3180</v>
      </c>
      <c r="D1422" s="2" t="s">
        <v>3181</v>
      </c>
      <c r="E1422" s="1" t="s">
        <v>3179</v>
      </c>
      <c r="F1422" t="s">
        <v>24</v>
      </c>
      <c r="G1422" s="2" t="s">
        <v>3123</v>
      </c>
      <c r="H1422" t="s">
        <v>142</v>
      </c>
      <c r="I1422" t="s">
        <v>462</v>
      </c>
      <c r="J1422" s="6">
        <v>42854</v>
      </c>
      <c r="K1422" s="16">
        <v>2151</v>
      </c>
      <c r="L1422" s="16">
        <v>2133</v>
      </c>
      <c r="M1422" s="16">
        <v>2145</v>
      </c>
      <c r="N1422" s="16">
        <v>1876</v>
      </c>
      <c r="O1422" s="16">
        <v>2078</v>
      </c>
      <c r="P1422" s="16">
        <v>1913</v>
      </c>
      <c r="Q1422" s="16">
        <v>2152</v>
      </c>
      <c r="R1422" s="16">
        <v>2156</v>
      </c>
      <c r="S1422" s="16">
        <v>2146</v>
      </c>
      <c r="T1422" s="16">
        <v>2151</v>
      </c>
      <c r="U1422" s="15">
        <v>2090.1</v>
      </c>
      <c r="V1422" t="s">
        <v>19</v>
      </c>
      <c r="W1422" t="s">
        <v>28</v>
      </c>
      <c r="X1422">
        <v>711</v>
      </c>
      <c r="Y1422" s="16">
        <f>VLOOKUP(Tabela1[[#This Row],[SKU]],SKU!A:D,4,0)</f>
        <v>2080</v>
      </c>
      <c r="Z1422" s="18">
        <f>IFERROR((Tabela1[[#This Row],[Média]]-Tabela1[[#This Row],[Meta]])/Tabela1[[#This Row],[Meta]],"")</f>
        <v>4.855769230769187E-3</v>
      </c>
      <c r="AA1422" s="31">
        <f>Tabela1[[#This Row],[Média]]-Tabela1[[#This Row],[Meta]]</f>
        <v>10.099999999999909</v>
      </c>
      <c r="AB1422" s="6" t="str">
        <f>VLOOKUP(Tabela1[[#This Row],[SKU]],SKU!A:B,2,0)</f>
        <v>COXA SBCX S/O FG 260-280g PB</v>
      </c>
      <c r="AC1422" s="6" t="str">
        <f>VLOOKUP(Tabela1[[#This Row],[SKU]],SKU!A:C,3,0)</f>
        <v>PERNA</v>
      </c>
    </row>
    <row r="1423" spans="1:29" x14ac:dyDescent="0.3">
      <c r="A1423" s="2">
        <f>INT(Tabela1[[#This Row],[Data e Hora2]])</f>
        <v>46301</v>
      </c>
      <c r="B1423" s="6" t="str">
        <f>UPPER(TEXT(Tabela1[[#This Row],[Data Corrigida]],"MMM"))</f>
        <v>OUT</v>
      </c>
      <c r="C1423" t="s">
        <v>3182</v>
      </c>
      <c r="D1423" s="2" t="s">
        <v>3183</v>
      </c>
      <c r="E1423" s="1" t="s">
        <v>3179</v>
      </c>
      <c r="F1423" t="s">
        <v>24</v>
      </c>
      <c r="G1423" s="2" t="s">
        <v>3123</v>
      </c>
      <c r="H1423" t="s">
        <v>142</v>
      </c>
      <c r="I1423" t="s">
        <v>462</v>
      </c>
      <c r="J1423" s="6">
        <v>54632</v>
      </c>
      <c r="K1423" s="16">
        <v>996</v>
      </c>
      <c r="L1423" s="16">
        <v>1017</v>
      </c>
      <c r="M1423" s="16">
        <v>998</v>
      </c>
      <c r="N1423" s="16">
        <v>1003</v>
      </c>
      <c r="O1423" s="16">
        <v>1005</v>
      </c>
      <c r="P1423" s="16">
        <v>1007</v>
      </c>
      <c r="Q1423" s="16">
        <v>996</v>
      </c>
      <c r="R1423" s="16">
        <v>1003</v>
      </c>
      <c r="S1423" s="16">
        <v>992</v>
      </c>
      <c r="T1423" s="16">
        <v>989</v>
      </c>
      <c r="U1423" s="15">
        <v>1000.6</v>
      </c>
      <c r="V1423" t="s">
        <v>19</v>
      </c>
      <c r="W1423" t="s">
        <v>28</v>
      </c>
      <c r="X1423">
        <v>950</v>
      </c>
      <c r="Y1423" s="16">
        <f>VLOOKUP(Tabela1[[#This Row],[SKU]],SKU!A:D,4,0)</f>
        <v>1000</v>
      </c>
      <c r="Z1423" s="18">
        <f>IFERROR((Tabela1[[#This Row],[Média]]-Tabela1[[#This Row],[Meta]])/Tabela1[[#This Row],[Meta]],"")</f>
        <v>6.0000000000002272E-4</v>
      </c>
      <c r="AA1423" s="31">
        <f>Tabela1[[#This Row],[Média]]-Tabela1[[#This Row],[Meta]]</f>
        <v>0.60000000000002274</v>
      </c>
      <c r="AB1423" s="6" t="str">
        <f>VLOOKUP(Tabela1[[#This Row],[SKU]],SKU!A:B,2,0)</f>
        <v>COXA SBCX S/O BDJ CG</v>
      </c>
      <c r="AC1423" s="6" t="str">
        <f>VLOOKUP(Tabela1[[#This Row],[SKU]],SKU!A:C,3,0)</f>
        <v>PERNA</v>
      </c>
    </row>
    <row r="1424" spans="1:29" x14ac:dyDescent="0.3">
      <c r="A1424" s="2">
        <f>INT(Tabela1[[#This Row],[Data e Hora2]])</f>
        <v>46300</v>
      </c>
      <c r="B1424" s="6" t="str">
        <f>UPPER(TEXT(Tabela1[[#This Row],[Data Corrigida]],"MMM"))</f>
        <v>OUT</v>
      </c>
      <c r="C1424" t="s">
        <v>3184</v>
      </c>
      <c r="D1424" s="2" t="s">
        <v>3185</v>
      </c>
      <c r="E1424" s="1" t="s">
        <v>3179</v>
      </c>
      <c r="F1424" t="s">
        <v>24</v>
      </c>
      <c r="G1424" s="2" t="s">
        <v>2889</v>
      </c>
      <c r="H1424" t="s">
        <v>142</v>
      </c>
      <c r="I1424" t="s">
        <v>462</v>
      </c>
      <c r="J1424" s="6">
        <v>54632</v>
      </c>
      <c r="K1424" s="16">
        <v>1002</v>
      </c>
      <c r="L1424" s="16">
        <v>990</v>
      </c>
      <c r="M1424" s="16">
        <v>995</v>
      </c>
      <c r="N1424" s="16">
        <v>1004</v>
      </c>
      <c r="O1424" s="16">
        <v>1008</v>
      </c>
      <c r="P1424" s="16">
        <v>992</v>
      </c>
      <c r="Q1424" s="16">
        <v>986</v>
      </c>
      <c r="R1424" s="16" t="s">
        <v>19</v>
      </c>
      <c r="S1424" s="16">
        <v>1000</v>
      </c>
      <c r="T1424" s="16">
        <v>997</v>
      </c>
      <c r="U1424" s="15">
        <v>997</v>
      </c>
      <c r="V1424" t="s">
        <v>19</v>
      </c>
      <c r="W1424" t="s">
        <v>28</v>
      </c>
      <c r="X1424">
        <v>85687</v>
      </c>
      <c r="Y1424" s="16">
        <f>VLOOKUP(Tabela1[[#This Row],[SKU]],SKU!A:D,4,0)</f>
        <v>1000</v>
      </c>
      <c r="Z1424" s="18">
        <f>IFERROR((Tabela1[[#This Row],[Média]]-Tabela1[[#This Row],[Meta]])/Tabela1[[#This Row],[Meta]],"")</f>
        <v>-3.0000000000000001E-3</v>
      </c>
      <c r="AA1424" s="31">
        <f>Tabela1[[#This Row],[Média]]-Tabela1[[#This Row],[Meta]]</f>
        <v>-3</v>
      </c>
      <c r="AB1424" s="6" t="str">
        <f>VLOOKUP(Tabela1[[#This Row],[SKU]],SKU!A:B,2,0)</f>
        <v>COXA SBCX S/O BDJ CG</v>
      </c>
      <c r="AC1424" s="6" t="str">
        <f>VLOOKUP(Tabela1[[#This Row],[SKU]],SKU!A:C,3,0)</f>
        <v>PERNA</v>
      </c>
    </row>
    <row r="1425" spans="1:29" x14ac:dyDescent="0.3">
      <c r="A1425" s="2">
        <f>INT(Tabela1[[#This Row],[Data e Hora2]])</f>
        <v>46308</v>
      </c>
      <c r="B1425" s="6" t="str">
        <f>UPPER(TEXT(Tabela1[[#This Row],[Data Corrigida]],"MMM"))</f>
        <v>OUT</v>
      </c>
      <c r="C1425" s="26" t="s">
        <v>3186</v>
      </c>
      <c r="D1425" s="2" t="s">
        <v>3187</v>
      </c>
      <c r="E1425" s="1" t="s">
        <v>3188</v>
      </c>
      <c r="F1425" t="s">
        <v>24</v>
      </c>
      <c r="G1425" s="2" t="s">
        <v>3189</v>
      </c>
      <c r="H1425" t="s">
        <v>142</v>
      </c>
      <c r="I1425" t="s">
        <v>462</v>
      </c>
      <c r="J1425" s="6">
        <v>197734</v>
      </c>
      <c r="K1425" s="16">
        <v>989</v>
      </c>
      <c r="L1425" s="16">
        <v>1016</v>
      </c>
      <c r="M1425" s="16">
        <v>991</v>
      </c>
      <c r="N1425" s="16">
        <v>989</v>
      </c>
      <c r="O1425" s="16">
        <v>1003</v>
      </c>
      <c r="P1425" s="16">
        <v>999</v>
      </c>
      <c r="Q1425" s="16">
        <v>1008</v>
      </c>
      <c r="R1425" s="16">
        <v>1009</v>
      </c>
      <c r="S1425" s="16">
        <v>1003</v>
      </c>
      <c r="T1425" s="16">
        <v>1011</v>
      </c>
      <c r="U1425" s="15">
        <v>1001.8</v>
      </c>
      <c r="V1425" t="s">
        <v>19</v>
      </c>
      <c r="W1425" t="s">
        <v>28</v>
      </c>
      <c r="X1425">
        <v>227</v>
      </c>
      <c r="Y1425" s="16">
        <f>VLOOKUP(Tabela1[[#This Row],[SKU]],SKU!A:D,4,0)</f>
        <v>1000</v>
      </c>
      <c r="Z1425" s="18">
        <f>IFERROR((Tabela1[[#This Row],[Média]]-Tabela1[[#This Row],[Meta]])/Tabela1[[#This Row],[Meta]],"")</f>
        <v>1.7999999999999546E-3</v>
      </c>
      <c r="AA1425" s="31">
        <f>Tabela1[[#This Row],[Média]]-Tabela1[[#This Row],[Meta]]</f>
        <v>1.7999999999999545</v>
      </c>
      <c r="AB1425" s="6" t="str">
        <f>VLOOKUP(Tabela1[[#This Row],[SKU]],SKU!A:B,2,0)</f>
        <v>FILEZINHO FRANGO IQF ALM SE</v>
      </c>
      <c r="AC1425" s="6" t="str">
        <f>VLOOKUP(Tabela1[[#This Row],[SKU]],SKU!A:C,3,0)</f>
        <v>SASSAMI</v>
      </c>
    </row>
    <row r="1426" spans="1:29" x14ac:dyDescent="0.3">
      <c r="A1426" s="2">
        <f>INT(Tabela1[[#This Row],[Data e Hora2]])</f>
        <v>46304</v>
      </c>
      <c r="B1426" s="6" t="str">
        <f>UPPER(TEXT(Tabela1[[#This Row],[Data Corrigida]],"MMM"))</f>
        <v>OUT</v>
      </c>
      <c r="C1426" t="s">
        <v>3190</v>
      </c>
      <c r="D1426" s="2" t="s">
        <v>3191</v>
      </c>
      <c r="E1426" s="1" t="s">
        <v>3192</v>
      </c>
      <c r="F1426" t="s">
        <v>24</v>
      </c>
      <c r="G1426" s="2" t="s">
        <v>3193</v>
      </c>
      <c r="H1426" t="s">
        <v>26</v>
      </c>
      <c r="I1426" t="s">
        <v>27</v>
      </c>
      <c r="J1426" s="6">
        <v>209099</v>
      </c>
      <c r="K1426" s="16">
        <v>998</v>
      </c>
      <c r="L1426" s="16">
        <v>999</v>
      </c>
      <c r="M1426" s="16">
        <v>998</v>
      </c>
      <c r="N1426" s="16">
        <v>1031</v>
      </c>
      <c r="O1426" s="16">
        <v>1032</v>
      </c>
      <c r="P1426" s="16">
        <v>1071</v>
      </c>
      <c r="Q1426" s="16">
        <v>1016</v>
      </c>
      <c r="R1426" s="16">
        <v>1025</v>
      </c>
      <c r="S1426" s="16">
        <v>1041</v>
      </c>
      <c r="T1426" s="16">
        <v>1011</v>
      </c>
      <c r="U1426" s="15">
        <v>1022.2</v>
      </c>
      <c r="V1426" t="s">
        <v>19</v>
      </c>
      <c r="W1426" t="s">
        <v>28</v>
      </c>
      <c r="X1426">
        <v>14035</v>
      </c>
      <c r="Y1426" s="16">
        <f>VLOOKUP(Tabela1[[#This Row],[SKU]],SKU!A:D,4,0)</f>
        <v>1000</v>
      </c>
      <c r="Z1426" s="18">
        <f>IFERROR((Tabela1[[#This Row],[Média]]-Tabela1[[#This Row],[Meta]])/Tabela1[[#This Row],[Meta]],"")</f>
        <v>2.2200000000000046E-2</v>
      </c>
      <c r="AA1426" s="31">
        <f>Tabela1[[#This Row],[Média]]-Tabela1[[#This Row],[Meta]]</f>
        <v>22.200000000000045</v>
      </c>
      <c r="AB1426" s="6" t="str">
        <f>VLOOKUP(Tabela1[[#This Row],[SKU]],SKU!A:B,2,0)</f>
        <v>FILE DE SOBRECOXA IQF</v>
      </c>
      <c r="AC1426" s="6" t="str">
        <f>VLOOKUP(Tabela1[[#This Row],[SKU]],SKU!A:C,3,0)</f>
        <v>PERNA</v>
      </c>
    </row>
    <row r="1427" spans="1:29" x14ac:dyDescent="0.3">
      <c r="A1427" s="2">
        <f>INT(Tabela1[[#This Row],[Data e Hora2]])</f>
        <v>46304</v>
      </c>
      <c r="B1427" s="6" t="str">
        <f>UPPER(TEXT(Tabela1[[#This Row],[Data Corrigida]],"MMM"))</f>
        <v>OUT</v>
      </c>
      <c r="C1427" t="s">
        <v>3194</v>
      </c>
      <c r="D1427" s="2" t="s">
        <v>3195</v>
      </c>
      <c r="E1427" s="1" t="s">
        <v>3192</v>
      </c>
      <c r="F1427" t="s">
        <v>24</v>
      </c>
      <c r="G1427" s="2" t="s">
        <v>3193</v>
      </c>
      <c r="H1427" t="s">
        <v>26</v>
      </c>
      <c r="I1427" t="s">
        <v>27</v>
      </c>
      <c r="J1427" s="6">
        <v>40762</v>
      </c>
      <c r="K1427" s="16">
        <v>10010</v>
      </c>
      <c r="L1427" s="16">
        <v>10020</v>
      </c>
      <c r="M1427" s="16">
        <v>10040</v>
      </c>
      <c r="N1427" s="16">
        <v>10065</v>
      </c>
      <c r="O1427" s="16">
        <v>10025</v>
      </c>
      <c r="P1427" s="16">
        <v>10070</v>
      </c>
      <c r="Q1427" s="16">
        <v>9995</v>
      </c>
      <c r="R1427" s="16">
        <v>10010</v>
      </c>
      <c r="S1427" s="16">
        <v>9970</v>
      </c>
      <c r="T1427" s="16">
        <v>9965</v>
      </c>
      <c r="U1427" s="15">
        <v>10017</v>
      </c>
      <c r="V1427" t="s">
        <v>19</v>
      </c>
      <c r="W1427" t="s">
        <v>28</v>
      </c>
      <c r="X1427">
        <v>16363</v>
      </c>
      <c r="Y1427" s="16">
        <f>VLOOKUP(Tabela1[[#This Row],[SKU]],SKU!A:D,4,0)</f>
        <v>10000</v>
      </c>
      <c r="Z1427" s="18">
        <f>IFERROR((Tabela1[[#This Row],[Média]]-Tabela1[[#This Row],[Meta]])/Tabela1[[#This Row],[Meta]],"")</f>
        <v>1.6999999999999999E-3</v>
      </c>
      <c r="AA1427" s="31">
        <f>Tabela1[[#This Row],[Média]]-Tabela1[[#This Row],[Meta]]</f>
        <v>17</v>
      </c>
      <c r="AB1427" s="6" t="str">
        <f>VLOOKUP(Tabela1[[#This Row],[SKU]],SKU!A:B,2,0)</f>
        <v>COXA SBCX LQ FG LP</v>
      </c>
      <c r="AC1427" s="6" t="str">
        <f>VLOOKUP(Tabela1[[#This Row],[SKU]],SKU!A:C,3,0)</f>
        <v>PERNA</v>
      </c>
    </row>
    <row r="1428" spans="1:29" x14ac:dyDescent="0.3">
      <c r="A1428" s="2">
        <f>INT(Tabela1[[#This Row],[Data e Hora2]])</f>
        <v>46304</v>
      </c>
      <c r="B1428" s="6" t="str">
        <f>UPPER(TEXT(Tabela1[[#This Row],[Data Corrigida]],"MMM"))</f>
        <v>OUT</v>
      </c>
      <c r="C1428" t="s">
        <v>3196</v>
      </c>
      <c r="D1428" s="2" t="s">
        <v>3197</v>
      </c>
      <c r="E1428" s="1" t="s">
        <v>3192</v>
      </c>
      <c r="F1428" t="s">
        <v>24</v>
      </c>
      <c r="G1428" s="2" t="s">
        <v>3193</v>
      </c>
      <c r="H1428" t="s">
        <v>26</v>
      </c>
      <c r="I1428" t="s">
        <v>27</v>
      </c>
      <c r="J1428" s="6">
        <v>40762</v>
      </c>
      <c r="K1428" s="16">
        <v>10000</v>
      </c>
      <c r="L1428" s="16">
        <v>9985</v>
      </c>
      <c r="M1428" s="16">
        <v>10035</v>
      </c>
      <c r="N1428" s="16">
        <v>10060</v>
      </c>
      <c r="O1428" s="16">
        <v>10075</v>
      </c>
      <c r="P1428" s="16">
        <v>10095</v>
      </c>
      <c r="Q1428" s="16">
        <v>10040</v>
      </c>
      <c r="R1428" s="16">
        <v>10020</v>
      </c>
      <c r="S1428" s="16">
        <v>10050</v>
      </c>
      <c r="T1428" s="16">
        <v>10065</v>
      </c>
      <c r="U1428" s="15">
        <v>10042.5</v>
      </c>
      <c r="V1428" t="s">
        <v>19</v>
      </c>
      <c r="W1428" t="s">
        <v>28</v>
      </c>
      <c r="X1428">
        <v>16518</v>
      </c>
      <c r="Y1428" s="16">
        <f>VLOOKUP(Tabela1[[#This Row],[SKU]],SKU!A:D,4,0)</f>
        <v>10000</v>
      </c>
      <c r="Z1428" s="18">
        <f>IFERROR((Tabela1[[#This Row],[Média]]-Tabela1[[#This Row],[Meta]])/Tabela1[[#This Row],[Meta]],"")</f>
        <v>4.2500000000000003E-3</v>
      </c>
      <c r="AA1428" s="31">
        <f>Tabela1[[#This Row],[Média]]-Tabela1[[#This Row],[Meta]]</f>
        <v>42.5</v>
      </c>
      <c r="AB1428" s="6" t="str">
        <f>VLOOKUP(Tabela1[[#This Row],[SKU]],SKU!A:B,2,0)</f>
        <v>COXA SBCX LQ FG LP</v>
      </c>
      <c r="AC1428" s="6" t="str">
        <f>VLOOKUP(Tabela1[[#This Row],[SKU]],SKU!A:C,3,0)</f>
        <v>PERNA</v>
      </c>
    </row>
    <row r="1429" spans="1:29" x14ac:dyDescent="0.3">
      <c r="A1429" s="2">
        <f>INT(Tabela1[[#This Row],[Data e Hora2]])</f>
        <v>46304</v>
      </c>
      <c r="B1429" s="6" t="str">
        <f>UPPER(TEXT(Tabela1[[#This Row],[Data Corrigida]],"MMM"))</f>
        <v>OUT</v>
      </c>
      <c r="C1429" t="s">
        <v>3198</v>
      </c>
      <c r="D1429" s="2" t="s">
        <v>3199</v>
      </c>
      <c r="E1429" s="1" t="s">
        <v>3192</v>
      </c>
      <c r="F1429" t="s">
        <v>24</v>
      </c>
      <c r="G1429" s="2" t="s">
        <v>3193</v>
      </c>
      <c r="H1429" t="s">
        <v>26</v>
      </c>
      <c r="I1429" t="s">
        <v>27</v>
      </c>
      <c r="J1429" s="6">
        <v>42838</v>
      </c>
      <c r="K1429" s="16">
        <v>2041</v>
      </c>
      <c r="L1429" s="16">
        <v>1945</v>
      </c>
      <c r="M1429" s="16">
        <v>2021</v>
      </c>
      <c r="N1429" s="16">
        <v>2028</v>
      </c>
      <c r="O1429" s="16">
        <v>2034</v>
      </c>
      <c r="P1429" s="16">
        <v>2024</v>
      </c>
      <c r="Q1429" s="16">
        <v>2003</v>
      </c>
      <c r="R1429" s="16">
        <v>2010</v>
      </c>
      <c r="S1429" s="16">
        <v>2100</v>
      </c>
      <c r="T1429" s="16">
        <v>2036</v>
      </c>
      <c r="U1429" s="15">
        <v>2024.2</v>
      </c>
      <c r="V1429" t="s">
        <v>19</v>
      </c>
      <c r="W1429" t="s">
        <v>28</v>
      </c>
      <c r="X1429">
        <v>16977</v>
      </c>
      <c r="Y1429" s="16">
        <f>VLOOKUP(Tabela1[[#This Row],[SKU]],SKU!A:D,4,0)</f>
        <v>2000</v>
      </c>
      <c r="Z1429" s="18">
        <f>IFERROR((Tabela1[[#This Row],[Média]]-Tabela1[[#This Row],[Meta]])/Tabela1[[#This Row],[Meta]],"")</f>
        <v>1.2100000000000022E-2</v>
      </c>
      <c r="AA1429" s="31">
        <f>Tabela1[[#This Row],[Média]]-Tabela1[[#This Row],[Meta]]</f>
        <v>24.200000000000045</v>
      </c>
      <c r="AB1429" s="6" t="str">
        <f>VLOOKUP(Tabela1[[#This Row],[SKU]],SKU!A:B,2,0)</f>
        <v>COXA SBCX S/O FG 220-240g PB</v>
      </c>
      <c r="AC1429" s="6" t="str">
        <f>VLOOKUP(Tabela1[[#This Row],[SKU]],SKU!A:C,3,0)</f>
        <v>PERNA</v>
      </c>
    </row>
    <row r="1430" spans="1:29" x14ac:dyDescent="0.3">
      <c r="A1430" s="2">
        <f>INT(Tabela1[[#This Row],[Data e Hora2]])</f>
        <v>46304</v>
      </c>
      <c r="B1430" s="6" t="str">
        <f>UPPER(TEXT(Tabela1[[#This Row],[Data Corrigida]],"MMM"))</f>
        <v>OUT</v>
      </c>
      <c r="C1430" t="s">
        <v>3200</v>
      </c>
      <c r="D1430" s="2" t="s">
        <v>3201</v>
      </c>
      <c r="E1430" s="1" t="s">
        <v>3192</v>
      </c>
      <c r="F1430" t="s">
        <v>24</v>
      </c>
      <c r="G1430" s="2" t="s">
        <v>3193</v>
      </c>
      <c r="H1430" t="s">
        <v>26</v>
      </c>
      <c r="I1430" t="s">
        <v>27</v>
      </c>
      <c r="J1430" s="6">
        <v>864048</v>
      </c>
      <c r="K1430" s="16">
        <v>2024</v>
      </c>
      <c r="L1430" s="16">
        <v>2016</v>
      </c>
      <c r="M1430" s="16">
        <v>2018</v>
      </c>
      <c r="N1430" s="16">
        <v>2009</v>
      </c>
      <c r="O1430" s="16">
        <v>2006</v>
      </c>
      <c r="P1430" s="16">
        <v>1973</v>
      </c>
      <c r="Q1430" s="16">
        <v>2022</v>
      </c>
      <c r="R1430" s="16">
        <v>2059</v>
      </c>
      <c r="S1430" s="16">
        <v>2053</v>
      </c>
      <c r="T1430" s="16">
        <v>2015</v>
      </c>
      <c r="U1430" s="15">
        <v>2019.5</v>
      </c>
      <c r="V1430" t="s">
        <v>19</v>
      </c>
      <c r="W1430" t="s">
        <v>28</v>
      </c>
      <c r="X1430">
        <v>17189</v>
      </c>
      <c r="Y1430" s="16">
        <f>VLOOKUP(Tabela1[[#This Row],[SKU]],SKU!A:D,4,0)</f>
        <v>2000</v>
      </c>
      <c r="Z1430" s="18">
        <f>IFERROR((Tabela1[[#This Row],[Média]]-Tabela1[[#This Row],[Meta]])/Tabela1[[#This Row],[Meta]],"")</f>
        <v>9.75E-3</v>
      </c>
      <c r="AA1430" s="31">
        <f>Tabela1[[#This Row],[Média]]-Tabela1[[#This Row],[Meta]]</f>
        <v>19.5</v>
      </c>
      <c r="AB1430" s="6" t="str">
        <f>VLOOKUP(Tabela1[[#This Row],[SKU]],SKU!A:B,2,0)</f>
        <v>COXA SBCX S/O 200g FG UP PB</v>
      </c>
      <c r="AC1430" s="6" t="str">
        <f>VLOOKUP(Tabela1[[#This Row],[SKU]],SKU!A:C,3,0)</f>
        <v>PERNA</v>
      </c>
    </row>
    <row r="1431" spans="1:29" x14ac:dyDescent="0.3">
      <c r="A1431" s="2">
        <f>INT(Tabela1[[#This Row],[Data e Hora2]])</f>
        <v>46304</v>
      </c>
      <c r="B1431" s="6" t="str">
        <f>UPPER(TEXT(Tabela1[[#This Row],[Data Corrigida]],"MMM"))</f>
        <v>OUT</v>
      </c>
      <c r="C1431" t="s">
        <v>3202</v>
      </c>
      <c r="D1431" s="2" t="s">
        <v>3203</v>
      </c>
      <c r="E1431" s="1" t="s">
        <v>3192</v>
      </c>
      <c r="F1431" t="s">
        <v>24</v>
      </c>
      <c r="G1431" s="2" t="s">
        <v>3193</v>
      </c>
      <c r="H1431" t="s">
        <v>26</v>
      </c>
      <c r="I1431" t="s">
        <v>27</v>
      </c>
      <c r="J1431" s="6">
        <v>42846</v>
      </c>
      <c r="K1431" s="16">
        <v>2008</v>
      </c>
      <c r="L1431" s="16">
        <v>2050</v>
      </c>
      <c r="M1431" s="16">
        <v>2020</v>
      </c>
      <c r="N1431" s="16">
        <v>2019</v>
      </c>
      <c r="O1431" s="16">
        <v>2006</v>
      </c>
      <c r="P1431" s="16">
        <v>2017</v>
      </c>
      <c r="Q1431" s="16">
        <v>2001</v>
      </c>
      <c r="R1431" s="16">
        <v>2010</v>
      </c>
      <c r="S1431" s="16">
        <v>2006</v>
      </c>
      <c r="T1431" s="16">
        <v>2026</v>
      </c>
      <c r="U1431" s="15">
        <v>2016.3</v>
      </c>
      <c r="V1431" t="s">
        <v>19</v>
      </c>
      <c r="W1431" t="s">
        <v>28</v>
      </c>
      <c r="X1431">
        <v>17283</v>
      </c>
      <c r="Y1431" s="16">
        <f>VLOOKUP(Tabela1[[#This Row],[SKU]],SKU!A:D,4,0)</f>
        <v>2000</v>
      </c>
      <c r="Z1431" s="18">
        <f>IFERROR((Tabela1[[#This Row],[Média]]-Tabela1[[#This Row],[Meta]])/Tabela1[[#This Row],[Meta]],"")</f>
        <v>8.1499999999999767E-3</v>
      </c>
      <c r="AA1431" s="31">
        <f>Tabela1[[#This Row],[Média]]-Tabela1[[#This Row],[Meta]]</f>
        <v>16.299999999999955</v>
      </c>
      <c r="AB1431" s="6" t="str">
        <f>VLOOKUP(Tabela1[[#This Row],[SKU]],SKU!A:B,2,0)</f>
        <v>COXA SBCX S/O FG 240-260g PB</v>
      </c>
      <c r="AC1431" s="6" t="str">
        <f>VLOOKUP(Tabela1[[#This Row],[SKU]],SKU!A:C,3,0)</f>
        <v>PERNA</v>
      </c>
    </row>
    <row r="1432" spans="1:29" x14ac:dyDescent="0.3">
      <c r="A1432" s="2">
        <f>INT(Tabela1[[#This Row],[Data e Hora2]])</f>
        <v>46304</v>
      </c>
      <c r="B1432" s="6" t="str">
        <f>UPPER(TEXT(Tabela1[[#This Row],[Data Corrigida]],"MMM"))</f>
        <v>OUT</v>
      </c>
      <c r="C1432" t="s">
        <v>3204</v>
      </c>
      <c r="D1432" s="2" t="s">
        <v>3205</v>
      </c>
      <c r="E1432" s="1" t="s">
        <v>3192</v>
      </c>
      <c r="F1432" t="s">
        <v>24</v>
      </c>
      <c r="G1432" s="2" t="s">
        <v>3193</v>
      </c>
      <c r="H1432" t="s">
        <v>26</v>
      </c>
      <c r="I1432" t="s">
        <v>27</v>
      </c>
      <c r="J1432" s="6">
        <v>42862</v>
      </c>
      <c r="K1432" s="16">
        <v>2006</v>
      </c>
      <c r="L1432" s="16">
        <v>2000</v>
      </c>
      <c r="M1432" s="16">
        <v>1995</v>
      </c>
      <c r="N1432" s="16">
        <v>2014</v>
      </c>
      <c r="O1432" s="16">
        <v>2019</v>
      </c>
      <c r="P1432" s="16">
        <v>2007</v>
      </c>
      <c r="Q1432" s="16">
        <v>2013</v>
      </c>
      <c r="R1432" s="16">
        <v>1989</v>
      </c>
      <c r="S1432" s="16">
        <v>2014</v>
      </c>
      <c r="T1432" s="16">
        <v>2814</v>
      </c>
      <c r="U1432" s="15">
        <v>2087.1</v>
      </c>
      <c r="V1432" t="s">
        <v>19</v>
      </c>
      <c r="W1432" t="s">
        <v>28</v>
      </c>
      <c r="X1432">
        <v>17378</v>
      </c>
      <c r="Y1432" s="16">
        <f>VLOOKUP(Tabela1[[#This Row],[SKU]],SKU!A:D,4,0)</f>
        <v>2000</v>
      </c>
      <c r="Z1432" s="18">
        <f>IFERROR((Tabela1[[#This Row],[Média]]-Tabela1[[#This Row],[Meta]])/Tabela1[[#This Row],[Meta]],"")</f>
        <v>4.3549999999999957E-2</v>
      </c>
      <c r="AA1432" s="31">
        <f>Tabela1[[#This Row],[Média]]-Tabela1[[#This Row],[Meta]]</f>
        <v>87.099999999999909</v>
      </c>
      <c r="AB1432" s="6" t="str">
        <f>VLOOKUP(Tabela1[[#This Row],[SKU]],SKU!A:B,2,0)</f>
        <v>COXA SBCX S/O FG 280-300g PB</v>
      </c>
      <c r="AC1432" s="6" t="str">
        <f>VLOOKUP(Tabela1[[#This Row],[SKU]],SKU!A:C,3,0)</f>
        <v>PERNA</v>
      </c>
    </row>
    <row r="1433" spans="1:29" x14ac:dyDescent="0.3">
      <c r="A1433" s="2">
        <f>INT(Tabela1[[#This Row],[Data e Hora2]])</f>
        <v>46304</v>
      </c>
      <c r="B1433" s="6" t="str">
        <f>UPPER(TEXT(Tabela1[[#This Row],[Data Corrigida]],"MMM"))</f>
        <v>OUT</v>
      </c>
      <c r="C1433" t="s">
        <v>3206</v>
      </c>
      <c r="D1433" s="2" t="s">
        <v>3207</v>
      </c>
      <c r="E1433" s="1" t="s">
        <v>3192</v>
      </c>
      <c r="F1433" t="s">
        <v>24</v>
      </c>
      <c r="G1433" s="2" t="s">
        <v>3193</v>
      </c>
      <c r="H1433" t="s">
        <v>26</v>
      </c>
      <c r="I1433" t="s">
        <v>27</v>
      </c>
      <c r="J1433" s="6">
        <v>42854</v>
      </c>
      <c r="K1433" s="16">
        <v>2107</v>
      </c>
      <c r="L1433" s="16">
        <v>2087</v>
      </c>
      <c r="M1433" s="16">
        <v>2095</v>
      </c>
      <c r="N1433" s="16">
        <v>2092</v>
      </c>
      <c r="O1433" s="16">
        <v>2097</v>
      </c>
      <c r="P1433" s="16">
        <v>2085</v>
      </c>
      <c r="Q1433" s="16">
        <v>2097</v>
      </c>
      <c r="R1433" s="16">
        <v>2093</v>
      </c>
      <c r="S1433" s="16">
        <v>2084</v>
      </c>
      <c r="T1433" s="16">
        <v>2089</v>
      </c>
      <c r="U1433" s="15">
        <v>2092.6</v>
      </c>
      <c r="V1433" t="s">
        <v>19</v>
      </c>
      <c r="W1433" t="s">
        <v>28</v>
      </c>
      <c r="X1433">
        <v>17463</v>
      </c>
      <c r="Y1433" s="16">
        <f>VLOOKUP(Tabela1[[#This Row],[SKU]],SKU!A:D,4,0)</f>
        <v>2080</v>
      </c>
      <c r="Z1433" s="18">
        <f>IFERROR((Tabela1[[#This Row],[Média]]-Tabela1[[#This Row],[Meta]])/Tabela1[[#This Row],[Meta]],"")</f>
        <v>6.057692307692264E-3</v>
      </c>
      <c r="AA1433" s="31">
        <f>Tabela1[[#This Row],[Média]]-Tabela1[[#This Row],[Meta]]</f>
        <v>12.599999999999909</v>
      </c>
      <c r="AB1433" s="6" t="str">
        <f>VLOOKUP(Tabela1[[#This Row],[SKU]],SKU!A:B,2,0)</f>
        <v>COXA SBCX S/O FG 260-280g PB</v>
      </c>
      <c r="AC1433" s="6" t="str">
        <f>VLOOKUP(Tabela1[[#This Row],[SKU]],SKU!A:C,3,0)</f>
        <v>PERNA</v>
      </c>
    </row>
    <row r="1434" spans="1:29" x14ac:dyDescent="0.3">
      <c r="A1434" s="2">
        <f>INT(Tabela1[[#This Row],[Data e Hora2]])</f>
        <v>46304</v>
      </c>
      <c r="B1434" s="6" t="str">
        <f>UPPER(TEXT(Tabela1[[#This Row],[Data Corrigida]],"MMM"))</f>
        <v>OUT</v>
      </c>
      <c r="C1434" t="s">
        <v>3208</v>
      </c>
      <c r="D1434" s="2" t="s">
        <v>3209</v>
      </c>
      <c r="E1434" s="1" t="s">
        <v>3192</v>
      </c>
      <c r="F1434" t="s">
        <v>24</v>
      </c>
      <c r="G1434" s="2" t="s">
        <v>3193</v>
      </c>
      <c r="H1434" t="s">
        <v>26</v>
      </c>
      <c r="I1434" t="s">
        <v>27</v>
      </c>
      <c r="J1434" s="6">
        <v>42641</v>
      </c>
      <c r="K1434" s="16">
        <v>15030</v>
      </c>
      <c r="L1434" s="16">
        <v>15045</v>
      </c>
      <c r="M1434" s="16">
        <v>15030</v>
      </c>
      <c r="N1434" s="16">
        <v>15020</v>
      </c>
      <c r="O1434" s="16">
        <v>15030</v>
      </c>
      <c r="P1434" s="16">
        <v>15000</v>
      </c>
      <c r="Q1434" s="16">
        <v>15010</v>
      </c>
      <c r="R1434" s="16">
        <v>15040</v>
      </c>
      <c r="S1434" s="16">
        <v>15050</v>
      </c>
      <c r="T1434" s="16">
        <v>15015</v>
      </c>
      <c r="U1434" s="15">
        <v>15027</v>
      </c>
      <c r="V1434" t="s">
        <v>19</v>
      </c>
      <c r="W1434" t="s">
        <v>28</v>
      </c>
      <c r="X1434">
        <v>211</v>
      </c>
      <c r="Y1434" s="16">
        <f>VLOOKUP(Tabela1[[#This Row],[SKU]],SKU!A:D,4,0)</f>
        <v>15000</v>
      </c>
      <c r="Z1434" s="18">
        <f>IFERROR((Tabela1[[#This Row],[Média]]-Tabela1[[#This Row],[Meta]])/Tabela1[[#This Row],[Meta]],"")</f>
        <v>1.8E-3</v>
      </c>
      <c r="AA1434" s="31">
        <f>Tabela1[[#This Row],[Média]]-Tabela1[[#This Row],[Meta]]</f>
        <v>27</v>
      </c>
      <c r="AB1434" s="6" t="str">
        <f>VLOOKUP(Tabela1[[#This Row],[SKU]],SKU!A:B,2,0)</f>
        <v>ASAS FG 100g UP LP</v>
      </c>
      <c r="AC1434" s="6" t="str">
        <f>VLOOKUP(Tabela1[[#This Row],[SKU]],SKU!A:C,3,0)</f>
        <v>ASA</v>
      </c>
    </row>
    <row r="1435" spans="1:29" x14ac:dyDescent="0.3">
      <c r="A1435" s="2">
        <f>INT(Tabela1[[#This Row],[Data e Hora2]])</f>
        <v>46304</v>
      </c>
      <c r="B1435" s="6" t="str">
        <f>UPPER(TEXT(Tabela1[[#This Row],[Data Corrigida]],"MMM"))</f>
        <v>OUT</v>
      </c>
      <c r="C1435" t="s">
        <v>3210</v>
      </c>
      <c r="D1435" s="2" t="s">
        <v>3211</v>
      </c>
      <c r="E1435" s="1" t="s">
        <v>3192</v>
      </c>
      <c r="F1435" t="s">
        <v>24</v>
      </c>
      <c r="G1435" s="2" t="s">
        <v>3193</v>
      </c>
      <c r="H1435" t="s">
        <v>26</v>
      </c>
      <c r="I1435" t="s">
        <v>27</v>
      </c>
      <c r="J1435" s="6">
        <v>995638</v>
      </c>
      <c r="K1435" s="16">
        <v>15030</v>
      </c>
      <c r="L1435" s="16">
        <v>15015</v>
      </c>
      <c r="M1435" s="16">
        <v>15030</v>
      </c>
      <c r="N1435" s="16">
        <v>15005</v>
      </c>
      <c r="O1435" s="16">
        <v>15050</v>
      </c>
      <c r="P1435" s="16">
        <v>15035</v>
      </c>
      <c r="Q1435" s="16">
        <v>15045</v>
      </c>
      <c r="R1435" s="16">
        <v>15025</v>
      </c>
      <c r="S1435" s="16">
        <v>15035</v>
      </c>
      <c r="T1435" s="16">
        <v>15040</v>
      </c>
      <c r="U1435" s="15">
        <v>15031</v>
      </c>
      <c r="V1435" t="s">
        <v>19</v>
      </c>
      <c r="W1435" t="s">
        <v>19</v>
      </c>
      <c r="X1435">
        <v>20234</v>
      </c>
      <c r="Y1435" s="16">
        <f>VLOOKUP(Tabela1[[#This Row],[SKU]],SKU!A:D,4,0)</f>
        <v>15000</v>
      </c>
      <c r="Z1435" s="18">
        <f>IFERROR((Tabela1[[#This Row],[Média]]-Tabela1[[#This Row],[Meta]])/Tabela1[[#This Row],[Meta]],"")</f>
        <v>2.0666666666666667E-3</v>
      </c>
      <c r="AA1435" s="31">
        <f>Tabela1[[#This Row],[Média]]-Tabela1[[#This Row],[Meta]]</f>
        <v>31</v>
      </c>
      <c r="AB1435" s="6" t="str">
        <f>VLOOKUP(Tabela1[[#This Row],[SKU]],SKU!A:B,2,0)</f>
        <v>MEIO DA ASA 40-50G LP</v>
      </c>
      <c r="AC1435" s="6" t="str">
        <f>VLOOKUP(Tabela1[[#This Row],[SKU]],SKU!A:C,3,0)</f>
        <v>ASA</v>
      </c>
    </row>
    <row r="1436" spans="1:29" x14ac:dyDescent="0.3">
      <c r="A1436" s="2">
        <f>INT(Tabela1[[#This Row],[Data e Hora2]])</f>
        <v>46304</v>
      </c>
      <c r="B1436" s="6" t="str">
        <f>UPPER(TEXT(Tabela1[[#This Row],[Data Corrigida]],"MMM"))</f>
        <v>OUT</v>
      </c>
      <c r="C1436" t="s">
        <v>3212</v>
      </c>
      <c r="D1436" s="2" t="s">
        <v>3213</v>
      </c>
      <c r="E1436" s="1" t="s">
        <v>3192</v>
      </c>
      <c r="F1436" t="s">
        <v>24</v>
      </c>
      <c r="G1436" s="2" t="s">
        <v>3193</v>
      </c>
      <c r="H1436" t="s">
        <v>26</v>
      </c>
      <c r="I1436" t="s">
        <v>27</v>
      </c>
      <c r="J1436" s="6">
        <v>15105</v>
      </c>
      <c r="K1436" s="16">
        <v>997</v>
      </c>
      <c r="L1436" s="16">
        <v>1012</v>
      </c>
      <c r="M1436" s="16">
        <v>1055</v>
      </c>
      <c r="N1436" s="16">
        <v>1030</v>
      </c>
      <c r="O1436" s="16">
        <v>979</v>
      </c>
      <c r="P1436" s="16">
        <v>1018</v>
      </c>
      <c r="Q1436" s="16">
        <v>1021</v>
      </c>
      <c r="R1436" s="16">
        <v>1020</v>
      </c>
      <c r="S1436" s="16">
        <v>1041</v>
      </c>
      <c r="T1436" s="16">
        <v>992</v>
      </c>
      <c r="U1436" s="15">
        <v>1016.5</v>
      </c>
      <c r="V1436" t="s">
        <v>19</v>
      </c>
      <c r="W1436" t="s">
        <v>28</v>
      </c>
      <c r="X1436">
        <v>20366</v>
      </c>
      <c r="Y1436" s="16">
        <f>VLOOKUP(Tabela1[[#This Row],[SKU]],SKU!A:D,4,0)</f>
        <v>1000</v>
      </c>
      <c r="Z1436" s="18">
        <f>IFERROR((Tabela1[[#This Row],[Média]]-Tabela1[[#This Row],[Meta]])/Tabela1[[#This Row],[Meta]],"")</f>
        <v>1.6500000000000001E-2</v>
      </c>
      <c r="AA1436" s="31">
        <f>Tabela1[[#This Row],[Média]]-Tabela1[[#This Row],[Meta]]</f>
        <v>16.5</v>
      </c>
      <c r="AB1436" s="6" t="str">
        <f>VLOOKUP(Tabela1[[#This Row],[SKU]],SKU!A:B,2,0)</f>
        <v>FILE PEITO MET CG BDJ SE</v>
      </c>
      <c r="AC1436" s="6" t="str">
        <f>VLOOKUP(Tabela1[[#This Row],[SKU]],SKU!A:C,3,0)</f>
        <v>PEITO</v>
      </c>
    </row>
    <row r="1437" spans="1:29" x14ac:dyDescent="0.3">
      <c r="A1437" s="2">
        <f>INT(Tabela1[[#This Row],[Data e Hora2]])</f>
        <v>46304</v>
      </c>
      <c r="B1437" s="6" t="str">
        <f>UPPER(TEXT(Tabela1[[#This Row],[Data Corrigida]],"MMM"))</f>
        <v>OUT</v>
      </c>
      <c r="C1437" t="s">
        <v>3214</v>
      </c>
      <c r="D1437" s="2" t="s">
        <v>3215</v>
      </c>
      <c r="E1437" s="1" t="s">
        <v>3192</v>
      </c>
      <c r="F1437" t="s">
        <v>24</v>
      </c>
      <c r="G1437" s="2" t="s">
        <v>3193</v>
      </c>
      <c r="H1437" t="s">
        <v>26</v>
      </c>
      <c r="I1437" t="s">
        <v>27</v>
      </c>
      <c r="J1437" s="6">
        <v>15849</v>
      </c>
      <c r="K1437" s="16">
        <v>1007</v>
      </c>
      <c r="L1437" s="16">
        <v>1009</v>
      </c>
      <c r="M1437" s="16">
        <v>1001</v>
      </c>
      <c r="N1437" s="16">
        <v>1001</v>
      </c>
      <c r="O1437" s="16">
        <v>1003</v>
      </c>
      <c r="P1437" s="16">
        <v>991</v>
      </c>
      <c r="Q1437" s="16">
        <v>999</v>
      </c>
      <c r="R1437" s="16">
        <v>1014</v>
      </c>
      <c r="S1437" s="16">
        <v>1003</v>
      </c>
      <c r="T1437" s="16">
        <v>992</v>
      </c>
      <c r="U1437" s="15">
        <v>1002</v>
      </c>
      <c r="V1437" t="s">
        <v>19</v>
      </c>
      <c r="W1437" t="s">
        <v>28</v>
      </c>
      <c r="X1437">
        <v>20766</v>
      </c>
      <c r="Y1437" s="16">
        <f>VLOOKUP(Tabela1[[#This Row],[SKU]],SKU!A:D,4,0)</f>
        <v>1000</v>
      </c>
      <c r="Z1437" s="18">
        <f>IFERROR((Tabela1[[#This Row],[Média]]-Tabela1[[#This Row],[Meta]])/Tabela1[[#This Row],[Meta]],"")</f>
        <v>2E-3</v>
      </c>
      <c r="AA1437" s="31">
        <f>Tabela1[[#This Row],[Média]]-Tabela1[[#This Row],[Meta]]</f>
        <v>2</v>
      </c>
      <c r="AB1437" s="6" t="str">
        <f>VLOOKUP(Tabela1[[#This Row],[SKU]],SKU!A:B,2,0)</f>
        <v>FILEZINHO PEITO CG BDJ SE</v>
      </c>
      <c r="AC1437" s="6" t="str">
        <f>VLOOKUP(Tabela1[[#This Row],[SKU]],SKU!A:C,3,0)</f>
        <v>SASSAMI</v>
      </c>
    </row>
    <row r="1438" spans="1:29" x14ac:dyDescent="0.3">
      <c r="A1438" s="2">
        <f>INT(Tabela1[[#This Row],[Data e Hora2]])</f>
        <v>46304</v>
      </c>
      <c r="B1438" s="6" t="str">
        <f>UPPER(TEXT(Tabela1[[#This Row],[Data Corrigida]],"MMM"))</f>
        <v>OUT</v>
      </c>
      <c r="C1438" t="s">
        <v>3216</v>
      </c>
      <c r="D1438" s="2" t="s">
        <v>3217</v>
      </c>
      <c r="E1438" s="1" t="s">
        <v>3218</v>
      </c>
      <c r="F1438" t="s">
        <v>24</v>
      </c>
      <c r="G1438" s="2" t="s">
        <v>3193</v>
      </c>
      <c r="H1438" t="s">
        <v>26</v>
      </c>
      <c r="I1438" t="s">
        <v>27</v>
      </c>
      <c r="J1438" s="6">
        <v>15105</v>
      </c>
      <c r="K1438" s="16">
        <v>1009</v>
      </c>
      <c r="L1438" s="16">
        <v>1022</v>
      </c>
      <c r="M1438" s="16">
        <v>1000</v>
      </c>
      <c r="N1438" s="16">
        <v>1037</v>
      </c>
      <c r="O1438" s="16">
        <v>1022</v>
      </c>
      <c r="P1438" s="16">
        <v>1021</v>
      </c>
      <c r="Q1438" s="16">
        <v>1027</v>
      </c>
      <c r="R1438" s="16">
        <v>1014</v>
      </c>
      <c r="S1438" s="16">
        <v>1027</v>
      </c>
      <c r="T1438" s="16">
        <v>1026</v>
      </c>
      <c r="U1438" s="15">
        <v>1020.5</v>
      </c>
      <c r="V1438" t="s">
        <v>19</v>
      </c>
      <c r="W1438" t="s">
        <v>28</v>
      </c>
      <c r="X1438">
        <v>33101</v>
      </c>
      <c r="Y1438" s="16">
        <f>VLOOKUP(Tabela1[[#This Row],[SKU]],SKU!A:D,4,0)</f>
        <v>1000</v>
      </c>
      <c r="Z1438" s="18">
        <f>IFERROR((Tabela1[[#This Row],[Média]]-Tabela1[[#This Row],[Meta]])/Tabela1[[#This Row],[Meta]],"")</f>
        <v>2.0500000000000001E-2</v>
      </c>
      <c r="AA1438" s="31">
        <f>Tabela1[[#This Row],[Média]]-Tabela1[[#This Row],[Meta]]</f>
        <v>20.5</v>
      </c>
      <c r="AB1438" s="6" t="str">
        <f>VLOOKUP(Tabela1[[#This Row],[SKU]],SKU!A:B,2,0)</f>
        <v>FILE PEITO MET CG BDJ SE</v>
      </c>
      <c r="AC1438" s="6" t="str">
        <f>VLOOKUP(Tabela1[[#This Row],[SKU]],SKU!A:C,3,0)</f>
        <v>PEITO</v>
      </c>
    </row>
    <row r="1439" spans="1:29" x14ac:dyDescent="0.3">
      <c r="A1439" s="2">
        <f>INT(Tabela1[[#This Row],[Data e Hora2]])</f>
        <v>46304</v>
      </c>
      <c r="B1439" s="6" t="str">
        <f>UPPER(TEXT(Tabela1[[#This Row],[Data Corrigida]],"MMM"))</f>
        <v>OUT</v>
      </c>
      <c r="C1439" t="s">
        <v>3219</v>
      </c>
      <c r="D1439" s="2" t="s">
        <v>3220</v>
      </c>
      <c r="E1439" s="1" t="s">
        <v>3221</v>
      </c>
      <c r="F1439" t="s">
        <v>24</v>
      </c>
      <c r="G1439" s="2" t="s">
        <v>3193</v>
      </c>
      <c r="H1439" t="s">
        <v>26</v>
      </c>
      <c r="I1439" t="s">
        <v>57</v>
      </c>
      <c r="J1439" s="6">
        <v>15105</v>
      </c>
      <c r="K1439" s="16">
        <v>1056</v>
      </c>
      <c r="L1439" s="16">
        <v>1018</v>
      </c>
      <c r="M1439" s="16">
        <v>1003</v>
      </c>
      <c r="N1439" s="16">
        <v>1033</v>
      </c>
      <c r="O1439" s="16">
        <v>1016</v>
      </c>
      <c r="P1439" s="16">
        <v>1028</v>
      </c>
      <c r="Q1439" s="16">
        <v>929</v>
      </c>
      <c r="R1439" s="16">
        <v>1000</v>
      </c>
      <c r="S1439" s="16">
        <v>1037</v>
      </c>
      <c r="T1439" s="16">
        <v>999</v>
      </c>
      <c r="U1439" s="15">
        <v>1011.9</v>
      </c>
      <c r="V1439" t="s">
        <v>19</v>
      </c>
      <c r="W1439" t="s">
        <v>28</v>
      </c>
      <c r="X1439">
        <v>215</v>
      </c>
      <c r="Y1439" s="16">
        <f>VLOOKUP(Tabela1[[#This Row],[SKU]],SKU!A:D,4,0)</f>
        <v>1000</v>
      </c>
      <c r="Z1439" s="18">
        <f>IFERROR((Tabela1[[#This Row],[Média]]-Tabela1[[#This Row],[Meta]])/Tabela1[[#This Row],[Meta]],"")</f>
        <v>1.1899999999999977E-2</v>
      </c>
      <c r="AA1439" s="31">
        <f>Tabela1[[#This Row],[Média]]-Tabela1[[#This Row],[Meta]]</f>
        <v>11.899999999999977</v>
      </c>
      <c r="AB1439" s="6" t="str">
        <f>VLOOKUP(Tabela1[[#This Row],[SKU]],SKU!A:B,2,0)</f>
        <v>FILE PEITO MET CG BDJ SE</v>
      </c>
      <c r="AC1439" s="6" t="str">
        <f>VLOOKUP(Tabela1[[#This Row],[SKU]],SKU!A:C,3,0)</f>
        <v>PEITO</v>
      </c>
    </row>
    <row r="1440" spans="1:29" x14ac:dyDescent="0.3">
      <c r="A1440" s="2">
        <f>INT(Tabela1[[#This Row],[Data e Hora2]])</f>
        <v>46304</v>
      </c>
      <c r="B1440" s="6" t="str">
        <f>UPPER(TEXT(Tabela1[[#This Row],[Data Corrigida]],"MMM"))</f>
        <v>OUT</v>
      </c>
      <c r="C1440" t="s">
        <v>3222</v>
      </c>
      <c r="D1440" s="2" t="s">
        <v>3223</v>
      </c>
      <c r="E1440" s="1" t="s">
        <v>3221</v>
      </c>
      <c r="F1440" t="s">
        <v>24</v>
      </c>
      <c r="G1440" s="2" t="s">
        <v>3193</v>
      </c>
      <c r="H1440" t="s">
        <v>26</v>
      </c>
      <c r="I1440" t="s">
        <v>57</v>
      </c>
      <c r="J1440" s="6">
        <v>40762</v>
      </c>
      <c r="K1440" s="16">
        <v>10045</v>
      </c>
      <c r="L1440" s="16">
        <v>10065</v>
      </c>
      <c r="M1440" s="16">
        <v>9980</v>
      </c>
      <c r="N1440" s="16">
        <v>10045</v>
      </c>
      <c r="O1440" s="16">
        <v>9970</v>
      </c>
      <c r="P1440" s="16">
        <v>10000</v>
      </c>
      <c r="Q1440" s="16">
        <v>9995</v>
      </c>
      <c r="R1440" s="16">
        <v>10055</v>
      </c>
      <c r="S1440" s="16">
        <v>10010</v>
      </c>
      <c r="T1440" s="16">
        <v>9970</v>
      </c>
      <c r="U1440" s="15">
        <v>10013.5</v>
      </c>
      <c r="V1440" t="s">
        <v>19</v>
      </c>
      <c r="W1440" t="s">
        <v>28</v>
      </c>
      <c r="X1440">
        <v>607</v>
      </c>
      <c r="Y1440" s="16">
        <f>VLOOKUP(Tabela1[[#This Row],[SKU]],SKU!A:D,4,0)</f>
        <v>10000</v>
      </c>
      <c r="Z1440" s="18">
        <f>IFERROR((Tabela1[[#This Row],[Média]]-Tabela1[[#This Row],[Meta]])/Tabela1[[#This Row],[Meta]],"")</f>
        <v>1.3500000000000001E-3</v>
      </c>
      <c r="AA1440" s="31">
        <f>Tabela1[[#This Row],[Média]]-Tabela1[[#This Row],[Meta]]</f>
        <v>13.5</v>
      </c>
      <c r="AB1440" s="6" t="str">
        <f>VLOOKUP(Tabela1[[#This Row],[SKU]],SKU!A:B,2,0)</f>
        <v>COXA SBCX LQ FG LP</v>
      </c>
      <c r="AC1440" s="6" t="str">
        <f>VLOOKUP(Tabela1[[#This Row],[SKU]],SKU!A:C,3,0)</f>
        <v>PERNA</v>
      </c>
    </row>
    <row r="1441" spans="1:29" x14ac:dyDescent="0.3">
      <c r="A1441" s="2">
        <f>INT(Tabela1[[#This Row],[Data e Hora2]])</f>
        <v>46304</v>
      </c>
      <c r="B1441" s="6" t="str">
        <f>UPPER(TEXT(Tabela1[[#This Row],[Data Corrigida]],"MMM"))</f>
        <v>OUT</v>
      </c>
      <c r="C1441" t="s">
        <v>3224</v>
      </c>
      <c r="D1441" s="2" t="s">
        <v>3225</v>
      </c>
      <c r="E1441" s="1" t="s">
        <v>3221</v>
      </c>
      <c r="F1441" t="s">
        <v>24</v>
      </c>
      <c r="G1441" s="2" t="s">
        <v>3193</v>
      </c>
      <c r="H1441" t="s">
        <v>26</v>
      </c>
      <c r="I1441" t="s">
        <v>57</v>
      </c>
      <c r="J1441" s="6">
        <v>40762</v>
      </c>
      <c r="K1441" s="16">
        <v>9995</v>
      </c>
      <c r="L1441" s="16">
        <v>10020</v>
      </c>
      <c r="M1441" s="16">
        <v>10055</v>
      </c>
      <c r="N1441" s="16">
        <v>10105</v>
      </c>
      <c r="O1441" s="16">
        <v>10000</v>
      </c>
      <c r="P1441" s="16">
        <v>9990</v>
      </c>
      <c r="Q1441" s="16">
        <v>10020</v>
      </c>
      <c r="R1441" s="16">
        <v>10000</v>
      </c>
      <c r="S1441" s="16">
        <v>9970</v>
      </c>
      <c r="T1441" s="16">
        <v>9950</v>
      </c>
      <c r="U1441" s="15">
        <v>10010.5</v>
      </c>
      <c r="V1441" t="s">
        <v>19</v>
      </c>
      <c r="W1441" t="s">
        <v>28</v>
      </c>
      <c r="X1441">
        <v>776</v>
      </c>
      <c r="Y1441" s="16">
        <f>VLOOKUP(Tabela1[[#This Row],[SKU]],SKU!A:D,4,0)</f>
        <v>10000</v>
      </c>
      <c r="Z1441" s="18">
        <f>IFERROR((Tabela1[[#This Row],[Média]]-Tabela1[[#This Row],[Meta]])/Tabela1[[#This Row],[Meta]],"")</f>
        <v>1.0499999999999999E-3</v>
      </c>
      <c r="AA1441" s="31">
        <f>Tabela1[[#This Row],[Média]]-Tabela1[[#This Row],[Meta]]</f>
        <v>10.5</v>
      </c>
      <c r="AB1441" s="6" t="str">
        <f>VLOOKUP(Tabela1[[#This Row],[SKU]],SKU!A:B,2,0)</f>
        <v>COXA SBCX LQ FG LP</v>
      </c>
      <c r="AC1441" s="6" t="str">
        <f>VLOOKUP(Tabela1[[#This Row],[SKU]],SKU!A:C,3,0)</f>
        <v>PERNA</v>
      </c>
    </row>
    <row r="1442" spans="1:29" x14ac:dyDescent="0.3">
      <c r="A1442" s="2">
        <f>INT(Tabela1[[#This Row],[Data e Hora2]])</f>
        <v>46304</v>
      </c>
      <c r="B1442" s="6" t="str">
        <f>UPPER(TEXT(Tabela1[[#This Row],[Data Corrigida]],"MMM"))</f>
        <v>OUT</v>
      </c>
      <c r="C1442" t="s">
        <v>3226</v>
      </c>
      <c r="D1442" s="2" t="s">
        <v>3227</v>
      </c>
      <c r="E1442" s="1" t="s">
        <v>3221</v>
      </c>
      <c r="F1442" t="s">
        <v>24</v>
      </c>
      <c r="G1442" s="2" t="s">
        <v>3193</v>
      </c>
      <c r="H1442" t="s">
        <v>26</v>
      </c>
      <c r="I1442" t="s">
        <v>57</v>
      </c>
      <c r="J1442" s="6">
        <v>40762</v>
      </c>
      <c r="K1442" s="16">
        <v>10050</v>
      </c>
      <c r="L1442" s="16">
        <v>9965</v>
      </c>
      <c r="M1442" s="16">
        <v>10060</v>
      </c>
      <c r="N1442" s="16">
        <v>10010</v>
      </c>
      <c r="O1442" s="16">
        <v>9980</v>
      </c>
      <c r="P1442" s="16">
        <v>10090</v>
      </c>
      <c r="Q1442" s="16">
        <v>9975</v>
      </c>
      <c r="R1442" s="16">
        <v>10050</v>
      </c>
      <c r="S1442" s="16">
        <v>10045</v>
      </c>
      <c r="T1442" s="16">
        <v>10005</v>
      </c>
      <c r="U1442" s="15">
        <v>10023</v>
      </c>
      <c r="V1442" t="s">
        <v>19</v>
      </c>
      <c r="W1442" t="s">
        <v>28</v>
      </c>
      <c r="X1442">
        <v>909</v>
      </c>
      <c r="Y1442" s="16">
        <f>VLOOKUP(Tabela1[[#This Row],[SKU]],SKU!A:D,4,0)</f>
        <v>10000</v>
      </c>
      <c r="Z1442" s="18">
        <f>IFERROR((Tabela1[[#This Row],[Média]]-Tabela1[[#This Row],[Meta]])/Tabela1[[#This Row],[Meta]],"")</f>
        <v>2.3E-3</v>
      </c>
      <c r="AA1442" s="31">
        <f>Tabela1[[#This Row],[Média]]-Tabela1[[#This Row],[Meta]]</f>
        <v>23</v>
      </c>
      <c r="AB1442" s="6" t="str">
        <f>VLOOKUP(Tabela1[[#This Row],[SKU]],SKU!A:B,2,0)</f>
        <v>COXA SBCX LQ FG LP</v>
      </c>
      <c r="AC1442" s="6" t="str">
        <f>VLOOKUP(Tabela1[[#This Row],[SKU]],SKU!A:C,3,0)</f>
        <v>PERNA</v>
      </c>
    </row>
    <row r="1443" spans="1:29" x14ac:dyDescent="0.3">
      <c r="A1443" s="2">
        <f>INT(Tabela1[[#This Row],[Data e Hora2]])</f>
        <v>46304</v>
      </c>
      <c r="B1443" s="6" t="str">
        <f>UPPER(TEXT(Tabela1[[#This Row],[Data Corrigida]],"MMM"))</f>
        <v>OUT</v>
      </c>
      <c r="C1443" t="s">
        <v>3228</v>
      </c>
      <c r="D1443" s="2" t="s">
        <v>3229</v>
      </c>
      <c r="E1443" s="1" t="s">
        <v>3221</v>
      </c>
      <c r="F1443" t="s">
        <v>24</v>
      </c>
      <c r="G1443" s="2" t="s">
        <v>3193</v>
      </c>
      <c r="H1443" t="s">
        <v>26</v>
      </c>
      <c r="I1443" t="s">
        <v>57</v>
      </c>
      <c r="J1443" s="6">
        <v>15105</v>
      </c>
      <c r="K1443" s="16">
        <v>1008</v>
      </c>
      <c r="L1443" s="16">
        <v>996</v>
      </c>
      <c r="M1443" s="16">
        <v>970</v>
      </c>
      <c r="N1443" s="16">
        <v>1049</v>
      </c>
      <c r="O1443" s="16">
        <v>1008</v>
      </c>
      <c r="P1443" s="16">
        <v>1018</v>
      </c>
      <c r="Q1443" s="16">
        <v>1030</v>
      </c>
      <c r="R1443" s="16">
        <v>1002</v>
      </c>
      <c r="S1443" s="16">
        <v>1015</v>
      </c>
      <c r="T1443" s="16">
        <v>1004</v>
      </c>
      <c r="U1443" s="15">
        <v>1010</v>
      </c>
      <c r="V1443" t="s">
        <v>19</v>
      </c>
      <c r="W1443" t="s">
        <v>28</v>
      </c>
      <c r="X1443">
        <v>173</v>
      </c>
      <c r="Y1443" s="16">
        <f>VLOOKUP(Tabela1[[#This Row],[SKU]],SKU!A:D,4,0)</f>
        <v>1000</v>
      </c>
      <c r="Z1443" s="18">
        <f>IFERROR((Tabela1[[#This Row],[Média]]-Tabela1[[#This Row],[Meta]])/Tabela1[[#This Row],[Meta]],"")</f>
        <v>0.01</v>
      </c>
      <c r="AA1443" s="31">
        <f>Tabela1[[#This Row],[Média]]-Tabela1[[#This Row],[Meta]]</f>
        <v>10</v>
      </c>
      <c r="AB1443" s="6" t="str">
        <f>VLOOKUP(Tabela1[[#This Row],[SKU]],SKU!A:B,2,0)</f>
        <v>FILE PEITO MET CG BDJ SE</v>
      </c>
      <c r="AC1443" s="6" t="str">
        <f>VLOOKUP(Tabela1[[#This Row],[SKU]],SKU!A:C,3,0)</f>
        <v>PEITO</v>
      </c>
    </row>
    <row r="1444" spans="1:29" x14ac:dyDescent="0.3">
      <c r="A1444" s="2">
        <f>INT(Tabela1[[#This Row],[Data e Hora2]])</f>
        <v>46304</v>
      </c>
      <c r="B1444" s="6" t="str">
        <f>UPPER(TEXT(Tabela1[[#This Row],[Data Corrigida]],"MMM"))</f>
        <v>OUT</v>
      </c>
      <c r="C1444" t="s">
        <v>3230</v>
      </c>
      <c r="D1444" s="2" t="s">
        <v>3231</v>
      </c>
      <c r="E1444" s="1" t="s">
        <v>3232</v>
      </c>
      <c r="F1444" t="s">
        <v>24</v>
      </c>
      <c r="G1444" s="2" t="s">
        <v>3193</v>
      </c>
      <c r="H1444" t="s">
        <v>26</v>
      </c>
      <c r="I1444" t="s">
        <v>57</v>
      </c>
      <c r="J1444" s="6">
        <v>42846</v>
      </c>
      <c r="K1444" s="16">
        <v>2001</v>
      </c>
      <c r="L1444" s="16">
        <v>2017</v>
      </c>
      <c r="M1444" s="16">
        <v>1999</v>
      </c>
      <c r="N1444" s="16">
        <v>2023</v>
      </c>
      <c r="O1444" s="16">
        <v>2011</v>
      </c>
      <c r="P1444" s="16">
        <v>2026</v>
      </c>
      <c r="Q1444" s="16">
        <v>2019</v>
      </c>
      <c r="R1444" s="16">
        <v>1997</v>
      </c>
      <c r="S1444" s="16">
        <v>2296</v>
      </c>
      <c r="T1444" s="16">
        <v>2004</v>
      </c>
      <c r="U1444" s="15">
        <v>2039.3</v>
      </c>
      <c r="V1444" t="s">
        <v>19</v>
      </c>
      <c r="W1444" t="s">
        <v>28</v>
      </c>
      <c r="X1444">
        <v>361</v>
      </c>
      <c r="Y1444" s="16">
        <f>VLOOKUP(Tabela1[[#This Row],[SKU]],SKU!A:D,4,0)</f>
        <v>2000</v>
      </c>
      <c r="Z1444" s="18">
        <f>IFERROR((Tabela1[[#This Row],[Média]]-Tabela1[[#This Row],[Meta]])/Tabela1[[#This Row],[Meta]],"")</f>
        <v>1.9649999999999977E-2</v>
      </c>
      <c r="AA1444" s="31">
        <f>Tabela1[[#This Row],[Média]]-Tabela1[[#This Row],[Meta]]</f>
        <v>39.299999999999955</v>
      </c>
      <c r="AB1444" s="6" t="str">
        <f>VLOOKUP(Tabela1[[#This Row],[SKU]],SKU!A:B,2,0)</f>
        <v>COXA SBCX S/O FG 240-260g PB</v>
      </c>
      <c r="AC1444" s="6" t="str">
        <f>VLOOKUP(Tabela1[[#This Row],[SKU]],SKU!A:C,3,0)</f>
        <v>PERNA</v>
      </c>
    </row>
    <row r="1445" spans="1:29" x14ac:dyDescent="0.3">
      <c r="A1445" s="2">
        <f>INT(Tabela1[[#This Row],[Data e Hora2]])</f>
        <v>46304</v>
      </c>
      <c r="B1445" s="6" t="str">
        <f>UPPER(TEXT(Tabela1[[#This Row],[Data Corrigida]],"MMM"))</f>
        <v>OUT</v>
      </c>
      <c r="C1445" t="s">
        <v>3233</v>
      </c>
      <c r="D1445" s="2" t="s">
        <v>3234</v>
      </c>
      <c r="E1445" s="1" t="s">
        <v>3232</v>
      </c>
      <c r="F1445" t="s">
        <v>24</v>
      </c>
      <c r="G1445" s="2" t="s">
        <v>3193</v>
      </c>
      <c r="H1445" t="s">
        <v>26</v>
      </c>
      <c r="I1445" t="s">
        <v>57</v>
      </c>
      <c r="J1445" s="6">
        <v>42854</v>
      </c>
      <c r="K1445" s="16">
        <v>2103</v>
      </c>
      <c r="L1445" s="16">
        <v>2089</v>
      </c>
      <c r="M1445" s="16">
        <v>2102</v>
      </c>
      <c r="N1445" s="16">
        <v>2097</v>
      </c>
      <c r="O1445" s="16">
        <v>1900</v>
      </c>
      <c r="P1445" s="16">
        <v>2098</v>
      </c>
      <c r="Q1445" s="16">
        <v>2079</v>
      </c>
      <c r="R1445" s="16">
        <v>2070</v>
      </c>
      <c r="S1445" s="16">
        <v>2075</v>
      </c>
      <c r="T1445" s="16">
        <v>2097</v>
      </c>
      <c r="U1445" s="15">
        <v>2071</v>
      </c>
      <c r="V1445" t="s">
        <v>19</v>
      </c>
      <c r="W1445" t="s">
        <v>28</v>
      </c>
      <c r="X1445">
        <v>624</v>
      </c>
      <c r="Y1445" s="16">
        <f>VLOOKUP(Tabela1[[#This Row],[SKU]],SKU!A:D,4,0)</f>
        <v>2080</v>
      </c>
      <c r="Z1445" s="18">
        <f>IFERROR((Tabela1[[#This Row],[Média]]-Tabela1[[#This Row],[Meta]])/Tabela1[[#This Row],[Meta]],"")</f>
        <v>-4.3269230769230772E-3</v>
      </c>
      <c r="AA1445" s="31">
        <f>Tabela1[[#This Row],[Média]]-Tabela1[[#This Row],[Meta]]</f>
        <v>-9</v>
      </c>
      <c r="AB1445" s="6" t="str">
        <f>VLOOKUP(Tabela1[[#This Row],[SKU]],SKU!A:B,2,0)</f>
        <v>COXA SBCX S/O FG 260-280g PB</v>
      </c>
      <c r="AC1445" s="6" t="str">
        <f>VLOOKUP(Tabela1[[#This Row],[SKU]],SKU!A:C,3,0)</f>
        <v>PERNA</v>
      </c>
    </row>
    <row r="1446" spans="1:29" x14ac:dyDescent="0.3">
      <c r="A1446" s="2">
        <f>INT(Tabela1[[#This Row],[Data e Hora2]])</f>
        <v>46304</v>
      </c>
      <c r="B1446" s="6" t="str">
        <f>UPPER(TEXT(Tabela1[[#This Row],[Data Corrigida]],"MMM"))</f>
        <v>OUT</v>
      </c>
      <c r="C1446" t="s">
        <v>3235</v>
      </c>
      <c r="D1446" s="2" t="s">
        <v>3236</v>
      </c>
      <c r="E1446" s="1" t="s">
        <v>3232</v>
      </c>
      <c r="F1446" t="s">
        <v>24</v>
      </c>
      <c r="G1446" s="2" t="s">
        <v>3193</v>
      </c>
      <c r="H1446" t="s">
        <v>26</v>
      </c>
      <c r="I1446" t="s">
        <v>57</v>
      </c>
      <c r="J1446" s="6">
        <v>42862</v>
      </c>
      <c r="K1446" s="16">
        <v>2029</v>
      </c>
      <c r="L1446" s="16">
        <v>2003</v>
      </c>
      <c r="M1446" s="16">
        <v>2007</v>
      </c>
      <c r="N1446" s="16">
        <v>2006</v>
      </c>
      <c r="O1446" s="16">
        <v>1998</v>
      </c>
      <c r="P1446" s="16">
        <v>1998</v>
      </c>
      <c r="Q1446" s="16">
        <v>2001</v>
      </c>
      <c r="R1446" s="16">
        <v>2013</v>
      </c>
      <c r="S1446" s="16">
        <v>2030</v>
      </c>
      <c r="T1446" s="16">
        <v>2012</v>
      </c>
      <c r="U1446" s="15">
        <v>2009.7</v>
      </c>
      <c r="V1446" t="s">
        <v>19</v>
      </c>
      <c r="W1446" t="s">
        <v>28</v>
      </c>
      <c r="X1446">
        <v>886</v>
      </c>
      <c r="Y1446" s="16">
        <f>VLOOKUP(Tabela1[[#This Row],[SKU]],SKU!A:D,4,0)</f>
        <v>2000</v>
      </c>
      <c r="Z1446" s="18">
        <f>IFERROR((Tabela1[[#This Row],[Média]]-Tabela1[[#This Row],[Meta]])/Tabela1[[#This Row],[Meta]],"")</f>
        <v>4.8500000000000227E-3</v>
      </c>
      <c r="AA1446" s="31">
        <f>Tabela1[[#This Row],[Média]]-Tabela1[[#This Row],[Meta]]</f>
        <v>9.7000000000000455</v>
      </c>
      <c r="AB1446" s="6" t="str">
        <f>VLOOKUP(Tabela1[[#This Row],[SKU]],SKU!A:B,2,0)</f>
        <v>COXA SBCX S/O FG 280-300g PB</v>
      </c>
      <c r="AC1446" s="6" t="str">
        <f>VLOOKUP(Tabela1[[#This Row],[SKU]],SKU!A:C,3,0)</f>
        <v>PERNA</v>
      </c>
    </row>
    <row r="1447" spans="1:29" x14ac:dyDescent="0.3">
      <c r="A1447" s="2">
        <f>INT(Tabela1[[#This Row],[Data e Hora2]])</f>
        <v>46304</v>
      </c>
      <c r="B1447" s="6" t="str">
        <f>UPPER(TEXT(Tabela1[[#This Row],[Data Corrigida]],"MMM"))</f>
        <v>OUT</v>
      </c>
      <c r="C1447" t="s">
        <v>3237</v>
      </c>
      <c r="D1447" s="2" t="s">
        <v>3238</v>
      </c>
      <c r="E1447" s="1" t="s">
        <v>3239</v>
      </c>
      <c r="F1447" t="s">
        <v>24</v>
      </c>
      <c r="G1447" s="2" t="s">
        <v>3193</v>
      </c>
      <c r="H1447" t="s">
        <v>26</v>
      </c>
      <c r="I1447" t="s">
        <v>57</v>
      </c>
      <c r="J1447" s="6">
        <v>42838</v>
      </c>
      <c r="K1447" s="16">
        <v>2006</v>
      </c>
      <c r="L1447" s="16">
        <v>2004</v>
      </c>
      <c r="M1447" s="16">
        <v>2028</v>
      </c>
      <c r="N1447" s="16">
        <v>2029</v>
      </c>
      <c r="O1447" s="16">
        <v>2056</v>
      </c>
      <c r="P1447" s="16">
        <v>2026</v>
      </c>
      <c r="Q1447" s="16">
        <v>2028</v>
      </c>
      <c r="R1447" s="16">
        <v>2025</v>
      </c>
      <c r="S1447" s="16">
        <v>2025</v>
      </c>
      <c r="T1447" s="16">
        <v>2053</v>
      </c>
      <c r="U1447" s="15">
        <v>2028</v>
      </c>
      <c r="V1447" t="s">
        <v>19</v>
      </c>
      <c r="W1447" t="s">
        <v>28</v>
      </c>
      <c r="X1447">
        <v>202</v>
      </c>
      <c r="Y1447" s="16">
        <f>VLOOKUP(Tabela1[[#This Row],[SKU]],SKU!A:D,4,0)</f>
        <v>2000</v>
      </c>
      <c r="Z1447" s="18">
        <f>IFERROR((Tabela1[[#This Row],[Média]]-Tabela1[[#This Row],[Meta]])/Tabela1[[#This Row],[Meta]],"")</f>
        <v>1.4E-2</v>
      </c>
      <c r="AA1447" s="31">
        <f>Tabela1[[#This Row],[Média]]-Tabela1[[#This Row],[Meta]]</f>
        <v>28</v>
      </c>
      <c r="AB1447" s="6" t="str">
        <f>VLOOKUP(Tabela1[[#This Row],[SKU]],SKU!A:B,2,0)</f>
        <v>COXA SBCX S/O FG 220-240g PB</v>
      </c>
      <c r="AC1447" s="6" t="str">
        <f>VLOOKUP(Tabela1[[#This Row],[SKU]],SKU!A:C,3,0)</f>
        <v>PERNA</v>
      </c>
    </row>
    <row r="1448" spans="1:29" x14ac:dyDescent="0.3">
      <c r="A1448" s="2">
        <f>INT(Tabela1[[#This Row],[Data e Hora2]])</f>
        <v>46304</v>
      </c>
      <c r="B1448" s="6" t="str">
        <f>UPPER(TEXT(Tabela1[[#This Row],[Data Corrigida]],"MMM"))</f>
        <v>OUT</v>
      </c>
      <c r="C1448" t="s">
        <v>3240</v>
      </c>
      <c r="D1448" s="2" t="s">
        <v>3241</v>
      </c>
      <c r="E1448" s="1" t="s">
        <v>3239</v>
      </c>
      <c r="F1448" t="s">
        <v>24</v>
      </c>
      <c r="G1448" s="2" t="s">
        <v>3193</v>
      </c>
      <c r="H1448" t="s">
        <v>26</v>
      </c>
      <c r="I1448" t="s">
        <v>57</v>
      </c>
      <c r="J1448" s="6">
        <v>42846</v>
      </c>
      <c r="K1448" s="16">
        <v>2008</v>
      </c>
      <c r="L1448" s="16">
        <v>2002</v>
      </c>
      <c r="M1448" s="16">
        <v>2014</v>
      </c>
      <c r="N1448" s="16">
        <v>1996</v>
      </c>
      <c r="O1448" s="16">
        <v>2021</v>
      </c>
      <c r="P1448" s="16">
        <v>2023</v>
      </c>
      <c r="Q1448" s="16">
        <v>2017</v>
      </c>
      <c r="R1448" s="16">
        <v>2071</v>
      </c>
      <c r="S1448" s="16">
        <v>2024</v>
      </c>
      <c r="T1448" s="16">
        <v>2003</v>
      </c>
      <c r="U1448" s="15">
        <v>2017.9</v>
      </c>
      <c r="V1448" t="s">
        <v>19</v>
      </c>
      <c r="W1448" t="s">
        <v>28</v>
      </c>
      <c r="X1448">
        <v>415</v>
      </c>
      <c r="Y1448" s="16">
        <f>VLOOKUP(Tabela1[[#This Row],[SKU]],SKU!A:D,4,0)</f>
        <v>2000</v>
      </c>
      <c r="Z1448" s="18">
        <f>IFERROR((Tabela1[[#This Row],[Média]]-Tabela1[[#This Row],[Meta]])/Tabela1[[#This Row],[Meta]],"")</f>
        <v>8.9500000000000447E-3</v>
      </c>
      <c r="AA1448" s="31">
        <f>Tabela1[[#This Row],[Média]]-Tabela1[[#This Row],[Meta]]</f>
        <v>17.900000000000091</v>
      </c>
      <c r="AB1448" s="6" t="str">
        <f>VLOOKUP(Tabela1[[#This Row],[SKU]],SKU!A:B,2,0)</f>
        <v>COXA SBCX S/O FG 240-260g PB</v>
      </c>
      <c r="AC1448" s="6" t="str">
        <f>VLOOKUP(Tabela1[[#This Row],[SKU]],SKU!A:C,3,0)</f>
        <v>PERNA</v>
      </c>
    </row>
    <row r="1449" spans="1:29" x14ac:dyDescent="0.3">
      <c r="A1449" s="2">
        <f>INT(Tabela1[[#This Row],[Data e Hora2]])</f>
        <v>46304</v>
      </c>
      <c r="B1449" s="6" t="str">
        <f>UPPER(TEXT(Tabela1[[#This Row],[Data Corrigida]],"MMM"))</f>
        <v>OUT</v>
      </c>
      <c r="C1449" t="s">
        <v>3242</v>
      </c>
      <c r="D1449" s="2" t="s">
        <v>3243</v>
      </c>
      <c r="E1449" s="1" t="s">
        <v>3239</v>
      </c>
      <c r="F1449" t="s">
        <v>24</v>
      </c>
      <c r="G1449" s="2" t="s">
        <v>3193</v>
      </c>
      <c r="H1449" t="s">
        <v>26</v>
      </c>
      <c r="I1449" t="s">
        <v>57</v>
      </c>
      <c r="J1449" s="6">
        <v>42854</v>
      </c>
      <c r="K1449" s="16">
        <v>2101</v>
      </c>
      <c r="L1449" s="16">
        <v>2106</v>
      </c>
      <c r="M1449" s="16">
        <v>2104</v>
      </c>
      <c r="N1449" s="16">
        <v>2046</v>
      </c>
      <c r="O1449" s="16">
        <v>2166</v>
      </c>
      <c r="P1449" s="16">
        <v>2099</v>
      </c>
      <c r="Q1449" s="16">
        <v>2108</v>
      </c>
      <c r="R1449" s="16">
        <v>2106</v>
      </c>
      <c r="S1449" s="16">
        <v>2128</v>
      </c>
      <c r="T1449" s="16">
        <v>2088</v>
      </c>
      <c r="U1449" s="15">
        <v>2105.1999999999998</v>
      </c>
      <c r="V1449" t="s">
        <v>19</v>
      </c>
      <c r="W1449" t="s">
        <v>28</v>
      </c>
      <c r="X1449">
        <v>576</v>
      </c>
      <c r="Y1449" s="16">
        <f>VLOOKUP(Tabela1[[#This Row],[SKU]],SKU!A:D,4,0)</f>
        <v>2080</v>
      </c>
      <c r="Z1449" s="18">
        <f>IFERROR((Tabela1[[#This Row],[Média]]-Tabela1[[#This Row],[Meta]])/Tabela1[[#This Row],[Meta]],"")</f>
        <v>1.2115384615384528E-2</v>
      </c>
      <c r="AA1449" s="31">
        <f>Tabela1[[#This Row],[Média]]-Tabela1[[#This Row],[Meta]]</f>
        <v>25.199999999999818</v>
      </c>
      <c r="AB1449" s="6" t="str">
        <f>VLOOKUP(Tabela1[[#This Row],[SKU]],SKU!A:B,2,0)</f>
        <v>COXA SBCX S/O FG 260-280g PB</v>
      </c>
      <c r="AC1449" s="6" t="str">
        <f>VLOOKUP(Tabela1[[#This Row],[SKU]],SKU!A:C,3,0)</f>
        <v>PERNA</v>
      </c>
    </row>
    <row r="1450" spans="1:29" x14ac:dyDescent="0.3">
      <c r="A1450" s="2">
        <f>INT(Tabela1[[#This Row],[Data e Hora2]])</f>
        <v>46304</v>
      </c>
      <c r="B1450" s="6" t="str">
        <f>UPPER(TEXT(Tabela1[[#This Row],[Data Corrigida]],"MMM"))</f>
        <v>OUT</v>
      </c>
      <c r="C1450" t="s">
        <v>3244</v>
      </c>
      <c r="D1450" s="2" t="s">
        <v>3245</v>
      </c>
      <c r="E1450" s="1" t="s">
        <v>3239</v>
      </c>
      <c r="F1450" t="s">
        <v>24</v>
      </c>
      <c r="G1450" s="2" t="s">
        <v>3193</v>
      </c>
      <c r="H1450" t="s">
        <v>26</v>
      </c>
      <c r="I1450" t="s">
        <v>57</v>
      </c>
      <c r="J1450" s="6">
        <v>42862</v>
      </c>
      <c r="K1450" s="16">
        <v>2030</v>
      </c>
      <c r="L1450" s="16">
        <v>2029</v>
      </c>
      <c r="M1450" s="16">
        <v>2022</v>
      </c>
      <c r="N1450" s="16">
        <v>2009</v>
      </c>
      <c r="O1450" s="16">
        <v>2050</v>
      </c>
      <c r="P1450" s="16">
        <v>2027</v>
      </c>
      <c r="Q1450" s="16">
        <v>2030</v>
      </c>
      <c r="R1450" s="16">
        <v>2019</v>
      </c>
      <c r="S1450" s="16">
        <v>2013</v>
      </c>
      <c r="T1450" s="16">
        <v>2023</v>
      </c>
      <c r="U1450" s="15">
        <v>2025.2</v>
      </c>
      <c r="V1450" t="s">
        <v>19</v>
      </c>
      <c r="W1450" t="s">
        <v>28</v>
      </c>
      <c r="X1450">
        <v>859</v>
      </c>
      <c r="Y1450" s="16">
        <f>VLOOKUP(Tabela1[[#This Row],[SKU]],SKU!A:D,4,0)</f>
        <v>2000</v>
      </c>
      <c r="Z1450" s="18">
        <f>IFERROR((Tabela1[[#This Row],[Média]]-Tabela1[[#This Row],[Meta]])/Tabela1[[#This Row],[Meta]],"")</f>
        <v>1.2600000000000023E-2</v>
      </c>
      <c r="AA1450" s="31">
        <f>Tabela1[[#This Row],[Média]]-Tabela1[[#This Row],[Meta]]</f>
        <v>25.200000000000045</v>
      </c>
      <c r="AB1450" s="6" t="str">
        <f>VLOOKUP(Tabela1[[#This Row],[SKU]],SKU!A:B,2,0)</f>
        <v>COXA SBCX S/O FG 280-300g PB</v>
      </c>
      <c r="AC1450" s="6" t="str">
        <f>VLOOKUP(Tabela1[[#This Row],[SKU]],SKU!A:C,3,0)</f>
        <v>PERNA</v>
      </c>
    </row>
    <row r="1451" spans="1:29" x14ac:dyDescent="0.3">
      <c r="A1451" s="2">
        <f>INT(Tabela1[[#This Row],[Data e Hora2]])</f>
        <v>46304</v>
      </c>
      <c r="B1451" s="6" t="str">
        <f>UPPER(TEXT(Tabela1[[#This Row],[Data Corrigida]],"MMM"))</f>
        <v>OUT</v>
      </c>
      <c r="C1451" t="s">
        <v>3246</v>
      </c>
      <c r="D1451" s="2" t="s">
        <v>3247</v>
      </c>
      <c r="E1451" s="1" t="s">
        <v>3248</v>
      </c>
      <c r="F1451" t="s">
        <v>24</v>
      </c>
      <c r="G1451" s="2" t="s">
        <v>3193</v>
      </c>
      <c r="H1451" t="s">
        <v>142</v>
      </c>
      <c r="I1451" t="s">
        <v>462</v>
      </c>
      <c r="J1451" s="6">
        <v>15105</v>
      </c>
      <c r="K1451" s="16">
        <v>1002</v>
      </c>
      <c r="L1451" s="16">
        <v>1000</v>
      </c>
      <c r="M1451" s="16">
        <v>1026</v>
      </c>
      <c r="N1451" s="16">
        <v>1047</v>
      </c>
      <c r="O1451" s="16">
        <v>1044</v>
      </c>
      <c r="P1451" s="16">
        <v>996</v>
      </c>
      <c r="Q1451" s="16">
        <v>997</v>
      </c>
      <c r="R1451" s="16">
        <v>1008</v>
      </c>
      <c r="S1451" s="16">
        <v>1034</v>
      </c>
      <c r="T1451" s="16">
        <v>1021</v>
      </c>
      <c r="U1451" s="15">
        <v>1017.5</v>
      </c>
      <c r="V1451" t="s">
        <v>19</v>
      </c>
      <c r="W1451" t="s">
        <v>28</v>
      </c>
      <c r="X1451">
        <v>286</v>
      </c>
      <c r="Y1451" s="16">
        <f>VLOOKUP(Tabela1[[#This Row],[SKU]],SKU!A:D,4,0)</f>
        <v>1000</v>
      </c>
      <c r="Z1451" s="18">
        <f>IFERROR((Tabela1[[#This Row],[Média]]-Tabela1[[#This Row],[Meta]])/Tabela1[[#This Row],[Meta]],"")</f>
        <v>1.7500000000000002E-2</v>
      </c>
      <c r="AA1451" s="31">
        <f>Tabela1[[#This Row],[Média]]-Tabela1[[#This Row],[Meta]]</f>
        <v>17.5</v>
      </c>
      <c r="AB1451" s="6" t="str">
        <f>VLOOKUP(Tabela1[[#This Row],[SKU]],SKU!A:B,2,0)</f>
        <v>FILE PEITO MET CG BDJ SE</v>
      </c>
      <c r="AC1451" s="6" t="str">
        <f>VLOOKUP(Tabela1[[#This Row],[SKU]],SKU!A:C,3,0)</f>
        <v>PEITO</v>
      </c>
    </row>
    <row r="1452" spans="1:29" x14ac:dyDescent="0.3">
      <c r="A1452" s="2">
        <f>INT(Tabela1[[#This Row],[Data e Hora2]])</f>
        <v>46303</v>
      </c>
      <c r="B1452" s="6" t="str">
        <f>UPPER(TEXT(Tabela1[[#This Row],[Data Corrigida]],"MMM"))</f>
        <v>OUT</v>
      </c>
      <c r="C1452" t="s">
        <v>3249</v>
      </c>
      <c r="D1452" s="2" t="s">
        <v>3250</v>
      </c>
      <c r="E1452" s="1" t="s">
        <v>3251</v>
      </c>
      <c r="F1452" t="s">
        <v>24</v>
      </c>
      <c r="G1452" s="2" t="s">
        <v>3038</v>
      </c>
      <c r="H1452" t="s">
        <v>26</v>
      </c>
      <c r="I1452" t="s">
        <v>27</v>
      </c>
      <c r="J1452" s="6">
        <v>209069</v>
      </c>
      <c r="K1452" s="16">
        <v>1089</v>
      </c>
      <c r="L1452" s="16">
        <v>1108</v>
      </c>
      <c r="M1452" s="16">
        <v>1008</v>
      </c>
      <c r="N1452" s="16">
        <v>1036</v>
      </c>
      <c r="O1452" s="16">
        <v>1114</v>
      </c>
      <c r="P1452" s="16">
        <v>1050</v>
      </c>
      <c r="Q1452" s="16">
        <v>983</v>
      </c>
      <c r="R1452" s="16">
        <v>1011</v>
      </c>
      <c r="S1452" s="16">
        <v>1037</v>
      </c>
      <c r="T1452" s="16">
        <v>1089</v>
      </c>
      <c r="U1452" s="15">
        <v>1052.5</v>
      </c>
      <c r="V1452" t="s">
        <v>19</v>
      </c>
      <c r="W1452" t="s">
        <v>28</v>
      </c>
      <c r="X1452">
        <v>1637</v>
      </c>
      <c r="Y1452" s="16">
        <f>VLOOKUP(Tabela1[[#This Row],[SKU]],SKU!A:D,4,0)</f>
        <v>1000</v>
      </c>
      <c r="Z1452" s="18">
        <f>IFERROR((Tabela1[[#This Row],[Média]]-Tabela1[[#This Row],[Meta]])/Tabela1[[#This Row],[Meta]],"")</f>
        <v>5.2499999999999998E-2</v>
      </c>
      <c r="AA1452" s="31">
        <f>Tabela1[[#This Row],[Média]]-Tabela1[[#This Row],[Meta]]</f>
        <v>52.5</v>
      </c>
      <c r="AB1452" s="6" t="str">
        <f>VLOOKUP(Tabela1[[#This Row],[SKU]],SKU!A:B,2,0)</f>
        <v>FILE PEITO CG IQF1KG</v>
      </c>
      <c r="AC1452" s="6" t="str">
        <f>VLOOKUP(Tabela1[[#This Row],[SKU]],SKU!A:C,3,0)</f>
        <v>PEITO</v>
      </c>
    </row>
    <row r="1453" spans="1:29" x14ac:dyDescent="0.3">
      <c r="A1453" s="2">
        <f>INT(Tabela1[[#This Row],[Data e Hora2]])</f>
        <v>46303</v>
      </c>
      <c r="B1453" s="6" t="str">
        <f>UPPER(TEXT(Tabela1[[#This Row],[Data Corrigida]],"MMM"))</f>
        <v>OUT</v>
      </c>
      <c r="C1453" t="s">
        <v>3252</v>
      </c>
      <c r="D1453" s="2" t="s">
        <v>3253</v>
      </c>
      <c r="E1453" s="1" t="s">
        <v>3251</v>
      </c>
      <c r="F1453" t="s">
        <v>24</v>
      </c>
      <c r="G1453" s="2" t="s">
        <v>3038</v>
      </c>
      <c r="H1453" t="s">
        <v>26</v>
      </c>
      <c r="I1453" t="s">
        <v>27</v>
      </c>
      <c r="J1453" s="6">
        <v>42641</v>
      </c>
      <c r="K1453" s="16">
        <v>15005</v>
      </c>
      <c r="L1453" s="16">
        <v>15040</v>
      </c>
      <c r="M1453" s="16">
        <v>15020</v>
      </c>
      <c r="N1453" s="16">
        <v>15020</v>
      </c>
      <c r="O1453" s="16">
        <v>15045</v>
      </c>
      <c r="P1453" s="16">
        <v>15030</v>
      </c>
      <c r="Q1453" s="16">
        <v>15045</v>
      </c>
      <c r="R1453" s="16">
        <v>15015</v>
      </c>
      <c r="S1453" s="16">
        <v>15075</v>
      </c>
      <c r="T1453" s="16">
        <v>15045</v>
      </c>
      <c r="U1453" s="15">
        <v>15034</v>
      </c>
      <c r="V1453" t="s">
        <v>19</v>
      </c>
      <c r="W1453" t="s">
        <v>28</v>
      </c>
      <c r="X1453">
        <v>9791</v>
      </c>
      <c r="Y1453" s="16">
        <f>VLOOKUP(Tabela1[[#This Row],[SKU]],SKU!A:D,4,0)</f>
        <v>15000</v>
      </c>
      <c r="Z1453" s="18">
        <f>IFERROR((Tabela1[[#This Row],[Média]]-Tabela1[[#This Row],[Meta]])/Tabela1[[#This Row],[Meta]],"")</f>
        <v>2.2666666666666668E-3</v>
      </c>
      <c r="AA1453" s="31">
        <f>Tabela1[[#This Row],[Média]]-Tabela1[[#This Row],[Meta]]</f>
        <v>34</v>
      </c>
      <c r="AB1453" s="6" t="str">
        <f>VLOOKUP(Tabela1[[#This Row],[SKU]],SKU!A:B,2,0)</f>
        <v>ASAS FG 100g UP LP</v>
      </c>
      <c r="AC1453" s="6" t="str">
        <f>VLOOKUP(Tabela1[[#This Row],[SKU]],SKU!A:C,3,0)</f>
        <v>ASA</v>
      </c>
    </row>
    <row r="1454" spans="1:29" x14ac:dyDescent="0.3">
      <c r="A1454" s="2">
        <f>INT(Tabela1[[#This Row],[Data e Hora2]])</f>
        <v>46303</v>
      </c>
      <c r="B1454" s="6" t="str">
        <f>UPPER(TEXT(Tabela1[[#This Row],[Data Corrigida]],"MMM"))</f>
        <v>OUT</v>
      </c>
      <c r="C1454" t="s">
        <v>3254</v>
      </c>
      <c r="D1454" s="2" t="s">
        <v>3255</v>
      </c>
      <c r="E1454" s="1" t="s">
        <v>3251</v>
      </c>
      <c r="F1454" t="s">
        <v>24</v>
      </c>
      <c r="G1454" s="2" t="s">
        <v>3038</v>
      </c>
      <c r="H1454" t="s">
        <v>26</v>
      </c>
      <c r="I1454" t="s">
        <v>27</v>
      </c>
      <c r="J1454" s="6">
        <v>40762</v>
      </c>
      <c r="K1454" s="16">
        <v>10025</v>
      </c>
      <c r="L1454" s="16">
        <v>10005</v>
      </c>
      <c r="M1454" s="16">
        <v>9995</v>
      </c>
      <c r="N1454" s="16">
        <v>10050</v>
      </c>
      <c r="O1454" s="16">
        <v>10030</v>
      </c>
      <c r="P1454" s="16">
        <v>9940</v>
      </c>
      <c r="Q1454" s="16">
        <v>9965</v>
      </c>
      <c r="R1454" s="16">
        <v>9970</v>
      </c>
      <c r="S1454" s="16">
        <v>10065</v>
      </c>
      <c r="T1454" s="16">
        <v>10055</v>
      </c>
      <c r="U1454" s="15">
        <v>10010</v>
      </c>
      <c r="V1454" t="s">
        <v>19</v>
      </c>
      <c r="W1454" t="s">
        <v>28</v>
      </c>
      <c r="X1454">
        <v>598</v>
      </c>
      <c r="Y1454" s="16">
        <f>VLOOKUP(Tabela1[[#This Row],[SKU]],SKU!A:D,4,0)</f>
        <v>10000</v>
      </c>
      <c r="Z1454" s="18">
        <f>IFERROR((Tabela1[[#This Row],[Média]]-Tabela1[[#This Row],[Meta]])/Tabela1[[#This Row],[Meta]],"")</f>
        <v>1E-3</v>
      </c>
      <c r="AA1454" s="31">
        <f>Tabela1[[#This Row],[Média]]-Tabela1[[#This Row],[Meta]]</f>
        <v>10</v>
      </c>
      <c r="AB1454" s="6" t="str">
        <f>VLOOKUP(Tabela1[[#This Row],[SKU]],SKU!A:B,2,0)</f>
        <v>COXA SBCX LQ FG LP</v>
      </c>
      <c r="AC1454" s="6" t="str">
        <f>VLOOKUP(Tabela1[[#This Row],[SKU]],SKU!A:C,3,0)</f>
        <v>PERNA</v>
      </c>
    </row>
    <row r="1455" spans="1:29" x14ac:dyDescent="0.3">
      <c r="A1455" s="2">
        <f>INT(Tabela1[[#This Row],[Data e Hora2]])</f>
        <v>46303</v>
      </c>
      <c r="B1455" s="6" t="str">
        <f>UPPER(TEXT(Tabela1[[#This Row],[Data Corrigida]],"MMM"))</f>
        <v>OUT</v>
      </c>
      <c r="C1455" t="s">
        <v>3256</v>
      </c>
      <c r="D1455" s="2" t="s">
        <v>3257</v>
      </c>
      <c r="E1455" s="1" t="s">
        <v>3258</v>
      </c>
      <c r="F1455" t="s">
        <v>24</v>
      </c>
      <c r="G1455" s="2" t="s">
        <v>3038</v>
      </c>
      <c r="H1455" t="s">
        <v>26</v>
      </c>
      <c r="I1455" t="s">
        <v>27</v>
      </c>
      <c r="J1455" s="6">
        <v>197734</v>
      </c>
      <c r="K1455" s="16">
        <v>988</v>
      </c>
      <c r="L1455" s="16">
        <v>1001</v>
      </c>
      <c r="M1455" s="16">
        <v>1005</v>
      </c>
      <c r="N1455" s="16">
        <v>990</v>
      </c>
      <c r="O1455" s="16">
        <v>1052</v>
      </c>
      <c r="P1455" s="16">
        <v>999</v>
      </c>
      <c r="Q1455" s="16">
        <v>1000</v>
      </c>
      <c r="R1455" s="16">
        <v>1007</v>
      </c>
      <c r="S1455" s="16">
        <v>1002</v>
      </c>
      <c r="T1455" s="16">
        <v>999</v>
      </c>
      <c r="U1455" s="15">
        <v>1004.3</v>
      </c>
      <c r="V1455" t="s">
        <v>19</v>
      </c>
      <c r="W1455" t="s">
        <v>28</v>
      </c>
      <c r="X1455">
        <v>23038</v>
      </c>
      <c r="Y1455" s="16">
        <f>VLOOKUP(Tabela1[[#This Row],[SKU]],SKU!A:D,4,0)</f>
        <v>1000</v>
      </c>
      <c r="Z1455" s="18">
        <f>IFERROR((Tabela1[[#This Row],[Média]]-Tabela1[[#This Row],[Meta]])/Tabela1[[#This Row],[Meta]],"")</f>
        <v>4.2999999999999549E-3</v>
      </c>
      <c r="AA1455" s="31">
        <f>Tabela1[[#This Row],[Média]]-Tabela1[[#This Row],[Meta]]</f>
        <v>4.2999999999999545</v>
      </c>
      <c r="AB1455" s="6" t="str">
        <f>VLOOKUP(Tabela1[[#This Row],[SKU]],SKU!A:B,2,0)</f>
        <v>FILEZINHO FRANGO IQF ALM SE</v>
      </c>
      <c r="AC1455" s="6" t="str">
        <f>VLOOKUP(Tabela1[[#This Row],[SKU]],SKU!A:C,3,0)</f>
        <v>SASSAMI</v>
      </c>
    </row>
    <row r="1456" spans="1:29" x14ac:dyDescent="0.3">
      <c r="A1456" s="2">
        <f>INT(Tabela1[[#This Row],[Data e Hora2]])</f>
        <v>46303</v>
      </c>
      <c r="B1456" s="6" t="str">
        <f>UPPER(TEXT(Tabela1[[#This Row],[Data Corrigida]],"MMM"))</f>
        <v>OUT</v>
      </c>
      <c r="C1456" t="s">
        <v>3259</v>
      </c>
      <c r="D1456" s="2" t="s">
        <v>3260</v>
      </c>
      <c r="E1456" s="1" t="s">
        <v>3258</v>
      </c>
      <c r="F1456" t="s">
        <v>24</v>
      </c>
      <c r="G1456" s="2" t="s">
        <v>3038</v>
      </c>
      <c r="H1456" t="s">
        <v>26</v>
      </c>
      <c r="I1456" t="s">
        <v>27</v>
      </c>
      <c r="J1456" s="6">
        <v>42838</v>
      </c>
      <c r="K1456" s="16">
        <v>2003</v>
      </c>
      <c r="L1456" s="16">
        <v>2022</v>
      </c>
      <c r="M1456" s="16">
        <v>2027</v>
      </c>
      <c r="N1456" s="16">
        <v>1970</v>
      </c>
      <c r="O1456" s="16">
        <v>2033</v>
      </c>
      <c r="P1456" s="16">
        <v>2014</v>
      </c>
      <c r="Q1456" s="16">
        <v>2024</v>
      </c>
      <c r="R1456" s="16">
        <v>2043</v>
      </c>
      <c r="S1456" s="16">
        <v>2030</v>
      </c>
      <c r="T1456" s="16">
        <v>2019</v>
      </c>
      <c r="U1456" s="15">
        <v>2018.5</v>
      </c>
      <c r="V1456" t="s">
        <v>19</v>
      </c>
      <c r="W1456" t="s">
        <v>28</v>
      </c>
      <c r="X1456">
        <v>23286</v>
      </c>
      <c r="Y1456" s="16">
        <f>VLOOKUP(Tabela1[[#This Row],[SKU]],SKU!A:D,4,0)</f>
        <v>2000</v>
      </c>
      <c r="Z1456" s="18">
        <f>IFERROR((Tabela1[[#This Row],[Média]]-Tabela1[[#This Row],[Meta]])/Tabela1[[#This Row],[Meta]],"")</f>
        <v>9.2499999999999995E-3</v>
      </c>
      <c r="AA1456" s="31">
        <f>Tabela1[[#This Row],[Média]]-Tabela1[[#This Row],[Meta]]</f>
        <v>18.5</v>
      </c>
      <c r="AB1456" s="6" t="str">
        <f>VLOOKUP(Tabela1[[#This Row],[SKU]],SKU!A:B,2,0)</f>
        <v>COXA SBCX S/O FG 220-240g PB</v>
      </c>
      <c r="AC1456" s="6" t="str">
        <f>VLOOKUP(Tabela1[[#This Row],[SKU]],SKU!A:C,3,0)</f>
        <v>PERNA</v>
      </c>
    </row>
    <row r="1457" spans="1:29" x14ac:dyDescent="0.3">
      <c r="A1457" s="2">
        <f>INT(Tabela1[[#This Row],[Data e Hora2]])</f>
        <v>46303</v>
      </c>
      <c r="B1457" s="6" t="str">
        <f>UPPER(TEXT(Tabela1[[#This Row],[Data Corrigida]],"MMM"))</f>
        <v>OUT</v>
      </c>
      <c r="C1457" t="s">
        <v>3261</v>
      </c>
      <c r="D1457" s="2" t="s">
        <v>3262</v>
      </c>
      <c r="E1457" s="1" t="s">
        <v>3258</v>
      </c>
      <c r="F1457" t="s">
        <v>24</v>
      </c>
      <c r="G1457" s="2" t="s">
        <v>3038</v>
      </c>
      <c r="H1457" t="s">
        <v>26</v>
      </c>
      <c r="I1457" t="s">
        <v>27</v>
      </c>
      <c r="J1457" s="6">
        <v>42862</v>
      </c>
      <c r="K1457" s="16">
        <v>2012</v>
      </c>
      <c r="L1457" s="16">
        <v>2018</v>
      </c>
      <c r="M1457" s="16">
        <v>2029</v>
      </c>
      <c r="N1457" s="16">
        <v>2021</v>
      </c>
      <c r="O1457" s="16">
        <v>2004</v>
      </c>
      <c r="P1457" s="16">
        <v>2009</v>
      </c>
      <c r="Q1457" s="16">
        <v>2017</v>
      </c>
      <c r="R1457" s="16">
        <v>2011</v>
      </c>
      <c r="S1457" s="16">
        <v>2019</v>
      </c>
      <c r="T1457" s="16">
        <v>2017</v>
      </c>
      <c r="U1457" s="15">
        <v>2015.7</v>
      </c>
      <c r="V1457" t="s">
        <v>19</v>
      </c>
      <c r="W1457" t="s">
        <v>28</v>
      </c>
      <c r="X1457">
        <v>23401</v>
      </c>
      <c r="Y1457" s="16">
        <f>VLOOKUP(Tabela1[[#This Row],[SKU]],SKU!A:D,4,0)</f>
        <v>2000</v>
      </c>
      <c r="Z1457" s="18">
        <f>IFERROR((Tabela1[[#This Row],[Média]]-Tabela1[[#This Row],[Meta]])/Tabela1[[#This Row],[Meta]],"")</f>
        <v>7.8500000000000219E-3</v>
      </c>
      <c r="AA1457" s="31">
        <f>Tabela1[[#This Row],[Média]]-Tabela1[[#This Row],[Meta]]</f>
        <v>15.700000000000045</v>
      </c>
      <c r="AB1457" s="6" t="str">
        <f>VLOOKUP(Tabela1[[#This Row],[SKU]],SKU!A:B,2,0)</f>
        <v>COXA SBCX S/O FG 280-300g PB</v>
      </c>
      <c r="AC1457" s="6" t="str">
        <f>VLOOKUP(Tabela1[[#This Row],[SKU]],SKU!A:C,3,0)</f>
        <v>PERNA</v>
      </c>
    </row>
    <row r="1458" spans="1:29" x14ac:dyDescent="0.3">
      <c r="A1458" s="2">
        <f>INT(Tabela1[[#This Row],[Data e Hora2]])</f>
        <v>46303</v>
      </c>
      <c r="B1458" s="6" t="str">
        <f>UPPER(TEXT(Tabela1[[#This Row],[Data Corrigida]],"MMM"))</f>
        <v>OUT</v>
      </c>
      <c r="C1458" t="s">
        <v>3263</v>
      </c>
      <c r="D1458" s="2" t="s">
        <v>3264</v>
      </c>
      <c r="E1458" s="1" t="s">
        <v>3258</v>
      </c>
      <c r="F1458" t="s">
        <v>24</v>
      </c>
      <c r="G1458" s="2" t="s">
        <v>3038</v>
      </c>
      <c r="H1458" t="s">
        <v>26</v>
      </c>
      <c r="I1458" t="s">
        <v>27</v>
      </c>
      <c r="J1458" s="6">
        <v>42854</v>
      </c>
      <c r="K1458" s="16">
        <v>2066</v>
      </c>
      <c r="L1458" s="16">
        <v>2095</v>
      </c>
      <c r="M1458" s="16">
        <v>2053</v>
      </c>
      <c r="N1458" s="16">
        <v>2014</v>
      </c>
      <c r="O1458" s="16">
        <v>2054</v>
      </c>
      <c r="P1458" s="16">
        <v>2110</v>
      </c>
      <c r="Q1458" s="16">
        <v>2108</v>
      </c>
      <c r="R1458" s="16">
        <v>2095</v>
      </c>
      <c r="S1458" s="16">
        <v>2112</v>
      </c>
      <c r="T1458" s="16">
        <v>2064</v>
      </c>
      <c r="U1458" s="15">
        <v>2077.1</v>
      </c>
      <c r="V1458" t="s">
        <v>19</v>
      </c>
      <c r="W1458" t="s">
        <v>28</v>
      </c>
      <c r="X1458">
        <v>23596</v>
      </c>
      <c r="Y1458" s="16">
        <f>VLOOKUP(Tabela1[[#This Row],[SKU]],SKU!A:D,4,0)</f>
        <v>2080</v>
      </c>
      <c r="Z1458" s="18">
        <f>IFERROR((Tabela1[[#This Row],[Média]]-Tabela1[[#This Row],[Meta]])/Tabela1[[#This Row],[Meta]],"")</f>
        <v>-1.3942307692308129E-3</v>
      </c>
      <c r="AA1458" s="31">
        <f>Tabela1[[#This Row],[Média]]-Tabela1[[#This Row],[Meta]]</f>
        <v>-2.9000000000000909</v>
      </c>
      <c r="AB1458" s="6" t="str">
        <f>VLOOKUP(Tabela1[[#This Row],[SKU]],SKU!A:B,2,0)</f>
        <v>COXA SBCX S/O FG 260-280g PB</v>
      </c>
      <c r="AC1458" s="6" t="str">
        <f>VLOOKUP(Tabela1[[#This Row],[SKU]],SKU!A:C,3,0)</f>
        <v>PERNA</v>
      </c>
    </row>
    <row r="1459" spans="1:29" x14ac:dyDescent="0.3">
      <c r="A1459" s="2">
        <f>INT(Tabela1[[#This Row],[Data e Hora2]])</f>
        <v>46303</v>
      </c>
      <c r="B1459" s="6" t="str">
        <f>UPPER(TEXT(Tabela1[[#This Row],[Data Corrigida]],"MMM"))</f>
        <v>OUT</v>
      </c>
      <c r="C1459" t="s">
        <v>3265</v>
      </c>
      <c r="D1459" s="2" t="s">
        <v>3266</v>
      </c>
      <c r="E1459" s="1" t="s">
        <v>3258</v>
      </c>
      <c r="F1459" t="s">
        <v>24</v>
      </c>
      <c r="G1459" s="2" t="s">
        <v>3038</v>
      </c>
      <c r="H1459" t="s">
        <v>26</v>
      </c>
      <c r="I1459" t="s">
        <v>27</v>
      </c>
      <c r="J1459" s="6">
        <v>42846</v>
      </c>
      <c r="K1459" s="16">
        <v>2030</v>
      </c>
      <c r="L1459" s="16">
        <v>2029</v>
      </c>
      <c r="M1459" s="16">
        <v>2013</v>
      </c>
      <c r="N1459" s="16">
        <v>2025</v>
      </c>
      <c r="O1459" s="16">
        <v>2008</v>
      </c>
      <c r="P1459" s="16">
        <v>2035</v>
      </c>
      <c r="Q1459" s="16">
        <v>2024</v>
      </c>
      <c r="R1459" s="16">
        <v>2010</v>
      </c>
      <c r="S1459" s="16">
        <v>2043</v>
      </c>
      <c r="T1459" s="16">
        <v>2012</v>
      </c>
      <c r="U1459" s="15">
        <v>2022.9</v>
      </c>
      <c r="V1459" t="s">
        <v>19</v>
      </c>
      <c r="W1459" t="s">
        <v>28</v>
      </c>
      <c r="X1459">
        <v>24178</v>
      </c>
      <c r="Y1459" s="16">
        <f>VLOOKUP(Tabela1[[#This Row],[SKU]],SKU!A:D,4,0)</f>
        <v>2000</v>
      </c>
      <c r="Z1459" s="18">
        <f>IFERROR((Tabela1[[#This Row],[Média]]-Tabela1[[#This Row],[Meta]])/Tabela1[[#This Row],[Meta]],"")</f>
        <v>1.1450000000000045E-2</v>
      </c>
      <c r="AA1459" s="31">
        <f>Tabela1[[#This Row],[Média]]-Tabela1[[#This Row],[Meta]]</f>
        <v>22.900000000000091</v>
      </c>
      <c r="AB1459" s="6" t="str">
        <f>VLOOKUP(Tabela1[[#This Row],[SKU]],SKU!A:B,2,0)</f>
        <v>COXA SBCX S/O FG 240-260g PB</v>
      </c>
      <c r="AC1459" s="6" t="str">
        <f>VLOOKUP(Tabela1[[#This Row],[SKU]],SKU!A:C,3,0)</f>
        <v>PERNA</v>
      </c>
    </row>
    <row r="1460" spans="1:29" x14ac:dyDescent="0.3">
      <c r="A1460" s="2">
        <f>INT(Tabela1[[#This Row],[Data e Hora2]])</f>
        <v>46303</v>
      </c>
      <c r="B1460" s="6" t="str">
        <f>UPPER(TEXT(Tabela1[[#This Row],[Data Corrigida]],"MMM"))</f>
        <v>OUT</v>
      </c>
      <c r="C1460" t="s">
        <v>3267</v>
      </c>
      <c r="D1460" s="2" t="s">
        <v>3268</v>
      </c>
      <c r="E1460" s="1" t="s">
        <v>3258</v>
      </c>
      <c r="F1460" t="s">
        <v>24</v>
      </c>
      <c r="G1460" s="2" t="s">
        <v>3038</v>
      </c>
      <c r="H1460" t="s">
        <v>26</v>
      </c>
      <c r="I1460" t="s">
        <v>27</v>
      </c>
      <c r="J1460" s="6">
        <v>995638</v>
      </c>
      <c r="K1460" s="16">
        <v>15040</v>
      </c>
      <c r="L1460" s="16">
        <v>15015</v>
      </c>
      <c r="M1460" s="16">
        <v>15000</v>
      </c>
      <c r="N1460" s="16">
        <v>15040</v>
      </c>
      <c r="O1460" s="16">
        <v>15045</v>
      </c>
      <c r="P1460" s="16">
        <v>15010</v>
      </c>
      <c r="Q1460" s="16">
        <v>15030</v>
      </c>
      <c r="R1460" s="16">
        <v>15010</v>
      </c>
      <c r="S1460" s="16">
        <v>15010</v>
      </c>
      <c r="T1460" s="16">
        <v>15005</v>
      </c>
      <c r="U1460" s="15">
        <v>15020.5</v>
      </c>
      <c r="V1460" t="s">
        <v>19</v>
      </c>
      <c r="W1460" t="s">
        <v>28</v>
      </c>
      <c r="X1460">
        <v>29844</v>
      </c>
      <c r="Y1460" s="16">
        <f>VLOOKUP(Tabela1[[#This Row],[SKU]],SKU!A:D,4,0)</f>
        <v>15000</v>
      </c>
      <c r="Z1460" s="18">
        <f>IFERROR((Tabela1[[#This Row],[Média]]-Tabela1[[#This Row],[Meta]])/Tabela1[[#This Row],[Meta]],"")</f>
        <v>1.3666666666666666E-3</v>
      </c>
      <c r="AA1460" s="31">
        <f>Tabela1[[#This Row],[Média]]-Tabela1[[#This Row],[Meta]]</f>
        <v>20.5</v>
      </c>
      <c r="AB1460" s="6" t="str">
        <f>VLOOKUP(Tabela1[[#This Row],[SKU]],SKU!A:B,2,0)</f>
        <v>MEIO DA ASA 40-50G LP</v>
      </c>
      <c r="AC1460" s="6" t="str">
        <f>VLOOKUP(Tabela1[[#This Row],[SKU]],SKU!A:C,3,0)</f>
        <v>ASA</v>
      </c>
    </row>
    <row r="1461" spans="1:29" x14ac:dyDescent="0.3">
      <c r="A1461" s="2">
        <f>INT(Tabela1[[#This Row],[Data e Hora2]])</f>
        <v>46303</v>
      </c>
      <c r="B1461" s="6" t="str">
        <f>UPPER(TEXT(Tabela1[[#This Row],[Data Corrigida]],"MMM"))</f>
        <v>OUT</v>
      </c>
      <c r="C1461" t="s">
        <v>3269</v>
      </c>
      <c r="D1461" s="2" t="s">
        <v>3270</v>
      </c>
      <c r="E1461" s="1" t="s">
        <v>3258</v>
      </c>
      <c r="F1461" t="s">
        <v>24</v>
      </c>
      <c r="G1461" s="2" t="s">
        <v>3038</v>
      </c>
      <c r="H1461" t="s">
        <v>26</v>
      </c>
      <c r="I1461" t="s">
        <v>27</v>
      </c>
      <c r="J1461" s="6">
        <v>40762</v>
      </c>
      <c r="K1461" s="16">
        <v>10045</v>
      </c>
      <c r="L1461" s="16">
        <v>10050</v>
      </c>
      <c r="M1461" s="16">
        <v>9995</v>
      </c>
      <c r="N1461" s="16">
        <v>9990</v>
      </c>
      <c r="O1461" s="16">
        <v>9980</v>
      </c>
      <c r="P1461" s="16">
        <v>10015</v>
      </c>
      <c r="Q1461" s="16">
        <v>10035</v>
      </c>
      <c r="R1461" s="16">
        <v>10070</v>
      </c>
      <c r="S1461" s="16">
        <v>9980</v>
      </c>
      <c r="T1461" s="16">
        <v>9945</v>
      </c>
      <c r="U1461" s="15">
        <v>10010.5</v>
      </c>
      <c r="V1461" t="s">
        <v>19</v>
      </c>
      <c r="W1461" t="s">
        <v>28</v>
      </c>
      <c r="X1461">
        <v>30087</v>
      </c>
      <c r="Y1461" s="16">
        <f>VLOOKUP(Tabela1[[#This Row],[SKU]],SKU!A:D,4,0)</f>
        <v>10000</v>
      </c>
      <c r="Z1461" s="18">
        <f>IFERROR((Tabela1[[#This Row],[Média]]-Tabela1[[#This Row],[Meta]])/Tabela1[[#This Row],[Meta]],"")</f>
        <v>1.0499999999999999E-3</v>
      </c>
      <c r="AA1461" s="31">
        <f>Tabela1[[#This Row],[Média]]-Tabela1[[#This Row],[Meta]]</f>
        <v>10.5</v>
      </c>
      <c r="AB1461" s="6" t="str">
        <f>VLOOKUP(Tabela1[[#This Row],[SKU]],SKU!A:B,2,0)</f>
        <v>COXA SBCX LQ FG LP</v>
      </c>
      <c r="AC1461" s="6" t="str">
        <f>VLOOKUP(Tabela1[[#This Row],[SKU]],SKU!A:C,3,0)</f>
        <v>PERNA</v>
      </c>
    </row>
    <row r="1462" spans="1:29" x14ac:dyDescent="0.3">
      <c r="A1462" s="2">
        <f>INT(Tabela1[[#This Row],[Data e Hora2]])</f>
        <v>46303</v>
      </c>
      <c r="B1462" s="6" t="str">
        <f>UPPER(TEXT(Tabela1[[#This Row],[Data Corrigida]],"MMM"))</f>
        <v>OUT</v>
      </c>
      <c r="C1462" t="s">
        <v>3271</v>
      </c>
      <c r="D1462" s="2" t="s">
        <v>3272</v>
      </c>
      <c r="E1462" s="1" t="s">
        <v>3258</v>
      </c>
      <c r="F1462" t="s">
        <v>24</v>
      </c>
      <c r="G1462" s="2" t="s">
        <v>3038</v>
      </c>
      <c r="H1462" t="s">
        <v>26</v>
      </c>
      <c r="I1462" t="s">
        <v>27</v>
      </c>
      <c r="J1462" s="6">
        <v>15105</v>
      </c>
      <c r="K1462" s="16">
        <v>1047</v>
      </c>
      <c r="L1462" s="16">
        <v>1001</v>
      </c>
      <c r="M1462" s="16">
        <v>1037</v>
      </c>
      <c r="N1462" s="16">
        <v>1007</v>
      </c>
      <c r="O1462" s="16">
        <v>993</v>
      </c>
      <c r="P1462" s="16">
        <v>1007</v>
      </c>
      <c r="Q1462" s="16">
        <v>1025</v>
      </c>
      <c r="R1462" s="16">
        <v>997</v>
      </c>
      <c r="S1462" s="16">
        <v>1041</v>
      </c>
      <c r="T1462" s="16">
        <v>994</v>
      </c>
      <c r="U1462" s="15">
        <v>1014.9</v>
      </c>
      <c r="V1462" t="s">
        <v>19</v>
      </c>
      <c r="W1462" t="s">
        <v>28</v>
      </c>
      <c r="X1462">
        <v>30925</v>
      </c>
      <c r="Y1462" s="16">
        <f>VLOOKUP(Tabela1[[#This Row],[SKU]],SKU!A:D,4,0)</f>
        <v>1000</v>
      </c>
      <c r="Z1462" s="18">
        <f>IFERROR((Tabela1[[#This Row],[Média]]-Tabela1[[#This Row],[Meta]])/Tabela1[[#This Row],[Meta]],"")</f>
        <v>1.4899999999999977E-2</v>
      </c>
      <c r="AA1462" s="31">
        <f>Tabela1[[#This Row],[Média]]-Tabela1[[#This Row],[Meta]]</f>
        <v>14.899999999999977</v>
      </c>
      <c r="AB1462" s="6" t="str">
        <f>VLOOKUP(Tabela1[[#This Row],[SKU]],SKU!A:B,2,0)</f>
        <v>FILE PEITO MET CG BDJ SE</v>
      </c>
      <c r="AC1462" s="6" t="str">
        <f>VLOOKUP(Tabela1[[#This Row],[SKU]],SKU!A:C,3,0)</f>
        <v>PEITO</v>
      </c>
    </row>
    <row r="1463" spans="1:29" x14ac:dyDescent="0.3">
      <c r="A1463" s="2">
        <f>INT(Tabela1[[#This Row],[Data e Hora2]])</f>
        <v>46303</v>
      </c>
      <c r="B1463" s="6" t="str">
        <f>UPPER(TEXT(Tabela1[[#This Row],[Data Corrigida]],"MMM"))</f>
        <v>OUT</v>
      </c>
      <c r="C1463" t="s">
        <v>3273</v>
      </c>
      <c r="D1463" s="2" t="s">
        <v>3274</v>
      </c>
      <c r="E1463" s="1" t="s">
        <v>3275</v>
      </c>
      <c r="F1463" t="s">
        <v>24</v>
      </c>
      <c r="G1463" s="2" t="s">
        <v>3038</v>
      </c>
      <c r="H1463" t="s">
        <v>26</v>
      </c>
      <c r="I1463" t="s">
        <v>57</v>
      </c>
      <c r="J1463" s="6">
        <v>15105</v>
      </c>
      <c r="K1463" s="16">
        <v>1023</v>
      </c>
      <c r="L1463" s="16">
        <v>1035</v>
      </c>
      <c r="M1463" s="16">
        <v>953</v>
      </c>
      <c r="N1463" s="16">
        <v>1041</v>
      </c>
      <c r="O1463" s="16">
        <v>1026</v>
      </c>
      <c r="P1463" s="16">
        <v>991</v>
      </c>
      <c r="Q1463" s="16">
        <v>1043</v>
      </c>
      <c r="R1463" s="16">
        <v>1003</v>
      </c>
      <c r="S1463" s="16">
        <v>1022</v>
      </c>
      <c r="T1463" s="16">
        <v>1008</v>
      </c>
      <c r="U1463" s="15">
        <v>1014.5</v>
      </c>
      <c r="V1463" t="s">
        <v>19</v>
      </c>
      <c r="W1463" t="s">
        <v>28</v>
      </c>
      <c r="X1463">
        <v>767</v>
      </c>
      <c r="Y1463" s="16">
        <f>VLOOKUP(Tabela1[[#This Row],[SKU]],SKU!A:D,4,0)</f>
        <v>1000</v>
      </c>
      <c r="Z1463" s="18">
        <f>IFERROR((Tabela1[[#This Row],[Média]]-Tabela1[[#This Row],[Meta]])/Tabela1[[#This Row],[Meta]],"")</f>
        <v>1.4500000000000001E-2</v>
      </c>
      <c r="AA1463" s="31">
        <f>Tabela1[[#This Row],[Média]]-Tabela1[[#This Row],[Meta]]</f>
        <v>14.5</v>
      </c>
      <c r="AB1463" s="6" t="str">
        <f>VLOOKUP(Tabela1[[#This Row],[SKU]],SKU!A:B,2,0)</f>
        <v>FILE PEITO MET CG BDJ SE</v>
      </c>
      <c r="AC1463" s="6" t="str">
        <f>VLOOKUP(Tabela1[[#This Row],[SKU]],SKU!A:C,3,0)</f>
        <v>PEITO</v>
      </c>
    </row>
    <row r="1464" spans="1:29" x14ac:dyDescent="0.3">
      <c r="A1464" s="2">
        <f>INT(Tabela1[[#This Row],[Data e Hora2]])</f>
        <v>46303</v>
      </c>
      <c r="B1464" s="6" t="str">
        <f>UPPER(TEXT(Tabela1[[#This Row],[Data Corrigida]],"MMM"))</f>
        <v>OUT</v>
      </c>
      <c r="C1464" t="s">
        <v>3276</v>
      </c>
      <c r="D1464" s="2" t="s">
        <v>3277</v>
      </c>
      <c r="E1464" s="1" t="s">
        <v>3275</v>
      </c>
      <c r="F1464" t="s">
        <v>24</v>
      </c>
      <c r="G1464" s="2" t="s">
        <v>3038</v>
      </c>
      <c r="H1464" t="s">
        <v>26</v>
      </c>
      <c r="I1464" t="s">
        <v>57</v>
      </c>
      <c r="J1464" s="6">
        <v>15105</v>
      </c>
      <c r="K1464" s="16">
        <v>998</v>
      </c>
      <c r="L1464" s="16">
        <v>1012</v>
      </c>
      <c r="M1464" s="16">
        <v>1000</v>
      </c>
      <c r="N1464" s="16">
        <v>1034</v>
      </c>
      <c r="O1464" s="16">
        <v>999</v>
      </c>
      <c r="P1464" s="16">
        <v>1002</v>
      </c>
      <c r="Q1464" s="16">
        <v>997</v>
      </c>
      <c r="R1464" s="16">
        <v>991</v>
      </c>
      <c r="S1464" s="16">
        <v>1007</v>
      </c>
      <c r="T1464" s="16">
        <v>1187</v>
      </c>
      <c r="U1464" s="15">
        <v>1022.7</v>
      </c>
      <c r="V1464" t="s">
        <v>19</v>
      </c>
      <c r="W1464" t="s">
        <v>28</v>
      </c>
      <c r="X1464">
        <v>911</v>
      </c>
      <c r="Y1464" s="16">
        <f>VLOOKUP(Tabela1[[#This Row],[SKU]],SKU!A:D,4,0)</f>
        <v>1000</v>
      </c>
      <c r="Z1464" s="18">
        <f>IFERROR((Tabela1[[#This Row],[Média]]-Tabela1[[#This Row],[Meta]])/Tabela1[[#This Row],[Meta]],"")</f>
        <v>2.2700000000000047E-2</v>
      </c>
      <c r="AA1464" s="31">
        <f>Tabela1[[#This Row],[Média]]-Tabela1[[#This Row],[Meta]]</f>
        <v>22.700000000000045</v>
      </c>
      <c r="AB1464" s="6" t="str">
        <f>VLOOKUP(Tabela1[[#This Row],[SKU]],SKU!A:B,2,0)</f>
        <v>FILE PEITO MET CG BDJ SE</v>
      </c>
      <c r="AC1464" s="6" t="str">
        <f>VLOOKUP(Tabela1[[#This Row],[SKU]],SKU!A:C,3,0)</f>
        <v>PEITO</v>
      </c>
    </row>
    <row r="1465" spans="1:29" x14ac:dyDescent="0.3">
      <c r="A1465" s="2">
        <f>INT(Tabela1[[#This Row],[Data e Hora2]])</f>
        <v>46303</v>
      </c>
      <c r="B1465" s="6" t="str">
        <f>UPPER(TEXT(Tabela1[[#This Row],[Data Corrigida]],"MMM"))</f>
        <v>OUT</v>
      </c>
      <c r="C1465" t="s">
        <v>3278</v>
      </c>
      <c r="D1465" s="2" t="s">
        <v>3279</v>
      </c>
      <c r="E1465" s="1" t="s">
        <v>3275</v>
      </c>
      <c r="F1465" t="s">
        <v>24</v>
      </c>
      <c r="G1465" s="2" t="s">
        <v>3038</v>
      </c>
      <c r="H1465" t="s">
        <v>26</v>
      </c>
      <c r="I1465" t="s">
        <v>57</v>
      </c>
      <c r="J1465" s="6">
        <v>15105</v>
      </c>
      <c r="K1465" s="16">
        <v>999</v>
      </c>
      <c r="L1465" s="16">
        <v>995</v>
      </c>
      <c r="M1465" s="16">
        <v>1020</v>
      </c>
      <c r="N1465" s="16">
        <v>1007</v>
      </c>
      <c r="O1465" s="16">
        <v>1037</v>
      </c>
      <c r="P1465" s="16">
        <v>1026</v>
      </c>
      <c r="Q1465" s="16">
        <v>1004</v>
      </c>
      <c r="R1465" s="16">
        <v>1011</v>
      </c>
      <c r="S1465" s="16">
        <v>1007</v>
      </c>
      <c r="T1465" s="16">
        <v>1008</v>
      </c>
      <c r="U1465" s="15">
        <v>1011.4</v>
      </c>
      <c r="V1465" t="s">
        <v>19</v>
      </c>
      <c r="W1465" t="s">
        <v>28</v>
      </c>
      <c r="X1465">
        <v>959</v>
      </c>
      <c r="Y1465" s="16">
        <f>VLOOKUP(Tabela1[[#This Row],[SKU]],SKU!A:D,4,0)</f>
        <v>1000</v>
      </c>
      <c r="Z1465" s="18">
        <f>IFERROR((Tabela1[[#This Row],[Média]]-Tabela1[[#This Row],[Meta]])/Tabela1[[#This Row],[Meta]],"")</f>
        <v>1.1399999999999978E-2</v>
      </c>
      <c r="AA1465" s="31">
        <f>Tabela1[[#This Row],[Média]]-Tabela1[[#This Row],[Meta]]</f>
        <v>11.399999999999977</v>
      </c>
      <c r="AB1465" s="6" t="str">
        <f>VLOOKUP(Tabela1[[#This Row],[SKU]],SKU!A:B,2,0)</f>
        <v>FILE PEITO MET CG BDJ SE</v>
      </c>
      <c r="AC1465" s="6" t="str">
        <f>VLOOKUP(Tabela1[[#This Row],[SKU]],SKU!A:C,3,0)</f>
        <v>PEITO</v>
      </c>
    </row>
    <row r="1466" spans="1:29" x14ac:dyDescent="0.3">
      <c r="A1466" s="2">
        <f>INT(Tabela1[[#This Row],[Data e Hora2]])</f>
        <v>46303</v>
      </c>
      <c r="B1466" s="6" t="str">
        <f>UPPER(TEXT(Tabela1[[#This Row],[Data Corrigida]],"MMM"))</f>
        <v>OUT</v>
      </c>
      <c r="C1466" t="s">
        <v>3280</v>
      </c>
      <c r="D1466" s="2" t="s">
        <v>3281</v>
      </c>
      <c r="E1466" s="1" t="s">
        <v>3282</v>
      </c>
      <c r="F1466" t="s">
        <v>24</v>
      </c>
      <c r="G1466" s="2" t="s">
        <v>3038</v>
      </c>
      <c r="H1466" t="s">
        <v>26</v>
      </c>
      <c r="I1466" t="s">
        <v>57</v>
      </c>
      <c r="J1466" s="6">
        <v>42862</v>
      </c>
      <c r="K1466" s="16">
        <v>1999</v>
      </c>
      <c r="L1466" s="16">
        <v>2005</v>
      </c>
      <c r="M1466" s="16">
        <v>2006</v>
      </c>
      <c r="N1466" s="16">
        <v>2017</v>
      </c>
      <c r="O1466" s="16">
        <v>2016</v>
      </c>
      <c r="P1466" s="16">
        <v>2013</v>
      </c>
      <c r="Q1466" s="16">
        <v>2029</v>
      </c>
      <c r="R1466" s="16">
        <v>2085</v>
      </c>
      <c r="S1466" s="16">
        <v>2014</v>
      </c>
      <c r="T1466" s="16">
        <v>2026</v>
      </c>
      <c r="U1466" s="15">
        <v>2021</v>
      </c>
      <c r="V1466" t="s">
        <v>19</v>
      </c>
      <c r="W1466" t="s">
        <v>28</v>
      </c>
      <c r="X1466">
        <v>299</v>
      </c>
      <c r="Y1466" s="16">
        <f>VLOOKUP(Tabela1[[#This Row],[SKU]],SKU!A:D,4,0)</f>
        <v>2000</v>
      </c>
      <c r="Z1466" s="18">
        <f>IFERROR((Tabela1[[#This Row],[Média]]-Tabela1[[#This Row],[Meta]])/Tabela1[[#This Row],[Meta]],"")</f>
        <v>1.0500000000000001E-2</v>
      </c>
      <c r="AA1466" s="31">
        <f>Tabela1[[#This Row],[Média]]-Tabela1[[#This Row],[Meta]]</f>
        <v>21</v>
      </c>
      <c r="AB1466" s="6" t="str">
        <f>VLOOKUP(Tabela1[[#This Row],[SKU]],SKU!A:B,2,0)</f>
        <v>COXA SBCX S/O FG 280-300g PB</v>
      </c>
      <c r="AC1466" s="6" t="str">
        <f>VLOOKUP(Tabela1[[#This Row],[SKU]],SKU!A:C,3,0)</f>
        <v>PERNA</v>
      </c>
    </row>
    <row r="1467" spans="1:29" x14ac:dyDescent="0.3">
      <c r="A1467" s="2">
        <f>INT(Tabela1[[#This Row],[Data e Hora2]])</f>
        <v>46303</v>
      </c>
      <c r="B1467" s="6" t="str">
        <f>UPPER(TEXT(Tabela1[[#This Row],[Data Corrigida]],"MMM"))</f>
        <v>OUT</v>
      </c>
      <c r="C1467" t="s">
        <v>3283</v>
      </c>
      <c r="D1467" s="2" t="s">
        <v>3284</v>
      </c>
      <c r="E1467" s="1" t="s">
        <v>3282</v>
      </c>
      <c r="F1467" t="s">
        <v>24</v>
      </c>
      <c r="G1467" s="2" t="s">
        <v>3038</v>
      </c>
      <c r="H1467" t="s">
        <v>26</v>
      </c>
      <c r="I1467" t="s">
        <v>57</v>
      </c>
      <c r="J1467" s="6">
        <v>42854</v>
      </c>
      <c r="K1467" s="16">
        <v>2064</v>
      </c>
      <c r="L1467" s="16">
        <v>2144</v>
      </c>
      <c r="M1467" s="16">
        <v>1999</v>
      </c>
      <c r="N1467" s="16">
        <v>2092</v>
      </c>
      <c r="O1467" s="16">
        <v>2008</v>
      </c>
      <c r="P1467" s="16">
        <v>2080</v>
      </c>
      <c r="Q1467" s="16">
        <v>2093</v>
      </c>
      <c r="R1467" s="16">
        <v>2072</v>
      </c>
      <c r="S1467" s="16">
        <v>2059</v>
      </c>
      <c r="T1467" s="16">
        <v>2037</v>
      </c>
      <c r="U1467" s="15">
        <v>2064.8000000000002</v>
      </c>
      <c r="V1467" t="s">
        <v>19</v>
      </c>
      <c r="W1467" t="s">
        <v>28</v>
      </c>
      <c r="X1467">
        <v>135</v>
      </c>
      <c r="Y1467" s="16">
        <f>VLOOKUP(Tabela1[[#This Row],[SKU]],SKU!A:D,4,0)</f>
        <v>2080</v>
      </c>
      <c r="Z1467" s="18">
        <f>IFERROR((Tabela1[[#This Row],[Média]]-Tabela1[[#This Row],[Meta]])/Tabela1[[#This Row],[Meta]],"")</f>
        <v>-7.30769230769222E-3</v>
      </c>
      <c r="AA1467" s="31">
        <f>Tabela1[[#This Row],[Média]]-Tabela1[[#This Row],[Meta]]</f>
        <v>-15.199999999999818</v>
      </c>
      <c r="AB1467" s="6" t="str">
        <f>VLOOKUP(Tabela1[[#This Row],[SKU]],SKU!A:B,2,0)</f>
        <v>COXA SBCX S/O FG 260-280g PB</v>
      </c>
      <c r="AC1467" s="6" t="str">
        <f>VLOOKUP(Tabela1[[#This Row],[SKU]],SKU!A:C,3,0)</f>
        <v>PERNA</v>
      </c>
    </row>
    <row r="1468" spans="1:29" x14ac:dyDescent="0.3">
      <c r="A1468" s="2">
        <f>INT(Tabela1[[#This Row],[Data e Hora2]])</f>
        <v>46303</v>
      </c>
      <c r="B1468" s="6" t="str">
        <f>UPPER(TEXT(Tabela1[[#This Row],[Data Corrigida]],"MMM"))</f>
        <v>OUT</v>
      </c>
      <c r="C1468" t="s">
        <v>3285</v>
      </c>
      <c r="D1468" s="2" t="s">
        <v>3286</v>
      </c>
      <c r="E1468" s="1" t="s">
        <v>3282</v>
      </c>
      <c r="F1468" t="s">
        <v>24</v>
      </c>
      <c r="G1468" s="2" t="s">
        <v>3038</v>
      </c>
      <c r="H1468" t="s">
        <v>26</v>
      </c>
      <c r="I1468" t="s">
        <v>57</v>
      </c>
      <c r="J1468" s="6">
        <v>42846</v>
      </c>
      <c r="K1468" s="16">
        <v>2018</v>
      </c>
      <c r="L1468" s="16">
        <v>2002</v>
      </c>
      <c r="M1468" s="16">
        <v>2016</v>
      </c>
      <c r="N1468" s="16">
        <v>1999</v>
      </c>
      <c r="O1468" s="16">
        <v>2007</v>
      </c>
      <c r="P1468" s="16">
        <v>2009</v>
      </c>
      <c r="Q1468" s="16">
        <v>2020</v>
      </c>
      <c r="R1468" s="16">
        <v>1998</v>
      </c>
      <c r="S1468" s="16">
        <v>2021</v>
      </c>
      <c r="T1468" s="16">
        <v>2014</v>
      </c>
      <c r="U1468" s="15">
        <v>2010.4</v>
      </c>
      <c r="V1468" t="s">
        <v>19</v>
      </c>
      <c r="W1468" t="s">
        <v>28</v>
      </c>
      <c r="X1468">
        <v>90</v>
      </c>
      <c r="Y1468" s="16">
        <f>VLOOKUP(Tabela1[[#This Row],[SKU]],SKU!A:D,4,0)</f>
        <v>2000</v>
      </c>
      <c r="Z1468" s="18">
        <f>IFERROR((Tabela1[[#This Row],[Média]]-Tabela1[[#This Row],[Meta]])/Tabela1[[#This Row],[Meta]],"")</f>
        <v>5.2000000000000457E-3</v>
      </c>
      <c r="AA1468" s="31">
        <f>Tabela1[[#This Row],[Média]]-Tabela1[[#This Row],[Meta]]</f>
        <v>10.400000000000091</v>
      </c>
      <c r="AB1468" s="6" t="str">
        <f>VLOOKUP(Tabela1[[#This Row],[SKU]],SKU!A:B,2,0)</f>
        <v>COXA SBCX S/O FG 240-260g PB</v>
      </c>
      <c r="AC1468" s="6" t="str">
        <f>VLOOKUP(Tabela1[[#This Row],[SKU]],SKU!A:C,3,0)</f>
        <v>PERNA</v>
      </c>
    </row>
    <row r="1469" spans="1:29" x14ac:dyDescent="0.3">
      <c r="A1469" s="2">
        <f>INT(Tabela1[[#This Row],[Data e Hora2]])</f>
        <v>46303</v>
      </c>
      <c r="B1469" s="6" t="str">
        <f>UPPER(TEXT(Tabela1[[#This Row],[Data Corrigida]],"MMM"))</f>
        <v>OUT</v>
      </c>
      <c r="C1469" t="s">
        <v>3287</v>
      </c>
      <c r="D1469" s="2" t="s">
        <v>3288</v>
      </c>
      <c r="E1469" s="1" t="s">
        <v>3282</v>
      </c>
      <c r="F1469" t="s">
        <v>24</v>
      </c>
      <c r="G1469" s="2" t="s">
        <v>3038</v>
      </c>
      <c r="H1469" t="s">
        <v>26</v>
      </c>
      <c r="I1469" t="s">
        <v>57</v>
      </c>
      <c r="J1469" s="6">
        <v>42838</v>
      </c>
      <c r="K1469" s="16">
        <v>2018</v>
      </c>
      <c r="L1469" s="16">
        <v>1997</v>
      </c>
      <c r="M1469" s="16">
        <v>2013</v>
      </c>
      <c r="N1469" s="16">
        <v>1998</v>
      </c>
      <c r="O1469" s="16">
        <v>2025</v>
      </c>
      <c r="P1469" s="16">
        <v>2039</v>
      </c>
      <c r="Q1469" s="16">
        <v>2004</v>
      </c>
      <c r="R1469" s="16">
        <v>1999</v>
      </c>
      <c r="S1469" s="16">
        <v>2027</v>
      </c>
      <c r="T1469" s="16">
        <v>2004</v>
      </c>
      <c r="U1469" s="15">
        <v>2012.4</v>
      </c>
      <c r="V1469" t="s">
        <v>19</v>
      </c>
      <c r="W1469" t="s">
        <v>28</v>
      </c>
      <c r="X1469">
        <v>132</v>
      </c>
      <c r="Y1469" s="16">
        <f>VLOOKUP(Tabela1[[#This Row],[SKU]],SKU!A:D,4,0)</f>
        <v>2000</v>
      </c>
      <c r="Z1469" s="18">
        <f>IFERROR((Tabela1[[#This Row],[Média]]-Tabela1[[#This Row],[Meta]])/Tabela1[[#This Row],[Meta]],"")</f>
        <v>6.2000000000000458E-3</v>
      </c>
      <c r="AA1469" s="31">
        <f>Tabela1[[#This Row],[Média]]-Tabela1[[#This Row],[Meta]]</f>
        <v>12.400000000000091</v>
      </c>
      <c r="AB1469" s="6" t="str">
        <f>VLOOKUP(Tabela1[[#This Row],[SKU]],SKU!A:B,2,0)</f>
        <v>COXA SBCX S/O FG 220-240g PB</v>
      </c>
      <c r="AC1469" s="6" t="str">
        <f>VLOOKUP(Tabela1[[#This Row],[SKU]],SKU!A:C,3,0)</f>
        <v>PERNA</v>
      </c>
    </row>
    <row r="1470" spans="1:29" x14ac:dyDescent="0.3">
      <c r="A1470" s="2">
        <f>INT(Tabela1[[#This Row],[Data e Hora2]])</f>
        <v>46303</v>
      </c>
      <c r="B1470" s="6" t="str">
        <f>UPPER(TEXT(Tabela1[[#This Row],[Data Corrigida]],"MMM"))</f>
        <v>OUT</v>
      </c>
      <c r="C1470" t="s">
        <v>3289</v>
      </c>
      <c r="D1470" s="2" t="s">
        <v>3290</v>
      </c>
      <c r="E1470" s="1" t="s">
        <v>3282</v>
      </c>
      <c r="F1470" t="s">
        <v>24</v>
      </c>
      <c r="G1470" s="2" t="s">
        <v>3038</v>
      </c>
      <c r="H1470" t="s">
        <v>26</v>
      </c>
      <c r="I1470" t="s">
        <v>57</v>
      </c>
      <c r="J1470" s="6">
        <v>42820</v>
      </c>
      <c r="K1470" s="16">
        <v>2021</v>
      </c>
      <c r="L1470" s="16">
        <v>2019</v>
      </c>
      <c r="M1470" s="16">
        <v>2007</v>
      </c>
      <c r="N1470" s="16">
        <v>2016</v>
      </c>
      <c r="O1470" s="16">
        <v>1998</v>
      </c>
      <c r="P1470" s="16">
        <v>2042</v>
      </c>
      <c r="Q1470" s="16">
        <v>2072</v>
      </c>
      <c r="R1470" s="16">
        <v>1994</v>
      </c>
      <c r="S1470" s="16">
        <v>2013</v>
      </c>
      <c r="T1470" s="16">
        <v>2027</v>
      </c>
      <c r="U1470" s="15">
        <v>2020.9</v>
      </c>
      <c r="V1470" t="s">
        <v>19</v>
      </c>
      <c r="W1470" t="s">
        <v>28</v>
      </c>
      <c r="X1470">
        <v>275</v>
      </c>
      <c r="Y1470" s="16">
        <f>VLOOKUP(Tabela1[[#This Row],[SKU]],SKU!A:D,4,0)</f>
        <v>2000</v>
      </c>
      <c r="Z1470" s="18">
        <f>IFERROR((Tabela1[[#This Row],[Média]]-Tabela1[[#This Row],[Meta]])/Tabela1[[#This Row],[Meta]],"")</f>
        <v>1.0450000000000046E-2</v>
      </c>
      <c r="AA1470" s="31">
        <f>Tabela1[[#This Row],[Média]]-Tabela1[[#This Row],[Meta]]</f>
        <v>20.900000000000091</v>
      </c>
      <c r="AB1470" s="6" t="str">
        <f>VLOOKUP(Tabela1[[#This Row],[SKU]],SKU!A:B,2,0)</f>
        <v>COXA SBCX S/O FG 200-220g PB</v>
      </c>
      <c r="AC1470" s="6" t="str">
        <f>VLOOKUP(Tabela1[[#This Row],[SKU]],SKU!A:C,3,0)</f>
        <v>PERNA</v>
      </c>
    </row>
    <row r="1471" spans="1:29" x14ac:dyDescent="0.3">
      <c r="A1471" s="2">
        <f>INT(Tabela1[[#This Row],[Data e Hora2]])</f>
        <v>46303</v>
      </c>
      <c r="B1471" s="6" t="str">
        <f>UPPER(TEXT(Tabela1[[#This Row],[Data Corrigida]],"MMM"))</f>
        <v>OUT</v>
      </c>
      <c r="C1471" t="s">
        <v>3035</v>
      </c>
      <c r="D1471" s="2" t="s">
        <v>3036</v>
      </c>
      <c r="E1471" s="1" t="s">
        <v>3037</v>
      </c>
      <c r="F1471" t="s">
        <v>24</v>
      </c>
      <c r="G1471" s="2" t="s">
        <v>3038</v>
      </c>
      <c r="H1471" t="s">
        <v>142</v>
      </c>
      <c r="I1471" t="s">
        <v>462</v>
      </c>
      <c r="J1471" s="6">
        <v>13188</v>
      </c>
      <c r="K1471" s="16">
        <v>1007</v>
      </c>
      <c r="L1471" s="16">
        <v>993</v>
      </c>
      <c r="M1471" s="16">
        <v>1007</v>
      </c>
      <c r="N1471" s="16">
        <v>1006</v>
      </c>
      <c r="O1471" s="16">
        <v>1017</v>
      </c>
      <c r="P1471" s="16">
        <v>1018</v>
      </c>
      <c r="Q1471" s="16">
        <v>1007</v>
      </c>
      <c r="R1471" s="16">
        <v>989</v>
      </c>
      <c r="S1471" s="16">
        <v>1020</v>
      </c>
      <c r="T1471" s="16">
        <v>1006</v>
      </c>
      <c r="U1471" s="15">
        <v>1007</v>
      </c>
      <c r="V1471" t="s">
        <v>19</v>
      </c>
      <c r="W1471" t="s">
        <v>28</v>
      </c>
      <c r="X1471">
        <v>201</v>
      </c>
      <c r="Y1471" s="16">
        <f>VLOOKUP(Tabela1[[#This Row],[SKU]],SKU!A:D,4,0)</f>
        <v>1000</v>
      </c>
      <c r="Z1471" s="18">
        <f>IFERROR((Tabela1[[#This Row],[Média]]-Tabela1[[#This Row],[Meta]])/Tabela1[[#This Row],[Meta]],"")</f>
        <v>7.0000000000000001E-3</v>
      </c>
      <c r="AA1471" s="31">
        <f>Tabela1[[#This Row],[Média]]-Tabela1[[#This Row],[Meta]]</f>
        <v>7</v>
      </c>
      <c r="AB1471" s="6" t="str">
        <f>VLOOKUP(Tabela1[[#This Row],[SKU]],SKU!A:B,2,0)</f>
        <v>SOBRECOXA CG BDJ SE</v>
      </c>
      <c r="AC1471" s="6" t="str">
        <f>VLOOKUP(Tabela1[[#This Row],[SKU]],SKU!A:C,3,0)</f>
        <v>PERNA</v>
      </c>
    </row>
    <row r="1472" spans="1:29" x14ac:dyDescent="0.3">
      <c r="A1472" s="2">
        <f>INT(Tabela1[[#This Row],[Data e Hora2]])</f>
        <v>46303</v>
      </c>
      <c r="B1472" s="6" t="str">
        <f>UPPER(TEXT(Tabela1[[#This Row],[Data Corrigida]],"MMM"))</f>
        <v>OUT</v>
      </c>
      <c r="C1472" t="s">
        <v>3039</v>
      </c>
      <c r="D1472" s="2" t="s">
        <v>3040</v>
      </c>
      <c r="E1472" s="1" t="s">
        <v>3037</v>
      </c>
      <c r="F1472" t="s">
        <v>24</v>
      </c>
      <c r="G1472" s="2" t="s">
        <v>3038</v>
      </c>
      <c r="H1472" t="s">
        <v>142</v>
      </c>
      <c r="I1472" t="s">
        <v>462</v>
      </c>
      <c r="J1472" s="6">
        <v>793124</v>
      </c>
      <c r="K1472" s="16">
        <v>2010</v>
      </c>
      <c r="L1472" s="16">
        <v>2001</v>
      </c>
      <c r="M1472" s="16">
        <v>2003</v>
      </c>
      <c r="N1472" s="16">
        <v>2007</v>
      </c>
      <c r="O1472" s="16">
        <v>2007</v>
      </c>
      <c r="P1472" s="16">
        <v>2006</v>
      </c>
      <c r="Q1472" s="16">
        <v>2000</v>
      </c>
      <c r="R1472" s="16">
        <v>1999</v>
      </c>
      <c r="S1472" s="16">
        <v>2002</v>
      </c>
      <c r="T1472" s="16">
        <v>1998</v>
      </c>
      <c r="U1472" s="15">
        <v>2003.3</v>
      </c>
      <c r="V1472" t="s">
        <v>19</v>
      </c>
      <c r="W1472" t="s">
        <v>28</v>
      </c>
      <c r="X1472">
        <v>436</v>
      </c>
      <c r="Y1472" s="16">
        <f>VLOOKUP(Tabela1[[#This Row],[SKU]],SKU!A:D,4,0)</f>
        <v>2000</v>
      </c>
      <c r="Z1472" s="18">
        <f>IFERROR((Tabela1[[#This Row],[Média]]-Tabela1[[#This Row],[Meta]])/Tabela1[[#This Row],[Meta]],"")</f>
        <v>1.6499999999999772E-3</v>
      </c>
      <c r="AA1472" s="31">
        <f>Tabela1[[#This Row],[Média]]-Tabela1[[#This Row],[Meta]]</f>
        <v>3.2999999999999545</v>
      </c>
      <c r="AB1472" s="6" t="str">
        <f>VLOOKUP(Tabela1[[#This Row],[SKU]],SKU!A:B,2,0)</f>
        <v>CARTILAGEM JOELHO FG PB</v>
      </c>
      <c r="AC1472" s="6" t="str">
        <f>VLOOKUP(Tabela1[[#This Row],[SKU]],SKU!A:C,3,0)</f>
        <v>CARTILAGEM PERNA</v>
      </c>
    </row>
    <row r="1473" spans="1:29" x14ac:dyDescent="0.3">
      <c r="A1473" s="2">
        <f>INT(Tabela1[[#This Row],[Data e Hora2]])</f>
        <v>46303</v>
      </c>
      <c r="B1473" s="6" t="str">
        <f>UPPER(TEXT(Tabela1[[#This Row],[Data Corrigida]],"MMM"))</f>
        <v>OUT</v>
      </c>
      <c r="C1473" t="s">
        <v>3041</v>
      </c>
      <c r="D1473" s="2" t="s">
        <v>3042</v>
      </c>
      <c r="E1473" s="1" t="s">
        <v>3037</v>
      </c>
      <c r="F1473" t="s">
        <v>24</v>
      </c>
      <c r="G1473" s="2" t="s">
        <v>3038</v>
      </c>
      <c r="H1473" t="s">
        <v>142</v>
      </c>
      <c r="I1473" t="s">
        <v>462</v>
      </c>
      <c r="J1473" s="6">
        <v>42846</v>
      </c>
      <c r="K1473" s="16">
        <v>2006</v>
      </c>
      <c r="L1473" s="16">
        <v>2003</v>
      </c>
      <c r="M1473" s="16">
        <v>2003</v>
      </c>
      <c r="N1473" s="16">
        <v>1994</v>
      </c>
      <c r="O1473" s="16">
        <v>2012</v>
      </c>
      <c r="P1473" s="16">
        <v>2004</v>
      </c>
      <c r="Q1473" s="16">
        <v>1993</v>
      </c>
      <c r="R1473" s="16">
        <v>2068</v>
      </c>
      <c r="S1473" s="16">
        <v>2022</v>
      </c>
      <c r="T1473" s="16">
        <v>2016</v>
      </c>
      <c r="U1473" s="15">
        <v>2012.1</v>
      </c>
      <c r="V1473" t="s">
        <v>19</v>
      </c>
      <c r="W1473" t="s">
        <v>28</v>
      </c>
      <c r="X1473">
        <v>758</v>
      </c>
      <c r="Y1473" s="16">
        <f>VLOOKUP(Tabela1[[#This Row],[SKU]],SKU!A:D,4,0)</f>
        <v>2000</v>
      </c>
      <c r="Z1473" s="18">
        <f>IFERROR((Tabela1[[#This Row],[Média]]-Tabela1[[#This Row],[Meta]])/Tabela1[[#This Row],[Meta]],"")</f>
        <v>6.0499999999999547E-3</v>
      </c>
      <c r="AA1473" s="31">
        <f>Tabela1[[#This Row],[Média]]-Tabela1[[#This Row],[Meta]]</f>
        <v>12.099999999999909</v>
      </c>
      <c r="AB1473" s="6" t="str">
        <f>VLOOKUP(Tabela1[[#This Row],[SKU]],SKU!A:B,2,0)</f>
        <v>COXA SBCX S/O FG 240-260g PB</v>
      </c>
      <c r="AC1473" s="6" t="str">
        <f>VLOOKUP(Tabela1[[#This Row],[SKU]],SKU!A:C,3,0)</f>
        <v>PERNA</v>
      </c>
    </row>
    <row r="1474" spans="1:29" x14ac:dyDescent="0.3">
      <c r="A1474" s="2">
        <f>INT(Tabela1[[#This Row],[Data e Hora2]])</f>
        <v>46303</v>
      </c>
      <c r="B1474" s="6" t="str">
        <f>UPPER(TEXT(Tabela1[[#This Row],[Data Corrigida]],"MMM"))</f>
        <v>OUT</v>
      </c>
      <c r="C1474" t="s">
        <v>3043</v>
      </c>
      <c r="D1474" s="2" t="s">
        <v>3044</v>
      </c>
      <c r="E1474" s="1" t="s">
        <v>3037</v>
      </c>
      <c r="F1474" t="s">
        <v>24</v>
      </c>
      <c r="G1474" s="2" t="s">
        <v>3038</v>
      </c>
      <c r="H1474" t="s">
        <v>142</v>
      </c>
      <c r="I1474" t="s">
        <v>462</v>
      </c>
      <c r="J1474" s="6">
        <v>42838</v>
      </c>
      <c r="K1474" s="16">
        <v>2100</v>
      </c>
      <c r="L1474" s="16">
        <v>2075</v>
      </c>
      <c r="M1474" s="16">
        <v>2074</v>
      </c>
      <c r="N1474" s="16">
        <v>2064</v>
      </c>
      <c r="O1474" s="16">
        <v>2091</v>
      </c>
      <c r="P1474" s="16">
        <v>2078</v>
      </c>
      <c r="Q1474" s="16">
        <v>2078</v>
      </c>
      <c r="R1474" s="16">
        <v>2082</v>
      </c>
      <c r="S1474" s="16">
        <v>2097</v>
      </c>
      <c r="T1474" s="16">
        <v>2053</v>
      </c>
      <c r="U1474" s="15">
        <v>2079.1999999999998</v>
      </c>
      <c r="V1474" t="s">
        <v>19</v>
      </c>
      <c r="W1474" t="s">
        <v>28</v>
      </c>
      <c r="X1474">
        <v>1076</v>
      </c>
      <c r="Y1474" s="16">
        <f>VLOOKUP(Tabela1[[#This Row],[SKU]],SKU!A:D,4,0)</f>
        <v>2000</v>
      </c>
      <c r="Z1474" s="18">
        <f>IFERROR((Tabela1[[#This Row],[Média]]-Tabela1[[#This Row],[Meta]])/Tabela1[[#This Row],[Meta]],"")</f>
        <v>3.9599999999999906E-2</v>
      </c>
      <c r="AA1474" s="31">
        <f>Tabela1[[#This Row],[Média]]-Tabela1[[#This Row],[Meta]]</f>
        <v>79.199999999999818</v>
      </c>
      <c r="AB1474" s="6" t="str">
        <f>VLOOKUP(Tabela1[[#This Row],[SKU]],SKU!A:B,2,0)</f>
        <v>COXA SBCX S/O FG 220-240g PB</v>
      </c>
      <c r="AC1474" s="6" t="str">
        <f>VLOOKUP(Tabela1[[#This Row],[SKU]],SKU!A:C,3,0)</f>
        <v>PERNA</v>
      </c>
    </row>
    <row r="1475" spans="1:29" x14ac:dyDescent="0.3">
      <c r="A1475" s="2">
        <f>INT(Tabela1[[#This Row],[Data e Hora2]])</f>
        <v>46303</v>
      </c>
      <c r="B1475" s="6" t="str">
        <f>UPPER(TEXT(Tabela1[[#This Row],[Data Corrigida]],"MMM"))</f>
        <v>OUT</v>
      </c>
      <c r="C1475" t="s">
        <v>3045</v>
      </c>
      <c r="D1475" s="2" t="s">
        <v>3046</v>
      </c>
      <c r="E1475" s="1" t="s">
        <v>3037</v>
      </c>
      <c r="F1475" t="s">
        <v>24</v>
      </c>
      <c r="G1475" s="2" t="s">
        <v>3038</v>
      </c>
      <c r="H1475" t="s">
        <v>142</v>
      </c>
      <c r="I1475" t="s">
        <v>462</v>
      </c>
      <c r="J1475" s="6">
        <v>42854</v>
      </c>
      <c r="K1475" s="16">
        <v>2165</v>
      </c>
      <c r="L1475" s="16">
        <v>2185</v>
      </c>
      <c r="M1475" s="16">
        <v>2177</v>
      </c>
      <c r="N1475" s="16">
        <v>2137</v>
      </c>
      <c r="O1475" s="16">
        <v>2056</v>
      </c>
      <c r="P1475" s="16">
        <v>2003</v>
      </c>
      <c r="Q1475" s="16">
        <v>2125</v>
      </c>
      <c r="R1475" s="16">
        <v>2108</v>
      </c>
      <c r="S1475" s="16">
        <v>2133</v>
      </c>
      <c r="T1475" s="16">
        <v>2148</v>
      </c>
      <c r="U1475" s="15">
        <v>2123.6999999999998</v>
      </c>
      <c r="V1475" t="s">
        <v>19</v>
      </c>
      <c r="W1475" t="s">
        <v>28</v>
      </c>
      <c r="X1475">
        <v>1487</v>
      </c>
      <c r="Y1475" s="16">
        <f>VLOOKUP(Tabela1[[#This Row],[SKU]],SKU!A:D,4,0)</f>
        <v>2080</v>
      </c>
      <c r="Z1475" s="18">
        <f>IFERROR((Tabela1[[#This Row],[Média]]-Tabela1[[#This Row],[Meta]])/Tabela1[[#This Row],[Meta]],"")</f>
        <v>2.1009615384615297E-2</v>
      </c>
      <c r="AA1475" s="31">
        <f>Tabela1[[#This Row],[Média]]-Tabela1[[#This Row],[Meta]]</f>
        <v>43.699999999999818</v>
      </c>
      <c r="AB1475" s="6" t="str">
        <f>VLOOKUP(Tabela1[[#This Row],[SKU]],SKU!A:B,2,0)</f>
        <v>COXA SBCX S/O FG 260-280g PB</v>
      </c>
      <c r="AC1475" s="6" t="str">
        <f>VLOOKUP(Tabela1[[#This Row],[SKU]],SKU!A:C,3,0)</f>
        <v>PERNA</v>
      </c>
    </row>
    <row r="1476" spans="1:29" x14ac:dyDescent="0.3">
      <c r="A1476" s="2">
        <f>INT(Tabela1[[#This Row],[Data e Hora2]])</f>
        <v>46303</v>
      </c>
      <c r="B1476" s="6" t="str">
        <f>UPPER(TEXT(Tabela1[[#This Row],[Data Corrigida]],"MMM"))</f>
        <v>OUT</v>
      </c>
      <c r="C1476" t="s">
        <v>3047</v>
      </c>
      <c r="D1476" s="2" t="s">
        <v>3048</v>
      </c>
      <c r="E1476" s="1" t="s">
        <v>3037</v>
      </c>
      <c r="F1476" t="s">
        <v>24</v>
      </c>
      <c r="G1476" s="2" t="s">
        <v>3038</v>
      </c>
      <c r="H1476" t="s">
        <v>142</v>
      </c>
      <c r="I1476" t="s">
        <v>462</v>
      </c>
      <c r="J1476" s="6">
        <v>42862</v>
      </c>
      <c r="K1476" s="16">
        <v>2033</v>
      </c>
      <c r="L1476" s="16">
        <v>2061</v>
      </c>
      <c r="M1476" s="16">
        <v>2039</v>
      </c>
      <c r="N1476" s="16">
        <v>2033</v>
      </c>
      <c r="O1476" s="16">
        <v>2073</v>
      </c>
      <c r="P1476" s="16">
        <v>2004</v>
      </c>
      <c r="Q1476" s="16">
        <v>2091</v>
      </c>
      <c r="R1476" s="16">
        <v>2053</v>
      </c>
      <c r="S1476" s="16">
        <v>2047</v>
      </c>
      <c r="T1476" s="16">
        <v>2053</v>
      </c>
      <c r="U1476" s="15">
        <v>2048.6999999999998</v>
      </c>
      <c r="V1476" t="s">
        <v>19</v>
      </c>
      <c r="W1476" t="s">
        <v>28</v>
      </c>
      <c r="X1476">
        <v>1671</v>
      </c>
      <c r="Y1476" s="16">
        <f>VLOOKUP(Tabela1[[#This Row],[SKU]],SKU!A:D,4,0)</f>
        <v>2000</v>
      </c>
      <c r="Z1476" s="18">
        <f>IFERROR((Tabela1[[#This Row],[Média]]-Tabela1[[#This Row],[Meta]])/Tabela1[[#This Row],[Meta]],"")</f>
        <v>2.434999999999991E-2</v>
      </c>
      <c r="AA1476" s="31">
        <f>Tabela1[[#This Row],[Média]]-Tabela1[[#This Row],[Meta]]</f>
        <v>48.699999999999818</v>
      </c>
      <c r="AB1476" s="6" t="str">
        <f>VLOOKUP(Tabela1[[#This Row],[SKU]],SKU!A:B,2,0)</f>
        <v>COXA SBCX S/O FG 280-300g PB</v>
      </c>
      <c r="AC1476" s="6" t="str">
        <f>VLOOKUP(Tabela1[[#This Row],[SKU]],SKU!A:C,3,0)</f>
        <v>PERNA</v>
      </c>
    </row>
    <row r="1477" spans="1:29" x14ac:dyDescent="0.3">
      <c r="A1477" s="2">
        <f>INT(Tabela1[[#This Row],[Data e Hora2]])</f>
        <v>46303</v>
      </c>
      <c r="B1477" s="6" t="str">
        <f>UPPER(TEXT(Tabela1[[#This Row],[Data Corrigida]],"MMM"))</f>
        <v>OUT</v>
      </c>
      <c r="C1477" t="s">
        <v>3049</v>
      </c>
      <c r="D1477" s="2" t="s">
        <v>3050</v>
      </c>
      <c r="E1477" s="1" t="s">
        <v>3051</v>
      </c>
      <c r="F1477" t="s">
        <v>24</v>
      </c>
      <c r="G1477" s="2" t="s">
        <v>3038</v>
      </c>
      <c r="H1477" t="s">
        <v>142</v>
      </c>
      <c r="I1477" t="s">
        <v>462</v>
      </c>
      <c r="J1477" s="6">
        <v>43784</v>
      </c>
      <c r="K1477" s="16">
        <v>999</v>
      </c>
      <c r="L1477" s="16">
        <v>998</v>
      </c>
      <c r="M1477" s="16">
        <v>1000</v>
      </c>
      <c r="N1477" s="16">
        <v>999</v>
      </c>
      <c r="O1477" s="16">
        <v>995</v>
      </c>
      <c r="P1477" s="16">
        <v>998</v>
      </c>
      <c r="Q1477" s="16">
        <v>999</v>
      </c>
      <c r="R1477" s="16">
        <v>1000</v>
      </c>
      <c r="S1477" s="16">
        <v>1002</v>
      </c>
      <c r="T1477" s="16">
        <v>1000</v>
      </c>
      <c r="U1477" s="15">
        <v>999</v>
      </c>
      <c r="V1477" t="s">
        <v>19</v>
      </c>
      <c r="W1477" t="s">
        <v>28</v>
      </c>
      <c r="X1477">
        <v>11411</v>
      </c>
      <c r="Y1477" s="16">
        <f>VLOOKUP(Tabela1[[#This Row],[SKU]],SKU!A:D,4,0)</f>
        <v>1000</v>
      </c>
      <c r="Z1477" s="18">
        <f>IFERROR((Tabela1[[#This Row],[Média]]-Tabela1[[#This Row],[Meta]])/Tabela1[[#This Row],[Meta]],"")</f>
        <v>-1E-3</v>
      </c>
      <c r="AA1477" s="31">
        <f>Tabela1[[#This Row],[Média]]-Tabela1[[#This Row],[Meta]]</f>
        <v>-1</v>
      </c>
      <c r="AB1477" s="6" t="str">
        <f>VLOOKUP(Tabela1[[#This Row],[SKU]],SKU!A:B,2,0)</f>
        <v>CARTILAGEM PEITO FG PB</v>
      </c>
      <c r="AC1477" s="6" t="str">
        <f>VLOOKUP(Tabela1[[#This Row],[SKU]],SKU!A:C,3,0)</f>
        <v>CARTILAGEM PEITO</v>
      </c>
    </row>
    <row r="1478" spans="1:29" x14ac:dyDescent="0.3">
      <c r="A1478" s="2">
        <f>INT(Tabela1[[#This Row],[Data e Hora2]])</f>
        <v>46303</v>
      </c>
      <c r="B1478" s="6" t="str">
        <f>UPPER(TEXT(Tabela1[[#This Row],[Data Corrigida]],"MMM"))</f>
        <v>OUT</v>
      </c>
      <c r="C1478" t="s">
        <v>3052</v>
      </c>
      <c r="D1478" s="2" t="s">
        <v>3053</v>
      </c>
      <c r="E1478" s="1" t="s">
        <v>3051</v>
      </c>
      <c r="F1478" t="s">
        <v>24</v>
      </c>
      <c r="G1478" s="2" t="s">
        <v>3038</v>
      </c>
      <c r="H1478" t="s">
        <v>142</v>
      </c>
      <c r="I1478" t="s">
        <v>462</v>
      </c>
      <c r="J1478" s="6">
        <v>992014</v>
      </c>
      <c r="K1478" s="16">
        <v>669</v>
      </c>
      <c r="L1478" s="16">
        <v>668</v>
      </c>
      <c r="M1478" s="16">
        <v>700</v>
      </c>
      <c r="N1478" s="16">
        <v>665</v>
      </c>
      <c r="O1478" s="16">
        <v>669</v>
      </c>
      <c r="P1478" s="16">
        <v>668</v>
      </c>
      <c r="Q1478" s="16">
        <v>700</v>
      </c>
      <c r="R1478" s="16">
        <v>663</v>
      </c>
      <c r="S1478" s="16">
        <v>668</v>
      </c>
      <c r="T1478" s="16">
        <v>669</v>
      </c>
      <c r="U1478" s="15">
        <v>673.9</v>
      </c>
      <c r="V1478" t="s">
        <v>19</v>
      </c>
      <c r="W1478" t="s">
        <v>28</v>
      </c>
      <c r="X1478">
        <v>11552</v>
      </c>
      <c r="Y1478" s="16">
        <f>VLOOKUP(Tabela1[[#This Row],[SKU]],SKU!A:D,4,0)</f>
        <v>700</v>
      </c>
      <c r="Z1478" s="18">
        <f>IFERROR((Tabela1[[#This Row],[Média]]-Tabela1[[#This Row],[Meta]])/Tabela1[[#This Row],[Meta]],"")</f>
        <v>-3.7285714285714318E-2</v>
      </c>
      <c r="AA1478" s="31">
        <f>Tabela1[[#This Row],[Média]]-Tabela1[[#This Row],[Meta]]</f>
        <v>-26.100000000000023</v>
      </c>
      <c r="AB1478" s="6" t="str">
        <f>VLOOKUP(Tabela1[[#This Row],[SKU]],SKU!A:B,2,0)</f>
        <v>OSTRINHA CG PCT 700G SWIFT</v>
      </c>
      <c r="AC1478" s="6" t="str">
        <f>VLOOKUP(Tabela1[[#This Row],[SKU]],SKU!A:C,3,0)</f>
        <v>PERNA</v>
      </c>
    </row>
    <row r="1479" spans="1:29" x14ac:dyDescent="0.3">
      <c r="A1479" s="2">
        <f>INT(Tabela1[[#This Row],[Data e Hora2]])</f>
        <v>46303</v>
      </c>
      <c r="B1479" s="6" t="str">
        <f>UPPER(TEXT(Tabela1[[#This Row],[Data Corrigida]],"MMM"))</f>
        <v>OUT</v>
      </c>
      <c r="C1479" t="s">
        <v>3054</v>
      </c>
      <c r="D1479" s="2" t="s">
        <v>3055</v>
      </c>
      <c r="E1479" s="1" t="s">
        <v>3056</v>
      </c>
      <c r="F1479" t="s">
        <v>24</v>
      </c>
      <c r="G1479" s="2" t="s">
        <v>3038</v>
      </c>
      <c r="H1479" t="s">
        <v>142</v>
      </c>
      <c r="I1479" t="s">
        <v>462</v>
      </c>
      <c r="J1479" s="6">
        <v>197734</v>
      </c>
      <c r="K1479" s="16">
        <v>1020</v>
      </c>
      <c r="L1479" s="16">
        <v>1028</v>
      </c>
      <c r="M1479" s="16">
        <v>1019</v>
      </c>
      <c r="N1479" s="16">
        <v>1018</v>
      </c>
      <c r="O1479" s="16">
        <v>1019</v>
      </c>
      <c r="P1479" s="16">
        <v>1023</v>
      </c>
      <c r="Q1479" s="16">
        <v>1020</v>
      </c>
      <c r="R1479" s="16">
        <v>1057</v>
      </c>
      <c r="S1479" s="16">
        <v>1022</v>
      </c>
      <c r="T1479" s="16">
        <v>1022</v>
      </c>
      <c r="U1479" s="15">
        <v>1024.8</v>
      </c>
      <c r="V1479" t="s">
        <v>19</v>
      </c>
      <c r="W1479" t="s">
        <v>28</v>
      </c>
      <c r="X1479">
        <v>130</v>
      </c>
      <c r="Y1479" s="16">
        <f>VLOOKUP(Tabela1[[#This Row],[SKU]],SKU!A:D,4,0)</f>
        <v>1000</v>
      </c>
      <c r="Z1479" s="18">
        <f>IFERROR((Tabela1[[#This Row],[Média]]-Tabela1[[#This Row],[Meta]])/Tabela1[[#This Row],[Meta]],"")</f>
        <v>2.4799999999999954E-2</v>
      </c>
      <c r="AA1479" s="31">
        <f>Tabela1[[#This Row],[Média]]-Tabela1[[#This Row],[Meta]]</f>
        <v>24.799999999999955</v>
      </c>
      <c r="AB1479" s="6" t="str">
        <f>VLOOKUP(Tabela1[[#This Row],[SKU]],SKU!A:B,2,0)</f>
        <v>FILEZINHO FRANGO IQF ALM SE</v>
      </c>
      <c r="AC1479" s="6" t="str">
        <f>VLOOKUP(Tabela1[[#This Row],[SKU]],SKU!A:C,3,0)</f>
        <v>SASSAMI</v>
      </c>
    </row>
    <row r="1480" spans="1:29" x14ac:dyDescent="0.3">
      <c r="A1480" s="2">
        <f>INT(Tabela1[[#This Row],[Data e Hora2]])</f>
        <v>46302</v>
      </c>
      <c r="B1480" s="6" t="str">
        <f>UPPER(TEXT(Tabela1[[#This Row],[Data Corrigida]],"MMM"))</f>
        <v>OUT</v>
      </c>
      <c r="C1480" t="s">
        <v>3057</v>
      </c>
      <c r="D1480" s="2" t="s">
        <v>3058</v>
      </c>
      <c r="E1480" s="1" t="s">
        <v>3059</v>
      </c>
      <c r="F1480" t="s">
        <v>24</v>
      </c>
      <c r="G1480" s="2" t="s">
        <v>3060</v>
      </c>
      <c r="H1480" t="s">
        <v>142</v>
      </c>
      <c r="I1480" t="s">
        <v>462</v>
      </c>
      <c r="J1480" s="6">
        <v>992014</v>
      </c>
      <c r="K1480" s="16">
        <v>700</v>
      </c>
      <c r="L1480" s="16">
        <v>699</v>
      </c>
      <c r="M1480" s="16">
        <v>698</v>
      </c>
      <c r="N1480" s="16">
        <v>699</v>
      </c>
      <c r="O1480" s="16">
        <v>696</v>
      </c>
      <c r="P1480" s="16">
        <v>698</v>
      </c>
      <c r="Q1480" s="16">
        <v>700</v>
      </c>
      <c r="R1480" s="16">
        <v>698</v>
      </c>
      <c r="S1480" s="16">
        <v>699</v>
      </c>
      <c r="T1480" s="16">
        <v>700</v>
      </c>
      <c r="U1480" s="15">
        <v>698.7</v>
      </c>
      <c r="V1480" t="s">
        <v>19</v>
      </c>
      <c r="W1480" t="s">
        <v>28</v>
      </c>
      <c r="X1480">
        <v>75715</v>
      </c>
      <c r="Y1480" s="16">
        <f>VLOOKUP(Tabela1[[#This Row],[SKU]],SKU!A:D,4,0)</f>
        <v>700</v>
      </c>
      <c r="Z1480" s="18">
        <f>IFERROR((Tabela1[[#This Row],[Média]]-Tabela1[[#This Row],[Meta]])/Tabela1[[#This Row],[Meta]],"")</f>
        <v>-1.8571428571427923E-3</v>
      </c>
      <c r="AA1480" s="31">
        <f>Tabela1[[#This Row],[Média]]-Tabela1[[#This Row],[Meta]]</f>
        <v>-1.2999999999999545</v>
      </c>
      <c r="AB1480" s="6" t="str">
        <f>VLOOKUP(Tabela1[[#This Row],[SKU]],SKU!A:B,2,0)</f>
        <v>OSTRINHA CG PCT 700G SWIFT</v>
      </c>
      <c r="AC1480" s="6" t="str">
        <f>VLOOKUP(Tabela1[[#This Row],[SKU]],SKU!A:C,3,0)</f>
        <v>PERNA</v>
      </c>
    </row>
    <row r="1481" spans="1:29" x14ac:dyDescent="0.3">
      <c r="A1481" s="2">
        <f>INT(Tabela1[[#This Row],[Data e Hora2]])</f>
        <v>46302</v>
      </c>
      <c r="B1481" s="6" t="str">
        <f>UPPER(TEXT(Tabela1[[#This Row],[Data Corrigida]],"MMM"))</f>
        <v>OUT</v>
      </c>
      <c r="C1481" t="s">
        <v>3061</v>
      </c>
      <c r="D1481" s="2" t="s">
        <v>3062</v>
      </c>
      <c r="E1481" s="1" t="s">
        <v>3063</v>
      </c>
      <c r="F1481" t="s">
        <v>24</v>
      </c>
      <c r="G1481" s="2" t="s">
        <v>3060</v>
      </c>
      <c r="H1481" t="s">
        <v>142</v>
      </c>
      <c r="I1481" t="s">
        <v>462</v>
      </c>
      <c r="J1481" s="6">
        <v>43784</v>
      </c>
      <c r="K1481" s="16">
        <v>1000</v>
      </c>
      <c r="L1481" s="16">
        <v>999</v>
      </c>
      <c r="M1481" s="16">
        <v>997</v>
      </c>
      <c r="N1481" s="16">
        <v>999</v>
      </c>
      <c r="O1481" s="16">
        <v>100</v>
      </c>
      <c r="P1481" s="16">
        <v>998</v>
      </c>
      <c r="Q1481" s="16">
        <v>996</v>
      </c>
      <c r="R1481" s="16">
        <v>999</v>
      </c>
      <c r="S1481" s="16">
        <v>996</v>
      </c>
      <c r="T1481" s="16">
        <v>999</v>
      </c>
      <c r="U1481" s="15">
        <v>908.3</v>
      </c>
      <c r="V1481" t="s">
        <v>19</v>
      </c>
      <c r="W1481" t="s">
        <v>28</v>
      </c>
      <c r="X1481">
        <v>75514</v>
      </c>
      <c r="Y1481" s="16">
        <f>VLOOKUP(Tabela1[[#This Row],[SKU]],SKU!A:D,4,0)</f>
        <v>1000</v>
      </c>
      <c r="Z1481" s="18">
        <f>IFERROR((Tabela1[[#This Row],[Média]]-Tabela1[[#This Row],[Meta]])/Tabela1[[#This Row],[Meta]],"")</f>
        <v>-9.1700000000000045E-2</v>
      </c>
      <c r="AA1481" s="31">
        <f>Tabela1[[#This Row],[Média]]-Tabela1[[#This Row],[Meta]]</f>
        <v>-91.700000000000045</v>
      </c>
      <c r="AB1481" s="6" t="str">
        <f>VLOOKUP(Tabela1[[#This Row],[SKU]],SKU!A:B,2,0)</f>
        <v>CARTILAGEM PEITO FG PB</v>
      </c>
      <c r="AC1481" s="6" t="str">
        <f>VLOOKUP(Tabela1[[#This Row],[SKU]],SKU!A:C,3,0)</f>
        <v>CARTILAGEM PEITO</v>
      </c>
    </row>
    <row r="1482" spans="1:29" x14ac:dyDescent="0.3">
      <c r="A1482" s="2">
        <f>INT(Tabela1[[#This Row],[Data e Hora2]])</f>
        <v>46303</v>
      </c>
      <c r="B1482" s="6" t="str">
        <f>UPPER(TEXT(Tabela1[[#This Row],[Data Corrigida]],"MMM"))</f>
        <v>OUT</v>
      </c>
      <c r="C1482" t="s">
        <v>3064</v>
      </c>
      <c r="D1482" s="2" t="s">
        <v>3065</v>
      </c>
      <c r="E1482" s="1" t="s">
        <v>3066</v>
      </c>
      <c r="F1482" t="s">
        <v>24</v>
      </c>
      <c r="G1482" s="2" t="s">
        <v>3038</v>
      </c>
      <c r="H1482" t="s">
        <v>142</v>
      </c>
      <c r="I1482" t="s">
        <v>462</v>
      </c>
      <c r="J1482" s="6">
        <v>15105</v>
      </c>
      <c r="K1482" s="16">
        <v>1022</v>
      </c>
      <c r="L1482" s="16">
        <v>1036</v>
      </c>
      <c r="M1482" s="16">
        <v>1000</v>
      </c>
      <c r="N1482" s="16">
        <v>1002</v>
      </c>
      <c r="O1482" s="16">
        <v>1026</v>
      </c>
      <c r="P1482" s="16">
        <v>1011</v>
      </c>
      <c r="Q1482" s="16">
        <v>991</v>
      </c>
      <c r="R1482" s="16">
        <v>1014</v>
      </c>
      <c r="S1482" s="16">
        <v>1021</v>
      </c>
      <c r="T1482" s="16">
        <v>1017</v>
      </c>
      <c r="U1482" s="15">
        <v>1014</v>
      </c>
      <c r="V1482" t="s">
        <v>19</v>
      </c>
      <c r="W1482" t="s">
        <v>28</v>
      </c>
      <c r="X1482">
        <v>215</v>
      </c>
      <c r="Y1482" s="16">
        <f>VLOOKUP(Tabela1[[#This Row],[SKU]],SKU!A:D,4,0)</f>
        <v>1000</v>
      </c>
      <c r="Z1482" s="18">
        <f>IFERROR((Tabela1[[#This Row],[Média]]-Tabela1[[#This Row],[Meta]])/Tabela1[[#This Row],[Meta]],"")</f>
        <v>1.4E-2</v>
      </c>
      <c r="AA1482" s="31">
        <f>Tabela1[[#This Row],[Média]]-Tabela1[[#This Row],[Meta]]</f>
        <v>14</v>
      </c>
      <c r="AB1482" s="6" t="str">
        <f>VLOOKUP(Tabela1[[#This Row],[SKU]],SKU!A:B,2,0)</f>
        <v>FILE PEITO MET CG BDJ SE</v>
      </c>
      <c r="AC1482" s="6" t="str">
        <f>VLOOKUP(Tabela1[[#This Row],[SKU]],SKU!A:C,3,0)</f>
        <v>PEITO</v>
      </c>
    </row>
    <row r="1483" spans="1:29" x14ac:dyDescent="0.3">
      <c r="A1483" s="2">
        <f>INT(Tabela1[[#This Row],[Data e Hora2]])</f>
        <v>46302</v>
      </c>
      <c r="B1483" s="6" t="str">
        <f>UPPER(TEXT(Tabela1[[#This Row],[Data Corrigida]],"MMM"))</f>
        <v>OUT</v>
      </c>
      <c r="C1483" t="s">
        <v>3067</v>
      </c>
      <c r="D1483" s="2" t="s">
        <v>3068</v>
      </c>
      <c r="E1483" s="1" t="s">
        <v>3066</v>
      </c>
      <c r="F1483" t="s">
        <v>24</v>
      </c>
      <c r="G1483" s="2" t="s">
        <v>3060</v>
      </c>
      <c r="H1483" t="s">
        <v>142</v>
      </c>
      <c r="I1483" t="s">
        <v>462</v>
      </c>
      <c r="J1483" s="6">
        <v>15105</v>
      </c>
      <c r="K1483" s="16">
        <v>995</v>
      </c>
      <c r="L1483" s="16">
        <v>1014</v>
      </c>
      <c r="M1483" s="16">
        <v>1044</v>
      </c>
      <c r="N1483" s="16">
        <v>1040</v>
      </c>
      <c r="O1483" s="16">
        <v>994</v>
      </c>
      <c r="P1483" s="16">
        <v>1019</v>
      </c>
      <c r="Q1483" s="16">
        <v>1016</v>
      </c>
      <c r="R1483" s="16">
        <v>1041</v>
      </c>
      <c r="S1483" s="16">
        <v>1000</v>
      </c>
      <c r="T1483" s="16">
        <v>998</v>
      </c>
      <c r="U1483" s="15">
        <v>1016.1</v>
      </c>
      <c r="V1483" t="s">
        <v>19</v>
      </c>
      <c r="W1483" t="s">
        <v>28</v>
      </c>
      <c r="X1483">
        <v>205</v>
      </c>
      <c r="Y1483" s="16">
        <f>VLOOKUP(Tabela1[[#This Row],[SKU]],SKU!A:D,4,0)</f>
        <v>1000</v>
      </c>
      <c r="Z1483" s="18">
        <f>IFERROR((Tabela1[[#This Row],[Média]]-Tabela1[[#This Row],[Meta]])/Tabela1[[#This Row],[Meta]],"")</f>
        <v>1.6100000000000024E-2</v>
      </c>
      <c r="AA1483" s="31">
        <f>Tabela1[[#This Row],[Média]]-Tabela1[[#This Row],[Meta]]</f>
        <v>16.100000000000023</v>
      </c>
      <c r="AB1483" s="6" t="str">
        <f>VLOOKUP(Tabela1[[#This Row],[SKU]],SKU!A:B,2,0)</f>
        <v>FILE PEITO MET CG BDJ SE</v>
      </c>
      <c r="AC1483" s="6" t="str">
        <f>VLOOKUP(Tabela1[[#This Row],[SKU]],SKU!A:C,3,0)</f>
        <v>PEITO</v>
      </c>
    </row>
    <row r="1484" spans="1:29" x14ac:dyDescent="0.3">
      <c r="A1484" s="2">
        <f>INT(Tabela1[[#This Row],[Data e Hora2]])</f>
        <v>46302</v>
      </c>
      <c r="B1484" s="6" t="str">
        <f>UPPER(TEXT(Tabela1[[#This Row],[Data Corrigida]],"MMM"))</f>
        <v>OUT</v>
      </c>
      <c r="C1484" t="s">
        <v>3069</v>
      </c>
      <c r="D1484" s="2" t="s">
        <v>3070</v>
      </c>
      <c r="E1484" s="1" t="s">
        <v>3071</v>
      </c>
      <c r="F1484" t="s">
        <v>24</v>
      </c>
      <c r="G1484" s="2" t="s">
        <v>3060</v>
      </c>
      <c r="H1484" t="s">
        <v>26</v>
      </c>
      <c r="I1484" t="s">
        <v>27</v>
      </c>
      <c r="J1484" s="6">
        <v>992014</v>
      </c>
      <c r="K1484" s="16">
        <v>702</v>
      </c>
      <c r="L1484" s="16">
        <v>700</v>
      </c>
      <c r="M1484" s="16">
        <v>700</v>
      </c>
      <c r="N1484" s="16">
        <v>702</v>
      </c>
      <c r="O1484" s="16">
        <v>700</v>
      </c>
      <c r="P1484" s="16">
        <v>701</v>
      </c>
      <c r="Q1484" s="16">
        <v>703</v>
      </c>
      <c r="R1484" s="16">
        <v>700</v>
      </c>
      <c r="S1484" s="16">
        <v>705</v>
      </c>
      <c r="T1484" s="16">
        <v>706</v>
      </c>
      <c r="U1484" s="15">
        <v>701.9</v>
      </c>
      <c r="V1484" t="s">
        <v>19</v>
      </c>
      <c r="W1484" t="s">
        <v>28</v>
      </c>
      <c r="X1484">
        <v>4538</v>
      </c>
      <c r="Y1484" s="16">
        <f>VLOOKUP(Tabela1[[#This Row],[SKU]],SKU!A:D,4,0)</f>
        <v>700</v>
      </c>
      <c r="Z1484" s="18">
        <f>IFERROR((Tabela1[[#This Row],[Média]]-Tabela1[[#This Row],[Meta]])/Tabela1[[#This Row],[Meta]],"")</f>
        <v>2.7142857142856817E-3</v>
      </c>
      <c r="AA1484" s="31">
        <f>Tabela1[[#This Row],[Média]]-Tabela1[[#This Row],[Meta]]</f>
        <v>1.8999999999999773</v>
      </c>
      <c r="AB1484" s="6" t="str">
        <f>VLOOKUP(Tabela1[[#This Row],[SKU]],SKU!A:B,2,0)</f>
        <v>OSTRINHA CG PCT 700G SWIFT</v>
      </c>
      <c r="AC1484" s="6" t="str">
        <f>VLOOKUP(Tabela1[[#This Row],[SKU]],SKU!A:C,3,0)</f>
        <v>PERNA</v>
      </c>
    </row>
    <row r="1485" spans="1:29" x14ac:dyDescent="0.3">
      <c r="A1485" s="2">
        <f>INT(Tabela1[[#This Row],[Data e Hora2]])</f>
        <v>46302</v>
      </c>
      <c r="B1485" s="6" t="str">
        <f>UPPER(TEXT(Tabela1[[#This Row],[Data Corrigida]],"MMM"))</f>
        <v>OUT</v>
      </c>
      <c r="C1485" t="s">
        <v>3072</v>
      </c>
      <c r="D1485" s="2" t="s">
        <v>3073</v>
      </c>
      <c r="E1485" s="1" t="s">
        <v>3074</v>
      </c>
      <c r="F1485" t="s">
        <v>24</v>
      </c>
      <c r="G1485" s="2" t="s">
        <v>3060</v>
      </c>
      <c r="H1485" t="s">
        <v>26</v>
      </c>
      <c r="I1485" t="s">
        <v>27</v>
      </c>
      <c r="J1485" s="6">
        <v>995638</v>
      </c>
      <c r="K1485" s="16">
        <v>15015</v>
      </c>
      <c r="L1485" s="16">
        <v>15045</v>
      </c>
      <c r="M1485" s="16">
        <v>15040</v>
      </c>
      <c r="N1485" s="16">
        <v>15018</v>
      </c>
      <c r="O1485" s="16">
        <v>15020</v>
      </c>
      <c r="P1485" s="16">
        <v>15015</v>
      </c>
      <c r="Q1485" s="16">
        <v>15005</v>
      </c>
      <c r="R1485" s="16">
        <v>15030</v>
      </c>
      <c r="S1485" s="16">
        <v>14995</v>
      </c>
      <c r="T1485" s="16">
        <v>15010</v>
      </c>
      <c r="U1485" s="15">
        <v>15019.3</v>
      </c>
      <c r="V1485" t="s">
        <v>19</v>
      </c>
      <c r="W1485" t="s">
        <v>28</v>
      </c>
      <c r="X1485">
        <v>31082</v>
      </c>
      <c r="Y1485" s="16">
        <f>VLOOKUP(Tabela1[[#This Row],[SKU]],SKU!A:D,4,0)</f>
        <v>15000</v>
      </c>
      <c r="Z1485" s="18">
        <f>IFERROR((Tabela1[[#This Row],[Média]]-Tabela1[[#This Row],[Meta]])/Tabela1[[#This Row],[Meta]],"")</f>
        <v>1.2866666666666181E-3</v>
      </c>
      <c r="AA1485" s="31">
        <f>Tabela1[[#This Row],[Média]]-Tabela1[[#This Row],[Meta]]</f>
        <v>19.299999999999272</v>
      </c>
      <c r="AB1485" s="6" t="str">
        <f>VLOOKUP(Tabela1[[#This Row],[SKU]],SKU!A:B,2,0)</f>
        <v>MEIO DA ASA 40-50G LP</v>
      </c>
      <c r="AC1485" s="6" t="str">
        <f>VLOOKUP(Tabela1[[#This Row],[SKU]],SKU!A:C,3,0)</f>
        <v>ASA</v>
      </c>
    </row>
    <row r="1486" spans="1:29" x14ac:dyDescent="0.3">
      <c r="A1486" s="2">
        <f>INT(Tabela1[[#This Row],[Data e Hora2]])</f>
        <v>46302</v>
      </c>
      <c r="B1486" s="6" t="str">
        <f>UPPER(TEXT(Tabela1[[#This Row],[Data Corrigida]],"MMM"))</f>
        <v>OUT</v>
      </c>
      <c r="C1486" t="s">
        <v>3075</v>
      </c>
      <c r="D1486" s="2" t="s">
        <v>3076</v>
      </c>
      <c r="E1486" s="1" t="s">
        <v>3077</v>
      </c>
      <c r="F1486" t="s">
        <v>24</v>
      </c>
      <c r="G1486" s="2" t="s">
        <v>3060</v>
      </c>
      <c r="H1486" t="s">
        <v>26</v>
      </c>
      <c r="I1486" t="s">
        <v>27</v>
      </c>
      <c r="J1486" s="6">
        <v>963925</v>
      </c>
      <c r="K1486" s="16">
        <v>18250</v>
      </c>
      <c r="L1486" s="16">
        <v>18205</v>
      </c>
      <c r="M1486" s="16">
        <v>18195</v>
      </c>
      <c r="N1486" s="16">
        <v>18010</v>
      </c>
      <c r="O1486" s="16">
        <v>18045</v>
      </c>
      <c r="P1486" s="16">
        <v>18105</v>
      </c>
      <c r="Q1486" s="16">
        <v>18155</v>
      </c>
      <c r="R1486" s="16">
        <v>18140</v>
      </c>
      <c r="S1486" s="16">
        <v>18170</v>
      </c>
      <c r="T1486" s="16">
        <v>18000</v>
      </c>
      <c r="U1486" s="15">
        <v>18127.5</v>
      </c>
      <c r="V1486" t="s">
        <v>19</v>
      </c>
      <c r="W1486" t="s">
        <v>28</v>
      </c>
      <c r="X1486">
        <v>4210</v>
      </c>
      <c r="Y1486" s="16">
        <f>VLOOKUP(Tabela1[[#This Row],[SKU]],SKU!A:D,4,0)</f>
        <v>18000</v>
      </c>
      <c r="Z1486" s="18">
        <f>IFERROR((Tabela1[[#This Row],[Média]]-Tabela1[[#This Row],[Meta]])/Tabela1[[#This Row],[Meta]],"")</f>
        <v>7.083333333333333E-3</v>
      </c>
      <c r="AA1486" s="31">
        <f>Tabela1[[#This Row],[Média]]-Tabela1[[#This Row],[Meta]]</f>
        <v>127.5</v>
      </c>
      <c r="AB1486" s="6" t="str">
        <f>VLOOKUP(Tabela1[[#This Row],[SKU]],SKU!A:B,2,0)</f>
        <v>COXINHA DA ASA FG CG PCT</v>
      </c>
      <c r="AC1486" s="6" t="str">
        <f>VLOOKUP(Tabela1[[#This Row],[SKU]],SKU!A:C,3,0)</f>
        <v>ASA</v>
      </c>
    </row>
    <row r="1487" spans="1:29" x14ac:dyDescent="0.3">
      <c r="A1487" s="2">
        <f>INT(Tabela1[[#This Row],[Data e Hora2]])</f>
        <v>46302</v>
      </c>
      <c r="B1487" s="6" t="str">
        <f>UPPER(TEXT(Tabela1[[#This Row],[Data Corrigida]],"MMM"))</f>
        <v>OUT</v>
      </c>
      <c r="C1487" t="s">
        <v>3078</v>
      </c>
      <c r="D1487" s="2" t="s">
        <v>3079</v>
      </c>
      <c r="E1487" s="1" t="s">
        <v>3077</v>
      </c>
      <c r="F1487" t="s">
        <v>24</v>
      </c>
      <c r="G1487" s="2" t="s">
        <v>3060</v>
      </c>
      <c r="H1487" t="s">
        <v>26</v>
      </c>
      <c r="I1487" t="s">
        <v>27</v>
      </c>
      <c r="J1487" s="6">
        <v>209069</v>
      </c>
      <c r="K1487" s="16">
        <v>1095</v>
      </c>
      <c r="L1487" s="16">
        <v>1099</v>
      </c>
      <c r="M1487" s="16">
        <v>1092</v>
      </c>
      <c r="N1487" s="16">
        <v>1000</v>
      </c>
      <c r="O1487" s="16">
        <v>1006</v>
      </c>
      <c r="P1487" s="16">
        <v>1000</v>
      </c>
      <c r="Q1487" s="16">
        <v>1000</v>
      </c>
      <c r="R1487" s="16">
        <v>1073</v>
      </c>
      <c r="S1487" s="16">
        <v>1078</v>
      </c>
      <c r="T1487" s="16">
        <v>1074</v>
      </c>
      <c r="U1487" s="15">
        <v>1051.7</v>
      </c>
      <c r="V1487" t="s">
        <v>19</v>
      </c>
      <c r="W1487" t="s">
        <v>28</v>
      </c>
      <c r="X1487">
        <v>5022</v>
      </c>
      <c r="Y1487" s="16">
        <f>VLOOKUP(Tabela1[[#This Row],[SKU]],SKU!A:D,4,0)</f>
        <v>1000</v>
      </c>
      <c r="Z1487" s="18">
        <f>IFERROR((Tabela1[[#This Row],[Média]]-Tabela1[[#This Row],[Meta]])/Tabela1[[#This Row],[Meta]],"")</f>
        <v>5.1700000000000045E-2</v>
      </c>
      <c r="AA1487" s="31">
        <f>Tabela1[[#This Row],[Média]]-Tabela1[[#This Row],[Meta]]</f>
        <v>51.700000000000045</v>
      </c>
      <c r="AB1487" s="6" t="str">
        <f>VLOOKUP(Tabela1[[#This Row],[SKU]],SKU!A:B,2,0)</f>
        <v>FILE PEITO CG IQF1KG</v>
      </c>
      <c r="AC1487" s="6" t="str">
        <f>VLOOKUP(Tabela1[[#This Row],[SKU]],SKU!A:C,3,0)</f>
        <v>PEITO</v>
      </c>
    </row>
    <row r="1488" spans="1:29" x14ac:dyDescent="0.3">
      <c r="A1488" s="2">
        <f>INT(Tabela1[[#This Row],[Data e Hora2]])</f>
        <v>46302</v>
      </c>
      <c r="B1488" s="6" t="str">
        <f>UPPER(TEXT(Tabela1[[#This Row],[Data Corrigida]],"MMM"))</f>
        <v>OUT</v>
      </c>
      <c r="C1488" t="s">
        <v>3080</v>
      </c>
      <c r="D1488" s="2" t="s">
        <v>3081</v>
      </c>
      <c r="E1488" s="1" t="s">
        <v>3077</v>
      </c>
      <c r="F1488" t="s">
        <v>24</v>
      </c>
      <c r="G1488" s="2" t="s">
        <v>3060</v>
      </c>
      <c r="H1488" t="s">
        <v>26</v>
      </c>
      <c r="I1488" t="s">
        <v>27</v>
      </c>
      <c r="J1488" s="6">
        <v>209319</v>
      </c>
      <c r="K1488" s="16">
        <v>1051</v>
      </c>
      <c r="L1488" s="16">
        <v>1002</v>
      </c>
      <c r="M1488" s="16">
        <v>1001</v>
      </c>
      <c r="N1488" s="16">
        <v>1062</v>
      </c>
      <c r="O1488" s="16">
        <v>1014</v>
      </c>
      <c r="P1488" s="16">
        <v>1020</v>
      </c>
      <c r="Q1488" s="16">
        <v>1023</v>
      </c>
      <c r="R1488" s="16">
        <v>1027</v>
      </c>
      <c r="S1488" s="16">
        <v>1002</v>
      </c>
      <c r="T1488" s="16">
        <v>1037</v>
      </c>
      <c r="U1488" s="15">
        <v>1023.9</v>
      </c>
      <c r="V1488" t="s">
        <v>19</v>
      </c>
      <c r="W1488" t="s">
        <v>28</v>
      </c>
      <c r="X1488">
        <v>15158</v>
      </c>
      <c r="Y1488" s="16">
        <f>VLOOKUP(Tabela1[[#This Row],[SKU]],SKU!A:D,4,0)</f>
        <v>1000</v>
      </c>
      <c r="Z1488" s="18">
        <f>IFERROR((Tabela1[[#This Row],[Média]]-Tabela1[[#This Row],[Meta]])/Tabela1[[#This Row],[Meta]],"")</f>
        <v>2.3899999999999977E-2</v>
      </c>
      <c r="AA1488" s="31">
        <f>Tabela1[[#This Row],[Média]]-Tabela1[[#This Row],[Meta]]</f>
        <v>23.899999999999977</v>
      </c>
      <c r="AB1488" s="6" t="str">
        <f>VLOOKUP(Tabela1[[#This Row],[SKU]],SKU!A:B,2,0)</f>
        <v>SOBRECOXA IQF ALM 1KG</v>
      </c>
      <c r="AC1488" s="6" t="str">
        <f>VLOOKUP(Tabela1[[#This Row],[SKU]],SKU!A:C,3,0)</f>
        <v>PERNA</v>
      </c>
    </row>
    <row r="1489" spans="1:29" x14ac:dyDescent="0.3">
      <c r="A1489" s="2">
        <f>INT(Tabela1[[#This Row],[Data e Hora2]])</f>
        <v>46302</v>
      </c>
      <c r="B1489" s="6" t="str">
        <f>UPPER(TEXT(Tabela1[[#This Row],[Data Corrigida]],"MMM"))</f>
        <v>OUT</v>
      </c>
      <c r="C1489" t="s">
        <v>3082</v>
      </c>
      <c r="D1489" s="2" t="s">
        <v>3083</v>
      </c>
      <c r="E1489" s="1" t="s">
        <v>3077</v>
      </c>
      <c r="F1489" t="s">
        <v>24</v>
      </c>
      <c r="G1489" s="2" t="s">
        <v>3060</v>
      </c>
      <c r="H1489" t="s">
        <v>26</v>
      </c>
      <c r="I1489" t="s">
        <v>27</v>
      </c>
      <c r="J1489" s="6">
        <v>963925</v>
      </c>
      <c r="K1489" s="16">
        <v>18025</v>
      </c>
      <c r="L1489" s="16">
        <v>18330</v>
      </c>
      <c r="M1489" s="16">
        <v>18440</v>
      </c>
      <c r="N1489" s="16">
        <v>18425</v>
      </c>
      <c r="O1489" s="16">
        <v>18305</v>
      </c>
      <c r="P1489" s="16">
        <v>18020</v>
      </c>
      <c r="Q1489" s="16">
        <v>18055</v>
      </c>
      <c r="R1489" s="16">
        <v>18085</v>
      </c>
      <c r="S1489" s="16">
        <v>18110</v>
      </c>
      <c r="T1489" s="16">
        <v>18095</v>
      </c>
      <c r="U1489" s="15">
        <v>18189</v>
      </c>
      <c r="V1489" t="s">
        <v>19</v>
      </c>
      <c r="W1489" t="s">
        <v>28</v>
      </c>
      <c r="X1489">
        <v>16103</v>
      </c>
      <c r="Y1489" s="16">
        <f>VLOOKUP(Tabela1[[#This Row],[SKU]],SKU!A:D,4,0)</f>
        <v>18000</v>
      </c>
      <c r="Z1489" s="18">
        <f>IFERROR((Tabela1[[#This Row],[Média]]-Tabela1[[#This Row],[Meta]])/Tabela1[[#This Row],[Meta]],"")</f>
        <v>1.0500000000000001E-2</v>
      </c>
      <c r="AA1489" s="31">
        <f>Tabela1[[#This Row],[Média]]-Tabela1[[#This Row],[Meta]]</f>
        <v>189</v>
      </c>
      <c r="AB1489" s="6" t="str">
        <f>VLOOKUP(Tabela1[[#This Row],[SKU]],SKU!A:B,2,0)</f>
        <v>COXINHA DA ASA FG CG PCT</v>
      </c>
      <c r="AC1489" s="6" t="str">
        <f>VLOOKUP(Tabela1[[#This Row],[SKU]],SKU!A:C,3,0)</f>
        <v>ASA</v>
      </c>
    </row>
    <row r="1490" spans="1:29" x14ac:dyDescent="0.3">
      <c r="A1490" s="2">
        <f>INT(Tabela1[[#This Row],[Data e Hora2]])</f>
        <v>46302</v>
      </c>
      <c r="B1490" s="6" t="str">
        <f>UPPER(TEXT(Tabela1[[#This Row],[Data Corrigida]],"MMM"))</f>
        <v>OUT</v>
      </c>
      <c r="C1490" t="s">
        <v>3084</v>
      </c>
      <c r="D1490" s="2" t="s">
        <v>3085</v>
      </c>
      <c r="E1490" s="1" t="s">
        <v>3077</v>
      </c>
      <c r="F1490" t="s">
        <v>24</v>
      </c>
      <c r="G1490" s="2" t="s">
        <v>3060</v>
      </c>
      <c r="H1490" t="s">
        <v>26</v>
      </c>
      <c r="I1490" t="s">
        <v>27</v>
      </c>
      <c r="J1490" s="6">
        <v>40762</v>
      </c>
      <c r="K1490" s="16">
        <v>10040</v>
      </c>
      <c r="L1490" s="16">
        <v>9985</v>
      </c>
      <c r="M1490" s="16">
        <v>10035</v>
      </c>
      <c r="N1490" s="16">
        <v>10000</v>
      </c>
      <c r="O1490" s="16">
        <v>10025</v>
      </c>
      <c r="P1490" s="16">
        <v>10115</v>
      </c>
      <c r="Q1490" s="16">
        <v>10005</v>
      </c>
      <c r="R1490" s="16">
        <v>10100</v>
      </c>
      <c r="S1490" s="16">
        <v>10055</v>
      </c>
      <c r="T1490" s="16">
        <v>9965</v>
      </c>
      <c r="U1490" s="15">
        <v>10032.5</v>
      </c>
      <c r="V1490" t="s">
        <v>19</v>
      </c>
      <c r="W1490" t="s">
        <v>28</v>
      </c>
      <c r="X1490">
        <v>176</v>
      </c>
      <c r="Y1490" s="16">
        <f>VLOOKUP(Tabela1[[#This Row],[SKU]],SKU!A:D,4,0)</f>
        <v>10000</v>
      </c>
      <c r="Z1490" s="18">
        <f>IFERROR((Tabela1[[#This Row],[Média]]-Tabela1[[#This Row],[Meta]])/Tabela1[[#This Row],[Meta]],"")</f>
        <v>3.2499999999999999E-3</v>
      </c>
      <c r="AA1490" s="31">
        <f>Tabela1[[#This Row],[Média]]-Tabela1[[#This Row],[Meta]]</f>
        <v>32.5</v>
      </c>
      <c r="AB1490" s="6" t="str">
        <f>VLOOKUP(Tabela1[[#This Row],[SKU]],SKU!A:B,2,0)</f>
        <v>COXA SBCX LQ FG LP</v>
      </c>
      <c r="AC1490" s="6" t="str">
        <f>VLOOKUP(Tabela1[[#This Row],[SKU]],SKU!A:C,3,0)</f>
        <v>PERNA</v>
      </c>
    </row>
    <row r="1491" spans="1:29" x14ac:dyDescent="0.3">
      <c r="A1491" s="2">
        <f>INT(Tabela1[[#This Row],[Data e Hora2]])</f>
        <v>46302</v>
      </c>
      <c r="B1491" s="6" t="str">
        <f>UPPER(TEXT(Tabela1[[#This Row],[Data Corrigida]],"MMM"))</f>
        <v>OUT</v>
      </c>
      <c r="C1491" t="s">
        <v>3086</v>
      </c>
      <c r="D1491" s="2" t="s">
        <v>3087</v>
      </c>
      <c r="E1491" s="1" t="s">
        <v>3077</v>
      </c>
      <c r="F1491" t="s">
        <v>24</v>
      </c>
      <c r="G1491" s="2" t="s">
        <v>3060</v>
      </c>
      <c r="H1491" t="s">
        <v>26</v>
      </c>
      <c r="I1491" t="s">
        <v>27</v>
      </c>
      <c r="J1491" s="6">
        <v>40762</v>
      </c>
      <c r="K1491" s="16">
        <v>9985</v>
      </c>
      <c r="L1491" s="16">
        <v>10055</v>
      </c>
      <c r="M1491" s="16">
        <v>10005</v>
      </c>
      <c r="N1491" s="16">
        <v>9965</v>
      </c>
      <c r="O1491" s="16">
        <v>10050</v>
      </c>
      <c r="P1491" s="16">
        <v>9970</v>
      </c>
      <c r="Q1491" s="16">
        <v>10000</v>
      </c>
      <c r="R1491" s="16">
        <v>9975</v>
      </c>
      <c r="S1491" s="16">
        <v>10055</v>
      </c>
      <c r="T1491" s="16">
        <v>10025</v>
      </c>
      <c r="U1491" s="15">
        <v>10008.5</v>
      </c>
      <c r="V1491" t="s">
        <v>19</v>
      </c>
      <c r="W1491" t="s">
        <v>28</v>
      </c>
      <c r="X1491">
        <v>16589</v>
      </c>
      <c r="Y1491" s="16">
        <f>VLOOKUP(Tabela1[[#This Row],[SKU]],SKU!A:D,4,0)</f>
        <v>10000</v>
      </c>
      <c r="Z1491" s="18">
        <f>IFERROR((Tabela1[[#This Row],[Média]]-Tabela1[[#This Row],[Meta]])/Tabela1[[#This Row],[Meta]],"")</f>
        <v>8.4999999999999995E-4</v>
      </c>
      <c r="AA1491" s="31">
        <f>Tabela1[[#This Row],[Média]]-Tabela1[[#This Row],[Meta]]</f>
        <v>8.5</v>
      </c>
      <c r="AB1491" s="6" t="str">
        <f>VLOOKUP(Tabela1[[#This Row],[SKU]],SKU!A:B,2,0)</f>
        <v>COXA SBCX LQ FG LP</v>
      </c>
      <c r="AC1491" s="6" t="str">
        <f>VLOOKUP(Tabela1[[#This Row],[SKU]],SKU!A:C,3,0)</f>
        <v>PERNA</v>
      </c>
    </row>
    <row r="1492" spans="1:29" x14ac:dyDescent="0.3">
      <c r="A1492" s="2">
        <f>INT(Tabela1[[#This Row],[Data e Hora2]])</f>
        <v>46302</v>
      </c>
      <c r="B1492" s="6" t="str">
        <f>UPPER(TEXT(Tabela1[[#This Row],[Data Corrigida]],"MMM"))</f>
        <v>OUT</v>
      </c>
      <c r="C1492" t="s">
        <v>3088</v>
      </c>
      <c r="D1492" s="2" t="s">
        <v>3089</v>
      </c>
      <c r="E1492" s="1" t="s">
        <v>3077</v>
      </c>
      <c r="F1492" t="s">
        <v>24</v>
      </c>
      <c r="G1492" s="2" t="s">
        <v>3060</v>
      </c>
      <c r="H1492" t="s">
        <v>26</v>
      </c>
      <c r="I1492" t="s">
        <v>27</v>
      </c>
      <c r="J1492" s="6">
        <v>15105</v>
      </c>
      <c r="K1492" s="16">
        <v>1010</v>
      </c>
      <c r="L1492" s="16">
        <v>1049</v>
      </c>
      <c r="M1492" s="16">
        <v>1038</v>
      </c>
      <c r="N1492" s="16">
        <v>1017</v>
      </c>
      <c r="O1492" s="16">
        <v>1053</v>
      </c>
      <c r="P1492" s="16">
        <v>1004</v>
      </c>
      <c r="Q1492" s="16">
        <v>1014</v>
      </c>
      <c r="R1492" s="16">
        <v>1006</v>
      </c>
      <c r="S1492" s="16">
        <v>1003</v>
      </c>
      <c r="T1492" s="16">
        <v>1047</v>
      </c>
      <c r="U1492" s="15">
        <v>1024.0999999999999</v>
      </c>
      <c r="V1492" t="s">
        <v>19</v>
      </c>
      <c r="W1492" t="s">
        <v>19</v>
      </c>
      <c r="X1492">
        <v>16809</v>
      </c>
      <c r="Y1492" s="16">
        <f>VLOOKUP(Tabela1[[#This Row],[SKU]],SKU!A:D,4,0)</f>
        <v>1000</v>
      </c>
      <c r="Z1492" s="18">
        <f>IFERROR((Tabela1[[#This Row],[Média]]-Tabela1[[#This Row],[Meta]])/Tabela1[[#This Row],[Meta]],"")</f>
        <v>2.409999999999991E-2</v>
      </c>
      <c r="AA1492" s="31">
        <f>Tabela1[[#This Row],[Média]]-Tabela1[[#This Row],[Meta]]</f>
        <v>24.099999999999909</v>
      </c>
      <c r="AB1492" s="6" t="str">
        <f>VLOOKUP(Tabela1[[#This Row],[SKU]],SKU!A:B,2,0)</f>
        <v>FILE PEITO MET CG BDJ SE</v>
      </c>
      <c r="AC1492" s="6" t="str">
        <f>VLOOKUP(Tabela1[[#This Row],[SKU]],SKU!A:C,3,0)</f>
        <v>PEITO</v>
      </c>
    </row>
    <row r="1493" spans="1:29" x14ac:dyDescent="0.3">
      <c r="A1493" s="2">
        <f>INT(Tabela1[[#This Row],[Data e Hora2]])</f>
        <v>46302</v>
      </c>
      <c r="B1493" s="6" t="str">
        <f>UPPER(TEXT(Tabela1[[#This Row],[Data Corrigida]],"MMM"))</f>
        <v>OUT</v>
      </c>
      <c r="C1493" t="s">
        <v>3090</v>
      </c>
      <c r="D1493" s="2" t="s">
        <v>3091</v>
      </c>
      <c r="E1493" s="1" t="s">
        <v>3077</v>
      </c>
      <c r="F1493" t="s">
        <v>24</v>
      </c>
      <c r="G1493" s="2" t="s">
        <v>3060</v>
      </c>
      <c r="H1493" t="s">
        <v>26</v>
      </c>
      <c r="I1493" t="s">
        <v>27</v>
      </c>
      <c r="J1493" s="6">
        <v>42641</v>
      </c>
      <c r="K1493" s="16">
        <v>15000</v>
      </c>
      <c r="L1493" s="16">
        <v>15005</v>
      </c>
      <c r="M1493" s="16">
        <v>15045</v>
      </c>
      <c r="N1493" s="16">
        <v>15025</v>
      </c>
      <c r="O1493" s="16">
        <v>15025</v>
      </c>
      <c r="P1493" s="16">
        <v>15065</v>
      </c>
      <c r="Q1493" s="16">
        <v>15060</v>
      </c>
      <c r="R1493" s="16">
        <v>15040</v>
      </c>
      <c r="S1493" s="16">
        <v>15015</v>
      </c>
      <c r="T1493" s="16">
        <v>15055</v>
      </c>
      <c r="U1493" s="15">
        <v>15033.5</v>
      </c>
      <c r="V1493" t="s">
        <v>19</v>
      </c>
      <c r="W1493" t="s">
        <v>28</v>
      </c>
      <c r="X1493">
        <v>17096</v>
      </c>
      <c r="Y1493" s="16">
        <f>VLOOKUP(Tabela1[[#This Row],[SKU]],SKU!A:D,4,0)</f>
        <v>15000</v>
      </c>
      <c r="Z1493" s="18">
        <f>IFERROR((Tabela1[[#This Row],[Média]]-Tabela1[[#This Row],[Meta]])/Tabela1[[#This Row],[Meta]],"")</f>
        <v>2.2333333333333333E-3</v>
      </c>
      <c r="AA1493" s="31">
        <f>Tabela1[[#This Row],[Média]]-Tabela1[[#This Row],[Meta]]</f>
        <v>33.5</v>
      </c>
      <c r="AB1493" s="6" t="str">
        <f>VLOOKUP(Tabela1[[#This Row],[SKU]],SKU!A:B,2,0)</f>
        <v>ASAS FG 100g UP LP</v>
      </c>
      <c r="AC1493" s="6" t="str">
        <f>VLOOKUP(Tabela1[[#This Row],[SKU]],SKU!A:C,3,0)</f>
        <v>ASA</v>
      </c>
    </row>
    <row r="1494" spans="1:29" x14ac:dyDescent="0.3">
      <c r="A1494" s="2">
        <f>INT(Tabela1[[#This Row],[Data e Hora2]])</f>
        <v>46302</v>
      </c>
      <c r="B1494" s="6" t="str">
        <f>UPPER(TEXT(Tabela1[[#This Row],[Data Corrigida]],"MMM"))</f>
        <v>OUT</v>
      </c>
      <c r="C1494" t="s">
        <v>3092</v>
      </c>
      <c r="D1494" s="2" t="s">
        <v>3093</v>
      </c>
      <c r="E1494" s="1" t="s">
        <v>3077</v>
      </c>
      <c r="F1494" t="s">
        <v>24</v>
      </c>
      <c r="G1494" s="2" t="s">
        <v>3060</v>
      </c>
      <c r="H1494" t="s">
        <v>26</v>
      </c>
      <c r="I1494" t="s">
        <v>27</v>
      </c>
      <c r="J1494" s="6">
        <v>42820</v>
      </c>
      <c r="K1494" s="16">
        <v>2018</v>
      </c>
      <c r="L1494" s="16">
        <v>2048</v>
      </c>
      <c r="M1494" s="16">
        <v>2025</v>
      </c>
      <c r="N1494" s="16">
        <v>2028</v>
      </c>
      <c r="O1494" s="16">
        <v>2022</v>
      </c>
      <c r="P1494" s="16">
        <v>2018</v>
      </c>
      <c r="Q1494" s="16">
        <v>2024</v>
      </c>
      <c r="R1494" s="16">
        <v>2042</v>
      </c>
      <c r="S1494" s="16">
        <v>2040</v>
      </c>
      <c r="T1494" s="16">
        <v>2045</v>
      </c>
      <c r="U1494" s="15">
        <v>2031</v>
      </c>
      <c r="V1494" t="s">
        <v>19</v>
      </c>
      <c r="W1494" t="s">
        <v>19</v>
      </c>
      <c r="X1494">
        <v>19934</v>
      </c>
      <c r="Y1494" s="16">
        <f>VLOOKUP(Tabela1[[#This Row],[SKU]],SKU!A:D,4,0)</f>
        <v>2000</v>
      </c>
      <c r="Z1494" s="18">
        <f>IFERROR((Tabela1[[#This Row],[Média]]-Tabela1[[#This Row],[Meta]])/Tabela1[[#This Row],[Meta]],"")</f>
        <v>1.55E-2</v>
      </c>
      <c r="AA1494" s="31">
        <f>Tabela1[[#This Row],[Média]]-Tabela1[[#This Row],[Meta]]</f>
        <v>31</v>
      </c>
      <c r="AB1494" s="6" t="str">
        <f>VLOOKUP(Tabela1[[#This Row],[SKU]],SKU!A:B,2,0)</f>
        <v>COXA SBCX S/O FG 200-220g PB</v>
      </c>
      <c r="AC1494" s="6" t="str">
        <f>VLOOKUP(Tabela1[[#This Row],[SKU]],SKU!A:C,3,0)</f>
        <v>PERNA</v>
      </c>
    </row>
    <row r="1495" spans="1:29" x14ac:dyDescent="0.3">
      <c r="A1495" s="2">
        <f>INT(Tabela1[[#This Row],[Data e Hora2]])</f>
        <v>46302</v>
      </c>
      <c r="B1495" s="6" t="str">
        <f>UPPER(TEXT(Tabela1[[#This Row],[Data Corrigida]],"MMM"))</f>
        <v>OUT</v>
      </c>
      <c r="C1495" t="s">
        <v>3094</v>
      </c>
      <c r="D1495" s="2" t="s">
        <v>3095</v>
      </c>
      <c r="E1495" s="1" t="s">
        <v>3077</v>
      </c>
      <c r="F1495" t="s">
        <v>24</v>
      </c>
      <c r="G1495" s="2" t="s">
        <v>3060</v>
      </c>
      <c r="H1495" t="s">
        <v>26</v>
      </c>
      <c r="I1495" t="s">
        <v>27</v>
      </c>
      <c r="J1495" s="6">
        <v>42862</v>
      </c>
      <c r="K1495" s="16">
        <v>2038</v>
      </c>
      <c r="L1495" s="16">
        <v>2006</v>
      </c>
      <c r="M1495" s="16">
        <v>2008</v>
      </c>
      <c r="N1495" s="16">
        <v>2023</v>
      </c>
      <c r="O1495" s="16">
        <v>2013</v>
      </c>
      <c r="P1495" s="16">
        <v>2004</v>
      </c>
      <c r="Q1495" s="16">
        <v>2020</v>
      </c>
      <c r="R1495" s="16">
        <v>2012</v>
      </c>
      <c r="S1495" s="16">
        <v>2017</v>
      </c>
      <c r="T1495" s="16">
        <v>2023</v>
      </c>
      <c r="U1495" s="15">
        <v>2016.4</v>
      </c>
      <c r="V1495" t="s">
        <v>19</v>
      </c>
      <c r="W1495" t="s">
        <v>28</v>
      </c>
      <c r="X1495">
        <v>20049</v>
      </c>
      <c r="Y1495" s="16">
        <f>VLOOKUP(Tabela1[[#This Row],[SKU]],SKU!A:D,4,0)</f>
        <v>2000</v>
      </c>
      <c r="Z1495" s="18">
        <f>IFERROR((Tabela1[[#This Row],[Média]]-Tabela1[[#This Row],[Meta]])/Tabela1[[#This Row],[Meta]],"")</f>
        <v>8.2000000000000458E-3</v>
      </c>
      <c r="AA1495" s="31">
        <f>Tabela1[[#This Row],[Média]]-Tabela1[[#This Row],[Meta]]</f>
        <v>16.400000000000091</v>
      </c>
      <c r="AB1495" s="6" t="str">
        <f>VLOOKUP(Tabela1[[#This Row],[SKU]],SKU!A:B,2,0)</f>
        <v>COXA SBCX S/O FG 280-300g PB</v>
      </c>
      <c r="AC1495" s="6" t="str">
        <f>VLOOKUP(Tabela1[[#This Row],[SKU]],SKU!A:C,3,0)</f>
        <v>PERNA</v>
      </c>
    </row>
    <row r="1496" spans="1:29" x14ac:dyDescent="0.3">
      <c r="A1496" s="2">
        <f>INT(Tabela1[[#This Row],[Data e Hora2]])</f>
        <v>46302</v>
      </c>
      <c r="B1496" s="6" t="str">
        <f>UPPER(TEXT(Tabela1[[#This Row],[Data Corrigida]],"MMM"))</f>
        <v>OUT</v>
      </c>
      <c r="C1496" t="s">
        <v>3096</v>
      </c>
      <c r="D1496" s="2" t="s">
        <v>3097</v>
      </c>
      <c r="E1496" s="1" t="s">
        <v>3098</v>
      </c>
      <c r="F1496" t="s">
        <v>24</v>
      </c>
      <c r="G1496" s="2" t="s">
        <v>3060</v>
      </c>
      <c r="H1496" t="s">
        <v>26</v>
      </c>
      <c r="I1496" t="s">
        <v>27</v>
      </c>
      <c r="J1496" s="6">
        <v>42854</v>
      </c>
      <c r="K1496" s="16">
        <v>2040</v>
      </c>
      <c r="L1496" s="16">
        <v>2087</v>
      </c>
      <c r="M1496" s="16">
        <v>2011</v>
      </c>
      <c r="N1496" s="16">
        <v>2095</v>
      </c>
      <c r="O1496" s="16">
        <v>2002</v>
      </c>
      <c r="P1496" s="16">
        <v>2091</v>
      </c>
      <c r="Q1496" s="16">
        <v>2095</v>
      </c>
      <c r="R1496" s="16">
        <v>2106</v>
      </c>
      <c r="S1496" s="16">
        <v>2100</v>
      </c>
      <c r="T1496" s="16">
        <v>2064</v>
      </c>
      <c r="U1496" s="15">
        <v>2069.1</v>
      </c>
      <c r="V1496" t="s">
        <v>19</v>
      </c>
      <c r="W1496" t="s">
        <v>28</v>
      </c>
      <c r="X1496">
        <v>20185</v>
      </c>
      <c r="Y1496" s="16">
        <f>VLOOKUP(Tabela1[[#This Row],[SKU]],SKU!A:D,4,0)</f>
        <v>2080</v>
      </c>
      <c r="Z1496" s="18">
        <f>IFERROR((Tabela1[[#This Row],[Média]]-Tabela1[[#This Row],[Meta]])/Tabela1[[#This Row],[Meta]],"")</f>
        <v>-5.2403846153846589E-3</v>
      </c>
      <c r="AA1496" s="31">
        <f>Tabela1[[#This Row],[Média]]-Tabela1[[#This Row],[Meta]]</f>
        <v>-10.900000000000091</v>
      </c>
      <c r="AB1496" s="6" t="str">
        <f>VLOOKUP(Tabela1[[#This Row],[SKU]],SKU!A:B,2,0)</f>
        <v>COXA SBCX S/O FG 260-280g PB</v>
      </c>
      <c r="AC1496" s="6" t="str">
        <f>VLOOKUP(Tabela1[[#This Row],[SKU]],SKU!A:C,3,0)</f>
        <v>PERNA</v>
      </c>
    </row>
    <row r="1497" spans="1:29" x14ac:dyDescent="0.3">
      <c r="A1497" s="2">
        <f>INT(Tabela1[[#This Row],[Data e Hora2]])</f>
        <v>46302</v>
      </c>
      <c r="B1497" s="6" t="str">
        <f>UPPER(TEXT(Tabela1[[#This Row],[Data Corrigida]],"MMM"))</f>
        <v>OUT</v>
      </c>
      <c r="C1497" t="s">
        <v>3099</v>
      </c>
      <c r="D1497" s="2" t="s">
        <v>3100</v>
      </c>
      <c r="E1497" s="1" t="s">
        <v>3098</v>
      </c>
      <c r="F1497" t="s">
        <v>24</v>
      </c>
      <c r="G1497" s="2" t="s">
        <v>3060</v>
      </c>
      <c r="H1497" t="s">
        <v>26</v>
      </c>
      <c r="I1497" t="s">
        <v>27</v>
      </c>
      <c r="J1497" s="6">
        <v>42846</v>
      </c>
      <c r="K1497" s="16">
        <v>2017</v>
      </c>
      <c r="L1497" s="16">
        <v>2046</v>
      </c>
      <c r="M1497" s="16">
        <v>2000</v>
      </c>
      <c r="N1497" s="16">
        <v>2033</v>
      </c>
      <c r="O1497" s="16">
        <v>2006</v>
      </c>
      <c r="P1497" s="16">
        <v>2001</v>
      </c>
      <c r="Q1497" s="16">
        <v>2012</v>
      </c>
      <c r="R1497" s="16">
        <v>2010</v>
      </c>
      <c r="S1497" s="16">
        <v>2019</v>
      </c>
      <c r="T1497" s="16">
        <v>2013</v>
      </c>
      <c r="U1497" s="15">
        <v>2015.7</v>
      </c>
      <c r="V1497" t="s">
        <v>19</v>
      </c>
      <c r="W1497" t="s">
        <v>19</v>
      </c>
      <c r="X1497">
        <v>20301</v>
      </c>
      <c r="Y1497" s="16">
        <f>VLOOKUP(Tabela1[[#This Row],[SKU]],SKU!A:D,4,0)</f>
        <v>2000</v>
      </c>
      <c r="Z1497" s="18">
        <f>IFERROR((Tabela1[[#This Row],[Média]]-Tabela1[[#This Row],[Meta]])/Tabela1[[#This Row],[Meta]],"")</f>
        <v>7.8500000000000219E-3</v>
      </c>
      <c r="AA1497" s="31">
        <f>Tabela1[[#This Row],[Média]]-Tabela1[[#This Row],[Meta]]</f>
        <v>15.700000000000045</v>
      </c>
      <c r="AB1497" s="6" t="str">
        <f>VLOOKUP(Tabela1[[#This Row],[SKU]],SKU!A:B,2,0)</f>
        <v>COXA SBCX S/O FG 240-260g PB</v>
      </c>
      <c r="AC1497" s="6" t="str">
        <f>VLOOKUP(Tabela1[[#This Row],[SKU]],SKU!A:C,3,0)</f>
        <v>PERNA</v>
      </c>
    </row>
    <row r="1498" spans="1:29" x14ac:dyDescent="0.3">
      <c r="A1498" s="2">
        <f>INT(Tabela1[[#This Row],[Data e Hora2]])</f>
        <v>46302</v>
      </c>
      <c r="B1498" s="6" t="str">
        <f>UPPER(TEXT(Tabela1[[#This Row],[Data Corrigida]],"MMM"))</f>
        <v>OUT</v>
      </c>
      <c r="C1498" t="s">
        <v>3101</v>
      </c>
      <c r="D1498" s="2" t="s">
        <v>3102</v>
      </c>
      <c r="E1498" s="1" t="s">
        <v>3098</v>
      </c>
      <c r="F1498" t="s">
        <v>24</v>
      </c>
      <c r="G1498" s="2" t="s">
        <v>3060</v>
      </c>
      <c r="H1498" t="s">
        <v>26</v>
      </c>
      <c r="I1498" t="s">
        <v>27</v>
      </c>
      <c r="J1498" s="6">
        <v>42838</v>
      </c>
      <c r="K1498" s="16">
        <v>2020</v>
      </c>
      <c r="L1498" s="16">
        <v>2017</v>
      </c>
      <c r="M1498" s="16">
        <v>2020</v>
      </c>
      <c r="N1498" s="16">
        <v>2018</v>
      </c>
      <c r="O1498" s="16">
        <v>2075</v>
      </c>
      <c r="P1498" s="16">
        <v>2005</v>
      </c>
      <c r="Q1498" s="16">
        <v>2028</v>
      </c>
      <c r="R1498" s="16">
        <v>2012</v>
      </c>
      <c r="S1498" s="16">
        <v>2045</v>
      </c>
      <c r="T1498" s="16">
        <v>2041</v>
      </c>
      <c r="U1498" s="15">
        <v>2028.1</v>
      </c>
      <c r="V1498" t="s">
        <v>19</v>
      </c>
      <c r="W1498" t="s">
        <v>28</v>
      </c>
      <c r="X1498">
        <v>20380</v>
      </c>
      <c r="Y1498" s="16">
        <f>VLOOKUP(Tabela1[[#This Row],[SKU]],SKU!A:D,4,0)</f>
        <v>2000</v>
      </c>
      <c r="Z1498" s="18">
        <f>IFERROR((Tabela1[[#This Row],[Média]]-Tabela1[[#This Row],[Meta]])/Tabela1[[#This Row],[Meta]],"")</f>
        <v>1.4049999999999955E-2</v>
      </c>
      <c r="AA1498" s="31">
        <f>Tabela1[[#This Row],[Média]]-Tabela1[[#This Row],[Meta]]</f>
        <v>28.099999999999909</v>
      </c>
      <c r="AB1498" s="6" t="str">
        <f>VLOOKUP(Tabela1[[#This Row],[SKU]],SKU!A:B,2,0)</f>
        <v>COXA SBCX S/O FG 220-240g PB</v>
      </c>
      <c r="AC1498" s="6" t="str">
        <f>VLOOKUP(Tabela1[[#This Row],[SKU]],SKU!A:C,3,0)</f>
        <v>PERNA</v>
      </c>
    </row>
    <row r="1499" spans="1:29" x14ac:dyDescent="0.3">
      <c r="A1499" s="2">
        <f>INT(Tabela1[[#This Row],[Data e Hora2]])</f>
        <v>46302</v>
      </c>
      <c r="B1499" s="6" t="str">
        <f>UPPER(TEXT(Tabela1[[#This Row],[Data Corrigida]],"MMM"))</f>
        <v>OUT</v>
      </c>
      <c r="C1499" t="s">
        <v>3103</v>
      </c>
      <c r="D1499" s="2" t="s">
        <v>3104</v>
      </c>
      <c r="E1499" s="1" t="s">
        <v>3098</v>
      </c>
      <c r="F1499" t="s">
        <v>24</v>
      </c>
      <c r="G1499" s="2" t="s">
        <v>3060</v>
      </c>
      <c r="H1499" t="s">
        <v>26</v>
      </c>
      <c r="I1499" t="s">
        <v>27</v>
      </c>
      <c r="J1499" s="6">
        <v>15105</v>
      </c>
      <c r="K1499" s="16">
        <v>1014</v>
      </c>
      <c r="L1499" s="16">
        <v>1008</v>
      </c>
      <c r="M1499" s="16">
        <v>999</v>
      </c>
      <c r="N1499" s="16">
        <v>990</v>
      </c>
      <c r="O1499" s="16">
        <v>1038</v>
      </c>
      <c r="P1499" s="16">
        <v>1006</v>
      </c>
      <c r="Q1499" s="16">
        <v>1070</v>
      </c>
      <c r="R1499" s="16">
        <v>1006</v>
      </c>
      <c r="S1499" s="16">
        <v>1021</v>
      </c>
      <c r="T1499" s="16">
        <v>1021</v>
      </c>
      <c r="U1499" s="15">
        <v>1017.3</v>
      </c>
      <c r="V1499" t="s">
        <v>19</v>
      </c>
      <c r="W1499" t="s">
        <v>28</v>
      </c>
      <c r="X1499">
        <v>31245</v>
      </c>
      <c r="Y1499" s="16">
        <f>VLOOKUP(Tabela1[[#This Row],[SKU]],SKU!A:D,4,0)</f>
        <v>1000</v>
      </c>
      <c r="Z1499" s="18">
        <f>IFERROR((Tabela1[[#This Row],[Média]]-Tabela1[[#This Row],[Meta]])/Tabela1[[#This Row],[Meta]],"")</f>
        <v>1.7299999999999954E-2</v>
      </c>
      <c r="AA1499" s="31">
        <f>Tabela1[[#This Row],[Média]]-Tabela1[[#This Row],[Meta]]</f>
        <v>17.299999999999955</v>
      </c>
      <c r="AB1499" s="6" t="str">
        <f>VLOOKUP(Tabela1[[#This Row],[SKU]],SKU!A:B,2,0)</f>
        <v>FILE PEITO MET CG BDJ SE</v>
      </c>
      <c r="AC1499" s="6" t="str">
        <f>VLOOKUP(Tabela1[[#This Row],[SKU]],SKU!A:C,3,0)</f>
        <v>PEITO</v>
      </c>
    </row>
    <row r="1500" spans="1:29" x14ac:dyDescent="0.3">
      <c r="A1500" s="2">
        <f>INT(Tabela1[[#This Row],[Data e Hora2]])</f>
        <v>46302</v>
      </c>
      <c r="B1500" s="6" t="str">
        <f>UPPER(TEXT(Tabela1[[#This Row],[Data Corrigida]],"MMM"))</f>
        <v>OUT</v>
      </c>
      <c r="C1500" t="s">
        <v>3105</v>
      </c>
      <c r="D1500" s="2" t="s">
        <v>3106</v>
      </c>
      <c r="E1500" s="1" t="s">
        <v>3107</v>
      </c>
      <c r="F1500" t="s">
        <v>24</v>
      </c>
      <c r="G1500" s="2" t="s">
        <v>3060</v>
      </c>
      <c r="H1500" t="s">
        <v>142</v>
      </c>
      <c r="I1500" t="s">
        <v>462</v>
      </c>
      <c r="J1500" s="6">
        <v>209039</v>
      </c>
      <c r="K1500" s="16">
        <v>1015</v>
      </c>
      <c r="L1500" s="16">
        <v>1025</v>
      </c>
      <c r="M1500" s="16">
        <v>993</v>
      </c>
      <c r="N1500" s="16">
        <v>990</v>
      </c>
      <c r="O1500" s="16">
        <v>1016</v>
      </c>
      <c r="P1500" s="16">
        <v>1030</v>
      </c>
      <c r="Q1500" s="16">
        <v>995</v>
      </c>
      <c r="R1500" s="16">
        <v>1010</v>
      </c>
      <c r="S1500" s="16">
        <v>1011</v>
      </c>
      <c r="T1500" s="16">
        <v>1004</v>
      </c>
      <c r="U1500" s="15">
        <v>1008.9</v>
      </c>
      <c r="V1500" t="s">
        <v>19</v>
      </c>
      <c r="W1500" t="s">
        <v>28</v>
      </c>
      <c r="X1500">
        <v>219</v>
      </c>
      <c r="Y1500" s="16">
        <f>VLOOKUP(Tabela1[[#This Row],[SKU]],SKU!A:D,4,0)</f>
        <v>1000</v>
      </c>
      <c r="Z1500" s="18">
        <f>IFERROR((Tabela1[[#This Row],[Média]]-Tabela1[[#This Row],[Meta]])/Tabela1[[#This Row],[Meta]],"")</f>
        <v>8.8999999999999774E-3</v>
      </c>
      <c r="AA1500" s="31">
        <f>Tabela1[[#This Row],[Média]]-Tabela1[[#This Row],[Meta]]</f>
        <v>8.8999999999999773</v>
      </c>
      <c r="AB1500" s="6" t="str">
        <f>VLOOKUP(Tabela1[[#This Row],[SKU]],SKU!A:B,2,0)</f>
        <v>COXINHA ASA IQF ALM 1KG</v>
      </c>
      <c r="AC1500" s="6" t="str">
        <f>VLOOKUP(Tabela1[[#This Row],[SKU]],SKU!A:C,3,0)</f>
        <v>ASA</v>
      </c>
    </row>
    <row r="1501" spans="1:29" x14ac:dyDescent="0.3">
      <c r="A1501" s="2">
        <f>INT(Tabela1[[#This Row],[Data e Hora2]])</f>
        <v>46302</v>
      </c>
      <c r="B1501" s="6" t="str">
        <f>UPPER(TEXT(Tabela1[[#This Row],[Data Corrigida]],"MMM"))</f>
        <v>OUT</v>
      </c>
      <c r="C1501" t="s">
        <v>3108</v>
      </c>
      <c r="D1501" s="2" t="s">
        <v>3109</v>
      </c>
      <c r="E1501" s="1" t="s">
        <v>3110</v>
      </c>
      <c r="F1501" t="s">
        <v>24</v>
      </c>
      <c r="G1501" s="2" t="s">
        <v>3060</v>
      </c>
      <c r="H1501" t="s">
        <v>142</v>
      </c>
      <c r="I1501" t="s">
        <v>462</v>
      </c>
      <c r="J1501" s="6">
        <v>18228</v>
      </c>
      <c r="K1501" s="16">
        <v>1001</v>
      </c>
      <c r="L1501" s="16">
        <v>1006</v>
      </c>
      <c r="M1501" s="16">
        <v>999</v>
      </c>
      <c r="N1501" s="16">
        <v>1005</v>
      </c>
      <c r="O1501" s="16">
        <v>1003</v>
      </c>
      <c r="P1501" s="16">
        <v>1000</v>
      </c>
      <c r="Q1501" s="16">
        <v>995</v>
      </c>
      <c r="R1501" s="16">
        <v>1000</v>
      </c>
      <c r="S1501" s="16">
        <v>1004</v>
      </c>
      <c r="T1501" s="16">
        <v>1006</v>
      </c>
      <c r="U1501" s="15">
        <v>1001.9</v>
      </c>
      <c r="V1501" t="s">
        <v>19</v>
      </c>
      <c r="W1501" t="s">
        <v>28</v>
      </c>
      <c r="X1501">
        <v>1284</v>
      </c>
      <c r="Y1501" s="16">
        <f>VLOOKUP(Tabela1[[#This Row],[SKU]],SKU!A:D,4,0)</f>
        <v>1000</v>
      </c>
      <c r="Z1501" s="18">
        <f>IFERROR((Tabela1[[#This Row],[Média]]-Tabela1[[#This Row],[Meta]])/Tabela1[[#This Row],[Meta]],"")</f>
        <v>1.8999999999999772E-3</v>
      </c>
      <c r="AA1501" s="31">
        <f>Tabela1[[#This Row],[Média]]-Tabela1[[#This Row],[Meta]]</f>
        <v>1.8999999999999773</v>
      </c>
      <c r="AB1501" s="6" t="str">
        <f>VLOOKUP(Tabela1[[#This Row],[SKU]],SKU!A:B,2,0)</f>
        <v>MOELA FRANGO CG ALM SE</v>
      </c>
      <c r="AC1501" s="6" t="str">
        <f>VLOOKUP(Tabela1[[#This Row],[SKU]],SKU!A:C,3,0)</f>
        <v>MOELA</v>
      </c>
    </row>
    <row r="1502" spans="1:29" x14ac:dyDescent="0.3">
      <c r="A1502" s="2">
        <f>INT(Tabela1[[#This Row],[Data e Hora2]])</f>
        <v>46302</v>
      </c>
      <c r="B1502" s="6" t="str">
        <f>UPPER(TEXT(Tabela1[[#This Row],[Data Corrigida]],"MMM"))</f>
        <v>OUT</v>
      </c>
      <c r="C1502" t="s">
        <v>3111</v>
      </c>
      <c r="D1502" s="2" t="s">
        <v>3112</v>
      </c>
      <c r="E1502" s="1" t="s">
        <v>3113</v>
      </c>
      <c r="F1502" t="s">
        <v>24</v>
      </c>
      <c r="G1502" s="2" t="s">
        <v>3060</v>
      </c>
      <c r="H1502" t="s">
        <v>142</v>
      </c>
      <c r="I1502" t="s">
        <v>462</v>
      </c>
      <c r="J1502" s="6">
        <v>15105</v>
      </c>
      <c r="K1502" s="16">
        <v>1034</v>
      </c>
      <c r="L1502" s="16">
        <v>998</v>
      </c>
      <c r="M1502" s="16">
        <v>993</v>
      </c>
      <c r="N1502" s="16">
        <v>1014</v>
      </c>
      <c r="O1502" s="16">
        <v>1009</v>
      </c>
      <c r="P1502" s="16">
        <v>999</v>
      </c>
      <c r="Q1502" s="16">
        <v>999</v>
      </c>
      <c r="R1502" s="16">
        <v>1057</v>
      </c>
      <c r="S1502" s="16">
        <v>1029</v>
      </c>
      <c r="T1502" s="16">
        <v>999</v>
      </c>
      <c r="U1502" s="15">
        <v>1013.1</v>
      </c>
      <c r="V1502" t="s">
        <v>19</v>
      </c>
      <c r="W1502" t="s">
        <v>28</v>
      </c>
      <c r="X1502">
        <v>255</v>
      </c>
      <c r="Y1502" s="16">
        <f>VLOOKUP(Tabela1[[#This Row],[SKU]],SKU!A:D,4,0)</f>
        <v>1000</v>
      </c>
      <c r="Z1502" s="18">
        <f>IFERROR((Tabela1[[#This Row],[Média]]-Tabela1[[#This Row],[Meta]])/Tabela1[[#This Row],[Meta]],"")</f>
        <v>1.3100000000000023E-2</v>
      </c>
      <c r="AA1502" s="31">
        <f>Tabela1[[#This Row],[Média]]-Tabela1[[#This Row],[Meta]]</f>
        <v>13.100000000000023</v>
      </c>
      <c r="AB1502" s="6" t="str">
        <f>VLOOKUP(Tabela1[[#This Row],[SKU]],SKU!A:B,2,0)</f>
        <v>FILE PEITO MET CG BDJ SE</v>
      </c>
      <c r="AC1502" s="6" t="str">
        <f>VLOOKUP(Tabela1[[#This Row],[SKU]],SKU!A:C,3,0)</f>
        <v>PEITO</v>
      </c>
    </row>
    <row r="1503" spans="1:29" x14ac:dyDescent="0.3">
      <c r="A1503" s="2">
        <f>INT(Tabela1[[#This Row],[Data e Hora2]])</f>
        <v>46302</v>
      </c>
      <c r="B1503" s="6" t="str">
        <f>UPPER(TEXT(Tabela1[[#This Row],[Data Corrigida]],"MMM"))</f>
        <v>OUT</v>
      </c>
      <c r="C1503" t="s">
        <v>3114</v>
      </c>
      <c r="D1503" s="2" t="s">
        <v>3115</v>
      </c>
      <c r="E1503" s="1" t="s">
        <v>3116</v>
      </c>
      <c r="F1503" t="s">
        <v>24</v>
      </c>
      <c r="G1503" s="2" t="s">
        <v>3060</v>
      </c>
      <c r="H1503" t="s">
        <v>142</v>
      </c>
      <c r="I1503" t="s">
        <v>462</v>
      </c>
      <c r="J1503" s="6">
        <v>54632</v>
      </c>
      <c r="K1503" s="16">
        <v>1017</v>
      </c>
      <c r="L1503" s="16">
        <v>997</v>
      </c>
      <c r="M1503" s="16">
        <v>1006</v>
      </c>
      <c r="N1503" s="16">
        <v>1025</v>
      </c>
      <c r="O1503" s="16">
        <v>1036</v>
      </c>
      <c r="P1503" s="16">
        <v>1010</v>
      </c>
      <c r="Q1503" s="16">
        <v>1025</v>
      </c>
      <c r="R1503" s="16">
        <v>1031</v>
      </c>
      <c r="S1503" s="16">
        <v>1015</v>
      </c>
      <c r="T1503" s="16">
        <v>1001</v>
      </c>
      <c r="U1503" s="15">
        <v>1016.3</v>
      </c>
      <c r="V1503" t="s">
        <v>19</v>
      </c>
      <c r="W1503" t="s">
        <v>28</v>
      </c>
      <c r="X1503">
        <v>695</v>
      </c>
      <c r="Y1503" s="16">
        <f>VLOOKUP(Tabela1[[#This Row],[SKU]],SKU!A:D,4,0)</f>
        <v>1000</v>
      </c>
      <c r="Z1503" s="18">
        <f>IFERROR((Tabela1[[#This Row],[Média]]-Tabela1[[#This Row],[Meta]])/Tabela1[[#This Row],[Meta]],"")</f>
        <v>1.6299999999999953E-2</v>
      </c>
      <c r="AA1503" s="31">
        <f>Tabela1[[#This Row],[Média]]-Tabela1[[#This Row],[Meta]]</f>
        <v>16.299999999999955</v>
      </c>
      <c r="AB1503" s="6" t="str">
        <f>VLOOKUP(Tabela1[[#This Row],[SKU]],SKU!A:B,2,0)</f>
        <v>COXA SBCX S/O BDJ CG</v>
      </c>
      <c r="AC1503" s="6" t="str">
        <f>VLOOKUP(Tabela1[[#This Row],[SKU]],SKU!A:C,3,0)</f>
        <v>PERNA</v>
      </c>
    </row>
    <row r="1504" spans="1:29" x14ac:dyDescent="0.3">
      <c r="A1504" s="2">
        <f>INT(Tabela1[[#This Row],[Data e Hora2]])</f>
        <v>46302</v>
      </c>
      <c r="B1504" s="6" t="str">
        <f>UPPER(TEXT(Tabela1[[#This Row],[Data Corrigida]],"MMM"))</f>
        <v>OUT</v>
      </c>
      <c r="C1504" t="s">
        <v>3117</v>
      </c>
      <c r="D1504" s="2" t="s">
        <v>3118</v>
      </c>
      <c r="E1504" s="1" t="s">
        <v>3119</v>
      </c>
      <c r="F1504" t="s">
        <v>24</v>
      </c>
      <c r="G1504" s="2" t="s">
        <v>3060</v>
      </c>
      <c r="H1504" t="s">
        <v>142</v>
      </c>
      <c r="I1504" t="s">
        <v>462</v>
      </c>
      <c r="J1504" s="6">
        <v>42854</v>
      </c>
      <c r="K1504" s="16">
        <v>2141</v>
      </c>
      <c r="L1504" s="16">
        <v>2154</v>
      </c>
      <c r="M1504" s="16">
        <v>2168</v>
      </c>
      <c r="N1504" s="16">
        <v>2150</v>
      </c>
      <c r="O1504" s="16">
        <v>2153</v>
      </c>
      <c r="P1504" s="16">
        <v>2154</v>
      </c>
      <c r="Q1504" s="16">
        <v>2142</v>
      </c>
      <c r="R1504" s="16">
        <v>2137</v>
      </c>
      <c r="S1504" s="16">
        <v>2153</v>
      </c>
      <c r="T1504" s="16">
        <v>2096</v>
      </c>
      <c r="U1504" s="15">
        <v>2144.8000000000002</v>
      </c>
      <c r="V1504" t="s">
        <v>19</v>
      </c>
      <c r="W1504" t="s">
        <v>28</v>
      </c>
      <c r="X1504">
        <v>408</v>
      </c>
      <c r="Y1504" s="16">
        <f>VLOOKUP(Tabela1[[#This Row],[SKU]],SKU!A:D,4,0)</f>
        <v>2080</v>
      </c>
      <c r="Z1504" s="18">
        <f>IFERROR((Tabela1[[#This Row],[Média]]-Tabela1[[#This Row],[Meta]])/Tabela1[[#This Row],[Meta]],"")</f>
        <v>3.115384615384624E-2</v>
      </c>
      <c r="AA1504" s="31">
        <f>Tabela1[[#This Row],[Média]]-Tabela1[[#This Row],[Meta]]</f>
        <v>64.800000000000182</v>
      </c>
      <c r="AB1504" s="6" t="str">
        <f>VLOOKUP(Tabela1[[#This Row],[SKU]],SKU!A:B,2,0)</f>
        <v>COXA SBCX S/O FG 260-280g PB</v>
      </c>
      <c r="AC1504" s="6" t="str">
        <f>VLOOKUP(Tabela1[[#This Row],[SKU]],SKU!A:C,3,0)</f>
        <v>PERNA</v>
      </c>
    </row>
    <row r="1505" spans="1:29" x14ac:dyDescent="0.3">
      <c r="A1505" s="2">
        <f>INT(Tabela1[[#This Row],[Data e Hora2]])</f>
        <v>46301</v>
      </c>
      <c r="B1505" s="6" t="str">
        <f>UPPER(TEXT(Tabela1[[#This Row],[Data Corrigida]],"MMM"))</f>
        <v>OUT</v>
      </c>
      <c r="C1505" t="s">
        <v>3120</v>
      </c>
      <c r="D1505" s="2" t="s">
        <v>3121</v>
      </c>
      <c r="E1505" s="1" t="s">
        <v>3122</v>
      </c>
      <c r="F1505" t="s">
        <v>24</v>
      </c>
      <c r="G1505" s="2" t="s">
        <v>3123</v>
      </c>
      <c r="H1505" t="s">
        <v>26</v>
      </c>
      <c r="I1505" t="s">
        <v>27</v>
      </c>
      <c r="J1505" s="6">
        <v>209039</v>
      </c>
      <c r="K1505" s="16">
        <v>1023</v>
      </c>
      <c r="L1505" s="16">
        <v>1024</v>
      </c>
      <c r="M1505" s="16">
        <v>1051</v>
      </c>
      <c r="N1505" s="16">
        <v>997</v>
      </c>
      <c r="O1505" s="16">
        <v>1004</v>
      </c>
      <c r="P1505" s="16">
        <v>1002</v>
      </c>
      <c r="Q1505" s="16">
        <v>930</v>
      </c>
      <c r="R1505" s="16">
        <v>1026</v>
      </c>
      <c r="S1505" s="16">
        <v>1077</v>
      </c>
      <c r="T1505" s="16">
        <v>1006</v>
      </c>
      <c r="U1505" s="15">
        <v>1014</v>
      </c>
      <c r="V1505" t="s">
        <v>19</v>
      </c>
      <c r="W1505" t="s">
        <v>28</v>
      </c>
      <c r="X1505">
        <v>8158</v>
      </c>
      <c r="Y1505" s="16">
        <f>VLOOKUP(Tabela1[[#This Row],[SKU]],SKU!A:D,4,0)</f>
        <v>1000</v>
      </c>
      <c r="Z1505" s="18">
        <f>IFERROR((Tabela1[[#This Row],[Média]]-Tabela1[[#This Row],[Meta]])/Tabela1[[#This Row],[Meta]],"")</f>
        <v>1.4E-2</v>
      </c>
      <c r="AA1505" s="31">
        <f>Tabela1[[#This Row],[Média]]-Tabela1[[#This Row],[Meta]]</f>
        <v>14</v>
      </c>
      <c r="AB1505" s="6" t="str">
        <f>VLOOKUP(Tabela1[[#This Row],[SKU]],SKU!A:B,2,0)</f>
        <v>COXINHA ASA IQF ALM 1KG</v>
      </c>
      <c r="AC1505" s="6" t="str">
        <f>VLOOKUP(Tabela1[[#This Row],[SKU]],SKU!A:C,3,0)</f>
        <v>ASA</v>
      </c>
    </row>
    <row r="1506" spans="1:29" x14ac:dyDescent="0.3">
      <c r="A1506" s="2">
        <f>INT(Tabela1[[#This Row],[Data e Hora2]])</f>
        <v>46301</v>
      </c>
      <c r="B1506" s="6" t="str">
        <f>UPPER(TEXT(Tabela1[[#This Row],[Data Corrigida]],"MMM"))</f>
        <v>OUT</v>
      </c>
      <c r="C1506" t="s">
        <v>3124</v>
      </c>
      <c r="D1506" s="2" t="s">
        <v>3125</v>
      </c>
      <c r="E1506" s="1" t="s">
        <v>3122</v>
      </c>
      <c r="F1506" t="s">
        <v>24</v>
      </c>
      <c r="G1506" s="2" t="s">
        <v>3123</v>
      </c>
      <c r="H1506" t="s">
        <v>26</v>
      </c>
      <c r="I1506" t="s">
        <v>27</v>
      </c>
      <c r="J1506" s="6">
        <v>40762</v>
      </c>
      <c r="K1506" s="16">
        <v>10020</v>
      </c>
      <c r="L1506" s="16">
        <v>10050</v>
      </c>
      <c r="M1506" s="16">
        <v>9985</v>
      </c>
      <c r="N1506" s="16">
        <v>10080</v>
      </c>
      <c r="O1506" s="16">
        <v>10035</v>
      </c>
      <c r="P1506" s="16">
        <v>10010</v>
      </c>
      <c r="Q1506" s="16">
        <v>9960</v>
      </c>
      <c r="R1506" s="16">
        <v>10050</v>
      </c>
      <c r="S1506" s="16">
        <v>10005</v>
      </c>
      <c r="T1506" s="16">
        <v>9990</v>
      </c>
      <c r="U1506" s="15">
        <v>10018.5</v>
      </c>
      <c r="V1506" t="s">
        <v>19</v>
      </c>
      <c r="W1506" t="s">
        <v>28</v>
      </c>
      <c r="X1506">
        <v>11739</v>
      </c>
      <c r="Y1506" s="16">
        <f>VLOOKUP(Tabela1[[#This Row],[SKU]],SKU!A:D,4,0)</f>
        <v>10000</v>
      </c>
      <c r="Z1506" s="18">
        <f>IFERROR((Tabela1[[#This Row],[Média]]-Tabela1[[#This Row],[Meta]])/Tabela1[[#This Row],[Meta]],"")</f>
        <v>1.8500000000000001E-3</v>
      </c>
      <c r="AA1506" s="31">
        <f>Tabela1[[#This Row],[Média]]-Tabela1[[#This Row],[Meta]]</f>
        <v>18.5</v>
      </c>
      <c r="AB1506" s="6" t="str">
        <f>VLOOKUP(Tabela1[[#This Row],[SKU]],SKU!A:B,2,0)</f>
        <v>COXA SBCX LQ FG LP</v>
      </c>
      <c r="AC1506" s="6" t="str">
        <f>VLOOKUP(Tabela1[[#This Row],[SKU]],SKU!A:C,3,0)</f>
        <v>PERNA</v>
      </c>
    </row>
    <row r="1507" spans="1:29" x14ac:dyDescent="0.3">
      <c r="A1507" s="2">
        <f>INT(Tabela1[[#This Row],[Data e Hora2]])</f>
        <v>46301</v>
      </c>
      <c r="B1507" s="6" t="str">
        <f>UPPER(TEXT(Tabela1[[#This Row],[Data Corrigida]],"MMM"))</f>
        <v>OUT</v>
      </c>
      <c r="C1507" t="s">
        <v>3126</v>
      </c>
      <c r="D1507" s="2" t="s">
        <v>3127</v>
      </c>
      <c r="E1507" s="1" t="s">
        <v>3122</v>
      </c>
      <c r="F1507" t="s">
        <v>24</v>
      </c>
      <c r="G1507" s="2" t="s">
        <v>3123</v>
      </c>
      <c r="H1507" t="s">
        <v>26</v>
      </c>
      <c r="I1507" t="s">
        <v>27</v>
      </c>
      <c r="J1507" s="6">
        <v>963925</v>
      </c>
      <c r="K1507" s="16">
        <v>18090</v>
      </c>
      <c r="L1507" s="16">
        <v>18045</v>
      </c>
      <c r="M1507" s="16">
        <v>18315</v>
      </c>
      <c r="N1507" s="16">
        <v>18570</v>
      </c>
      <c r="O1507" s="16">
        <v>18130</v>
      </c>
      <c r="P1507" s="16">
        <v>18115</v>
      </c>
      <c r="Q1507" s="16">
        <v>18230</v>
      </c>
      <c r="R1507" s="16">
        <v>18260</v>
      </c>
      <c r="S1507" s="16">
        <v>18405</v>
      </c>
      <c r="T1507" s="16">
        <v>18445</v>
      </c>
      <c r="U1507" s="15">
        <v>18260.5</v>
      </c>
      <c r="V1507" t="s">
        <v>19</v>
      </c>
      <c r="W1507" t="s">
        <v>28</v>
      </c>
      <c r="X1507">
        <v>12411</v>
      </c>
      <c r="Y1507" s="16">
        <f>VLOOKUP(Tabela1[[#This Row],[SKU]],SKU!A:D,4,0)</f>
        <v>18000</v>
      </c>
      <c r="Z1507" s="18">
        <f>IFERROR((Tabela1[[#This Row],[Média]]-Tabela1[[#This Row],[Meta]])/Tabela1[[#This Row],[Meta]],"")</f>
        <v>1.4472222222222221E-2</v>
      </c>
      <c r="AA1507" s="31">
        <f>Tabela1[[#This Row],[Média]]-Tabela1[[#This Row],[Meta]]</f>
        <v>260.5</v>
      </c>
      <c r="AB1507" s="6" t="str">
        <f>VLOOKUP(Tabela1[[#This Row],[SKU]],SKU!A:B,2,0)</f>
        <v>COXINHA DA ASA FG CG PCT</v>
      </c>
      <c r="AC1507" s="6" t="str">
        <f>VLOOKUP(Tabela1[[#This Row],[SKU]],SKU!A:C,3,0)</f>
        <v>ASA</v>
      </c>
    </row>
    <row r="1508" spans="1:29" x14ac:dyDescent="0.3">
      <c r="A1508" s="2">
        <f>INT(Tabela1[[#This Row],[Data e Hora2]])</f>
        <v>46301</v>
      </c>
      <c r="B1508" s="6" t="str">
        <f>UPPER(TEXT(Tabela1[[#This Row],[Data Corrigida]],"MMM"))</f>
        <v>OUT</v>
      </c>
      <c r="C1508" t="s">
        <v>3128</v>
      </c>
      <c r="D1508" s="2" t="s">
        <v>3129</v>
      </c>
      <c r="E1508" s="1" t="s">
        <v>3122</v>
      </c>
      <c r="F1508" t="s">
        <v>24</v>
      </c>
      <c r="G1508" s="2" t="s">
        <v>3123</v>
      </c>
      <c r="H1508" t="s">
        <v>26</v>
      </c>
      <c r="I1508" t="s">
        <v>27</v>
      </c>
      <c r="J1508" s="6">
        <v>992014</v>
      </c>
      <c r="K1508" s="16">
        <v>710</v>
      </c>
      <c r="L1508" s="16">
        <v>710</v>
      </c>
      <c r="M1508" s="16">
        <v>709</v>
      </c>
      <c r="N1508" s="16">
        <v>702</v>
      </c>
      <c r="O1508" s="16">
        <v>702</v>
      </c>
      <c r="P1508" s="16">
        <v>713</v>
      </c>
      <c r="Q1508" s="16">
        <v>716</v>
      </c>
      <c r="R1508" s="16">
        <v>696</v>
      </c>
      <c r="S1508" s="16">
        <v>705</v>
      </c>
      <c r="T1508" s="16">
        <v>699</v>
      </c>
      <c r="U1508" s="15">
        <v>706.2</v>
      </c>
      <c r="V1508" t="s">
        <v>19</v>
      </c>
      <c r="W1508" t="s">
        <v>28</v>
      </c>
      <c r="X1508">
        <v>12613</v>
      </c>
      <c r="Y1508" s="16">
        <f>VLOOKUP(Tabela1[[#This Row],[SKU]],SKU!A:D,4,0)</f>
        <v>700</v>
      </c>
      <c r="Z1508" s="18">
        <f>IFERROR((Tabela1[[#This Row],[Média]]-Tabela1[[#This Row],[Meta]])/Tabela1[[#This Row],[Meta]],"")</f>
        <v>8.8571428571429228E-3</v>
      </c>
      <c r="AA1508" s="31">
        <f>Tabela1[[#This Row],[Média]]-Tabela1[[#This Row],[Meta]]</f>
        <v>6.2000000000000455</v>
      </c>
      <c r="AB1508" s="6" t="str">
        <f>VLOOKUP(Tabela1[[#This Row],[SKU]],SKU!A:B,2,0)</f>
        <v>OSTRINHA CG PCT 700G SWIFT</v>
      </c>
      <c r="AC1508" s="6" t="str">
        <f>VLOOKUP(Tabela1[[#This Row],[SKU]],SKU!A:C,3,0)</f>
        <v>PERNA</v>
      </c>
    </row>
    <row r="1509" spans="1:29" x14ac:dyDescent="0.3">
      <c r="A1509" s="2">
        <f>INT(Tabela1[[#This Row],[Data e Hora2]])</f>
        <v>46301</v>
      </c>
      <c r="B1509" s="6" t="str">
        <f>UPPER(TEXT(Tabela1[[#This Row],[Data Corrigida]],"MMM"))</f>
        <v>OUT</v>
      </c>
      <c r="C1509" t="s">
        <v>3130</v>
      </c>
      <c r="D1509" s="2" t="s">
        <v>3131</v>
      </c>
      <c r="E1509" s="1" t="s">
        <v>3122</v>
      </c>
      <c r="F1509" t="s">
        <v>24</v>
      </c>
      <c r="G1509" s="2" t="s">
        <v>3123</v>
      </c>
      <c r="H1509" t="s">
        <v>26</v>
      </c>
      <c r="I1509" t="s">
        <v>27</v>
      </c>
      <c r="J1509" s="6">
        <v>15105</v>
      </c>
      <c r="K1509" s="16">
        <v>1000</v>
      </c>
      <c r="L1509" s="16">
        <v>1005</v>
      </c>
      <c r="M1509" s="16">
        <v>996</v>
      </c>
      <c r="N1509" s="16">
        <v>1004</v>
      </c>
      <c r="O1509" s="16">
        <v>1028</v>
      </c>
      <c r="P1509" s="16">
        <v>1019</v>
      </c>
      <c r="Q1509" s="16">
        <v>1008</v>
      </c>
      <c r="R1509" s="16">
        <v>1014</v>
      </c>
      <c r="S1509" s="16">
        <v>1000</v>
      </c>
      <c r="T1509" s="16">
        <v>1022</v>
      </c>
      <c r="U1509" s="15">
        <v>1009.6</v>
      </c>
      <c r="V1509" t="s">
        <v>19</v>
      </c>
      <c r="W1509" t="s">
        <v>28</v>
      </c>
      <c r="X1509">
        <v>12730</v>
      </c>
      <c r="Y1509" s="16">
        <f>VLOOKUP(Tabela1[[#This Row],[SKU]],SKU!A:D,4,0)</f>
        <v>1000</v>
      </c>
      <c r="Z1509" s="18">
        <f>IFERROR((Tabela1[[#This Row],[Média]]-Tabela1[[#This Row],[Meta]])/Tabela1[[#This Row],[Meta]],"")</f>
        <v>9.6000000000000234E-3</v>
      </c>
      <c r="AA1509" s="31">
        <f>Tabela1[[#This Row],[Média]]-Tabela1[[#This Row],[Meta]]</f>
        <v>9.6000000000000227</v>
      </c>
      <c r="AB1509" s="6" t="str">
        <f>VLOOKUP(Tabela1[[#This Row],[SKU]],SKU!A:B,2,0)</f>
        <v>FILE PEITO MET CG BDJ SE</v>
      </c>
      <c r="AC1509" s="6" t="str">
        <f>VLOOKUP(Tabela1[[#This Row],[SKU]],SKU!A:C,3,0)</f>
        <v>PEITO</v>
      </c>
    </row>
    <row r="1510" spans="1:29" x14ac:dyDescent="0.3">
      <c r="A1510" s="2">
        <f>INT(Tabela1[[#This Row],[Data e Hora2]])</f>
        <v>46301</v>
      </c>
      <c r="B1510" s="6" t="str">
        <f>UPPER(TEXT(Tabela1[[#This Row],[Data Corrigida]],"MMM"))</f>
        <v>OUT</v>
      </c>
      <c r="C1510" t="s">
        <v>3132</v>
      </c>
      <c r="D1510" s="2" t="s">
        <v>3133</v>
      </c>
      <c r="E1510" s="1" t="s">
        <v>3134</v>
      </c>
      <c r="F1510" t="s">
        <v>24</v>
      </c>
      <c r="G1510" s="2" t="s">
        <v>3123</v>
      </c>
      <c r="H1510" t="s">
        <v>26</v>
      </c>
      <c r="I1510" t="s">
        <v>27</v>
      </c>
      <c r="J1510" s="6">
        <v>197734</v>
      </c>
      <c r="K1510" s="16">
        <v>1015</v>
      </c>
      <c r="L1510" s="16">
        <v>1014</v>
      </c>
      <c r="M1510" s="16">
        <v>1016</v>
      </c>
      <c r="N1510" s="16">
        <v>1035</v>
      </c>
      <c r="O1510" s="16">
        <v>1007</v>
      </c>
      <c r="P1510" s="16">
        <v>1003</v>
      </c>
      <c r="Q1510" s="16">
        <v>1009</v>
      </c>
      <c r="R1510" s="16">
        <v>1002</v>
      </c>
      <c r="S1510" s="16">
        <v>1051</v>
      </c>
      <c r="T1510" s="16">
        <v>1011</v>
      </c>
      <c r="U1510" s="15">
        <v>1016.3</v>
      </c>
      <c r="V1510" t="s">
        <v>19</v>
      </c>
      <c r="W1510" t="s">
        <v>28</v>
      </c>
      <c r="X1510">
        <v>23227</v>
      </c>
      <c r="Y1510" s="16">
        <f>VLOOKUP(Tabela1[[#This Row],[SKU]],SKU!A:D,4,0)</f>
        <v>1000</v>
      </c>
      <c r="Z1510" s="18">
        <f>IFERROR((Tabela1[[#This Row],[Média]]-Tabela1[[#This Row],[Meta]])/Tabela1[[#This Row],[Meta]],"")</f>
        <v>1.6299999999999953E-2</v>
      </c>
      <c r="AA1510" s="31">
        <f>Tabela1[[#This Row],[Média]]-Tabela1[[#This Row],[Meta]]</f>
        <v>16.299999999999955</v>
      </c>
      <c r="AB1510" s="6" t="str">
        <f>VLOOKUP(Tabela1[[#This Row],[SKU]],SKU!A:B,2,0)</f>
        <v>FILEZINHO FRANGO IQF ALM SE</v>
      </c>
      <c r="AC1510" s="6" t="str">
        <f>VLOOKUP(Tabela1[[#This Row],[SKU]],SKU!A:C,3,0)</f>
        <v>SASSAMI</v>
      </c>
    </row>
    <row r="1511" spans="1:29" x14ac:dyDescent="0.3">
      <c r="A1511" s="2">
        <f>INT(Tabela1[[#This Row],[Data e Hora2]])</f>
        <v>46301</v>
      </c>
      <c r="B1511" s="6" t="str">
        <f>UPPER(TEXT(Tabela1[[#This Row],[Data Corrigida]],"MMM"))</f>
        <v>OUT</v>
      </c>
      <c r="C1511" t="s">
        <v>3135</v>
      </c>
      <c r="D1511" s="2" t="s">
        <v>3136</v>
      </c>
      <c r="E1511" s="1" t="s">
        <v>3134</v>
      </c>
      <c r="F1511" t="s">
        <v>24</v>
      </c>
      <c r="G1511" s="2" t="s">
        <v>3123</v>
      </c>
      <c r="H1511" t="s">
        <v>26</v>
      </c>
      <c r="I1511" t="s">
        <v>27</v>
      </c>
      <c r="J1511" s="6">
        <v>42820</v>
      </c>
      <c r="K1511" s="16">
        <v>2047</v>
      </c>
      <c r="L1511" s="16">
        <v>2072</v>
      </c>
      <c r="M1511" s="16">
        <v>2032</v>
      </c>
      <c r="N1511" s="16">
        <v>2033</v>
      </c>
      <c r="O1511" s="16">
        <v>2152</v>
      </c>
      <c r="P1511" s="16">
        <v>2079</v>
      </c>
      <c r="Q1511" s="16">
        <v>2008</v>
      </c>
      <c r="R1511" s="16">
        <v>2080</v>
      </c>
      <c r="S1511" s="16">
        <v>2038</v>
      </c>
      <c r="T1511" s="16">
        <v>2007</v>
      </c>
      <c r="U1511" s="15">
        <v>2054.8000000000002</v>
      </c>
      <c r="V1511" t="s">
        <v>19</v>
      </c>
      <c r="W1511" t="s">
        <v>28</v>
      </c>
      <c r="X1511">
        <v>23818</v>
      </c>
      <c r="Y1511" s="16">
        <f>VLOOKUP(Tabela1[[#This Row],[SKU]],SKU!A:D,4,0)</f>
        <v>2000</v>
      </c>
      <c r="Z1511" s="18">
        <f>IFERROR((Tabela1[[#This Row],[Média]]-Tabela1[[#This Row],[Meta]])/Tabela1[[#This Row],[Meta]],"")</f>
        <v>2.7400000000000091E-2</v>
      </c>
      <c r="AA1511" s="31">
        <f>Tabela1[[#This Row],[Média]]-Tabela1[[#This Row],[Meta]]</f>
        <v>54.800000000000182</v>
      </c>
      <c r="AB1511" s="6" t="str">
        <f>VLOOKUP(Tabela1[[#This Row],[SKU]],SKU!A:B,2,0)</f>
        <v>COXA SBCX S/O FG 200-220g PB</v>
      </c>
      <c r="AC1511" s="6" t="str">
        <f>VLOOKUP(Tabela1[[#This Row],[SKU]],SKU!A:C,3,0)</f>
        <v>PERNA</v>
      </c>
    </row>
    <row r="1512" spans="1:29" x14ac:dyDescent="0.3">
      <c r="A1512" s="2">
        <f>INT(Tabela1[[#This Row],[Data e Hora2]])</f>
        <v>46301</v>
      </c>
      <c r="B1512" s="6" t="str">
        <f>UPPER(TEXT(Tabela1[[#This Row],[Data Corrigida]],"MMM"))</f>
        <v>OUT</v>
      </c>
      <c r="C1512" t="s">
        <v>3137</v>
      </c>
      <c r="D1512" s="2" t="s">
        <v>3138</v>
      </c>
      <c r="E1512" s="1" t="s">
        <v>3134</v>
      </c>
      <c r="F1512" t="s">
        <v>24</v>
      </c>
      <c r="G1512" s="2" t="s">
        <v>3123</v>
      </c>
      <c r="H1512" t="s">
        <v>26</v>
      </c>
      <c r="I1512" t="s">
        <v>27</v>
      </c>
      <c r="J1512" s="6">
        <v>42811</v>
      </c>
      <c r="K1512" s="16">
        <v>2027</v>
      </c>
      <c r="L1512" s="16">
        <v>2007</v>
      </c>
      <c r="M1512" s="16">
        <v>2072</v>
      </c>
      <c r="N1512" s="16">
        <v>2059</v>
      </c>
      <c r="O1512" s="16">
        <v>2044</v>
      </c>
      <c r="P1512" s="16">
        <v>2005</v>
      </c>
      <c r="Q1512" s="16">
        <v>2075</v>
      </c>
      <c r="R1512" s="16">
        <v>2008</v>
      </c>
      <c r="S1512" s="16">
        <v>2017</v>
      </c>
      <c r="T1512" s="16">
        <v>2012</v>
      </c>
      <c r="U1512" s="15">
        <v>2032.6</v>
      </c>
      <c r="V1512" t="s">
        <v>19</v>
      </c>
      <c r="W1512" t="s">
        <v>28</v>
      </c>
      <c r="X1512">
        <v>24063</v>
      </c>
      <c r="Y1512" s="16">
        <f>VLOOKUP(Tabela1[[#This Row],[SKU]],SKU!A:D,4,0)</f>
        <v>2000</v>
      </c>
      <c r="Z1512" s="18">
        <f>IFERROR((Tabela1[[#This Row],[Média]]-Tabela1[[#This Row],[Meta]])/Tabela1[[#This Row],[Meta]],"")</f>
        <v>1.6299999999999953E-2</v>
      </c>
      <c r="AA1512" s="31">
        <f>Tabela1[[#This Row],[Média]]-Tabela1[[#This Row],[Meta]]</f>
        <v>32.599999999999909</v>
      </c>
      <c r="AB1512" s="6" t="str">
        <f>VLOOKUP(Tabela1[[#This Row],[SKU]],SKU!A:B,2,0)</f>
        <v>COXA SBCX S/O FG 180-200g PB</v>
      </c>
      <c r="AC1512" s="6" t="str">
        <f>VLOOKUP(Tabela1[[#This Row],[SKU]],SKU!A:C,3,0)</f>
        <v>PERNA</v>
      </c>
    </row>
    <row r="1513" spans="1:29" x14ac:dyDescent="0.3">
      <c r="A1513" s="2">
        <f>INT(Tabela1[[#This Row],[Data e Hora2]])</f>
        <v>46301</v>
      </c>
      <c r="B1513" s="6" t="str">
        <f>UPPER(TEXT(Tabela1[[#This Row],[Data Corrigida]],"MMM"))</f>
        <v>OUT</v>
      </c>
      <c r="C1513" t="s">
        <v>3139</v>
      </c>
      <c r="D1513" s="2" t="s">
        <v>3140</v>
      </c>
      <c r="E1513" s="1" t="s">
        <v>3134</v>
      </c>
      <c r="F1513" t="s">
        <v>24</v>
      </c>
      <c r="G1513" s="2" t="s">
        <v>3123</v>
      </c>
      <c r="H1513" t="s">
        <v>26</v>
      </c>
      <c r="I1513" t="s">
        <v>27</v>
      </c>
      <c r="J1513" s="6">
        <v>42838</v>
      </c>
      <c r="K1513" s="16">
        <v>2038</v>
      </c>
      <c r="L1513" s="16">
        <v>2023</v>
      </c>
      <c r="M1513" s="16">
        <v>2028</v>
      </c>
      <c r="N1513" s="16">
        <v>2021</v>
      </c>
      <c r="O1513" s="16">
        <v>2014</v>
      </c>
      <c r="P1513" s="16">
        <v>2020</v>
      </c>
      <c r="Q1513" s="16">
        <v>2028</v>
      </c>
      <c r="R1513" s="16">
        <v>2018</v>
      </c>
      <c r="S1513" s="16">
        <v>2021</v>
      </c>
      <c r="T1513" s="16">
        <v>2018</v>
      </c>
      <c r="U1513" s="15">
        <v>2022.9</v>
      </c>
      <c r="V1513" t="s">
        <v>19</v>
      </c>
      <c r="W1513" t="s">
        <v>28</v>
      </c>
      <c r="X1513">
        <v>24204</v>
      </c>
      <c r="Y1513" s="16">
        <f>VLOOKUP(Tabela1[[#This Row],[SKU]],SKU!A:D,4,0)</f>
        <v>2000</v>
      </c>
      <c r="Z1513" s="18">
        <f>IFERROR((Tabela1[[#This Row],[Média]]-Tabela1[[#This Row],[Meta]])/Tabela1[[#This Row],[Meta]],"")</f>
        <v>1.1450000000000045E-2</v>
      </c>
      <c r="AA1513" s="31">
        <f>Tabela1[[#This Row],[Média]]-Tabela1[[#This Row],[Meta]]</f>
        <v>22.900000000000091</v>
      </c>
      <c r="AB1513" s="6" t="str">
        <f>VLOOKUP(Tabela1[[#This Row],[SKU]],SKU!A:B,2,0)</f>
        <v>COXA SBCX S/O FG 220-240g PB</v>
      </c>
      <c r="AC1513" s="6" t="str">
        <f>VLOOKUP(Tabela1[[#This Row],[SKU]],SKU!A:C,3,0)</f>
        <v>PERNA</v>
      </c>
    </row>
    <row r="1514" spans="1:29" x14ac:dyDescent="0.3">
      <c r="A1514" s="2">
        <f>INT(Tabela1[[#This Row],[Data e Hora2]])</f>
        <v>46301</v>
      </c>
      <c r="B1514" s="6" t="str">
        <f>UPPER(TEXT(Tabela1[[#This Row],[Data Corrigida]],"MMM"))</f>
        <v>OUT</v>
      </c>
      <c r="C1514" t="s">
        <v>3141</v>
      </c>
      <c r="D1514" s="2" t="s">
        <v>3142</v>
      </c>
      <c r="E1514" s="1" t="s">
        <v>3134</v>
      </c>
      <c r="F1514" t="s">
        <v>24</v>
      </c>
      <c r="G1514" s="2" t="s">
        <v>3123</v>
      </c>
      <c r="H1514" t="s">
        <v>26</v>
      </c>
      <c r="I1514" t="s">
        <v>27</v>
      </c>
      <c r="J1514" s="6">
        <v>42846</v>
      </c>
      <c r="K1514" s="16">
        <v>2013</v>
      </c>
      <c r="L1514" s="16">
        <v>2005</v>
      </c>
      <c r="M1514" s="16">
        <v>2007</v>
      </c>
      <c r="N1514" s="16">
        <v>2019</v>
      </c>
      <c r="O1514" s="16">
        <v>1999</v>
      </c>
      <c r="P1514" s="16">
        <v>1999</v>
      </c>
      <c r="Q1514" s="16">
        <v>2021</v>
      </c>
      <c r="R1514" s="16">
        <v>2114</v>
      </c>
      <c r="S1514" s="16">
        <v>1992</v>
      </c>
      <c r="T1514" s="16">
        <v>2012</v>
      </c>
      <c r="U1514" s="15">
        <v>2018.1</v>
      </c>
      <c r="V1514" t="s">
        <v>19</v>
      </c>
      <c r="W1514" t="s">
        <v>28</v>
      </c>
      <c r="X1514">
        <v>24260</v>
      </c>
      <c r="Y1514" s="16">
        <f>VLOOKUP(Tabela1[[#This Row],[SKU]],SKU!A:D,4,0)</f>
        <v>2000</v>
      </c>
      <c r="Z1514" s="18">
        <f>IFERROR((Tabela1[[#This Row],[Média]]-Tabela1[[#This Row],[Meta]])/Tabela1[[#This Row],[Meta]],"")</f>
        <v>9.0499999999999539E-3</v>
      </c>
      <c r="AA1514" s="31">
        <f>Tabela1[[#This Row],[Média]]-Tabela1[[#This Row],[Meta]]</f>
        <v>18.099999999999909</v>
      </c>
      <c r="AB1514" s="6" t="str">
        <f>VLOOKUP(Tabela1[[#This Row],[SKU]],SKU!A:B,2,0)</f>
        <v>COXA SBCX S/O FG 240-260g PB</v>
      </c>
      <c r="AC1514" s="6" t="str">
        <f>VLOOKUP(Tabela1[[#This Row],[SKU]],SKU!A:C,3,0)</f>
        <v>PERNA</v>
      </c>
    </row>
    <row r="1515" spans="1:29" x14ac:dyDescent="0.3">
      <c r="A1515" s="2">
        <f>INT(Tabela1[[#This Row],[Data e Hora2]])</f>
        <v>46301</v>
      </c>
      <c r="B1515" s="6" t="str">
        <f>UPPER(TEXT(Tabela1[[#This Row],[Data Corrigida]],"MMM"))</f>
        <v>OUT</v>
      </c>
      <c r="C1515" t="s">
        <v>3143</v>
      </c>
      <c r="D1515" s="2" t="s">
        <v>3144</v>
      </c>
      <c r="E1515" s="1" t="s">
        <v>3134</v>
      </c>
      <c r="F1515" t="s">
        <v>24</v>
      </c>
      <c r="G1515" s="2" t="s">
        <v>3123</v>
      </c>
      <c r="H1515" t="s">
        <v>26</v>
      </c>
      <c r="I1515" t="s">
        <v>27</v>
      </c>
      <c r="J1515" s="6">
        <v>42862</v>
      </c>
      <c r="K1515" s="16">
        <v>2006</v>
      </c>
      <c r="L1515" s="16">
        <v>2005</v>
      </c>
      <c r="M1515" s="16">
        <v>2012</v>
      </c>
      <c r="N1515" s="16">
        <v>2020</v>
      </c>
      <c r="O1515" s="16">
        <v>2011</v>
      </c>
      <c r="P1515" s="16">
        <v>2027</v>
      </c>
      <c r="Q1515" s="16">
        <v>2000</v>
      </c>
      <c r="R1515" s="16">
        <v>2001</v>
      </c>
      <c r="S1515" s="16">
        <v>2017</v>
      </c>
      <c r="T1515" s="16">
        <v>2011</v>
      </c>
      <c r="U1515" s="15">
        <v>2011</v>
      </c>
      <c r="V1515" t="s">
        <v>19</v>
      </c>
      <c r="W1515" t="s">
        <v>28</v>
      </c>
      <c r="X1515">
        <v>24342</v>
      </c>
      <c r="Y1515" s="16">
        <f>VLOOKUP(Tabela1[[#This Row],[SKU]],SKU!A:D,4,0)</f>
        <v>2000</v>
      </c>
      <c r="Z1515" s="18">
        <f>IFERROR((Tabela1[[#This Row],[Média]]-Tabela1[[#This Row],[Meta]])/Tabela1[[#This Row],[Meta]],"")</f>
        <v>5.4999999999999997E-3</v>
      </c>
      <c r="AA1515" s="31">
        <f>Tabela1[[#This Row],[Média]]-Tabela1[[#This Row],[Meta]]</f>
        <v>11</v>
      </c>
      <c r="AB1515" s="6" t="str">
        <f>VLOOKUP(Tabela1[[#This Row],[SKU]],SKU!A:B,2,0)</f>
        <v>COXA SBCX S/O FG 280-300g PB</v>
      </c>
      <c r="AC1515" s="6" t="str">
        <f>VLOOKUP(Tabela1[[#This Row],[SKU]],SKU!A:C,3,0)</f>
        <v>PERNA</v>
      </c>
    </row>
    <row r="1516" spans="1:29" x14ac:dyDescent="0.3">
      <c r="A1516" s="2">
        <f>INT(Tabela1[[#This Row],[Data e Hora2]])</f>
        <v>46301</v>
      </c>
      <c r="B1516" s="6" t="str">
        <f>UPPER(TEXT(Tabela1[[#This Row],[Data Corrigida]],"MMM"))</f>
        <v>OUT</v>
      </c>
      <c r="C1516" t="s">
        <v>3145</v>
      </c>
      <c r="D1516" s="2" t="s">
        <v>3146</v>
      </c>
      <c r="E1516" s="1" t="s">
        <v>3134</v>
      </c>
      <c r="F1516" t="s">
        <v>24</v>
      </c>
      <c r="G1516" s="2" t="s">
        <v>3123</v>
      </c>
      <c r="H1516" t="s">
        <v>26</v>
      </c>
      <c r="I1516" t="s">
        <v>27</v>
      </c>
      <c r="J1516" s="6">
        <v>42854</v>
      </c>
      <c r="K1516" s="16">
        <v>2110</v>
      </c>
      <c r="L1516" s="16">
        <v>2093</v>
      </c>
      <c r="M1516" s="16">
        <v>2031</v>
      </c>
      <c r="N1516" s="16">
        <v>2098</v>
      </c>
      <c r="O1516" s="16">
        <v>2107</v>
      </c>
      <c r="P1516" s="16">
        <v>2105</v>
      </c>
      <c r="Q1516" s="16">
        <v>2107</v>
      </c>
      <c r="R1516" s="16">
        <v>2112</v>
      </c>
      <c r="S1516" s="16">
        <v>2111</v>
      </c>
      <c r="T1516" s="16">
        <v>2106</v>
      </c>
      <c r="U1516" s="15">
        <v>2098</v>
      </c>
      <c r="V1516" t="s">
        <v>19</v>
      </c>
      <c r="W1516" t="s">
        <v>28</v>
      </c>
      <c r="X1516">
        <v>24446</v>
      </c>
      <c r="Y1516" s="16">
        <f>VLOOKUP(Tabela1[[#This Row],[SKU]],SKU!A:D,4,0)</f>
        <v>2080</v>
      </c>
      <c r="Z1516" s="18">
        <f>IFERROR((Tabela1[[#This Row],[Média]]-Tabela1[[#This Row],[Meta]])/Tabela1[[#This Row],[Meta]],"")</f>
        <v>8.6538461538461543E-3</v>
      </c>
      <c r="AA1516" s="31">
        <f>Tabela1[[#This Row],[Média]]-Tabela1[[#This Row],[Meta]]</f>
        <v>18</v>
      </c>
      <c r="AB1516" s="6" t="str">
        <f>VLOOKUP(Tabela1[[#This Row],[SKU]],SKU!A:B,2,0)</f>
        <v>COXA SBCX S/O FG 260-280g PB</v>
      </c>
      <c r="AC1516" s="6" t="str">
        <f>VLOOKUP(Tabela1[[#This Row],[SKU]],SKU!A:C,3,0)</f>
        <v>PERNA</v>
      </c>
    </row>
    <row r="1517" spans="1:29" x14ac:dyDescent="0.3">
      <c r="A1517" s="2">
        <f>INT(Tabela1[[#This Row],[Data e Hora2]])</f>
        <v>46301</v>
      </c>
      <c r="B1517" s="6" t="str">
        <f>UPPER(TEXT(Tabela1[[#This Row],[Data Corrigida]],"MMM"))</f>
        <v>OUT</v>
      </c>
      <c r="C1517" t="s">
        <v>3147</v>
      </c>
      <c r="D1517" s="2" t="s">
        <v>3148</v>
      </c>
      <c r="E1517" s="1" t="s">
        <v>3149</v>
      </c>
      <c r="F1517" t="s">
        <v>24</v>
      </c>
      <c r="G1517" s="2" t="s">
        <v>3123</v>
      </c>
      <c r="H1517" t="s">
        <v>26</v>
      </c>
      <c r="I1517" t="s">
        <v>27</v>
      </c>
      <c r="J1517" s="6">
        <v>40762</v>
      </c>
      <c r="K1517" s="16">
        <v>9965</v>
      </c>
      <c r="L1517" s="16">
        <v>10025</v>
      </c>
      <c r="M1517" s="16">
        <v>9995</v>
      </c>
      <c r="N1517" s="16">
        <v>9935</v>
      </c>
      <c r="O1517" s="16">
        <v>9915</v>
      </c>
      <c r="P1517" s="16">
        <v>10030</v>
      </c>
      <c r="Q1517" s="16">
        <v>9995</v>
      </c>
      <c r="R1517" s="16">
        <v>10010</v>
      </c>
      <c r="S1517" s="16">
        <v>9815</v>
      </c>
      <c r="T1517" s="16">
        <v>10015</v>
      </c>
      <c r="U1517" s="15">
        <v>9970</v>
      </c>
      <c r="V1517" t="s">
        <v>19</v>
      </c>
      <c r="W1517" t="s">
        <v>28</v>
      </c>
      <c r="X1517">
        <v>29956</v>
      </c>
      <c r="Y1517" s="16">
        <f>VLOOKUP(Tabela1[[#This Row],[SKU]],SKU!A:D,4,0)</f>
        <v>10000</v>
      </c>
      <c r="Z1517" s="18">
        <f>IFERROR((Tabela1[[#This Row],[Média]]-Tabela1[[#This Row],[Meta]])/Tabela1[[#This Row],[Meta]],"")</f>
        <v>-3.0000000000000001E-3</v>
      </c>
      <c r="AA1517" s="31">
        <f>Tabela1[[#This Row],[Média]]-Tabela1[[#This Row],[Meta]]</f>
        <v>-30</v>
      </c>
      <c r="AB1517" s="6" t="str">
        <f>VLOOKUP(Tabela1[[#This Row],[SKU]],SKU!A:B,2,0)</f>
        <v>COXA SBCX LQ FG LP</v>
      </c>
      <c r="AC1517" s="6" t="str">
        <f>VLOOKUP(Tabela1[[#This Row],[SKU]],SKU!A:C,3,0)</f>
        <v>PERNA</v>
      </c>
    </row>
    <row r="1518" spans="1:29" x14ac:dyDescent="0.3">
      <c r="A1518" s="2">
        <f>INT(Tabela1[[#This Row],[Data e Hora2]])</f>
        <v>46301</v>
      </c>
      <c r="B1518" s="6" t="str">
        <f>UPPER(TEXT(Tabela1[[#This Row],[Data Corrigida]],"MMM"))</f>
        <v>OUT</v>
      </c>
      <c r="C1518" t="s">
        <v>3150</v>
      </c>
      <c r="D1518" s="2" t="s">
        <v>3151</v>
      </c>
      <c r="E1518" s="1" t="s">
        <v>3149</v>
      </c>
      <c r="F1518" t="s">
        <v>24</v>
      </c>
      <c r="G1518" s="2" t="s">
        <v>3123</v>
      </c>
      <c r="H1518" t="s">
        <v>26</v>
      </c>
      <c r="I1518" t="s">
        <v>27</v>
      </c>
      <c r="J1518" s="6">
        <v>995638</v>
      </c>
      <c r="K1518" s="16">
        <v>15030</v>
      </c>
      <c r="L1518" s="16">
        <v>15035</v>
      </c>
      <c r="M1518" s="16">
        <v>15050</v>
      </c>
      <c r="N1518" s="16">
        <v>15025</v>
      </c>
      <c r="O1518" s="16">
        <v>15035</v>
      </c>
      <c r="P1518" s="16">
        <v>15030</v>
      </c>
      <c r="Q1518" s="16">
        <v>15040</v>
      </c>
      <c r="R1518" s="16">
        <v>15045</v>
      </c>
      <c r="S1518" s="16">
        <v>15040</v>
      </c>
      <c r="T1518" s="16">
        <v>15005</v>
      </c>
      <c r="U1518" s="15">
        <v>15033.5</v>
      </c>
      <c r="V1518" t="s">
        <v>19</v>
      </c>
      <c r="W1518" t="s">
        <v>28</v>
      </c>
      <c r="X1518">
        <v>30432</v>
      </c>
      <c r="Y1518" s="16">
        <f>VLOOKUP(Tabela1[[#This Row],[SKU]],SKU!A:D,4,0)</f>
        <v>15000</v>
      </c>
      <c r="Z1518" s="18">
        <f>IFERROR((Tabela1[[#This Row],[Média]]-Tabela1[[#This Row],[Meta]])/Tabela1[[#This Row],[Meta]],"")</f>
        <v>2.2333333333333333E-3</v>
      </c>
      <c r="AA1518" s="31">
        <f>Tabela1[[#This Row],[Média]]-Tabela1[[#This Row],[Meta]]</f>
        <v>33.5</v>
      </c>
      <c r="AB1518" s="6" t="str">
        <f>VLOOKUP(Tabela1[[#This Row],[SKU]],SKU!A:B,2,0)</f>
        <v>MEIO DA ASA 40-50G LP</v>
      </c>
      <c r="AC1518" s="6" t="str">
        <f>VLOOKUP(Tabela1[[#This Row],[SKU]],SKU!A:C,3,0)</f>
        <v>ASA</v>
      </c>
    </row>
    <row r="1519" spans="1:29" x14ac:dyDescent="0.3">
      <c r="A1519" s="2">
        <f>INT(Tabela1[[#This Row],[Data e Hora2]])</f>
        <v>46301</v>
      </c>
      <c r="B1519" s="6" t="str">
        <f>UPPER(TEXT(Tabela1[[#This Row],[Data Corrigida]],"MMM"))</f>
        <v>OUT</v>
      </c>
      <c r="C1519" t="s">
        <v>3152</v>
      </c>
      <c r="D1519" s="2" t="s">
        <v>3153</v>
      </c>
      <c r="E1519" s="1" t="s">
        <v>3149</v>
      </c>
      <c r="F1519" t="s">
        <v>24</v>
      </c>
      <c r="G1519" s="2" t="s">
        <v>3123</v>
      </c>
      <c r="H1519" t="s">
        <v>26</v>
      </c>
      <c r="I1519" t="s">
        <v>27</v>
      </c>
      <c r="J1519" s="6">
        <v>15105</v>
      </c>
      <c r="K1519" s="16">
        <v>1002</v>
      </c>
      <c r="L1519" s="16">
        <v>1038</v>
      </c>
      <c r="M1519" s="16">
        <v>1014</v>
      </c>
      <c r="N1519" s="16">
        <v>1041</v>
      </c>
      <c r="O1519" s="16">
        <v>1003</v>
      </c>
      <c r="P1519" s="16">
        <v>1038</v>
      </c>
      <c r="Q1519" s="16">
        <v>996</v>
      </c>
      <c r="R1519" s="16">
        <v>1033</v>
      </c>
      <c r="S1519" s="16">
        <v>995</v>
      </c>
      <c r="T1519" s="16">
        <v>1013</v>
      </c>
      <c r="U1519" s="15">
        <v>1017.3</v>
      </c>
      <c r="V1519" t="s">
        <v>19</v>
      </c>
      <c r="W1519" t="s">
        <v>28</v>
      </c>
      <c r="X1519">
        <v>30694</v>
      </c>
      <c r="Y1519" s="16">
        <f>VLOOKUP(Tabela1[[#This Row],[SKU]],SKU!A:D,4,0)</f>
        <v>1000</v>
      </c>
      <c r="Z1519" s="18">
        <f>IFERROR((Tabela1[[#This Row],[Média]]-Tabela1[[#This Row],[Meta]])/Tabela1[[#This Row],[Meta]],"")</f>
        <v>1.7299999999999954E-2</v>
      </c>
      <c r="AA1519" s="31">
        <f>Tabela1[[#This Row],[Média]]-Tabela1[[#This Row],[Meta]]</f>
        <v>17.299999999999955</v>
      </c>
      <c r="AB1519" s="6" t="str">
        <f>VLOOKUP(Tabela1[[#This Row],[SKU]],SKU!A:B,2,0)</f>
        <v>FILE PEITO MET CG BDJ SE</v>
      </c>
      <c r="AC1519" s="6" t="str">
        <f>VLOOKUP(Tabela1[[#This Row],[SKU]],SKU!A:C,3,0)</f>
        <v>PEITO</v>
      </c>
    </row>
    <row r="1520" spans="1:29" x14ac:dyDescent="0.3">
      <c r="A1520" s="2">
        <f>INT(Tabela1[[#This Row],[Data e Hora2]])</f>
        <v>46302</v>
      </c>
      <c r="B1520" s="6" t="str">
        <f>UPPER(TEXT(Tabela1[[#This Row],[Data Corrigida]],"MMM"))</f>
        <v>OUT</v>
      </c>
      <c r="C1520" t="s">
        <v>3154</v>
      </c>
      <c r="D1520" s="2" t="s">
        <v>3155</v>
      </c>
      <c r="E1520" s="1" t="s">
        <v>3156</v>
      </c>
      <c r="F1520" t="s">
        <v>24</v>
      </c>
      <c r="G1520" s="2" t="s">
        <v>3060</v>
      </c>
      <c r="H1520" t="s">
        <v>26</v>
      </c>
      <c r="I1520" t="s">
        <v>57</v>
      </c>
      <c r="J1520" s="6">
        <v>42838</v>
      </c>
      <c r="K1520" s="16">
        <v>2012</v>
      </c>
      <c r="L1520" s="16">
        <v>2029</v>
      </c>
      <c r="M1520" s="16">
        <v>2023</v>
      </c>
      <c r="N1520" s="16">
        <v>2020</v>
      </c>
      <c r="O1520" s="16">
        <v>2026</v>
      </c>
      <c r="P1520" s="16">
        <v>2029</v>
      </c>
      <c r="Q1520" s="16">
        <v>2030</v>
      </c>
      <c r="R1520" s="16">
        <v>2019</v>
      </c>
      <c r="S1520" s="16">
        <v>2017</v>
      </c>
      <c r="T1520" s="16">
        <v>2024</v>
      </c>
      <c r="U1520" s="15">
        <v>2022.9</v>
      </c>
      <c r="V1520" t="s">
        <v>19</v>
      </c>
      <c r="W1520" t="s">
        <v>28</v>
      </c>
      <c r="X1520">
        <v>293</v>
      </c>
      <c r="Y1520" s="16">
        <f>VLOOKUP(Tabela1[[#This Row],[SKU]],SKU!A:D,4,0)</f>
        <v>2000</v>
      </c>
      <c r="Z1520" s="18">
        <f>IFERROR((Tabela1[[#This Row],[Média]]-Tabela1[[#This Row],[Meta]])/Tabela1[[#This Row],[Meta]],"")</f>
        <v>1.1450000000000045E-2</v>
      </c>
      <c r="AA1520" s="31">
        <f>Tabela1[[#This Row],[Média]]-Tabela1[[#This Row],[Meta]]</f>
        <v>22.900000000000091</v>
      </c>
      <c r="AB1520" s="6" t="str">
        <f>VLOOKUP(Tabela1[[#This Row],[SKU]],SKU!A:B,2,0)</f>
        <v>COXA SBCX S/O FG 220-240g PB</v>
      </c>
      <c r="AC1520" s="6" t="str">
        <f>VLOOKUP(Tabela1[[#This Row],[SKU]],SKU!A:C,3,0)</f>
        <v>PERNA</v>
      </c>
    </row>
    <row r="1521" spans="1:29" x14ac:dyDescent="0.3">
      <c r="A1521" s="2">
        <f>INT(Tabela1[[#This Row],[Data e Hora2]])</f>
        <v>46302</v>
      </c>
      <c r="B1521" s="6" t="str">
        <f>UPPER(TEXT(Tabela1[[#This Row],[Data Corrigida]],"MMM"))</f>
        <v>OUT</v>
      </c>
      <c r="C1521" t="s">
        <v>3157</v>
      </c>
      <c r="D1521" s="2" t="s">
        <v>3158</v>
      </c>
      <c r="E1521" s="1" t="s">
        <v>3156</v>
      </c>
      <c r="F1521" t="s">
        <v>24</v>
      </c>
      <c r="G1521" s="2" t="s">
        <v>3060</v>
      </c>
      <c r="H1521" t="s">
        <v>26</v>
      </c>
      <c r="I1521" t="s">
        <v>57</v>
      </c>
      <c r="J1521" s="6">
        <v>42846</v>
      </c>
      <c r="K1521" s="16">
        <v>2008</v>
      </c>
      <c r="L1521" s="16">
        <v>2005</v>
      </c>
      <c r="M1521" s="16">
        <v>2015</v>
      </c>
      <c r="N1521" s="16">
        <v>2016</v>
      </c>
      <c r="O1521" s="16">
        <v>2001</v>
      </c>
      <c r="P1521" s="16">
        <v>2012</v>
      </c>
      <c r="Q1521" s="16">
        <v>1992</v>
      </c>
      <c r="R1521" s="16">
        <v>2004</v>
      </c>
      <c r="S1521" s="16">
        <v>2007</v>
      </c>
      <c r="T1521" s="16">
        <v>2000</v>
      </c>
      <c r="U1521" s="15">
        <v>2006</v>
      </c>
      <c r="V1521" t="s">
        <v>19</v>
      </c>
      <c r="W1521" t="s">
        <v>28</v>
      </c>
      <c r="X1521">
        <v>410</v>
      </c>
      <c r="Y1521" s="16">
        <f>VLOOKUP(Tabela1[[#This Row],[SKU]],SKU!A:D,4,0)</f>
        <v>2000</v>
      </c>
      <c r="Z1521" s="18">
        <f>IFERROR((Tabela1[[#This Row],[Média]]-Tabela1[[#This Row],[Meta]])/Tabela1[[#This Row],[Meta]],"")</f>
        <v>3.0000000000000001E-3</v>
      </c>
      <c r="AA1521" s="31">
        <f>Tabela1[[#This Row],[Média]]-Tabela1[[#This Row],[Meta]]</f>
        <v>6</v>
      </c>
      <c r="AB1521" s="6" t="str">
        <f>VLOOKUP(Tabela1[[#This Row],[SKU]],SKU!A:B,2,0)</f>
        <v>COXA SBCX S/O FG 240-260g PB</v>
      </c>
      <c r="AC1521" s="6" t="str">
        <f>VLOOKUP(Tabela1[[#This Row],[SKU]],SKU!A:C,3,0)</f>
        <v>PERNA</v>
      </c>
    </row>
    <row r="1522" spans="1:29" x14ac:dyDescent="0.3">
      <c r="A1522" s="2">
        <f>INT(Tabela1[[#This Row],[Data e Hora2]])</f>
        <v>46302</v>
      </c>
      <c r="B1522" s="6" t="str">
        <f>UPPER(TEXT(Tabela1[[#This Row],[Data Corrigida]],"MMM"))</f>
        <v>OUT</v>
      </c>
      <c r="C1522" t="s">
        <v>3159</v>
      </c>
      <c r="D1522" s="2" t="s">
        <v>3160</v>
      </c>
      <c r="E1522" s="1" t="s">
        <v>3156</v>
      </c>
      <c r="F1522" t="s">
        <v>24</v>
      </c>
      <c r="G1522" s="2" t="s">
        <v>3060</v>
      </c>
      <c r="H1522" t="s">
        <v>26</v>
      </c>
      <c r="I1522" t="s">
        <v>57</v>
      </c>
      <c r="J1522" s="6">
        <v>42854</v>
      </c>
      <c r="K1522" s="16">
        <v>2115</v>
      </c>
      <c r="L1522" s="16">
        <v>2089</v>
      </c>
      <c r="M1522" s="16">
        <v>2096</v>
      </c>
      <c r="N1522" s="16">
        <v>2088</v>
      </c>
      <c r="O1522" s="16">
        <v>2095</v>
      </c>
      <c r="P1522" s="16">
        <v>2075</v>
      </c>
      <c r="Q1522" s="16">
        <v>2117</v>
      </c>
      <c r="R1522" s="16">
        <v>2108</v>
      </c>
      <c r="S1522" s="16">
        <v>2113</v>
      </c>
      <c r="T1522" s="16">
        <v>2112</v>
      </c>
      <c r="U1522" s="15">
        <v>2100.8000000000002</v>
      </c>
      <c r="V1522" t="s">
        <v>19</v>
      </c>
      <c r="W1522" t="s">
        <v>28</v>
      </c>
      <c r="X1522">
        <v>601</v>
      </c>
      <c r="Y1522" s="16">
        <f>VLOOKUP(Tabela1[[#This Row],[SKU]],SKU!A:D,4,0)</f>
        <v>2080</v>
      </c>
      <c r="Z1522" s="18">
        <f>IFERROR((Tabela1[[#This Row],[Média]]-Tabela1[[#This Row],[Meta]])/Tabela1[[#This Row],[Meta]],"")</f>
        <v>1.0000000000000087E-2</v>
      </c>
      <c r="AA1522" s="31">
        <f>Tabela1[[#This Row],[Média]]-Tabela1[[#This Row],[Meta]]</f>
        <v>20.800000000000182</v>
      </c>
      <c r="AB1522" s="6" t="str">
        <f>VLOOKUP(Tabela1[[#This Row],[SKU]],SKU!A:B,2,0)</f>
        <v>COXA SBCX S/O FG 260-280g PB</v>
      </c>
      <c r="AC1522" s="6" t="str">
        <f>VLOOKUP(Tabela1[[#This Row],[SKU]],SKU!A:C,3,0)</f>
        <v>PERNA</v>
      </c>
    </row>
    <row r="1523" spans="1:29" x14ac:dyDescent="0.3">
      <c r="A1523" s="2">
        <f>INT(Tabela1[[#This Row],[Data e Hora2]])</f>
        <v>46302</v>
      </c>
      <c r="B1523" s="6" t="str">
        <f>UPPER(TEXT(Tabela1[[#This Row],[Data Corrigida]],"MMM"))</f>
        <v>OUT</v>
      </c>
      <c r="C1523" t="s">
        <v>3161</v>
      </c>
      <c r="D1523" s="2" t="s">
        <v>3162</v>
      </c>
      <c r="E1523" s="1" t="s">
        <v>3156</v>
      </c>
      <c r="F1523" t="s">
        <v>24</v>
      </c>
      <c r="G1523" s="2" t="s">
        <v>3060</v>
      </c>
      <c r="H1523" t="s">
        <v>26</v>
      </c>
      <c r="I1523" t="s">
        <v>57</v>
      </c>
      <c r="J1523" s="6">
        <v>42862</v>
      </c>
      <c r="K1523" s="16">
        <v>2005</v>
      </c>
      <c r="L1523" s="16">
        <v>2013</v>
      </c>
      <c r="M1523" s="16">
        <v>2016</v>
      </c>
      <c r="N1523" s="16">
        <v>2022</v>
      </c>
      <c r="O1523" s="16">
        <v>1993</v>
      </c>
      <c r="P1523" s="16">
        <v>2008</v>
      </c>
      <c r="Q1523" s="16">
        <v>1989</v>
      </c>
      <c r="R1523" s="16">
        <v>2007</v>
      </c>
      <c r="S1523" s="16">
        <v>1998</v>
      </c>
      <c r="T1523" s="16">
        <v>2013</v>
      </c>
      <c r="U1523" s="15">
        <v>2006.4</v>
      </c>
      <c r="V1523" t="s">
        <v>19</v>
      </c>
      <c r="W1523" t="s">
        <v>28</v>
      </c>
      <c r="X1523">
        <v>742</v>
      </c>
      <c r="Y1523" s="16">
        <f>VLOOKUP(Tabela1[[#This Row],[SKU]],SKU!A:D,4,0)</f>
        <v>2000</v>
      </c>
      <c r="Z1523" s="18">
        <f>IFERROR((Tabela1[[#This Row],[Média]]-Tabela1[[#This Row],[Meta]])/Tabela1[[#This Row],[Meta]],"")</f>
        <v>3.2000000000000457E-3</v>
      </c>
      <c r="AA1523" s="31">
        <f>Tabela1[[#This Row],[Média]]-Tabela1[[#This Row],[Meta]]</f>
        <v>6.4000000000000909</v>
      </c>
      <c r="AB1523" s="6" t="str">
        <f>VLOOKUP(Tabela1[[#This Row],[SKU]],SKU!A:B,2,0)</f>
        <v>COXA SBCX S/O FG 280-300g PB</v>
      </c>
      <c r="AC1523" s="6" t="str">
        <f>VLOOKUP(Tabela1[[#This Row],[SKU]],SKU!A:C,3,0)</f>
        <v>PERNA</v>
      </c>
    </row>
    <row r="1524" spans="1:29" x14ac:dyDescent="0.3">
      <c r="A1524" s="2">
        <f>INT(Tabela1[[#This Row],[Data e Hora2]])</f>
        <v>46302</v>
      </c>
      <c r="B1524" s="6" t="str">
        <f>UPPER(TEXT(Tabela1[[#This Row],[Data Corrigida]],"MMM"))</f>
        <v>OUT</v>
      </c>
      <c r="C1524" t="s">
        <v>3163</v>
      </c>
      <c r="D1524" s="2" t="s">
        <v>3164</v>
      </c>
      <c r="E1524" s="1" t="s">
        <v>3165</v>
      </c>
      <c r="F1524" t="s">
        <v>24</v>
      </c>
      <c r="G1524" s="2" t="s">
        <v>3060</v>
      </c>
      <c r="H1524" t="s">
        <v>26</v>
      </c>
      <c r="I1524" t="s">
        <v>57</v>
      </c>
      <c r="J1524" s="6">
        <v>40762</v>
      </c>
      <c r="K1524" s="16">
        <v>9990</v>
      </c>
      <c r="L1524" s="16">
        <v>10060</v>
      </c>
      <c r="M1524" s="16">
        <v>10115</v>
      </c>
      <c r="N1524" s="16">
        <v>10050</v>
      </c>
      <c r="O1524" s="16">
        <v>10035</v>
      </c>
      <c r="P1524" s="16">
        <v>10000</v>
      </c>
      <c r="Q1524" s="16">
        <v>10040</v>
      </c>
      <c r="R1524" s="16">
        <v>9975</v>
      </c>
      <c r="S1524" s="16">
        <v>9995</v>
      </c>
      <c r="T1524" s="16">
        <v>10075</v>
      </c>
      <c r="U1524" s="15">
        <v>10033.5</v>
      </c>
      <c r="V1524" t="s">
        <v>19</v>
      </c>
      <c r="W1524" t="s">
        <v>28</v>
      </c>
      <c r="X1524">
        <v>1154</v>
      </c>
      <c r="Y1524" s="16">
        <f>VLOOKUP(Tabela1[[#This Row],[SKU]],SKU!A:D,4,0)</f>
        <v>10000</v>
      </c>
      <c r="Z1524" s="18">
        <f>IFERROR((Tabela1[[#This Row],[Média]]-Tabela1[[#This Row],[Meta]])/Tabela1[[#This Row],[Meta]],"")</f>
        <v>3.3500000000000001E-3</v>
      </c>
      <c r="AA1524" s="31">
        <f>Tabela1[[#This Row],[Média]]-Tabela1[[#This Row],[Meta]]</f>
        <v>33.5</v>
      </c>
      <c r="AB1524" s="6" t="str">
        <f>VLOOKUP(Tabela1[[#This Row],[SKU]],SKU!A:B,2,0)</f>
        <v>COXA SBCX LQ FG LP</v>
      </c>
      <c r="AC1524" s="6" t="str">
        <f>VLOOKUP(Tabela1[[#This Row],[SKU]],SKU!A:C,3,0)</f>
        <v>PERNA</v>
      </c>
    </row>
    <row r="1525" spans="1:29" x14ac:dyDescent="0.3">
      <c r="A1525" s="2">
        <f>INT(Tabela1[[#This Row],[Data e Hora2]])</f>
        <v>46301</v>
      </c>
      <c r="B1525" s="6" t="str">
        <f>UPPER(TEXT(Tabela1[[#This Row],[Data Corrigida]],"MMM"))</f>
        <v>OUT</v>
      </c>
      <c r="C1525" t="s">
        <v>3166</v>
      </c>
      <c r="D1525" s="2" t="s">
        <v>3167</v>
      </c>
      <c r="E1525" s="1" t="s">
        <v>3165</v>
      </c>
      <c r="F1525" t="s">
        <v>24</v>
      </c>
      <c r="G1525" s="2" t="s">
        <v>3123</v>
      </c>
      <c r="H1525" t="s">
        <v>26</v>
      </c>
      <c r="I1525" t="s">
        <v>57</v>
      </c>
      <c r="J1525" s="6">
        <v>15105</v>
      </c>
      <c r="K1525" s="16">
        <v>1026</v>
      </c>
      <c r="L1525" s="16">
        <v>937</v>
      </c>
      <c r="M1525" s="16">
        <v>1198</v>
      </c>
      <c r="N1525" s="16">
        <v>1011</v>
      </c>
      <c r="O1525" s="16">
        <v>1045</v>
      </c>
      <c r="P1525" s="16">
        <v>1006</v>
      </c>
      <c r="Q1525" s="16">
        <v>1050</v>
      </c>
      <c r="R1525" s="16">
        <v>1015</v>
      </c>
      <c r="S1525" s="16">
        <v>1007</v>
      </c>
      <c r="T1525" s="16">
        <v>1007</v>
      </c>
      <c r="U1525" s="15">
        <v>1030.2</v>
      </c>
      <c r="V1525" t="s">
        <v>19</v>
      </c>
      <c r="W1525" t="s">
        <v>28</v>
      </c>
      <c r="X1525">
        <v>784</v>
      </c>
      <c r="Y1525" s="16">
        <f>VLOOKUP(Tabela1[[#This Row],[SKU]],SKU!A:D,4,0)</f>
        <v>1000</v>
      </c>
      <c r="Z1525" s="18">
        <f>IFERROR((Tabela1[[#This Row],[Média]]-Tabela1[[#This Row],[Meta]])/Tabela1[[#This Row],[Meta]],"")</f>
        <v>3.0200000000000046E-2</v>
      </c>
      <c r="AA1525" s="31">
        <f>Tabela1[[#This Row],[Média]]-Tabela1[[#This Row],[Meta]]</f>
        <v>30.200000000000045</v>
      </c>
      <c r="AB1525" s="6" t="str">
        <f>VLOOKUP(Tabela1[[#This Row],[SKU]],SKU!A:B,2,0)</f>
        <v>FILE PEITO MET CG BDJ SE</v>
      </c>
      <c r="AC1525" s="6" t="str">
        <f>VLOOKUP(Tabela1[[#This Row],[SKU]],SKU!A:C,3,0)</f>
        <v>PEITO</v>
      </c>
    </row>
    <row r="1526" spans="1:29" x14ac:dyDescent="0.3">
      <c r="A1526" s="2">
        <f>INT(Tabela1[[#This Row],[Data e Hora2]])</f>
        <v>46301</v>
      </c>
      <c r="B1526" s="6" t="str">
        <f>UPPER(TEXT(Tabela1[[#This Row],[Data Corrigida]],"MMM"))</f>
        <v>OUT</v>
      </c>
      <c r="C1526" t="s">
        <v>3168</v>
      </c>
      <c r="D1526" s="2" t="s">
        <v>3169</v>
      </c>
      <c r="E1526" s="1" t="s">
        <v>3170</v>
      </c>
      <c r="F1526" t="s">
        <v>24</v>
      </c>
      <c r="G1526" s="2" t="s">
        <v>3123</v>
      </c>
      <c r="H1526" t="s">
        <v>142</v>
      </c>
      <c r="I1526" t="s">
        <v>462</v>
      </c>
      <c r="J1526" s="6">
        <v>992014</v>
      </c>
      <c r="K1526" s="16">
        <v>689</v>
      </c>
      <c r="L1526" s="16">
        <v>699</v>
      </c>
      <c r="M1526" s="16">
        <v>700</v>
      </c>
      <c r="N1526" s="16">
        <v>700</v>
      </c>
      <c r="O1526" s="16">
        <v>693</v>
      </c>
      <c r="P1526" s="16">
        <v>699</v>
      </c>
      <c r="Q1526" s="16">
        <v>686</v>
      </c>
      <c r="R1526" s="16">
        <v>700</v>
      </c>
      <c r="S1526" s="16">
        <v>699</v>
      </c>
      <c r="T1526" s="16">
        <v>697</v>
      </c>
      <c r="U1526" s="15">
        <v>696.2</v>
      </c>
      <c r="V1526" t="s">
        <v>19</v>
      </c>
      <c r="W1526" t="s">
        <v>28</v>
      </c>
      <c r="X1526">
        <v>12303</v>
      </c>
      <c r="Y1526" s="16">
        <f>VLOOKUP(Tabela1[[#This Row],[SKU]],SKU!A:D,4,0)</f>
        <v>700</v>
      </c>
      <c r="Z1526" s="18">
        <f>IFERROR((Tabela1[[#This Row],[Média]]-Tabela1[[#This Row],[Meta]])/Tabela1[[#This Row],[Meta]],"")</f>
        <v>-5.4285714285713634E-3</v>
      </c>
      <c r="AA1526" s="31">
        <f>Tabela1[[#This Row],[Média]]-Tabela1[[#This Row],[Meta]]</f>
        <v>-3.7999999999999545</v>
      </c>
      <c r="AB1526" s="6" t="str">
        <f>VLOOKUP(Tabela1[[#This Row],[SKU]],SKU!A:B,2,0)</f>
        <v>OSTRINHA CG PCT 700G SWIFT</v>
      </c>
      <c r="AC1526" s="6" t="str">
        <f>VLOOKUP(Tabela1[[#This Row],[SKU]],SKU!A:C,3,0)</f>
        <v>PERNA</v>
      </c>
    </row>
    <row r="1527" spans="1:29" x14ac:dyDescent="0.3">
      <c r="A1527" s="2">
        <f>INT(Tabela1[[#This Row],[Data e Hora2]])</f>
        <v>46301</v>
      </c>
      <c r="B1527" s="6" t="str">
        <f>UPPER(TEXT(Tabela1[[#This Row],[Data Corrigida]],"MMM"))</f>
        <v>OUT</v>
      </c>
      <c r="C1527" t="s">
        <v>3171</v>
      </c>
      <c r="D1527" s="2" t="s">
        <v>3172</v>
      </c>
      <c r="E1527" s="1" t="s">
        <v>3170</v>
      </c>
      <c r="F1527" t="s">
        <v>24</v>
      </c>
      <c r="G1527" s="2" t="s">
        <v>3123</v>
      </c>
      <c r="H1527" t="s">
        <v>142</v>
      </c>
      <c r="I1527" t="s">
        <v>462</v>
      </c>
      <c r="J1527" s="6">
        <v>15105</v>
      </c>
      <c r="K1527" s="16">
        <v>1028</v>
      </c>
      <c r="L1527" s="16">
        <v>836</v>
      </c>
      <c r="M1527" s="16">
        <v>1015</v>
      </c>
      <c r="N1527" s="16">
        <v>823</v>
      </c>
      <c r="O1527" s="16">
        <v>942</v>
      </c>
      <c r="P1527" s="16">
        <v>998</v>
      </c>
      <c r="Q1527" s="16">
        <v>1002</v>
      </c>
      <c r="R1527" s="16">
        <v>985</v>
      </c>
      <c r="S1527" s="16">
        <v>994</v>
      </c>
      <c r="T1527" s="16">
        <v>1001</v>
      </c>
      <c r="U1527" s="15">
        <v>962.4</v>
      </c>
      <c r="V1527" t="s">
        <v>19</v>
      </c>
      <c r="W1527" t="s">
        <v>28</v>
      </c>
      <c r="X1527">
        <v>12725</v>
      </c>
      <c r="Y1527" s="16">
        <f>VLOOKUP(Tabela1[[#This Row],[SKU]],SKU!A:D,4,0)</f>
        <v>1000</v>
      </c>
      <c r="Z1527" s="18">
        <f>IFERROR((Tabela1[[#This Row],[Média]]-Tabela1[[#This Row],[Meta]])/Tabela1[[#This Row],[Meta]],"")</f>
        <v>-3.7600000000000022E-2</v>
      </c>
      <c r="AA1527" s="31">
        <f>Tabela1[[#This Row],[Média]]-Tabela1[[#This Row],[Meta]]</f>
        <v>-37.600000000000023</v>
      </c>
      <c r="AB1527" s="6" t="str">
        <f>VLOOKUP(Tabela1[[#This Row],[SKU]],SKU!A:B,2,0)</f>
        <v>FILE PEITO MET CG BDJ SE</v>
      </c>
      <c r="AC1527" s="6" t="str">
        <f>VLOOKUP(Tabela1[[#This Row],[SKU]],SKU!A:C,3,0)</f>
        <v>PEITO</v>
      </c>
    </row>
    <row r="1528" spans="1:29" x14ac:dyDescent="0.3">
      <c r="A1528" s="2">
        <f>INT(Tabela1[[#This Row],[Data e Hora2]])</f>
        <v>46301</v>
      </c>
      <c r="B1528" s="6" t="str">
        <f>UPPER(TEXT(Tabela1[[#This Row],[Data Corrigida]],"MMM"))</f>
        <v>OUT</v>
      </c>
      <c r="C1528" t="s">
        <v>3173</v>
      </c>
      <c r="D1528" s="2" t="s">
        <v>3174</v>
      </c>
      <c r="E1528" s="1" t="s">
        <v>3170</v>
      </c>
      <c r="F1528" t="s">
        <v>24</v>
      </c>
      <c r="G1528" s="2" t="s">
        <v>3123</v>
      </c>
      <c r="H1528" t="s">
        <v>142</v>
      </c>
      <c r="I1528" t="s">
        <v>462</v>
      </c>
      <c r="J1528" s="6">
        <v>42862</v>
      </c>
      <c r="K1528" s="16">
        <v>2061</v>
      </c>
      <c r="L1528" s="16">
        <v>2045</v>
      </c>
      <c r="M1528" s="16">
        <v>1972</v>
      </c>
      <c r="N1528" s="16">
        <v>1991</v>
      </c>
      <c r="O1528" s="16">
        <v>2012</v>
      </c>
      <c r="P1528" s="16">
        <v>2038</v>
      </c>
      <c r="Q1528" s="16">
        <v>2078</v>
      </c>
      <c r="R1528" s="16">
        <v>2008</v>
      </c>
      <c r="S1528" s="16">
        <v>2040</v>
      </c>
      <c r="T1528" s="16">
        <v>2058</v>
      </c>
      <c r="U1528" s="15">
        <v>2030.3</v>
      </c>
      <c r="V1528" t="s">
        <v>19</v>
      </c>
      <c r="W1528" t="s">
        <v>28</v>
      </c>
      <c r="X1528">
        <v>13424</v>
      </c>
      <c r="Y1528" s="16">
        <f>VLOOKUP(Tabela1[[#This Row],[SKU]],SKU!A:D,4,0)</f>
        <v>2000</v>
      </c>
      <c r="Z1528" s="18">
        <f>IFERROR((Tabela1[[#This Row],[Média]]-Tabela1[[#This Row],[Meta]])/Tabela1[[#This Row],[Meta]],"")</f>
        <v>1.5149999999999978E-2</v>
      </c>
      <c r="AA1528" s="31">
        <f>Tabela1[[#This Row],[Média]]-Tabela1[[#This Row],[Meta]]</f>
        <v>30.299999999999955</v>
      </c>
      <c r="AB1528" s="6" t="str">
        <f>VLOOKUP(Tabela1[[#This Row],[SKU]],SKU!A:B,2,0)</f>
        <v>COXA SBCX S/O FG 280-300g PB</v>
      </c>
      <c r="AC1528" s="6" t="str">
        <f>VLOOKUP(Tabela1[[#This Row],[SKU]],SKU!A:C,3,0)</f>
        <v>PERNA</v>
      </c>
    </row>
    <row r="1529" spans="1:29" x14ac:dyDescent="0.3">
      <c r="A1529" s="2">
        <f>INT(Tabela1[[#This Row],[Data e Hora2]])</f>
        <v>46301</v>
      </c>
      <c r="B1529" s="6" t="str">
        <f>UPPER(TEXT(Tabela1[[#This Row],[Data Corrigida]],"MMM"))</f>
        <v>OUT</v>
      </c>
      <c r="C1529" t="s">
        <v>3175</v>
      </c>
      <c r="D1529" s="2" t="s">
        <v>3176</v>
      </c>
      <c r="E1529" s="1" t="s">
        <v>3170</v>
      </c>
      <c r="F1529" t="s">
        <v>24</v>
      </c>
      <c r="G1529" s="2" t="s">
        <v>3123</v>
      </c>
      <c r="H1529" t="s">
        <v>142</v>
      </c>
      <c r="I1529" t="s">
        <v>462</v>
      </c>
      <c r="J1529" s="6">
        <v>15105</v>
      </c>
      <c r="K1529" s="16">
        <v>1048</v>
      </c>
      <c r="L1529" s="16">
        <v>999</v>
      </c>
      <c r="M1529" s="16">
        <v>1005</v>
      </c>
      <c r="N1529" s="16">
        <v>1023</v>
      </c>
      <c r="O1529" s="16">
        <v>1042</v>
      </c>
      <c r="P1529" s="16">
        <v>999</v>
      </c>
      <c r="Q1529" s="16">
        <v>1029</v>
      </c>
      <c r="R1529" s="16">
        <v>1013</v>
      </c>
      <c r="S1529" s="16">
        <v>1038</v>
      </c>
      <c r="T1529" s="16">
        <v>1006</v>
      </c>
      <c r="U1529" s="15">
        <v>1020.2</v>
      </c>
      <c r="V1529" t="s">
        <v>19</v>
      </c>
      <c r="W1529" t="s">
        <v>28</v>
      </c>
      <c r="X1529">
        <v>23292</v>
      </c>
      <c r="Y1529" s="16">
        <f>VLOOKUP(Tabela1[[#This Row],[SKU]],SKU!A:D,4,0)</f>
        <v>1000</v>
      </c>
      <c r="Z1529" s="18">
        <f>IFERROR((Tabela1[[#This Row],[Média]]-Tabela1[[#This Row],[Meta]])/Tabela1[[#This Row],[Meta]],"")</f>
        <v>2.0200000000000044E-2</v>
      </c>
      <c r="AA1529" s="31">
        <f>Tabela1[[#This Row],[Média]]-Tabela1[[#This Row],[Meta]]</f>
        <v>20.200000000000045</v>
      </c>
      <c r="AB1529" s="6" t="str">
        <f>VLOOKUP(Tabela1[[#This Row],[SKU]],SKU!A:B,2,0)</f>
        <v>FILE PEITO MET CG BDJ SE</v>
      </c>
      <c r="AC1529" s="6" t="str">
        <f>VLOOKUP(Tabela1[[#This Row],[SKU]],SKU!A:C,3,0)</f>
        <v>PEITO</v>
      </c>
    </row>
    <row r="1530" spans="1:29" x14ac:dyDescent="0.3">
      <c r="A1530" s="2">
        <f>INT(Tabela1[[#This Row],[Data e Hora2]])</f>
        <v>46301</v>
      </c>
      <c r="B1530" s="6" t="str">
        <f>UPPER(TEXT(Tabela1[[#This Row],[Data Corrigida]],"MMM"))</f>
        <v>OUT</v>
      </c>
      <c r="C1530" t="s">
        <v>3177</v>
      </c>
      <c r="D1530" s="2" t="s">
        <v>3178</v>
      </c>
      <c r="E1530" s="1" t="s">
        <v>3179</v>
      </c>
      <c r="F1530" t="s">
        <v>24</v>
      </c>
      <c r="G1530" s="2" t="s">
        <v>3123</v>
      </c>
      <c r="H1530" t="s">
        <v>142</v>
      </c>
      <c r="I1530" t="s">
        <v>462</v>
      </c>
      <c r="J1530" s="6">
        <v>42846</v>
      </c>
      <c r="K1530" s="16">
        <v>2006</v>
      </c>
      <c r="L1530" s="16">
        <v>1982</v>
      </c>
      <c r="M1530" s="16">
        <v>1984</v>
      </c>
      <c r="N1530" s="16">
        <v>1980</v>
      </c>
      <c r="O1530" s="16">
        <v>2008</v>
      </c>
      <c r="P1530" s="16">
        <v>1915</v>
      </c>
      <c r="Q1530" s="16">
        <v>1961</v>
      </c>
      <c r="R1530" s="16">
        <v>2056</v>
      </c>
      <c r="S1530" s="16">
        <v>2006</v>
      </c>
      <c r="T1530" s="16">
        <v>2135</v>
      </c>
      <c r="U1530" s="15">
        <v>2003.3</v>
      </c>
      <c r="V1530" t="s">
        <v>19</v>
      </c>
      <c r="W1530" t="s">
        <v>28</v>
      </c>
      <c r="X1530">
        <v>470</v>
      </c>
      <c r="Y1530" s="16">
        <f>VLOOKUP(Tabela1[[#This Row],[SKU]],SKU!A:D,4,0)</f>
        <v>2000</v>
      </c>
      <c r="Z1530" s="18">
        <f>IFERROR((Tabela1[[#This Row],[Média]]-Tabela1[[#This Row],[Meta]])/Tabela1[[#This Row],[Meta]],"")</f>
        <v>1.6499999999999772E-3</v>
      </c>
      <c r="AA1530" s="31">
        <f>Tabela1[[#This Row],[Média]]-Tabela1[[#This Row],[Meta]]</f>
        <v>3.2999999999999545</v>
      </c>
      <c r="AB1530" s="6" t="str">
        <f>VLOOKUP(Tabela1[[#This Row],[SKU]],SKU!A:B,2,0)</f>
        <v>COXA SBCX S/O FG 240-260g PB</v>
      </c>
      <c r="AC1530" s="6" t="str">
        <f>VLOOKUP(Tabela1[[#This Row],[SKU]],SKU!A:C,3,0)</f>
        <v>PERNA</v>
      </c>
    </row>
    <row r="1531" spans="1:29" x14ac:dyDescent="0.3">
      <c r="A1531" s="2">
        <f>INT(Tabela1[[#This Row],[Data e Hora2]])</f>
        <v>46301</v>
      </c>
      <c r="B1531" s="6" t="str">
        <f>UPPER(TEXT(Tabela1[[#This Row],[Data Corrigida]],"MMM"))</f>
        <v>OUT</v>
      </c>
      <c r="C1531" t="s">
        <v>3180</v>
      </c>
      <c r="D1531" s="2" t="s">
        <v>3181</v>
      </c>
      <c r="E1531" s="1" t="s">
        <v>3179</v>
      </c>
      <c r="F1531" t="s">
        <v>24</v>
      </c>
      <c r="G1531" s="2" t="s">
        <v>3123</v>
      </c>
      <c r="H1531" t="s">
        <v>142</v>
      </c>
      <c r="I1531" t="s">
        <v>462</v>
      </c>
      <c r="J1531" s="6">
        <v>42854</v>
      </c>
      <c r="K1531" s="16">
        <v>2151</v>
      </c>
      <c r="L1531" s="16">
        <v>2133</v>
      </c>
      <c r="M1531" s="16">
        <v>2145</v>
      </c>
      <c r="N1531" s="16">
        <v>1876</v>
      </c>
      <c r="O1531" s="16">
        <v>2078</v>
      </c>
      <c r="P1531" s="16">
        <v>1913</v>
      </c>
      <c r="Q1531" s="16">
        <v>2152</v>
      </c>
      <c r="R1531" s="16">
        <v>2156</v>
      </c>
      <c r="S1531" s="16">
        <v>2146</v>
      </c>
      <c r="T1531" s="16">
        <v>2151</v>
      </c>
      <c r="U1531" s="15">
        <v>2090.1</v>
      </c>
      <c r="V1531" t="s">
        <v>19</v>
      </c>
      <c r="W1531" t="s">
        <v>28</v>
      </c>
      <c r="X1531">
        <v>711</v>
      </c>
      <c r="Y1531" s="16">
        <f>VLOOKUP(Tabela1[[#This Row],[SKU]],SKU!A:D,4,0)</f>
        <v>2080</v>
      </c>
      <c r="Z1531" s="18">
        <f>IFERROR((Tabela1[[#This Row],[Média]]-Tabela1[[#This Row],[Meta]])/Tabela1[[#This Row],[Meta]],"")</f>
        <v>4.855769230769187E-3</v>
      </c>
      <c r="AA1531" s="31">
        <f>Tabela1[[#This Row],[Média]]-Tabela1[[#This Row],[Meta]]</f>
        <v>10.099999999999909</v>
      </c>
      <c r="AB1531" s="6" t="str">
        <f>VLOOKUP(Tabela1[[#This Row],[SKU]],SKU!A:B,2,0)</f>
        <v>COXA SBCX S/O FG 260-280g PB</v>
      </c>
      <c r="AC1531" s="6" t="str">
        <f>VLOOKUP(Tabela1[[#This Row],[SKU]],SKU!A:C,3,0)</f>
        <v>PERNA</v>
      </c>
    </row>
    <row r="1532" spans="1:29" x14ac:dyDescent="0.3">
      <c r="A1532" s="2">
        <f>INT(Tabela1[[#This Row],[Data e Hora2]])</f>
        <v>46301</v>
      </c>
      <c r="B1532" s="6" t="str">
        <f>UPPER(TEXT(Tabela1[[#This Row],[Data Corrigida]],"MMM"))</f>
        <v>OUT</v>
      </c>
      <c r="C1532" t="s">
        <v>3182</v>
      </c>
      <c r="D1532" s="2" t="s">
        <v>3183</v>
      </c>
      <c r="E1532" s="1" t="s">
        <v>3179</v>
      </c>
      <c r="F1532" t="s">
        <v>24</v>
      </c>
      <c r="G1532" s="2" t="s">
        <v>3123</v>
      </c>
      <c r="H1532" t="s">
        <v>142</v>
      </c>
      <c r="I1532" t="s">
        <v>462</v>
      </c>
      <c r="J1532" s="6">
        <v>54632</v>
      </c>
      <c r="K1532" s="16">
        <v>996</v>
      </c>
      <c r="L1532" s="16">
        <v>1017</v>
      </c>
      <c r="M1532" s="16">
        <v>998</v>
      </c>
      <c r="N1532" s="16">
        <v>1003</v>
      </c>
      <c r="O1532" s="16">
        <v>1005</v>
      </c>
      <c r="P1532" s="16">
        <v>1007</v>
      </c>
      <c r="Q1532" s="16">
        <v>996</v>
      </c>
      <c r="R1532" s="16">
        <v>1003</v>
      </c>
      <c r="S1532" s="16">
        <v>992</v>
      </c>
      <c r="T1532" s="16">
        <v>989</v>
      </c>
      <c r="U1532" s="15">
        <v>1000.6</v>
      </c>
      <c r="V1532" t="s">
        <v>19</v>
      </c>
      <c r="W1532" t="s">
        <v>28</v>
      </c>
      <c r="X1532">
        <v>950</v>
      </c>
      <c r="Y1532" s="16">
        <f>VLOOKUP(Tabela1[[#This Row],[SKU]],SKU!A:D,4,0)</f>
        <v>1000</v>
      </c>
      <c r="Z1532" s="18">
        <f>IFERROR((Tabela1[[#This Row],[Média]]-Tabela1[[#This Row],[Meta]])/Tabela1[[#This Row],[Meta]],"")</f>
        <v>6.0000000000002272E-4</v>
      </c>
      <c r="AA1532" s="31">
        <f>Tabela1[[#This Row],[Média]]-Tabela1[[#This Row],[Meta]]</f>
        <v>0.60000000000002274</v>
      </c>
      <c r="AB1532" s="6" t="str">
        <f>VLOOKUP(Tabela1[[#This Row],[SKU]],SKU!A:B,2,0)</f>
        <v>COXA SBCX S/O BDJ CG</v>
      </c>
      <c r="AC1532" s="6" t="str">
        <f>VLOOKUP(Tabela1[[#This Row],[SKU]],SKU!A:C,3,0)</f>
        <v>PERNA</v>
      </c>
    </row>
    <row r="1533" spans="1:29" x14ac:dyDescent="0.3">
      <c r="A1533" s="2">
        <f>INT(Tabela1[[#This Row],[Data e Hora2]])</f>
        <v>46300</v>
      </c>
      <c r="B1533" s="6" t="str">
        <f>UPPER(TEXT(Tabela1[[#This Row],[Data Corrigida]],"MMM"))</f>
        <v>OUT</v>
      </c>
      <c r="C1533" t="s">
        <v>3184</v>
      </c>
      <c r="D1533" s="2" t="s">
        <v>3185</v>
      </c>
      <c r="E1533" s="1" t="s">
        <v>3179</v>
      </c>
      <c r="F1533" t="s">
        <v>24</v>
      </c>
      <c r="G1533" s="2" t="s">
        <v>2889</v>
      </c>
      <c r="H1533" t="s">
        <v>142</v>
      </c>
      <c r="I1533" t="s">
        <v>462</v>
      </c>
      <c r="J1533" s="6">
        <v>54632</v>
      </c>
      <c r="K1533" s="16">
        <v>1002</v>
      </c>
      <c r="L1533" s="16">
        <v>990</v>
      </c>
      <c r="M1533" s="16">
        <v>995</v>
      </c>
      <c r="N1533" s="16">
        <v>1004</v>
      </c>
      <c r="O1533" s="16">
        <v>1008</v>
      </c>
      <c r="P1533" s="16">
        <v>992</v>
      </c>
      <c r="Q1533" s="16">
        <v>986</v>
      </c>
      <c r="R1533" s="16" t="s">
        <v>19</v>
      </c>
      <c r="S1533" s="16">
        <v>1000</v>
      </c>
      <c r="T1533" s="16">
        <v>997</v>
      </c>
      <c r="U1533" s="15">
        <v>997</v>
      </c>
      <c r="V1533" t="s">
        <v>19</v>
      </c>
      <c r="W1533" t="s">
        <v>28</v>
      </c>
      <c r="X1533">
        <v>85687</v>
      </c>
      <c r="Y1533" s="16">
        <f>VLOOKUP(Tabela1[[#This Row],[SKU]],SKU!A:D,4,0)</f>
        <v>1000</v>
      </c>
      <c r="Z1533" s="18">
        <f>IFERROR((Tabela1[[#This Row],[Média]]-Tabela1[[#This Row],[Meta]])/Tabela1[[#This Row],[Meta]],"")</f>
        <v>-3.0000000000000001E-3</v>
      </c>
      <c r="AA1533" s="31">
        <f>Tabela1[[#This Row],[Média]]-Tabela1[[#This Row],[Meta]]</f>
        <v>-3</v>
      </c>
      <c r="AB1533" s="6" t="str">
        <f>VLOOKUP(Tabela1[[#This Row],[SKU]],SKU!A:B,2,0)</f>
        <v>COXA SBCX S/O BDJ CG</v>
      </c>
      <c r="AC1533" s="6" t="str">
        <f>VLOOKUP(Tabela1[[#This Row],[SKU]],SKU!A:C,3,0)</f>
        <v>PERNA</v>
      </c>
    </row>
  </sheetData>
  <conditionalFormatting sqref="K2:T1533">
    <cfRule type="cellIs" dxfId="18" priority="1" operator="greaterThan">
      <formula>$Y2+80</formula>
    </cfRule>
  </conditionalFormatting>
  <pageMargins left="0.7" right="0.7" top="0.75" bottom="0.75" header="0.3" footer="0.3"/>
  <pageSetup scale="55" fitToHeight="0" orientation="landscape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opLeftCell="A30" workbookViewId="0">
      <selection activeCell="A45" sqref="A45"/>
    </sheetView>
  </sheetViews>
  <sheetFormatPr defaultRowHeight="14.4" x14ac:dyDescent="0.3"/>
  <cols>
    <col min="2" max="2" width="34.109375" bestFit="1" customWidth="1"/>
    <col min="3" max="3" width="22.44140625" customWidth="1"/>
  </cols>
  <sheetData>
    <row r="1" spans="1:4" x14ac:dyDescent="0.3">
      <c r="A1" s="3" t="s">
        <v>300</v>
      </c>
      <c r="B1" s="3" t="s">
        <v>301</v>
      </c>
      <c r="C1" s="3" t="s">
        <v>384</v>
      </c>
      <c r="D1" s="8" t="s">
        <v>407</v>
      </c>
    </row>
    <row r="2" spans="1:4" x14ac:dyDescent="0.3">
      <c r="A2" s="4">
        <v>977373</v>
      </c>
      <c r="B2" s="5" t="s">
        <v>302</v>
      </c>
      <c r="C2" s="7" t="s">
        <v>385</v>
      </c>
      <c r="D2" s="9">
        <v>15000</v>
      </c>
    </row>
    <row r="3" spans="1:4" x14ac:dyDescent="0.3">
      <c r="A3" s="4">
        <v>992093</v>
      </c>
      <c r="B3" s="5" t="s">
        <v>303</v>
      </c>
      <c r="C3" s="7" t="s">
        <v>385</v>
      </c>
      <c r="D3" s="9">
        <v>5000</v>
      </c>
    </row>
    <row r="4" spans="1:4" x14ac:dyDescent="0.3">
      <c r="A4" s="4">
        <v>209409</v>
      </c>
      <c r="B4" s="5" t="s">
        <v>320</v>
      </c>
      <c r="C4" s="7" t="s">
        <v>385</v>
      </c>
      <c r="D4" s="9">
        <v>1000</v>
      </c>
    </row>
    <row r="5" spans="1:4" x14ac:dyDescent="0.3">
      <c r="A5" s="4">
        <v>209039</v>
      </c>
      <c r="B5" s="5" t="s">
        <v>321</v>
      </c>
      <c r="C5" s="7" t="s">
        <v>385</v>
      </c>
      <c r="D5" s="9">
        <v>1000</v>
      </c>
    </row>
    <row r="6" spans="1:4" x14ac:dyDescent="0.3">
      <c r="A6" s="4">
        <v>792799</v>
      </c>
      <c r="B6" s="5" t="s">
        <v>337</v>
      </c>
      <c r="C6" s="7" t="s">
        <v>385</v>
      </c>
      <c r="D6" s="9">
        <v>15000</v>
      </c>
    </row>
    <row r="7" spans="1:4" x14ac:dyDescent="0.3">
      <c r="A7" s="4">
        <v>963925</v>
      </c>
      <c r="B7" s="5" t="s">
        <v>338</v>
      </c>
      <c r="C7" s="7" t="s">
        <v>385</v>
      </c>
      <c r="D7" s="9">
        <v>18000</v>
      </c>
    </row>
    <row r="8" spans="1:4" x14ac:dyDescent="0.3">
      <c r="A8" s="4">
        <v>197742</v>
      </c>
      <c r="B8" s="5" t="s">
        <v>341</v>
      </c>
      <c r="C8" s="7" t="s">
        <v>385</v>
      </c>
      <c r="D8" s="9">
        <v>1000</v>
      </c>
    </row>
    <row r="9" spans="1:4" x14ac:dyDescent="0.3">
      <c r="A9" s="4">
        <v>197815</v>
      </c>
      <c r="B9" s="5" t="s">
        <v>342</v>
      </c>
      <c r="C9" s="7" t="s">
        <v>385</v>
      </c>
      <c r="D9" s="9">
        <v>1000</v>
      </c>
    </row>
    <row r="10" spans="1:4" x14ac:dyDescent="0.3">
      <c r="A10" s="4">
        <v>15091</v>
      </c>
      <c r="B10" s="5" t="s">
        <v>347</v>
      </c>
      <c r="C10" s="7" t="s">
        <v>385</v>
      </c>
      <c r="D10" s="9">
        <v>1000</v>
      </c>
    </row>
    <row r="11" spans="1:4" x14ac:dyDescent="0.3">
      <c r="A11" s="4">
        <v>958611</v>
      </c>
      <c r="B11" s="5" t="s">
        <v>365</v>
      </c>
      <c r="C11" s="7" t="s">
        <v>385</v>
      </c>
      <c r="D11" s="9">
        <v>1000</v>
      </c>
    </row>
    <row r="12" spans="1:4" x14ac:dyDescent="0.3">
      <c r="A12" s="4">
        <v>31454</v>
      </c>
      <c r="B12" s="5" t="s">
        <v>371</v>
      </c>
      <c r="C12" s="7" t="s">
        <v>385</v>
      </c>
      <c r="D12" s="9">
        <v>2500</v>
      </c>
    </row>
    <row r="13" spans="1:4" x14ac:dyDescent="0.3">
      <c r="A13" s="4">
        <v>962244</v>
      </c>
      <c r="B13" s="5" t="s">
        <v>372</v>
      </c>
      <c r="C13" s="7" t="s">
        <v>385</v>
      </c>
      <c r="D13" s="9">
        <v>18000</v>
      </c>
    </row>
    <row r="14" spans="1:4" x14ac:dyDescent="0.3">
      <c r="A14" s="4">
        <v>929875</v>
      </c>
      <c r="B14" s="5" t="s">
        <v>374</v>
      </c>
      <c r="C14" s="7" t="s">
        <v>385</v>
      </c>
      <c r="D14" s="9">
        <v>18000</v>
      </c>
    </row>
    <row r="15" spans="1:4" x14ac:dyDescent="0.3">
      <c r="A15" s="4">
        <v>14133</v>
      </c>
      <c r="B15" s="5" t="s">
        <v>375</v>
      </c>
      <c r="C15" s="7" t="s">
        <v>385</v>
      </c>
      <c r="D15" s="9">
        <v>15000</v>
      </c>
    </row>
    <row r="16" spans="1:4" x14ac:dyDescent="0.3">
      <c r="A16" s="4">
        <v>42641</v>
      </c>
      <c r="B16" s="5" t="s">
        <v>337</v>
      </c>
      <c r="C16" s="7" t="s">
        <v>385</v>
      </c>
      <c r="D16" s="9">
        <v>15000</v>
      </c>
    </row>
    <row r="17" spans="1:4" x14ac:dyDescent="0.3">
      <c r="A17" s="4">
        <v>995638</v>
      </c>
      <c r="B17" s="5" t="s">
        <v>380</v>
      </c>
      <c r="C17" s="7" t="s">
        <v>385</v>
      </c>
      <c r="D17" s="9">
        <v>15000</v>
      </c>
    </row>
    <row r="18" spans="1:4" x14ac:dyDescent="0.3">
      <c r="A18" s="4">
        <v>44074</v>
      </c>
      <c r="B18" s="5" t="s">
        <v>324</v>
      </c>
      <c r="C18" s="7" t="s">
        <v>398</v>
      </c>
      <c r="D18" s="9">
        <v>15000</v>
      </c>
    </row>
    <row r="19" spans="1:4" x14ac:dyDescent="0.3">
      <c r="A19" s="4">
        <v>43784</v>
      </c>
      <c r="B19" s="5" t="s">
        <v>304</v>
      </c>
      <c r="C19" s="7" t="s">
        <v>387</v>
      </c>
      <c r="D19" s="9">
        <v>1000</v>
      </c>
    </row>
    <row r="20" spans="1:4" x14ac:dyDescent="0.3">
      <c r="A20" s="4">
        <v>793124</v>
      </c>
      <c r="B20" s="5" t="s">
        <v>305</v>
      </c>
      <c r="C20" s="7" t="s">
        <v>388</v>
      </c>
      <c r="D20" s="9">
        <v>2000</v>
      </c>
    </row>
    <row r="21" spans="1:4" x14ac:dyDescent="0.3">
      <c r="A21" s="4">
        <v>998577</v>
      </c>
      <c r="B21" s="5" t="s">
        <v>306</v>
      </c>
      <c r="C21" s="7" t="s">
        <v>389</v>
      </c>
      <c r="D21" s="9">
        <v>15000</v>
      </c>
    </row>
    <row r="22" spans="1:4" x14ac:dyDescent="0.3">
      <c r="A22" s="4">
        <v>202299</v>
      </c>
      <c r="B22" s="5" t="s">
        <v>331</v>
      </c>
      <c r="C22" s="7" t="s">
        <v>389</v>
      </c>
      <c r="D22" s="9"/>
    </row>
    <row r="23" spans="1:4" x14ac:dyDescent="0.3">
      <c r="A23" s="4">
        <v>234309</v>
      </c>
      <c r="B23" s="5" t="s">
        <v>332</v>
      </c>
      <c r="C23" s="7" t="s">
        <v>389</v>
      </c>
      <c r="D23" s="9">
        <v>20000</v>
      </c>
    </row>
    <row r="24" spans="1:4" x14ac:dyDescent="0.3">
      <c r="A24" s="4">
        <v>202319</v>
      </c>
      <c r="B24" s="5" t="s">
        <v>340</v>
      </c>
      <c r="C24" s="7" t="s">
        <v>389</v>
      </c>
      <c r="D24" s="9">
        <v>17500</v>
      </c>
    </row>
    <row r="25" spans="1:4" x14ac:dyDescent="0.3">
      <c r="A25" s="4">
        <v>18163</v>
      </c>
      <c r="B25" s="5" t="s">
        <v>322</v>
      </c>
      <c r="C25" s="7" t="s">
        <v>397</v>
      </c>
      <c r="D25" s="9">
        <v>1000</v>
      </c>
    </row>
    <row r="26" spans="1:4" x14ac:dyDescent="0.3">
      <c r="A26" s="4">
        <v>997939</v>
      </c>
      <c r="B26" s="5" t="s">
        <v>361</v>
      </c>
      <c r="C26" s="7" t="s">
        <v>401</v>
      </c>
      <c r="D26" s="9">
        <v>10000</v>
      </c>
    </row>
    <row r="27" spans="1:4" x14ac:dyDescent="0.3">
      <c r="A27" s="4">
        <v>990457</v>
      </c>
      <c r="B27" s="5" t="s">
        <v>311</v>
      </c>
      <c r="C27" s="7" t="s">
        <v>394</v>
      </c>
      <c r="D27" s="9">
        <v>15220</v>
      </c>
    </row>
    <row r="28" spans="1:4" x14ac:dyDescent="0.3">
      <c r="A28" s="4">
        <v>15040</v>
      </c>
      <c r="B28" s="5" t="s">
        <v>346</v>
      </c>
      <c r="C28" s="7" t="s">
        <v>399</v>
      </c>
      <c r="D28" s="9">
        <v>15000</v>
      </c>
    </row>
    <row r="29" spans="1:4" x14ac:dyDescent="0.3">
      <c r="A29" s="4">
        <v>797901</v>
      </c>
      <c r="B29" s="5" t="s">
        <v>373</v>
      </c>
      <c r="C29" s="7" t="s">
        <v>402</v>
      </c>
      <c r="D29" s="9">
        <v>20000</v>
      </c>
    </row>
    <row r="30" spans="1:4" x14ac:dyDescent="0.3">
      <c r="A30" s="4">
        <v>209149</v>
      </c>
      <c r="B30" s="5" t="s">
        <v>373</v>
      </c>
      <c r="C30" s="7" t="s">
        <v>402</v>
      </c>
      <c r="D30" s="9">
        <v>20000</v>
      </c>
    </row>
    <row r="31" spans="1:4" x14ac:dyDescent="0.3">
      <c r="A31" s="4">
        <v>18228</v>
      </c>
      <c r="B31" s="5" t="s">
        <v>323</v>
      </c>
      <c r="C31" s="7" t="s">
        <v>391</v>
      </c>
      <c r="D31" s="9">
        <v>1000</v>
      </c>
    </row>
    <row r="32" spans="1:4" x14ac:dyDescent="0.3">
      <c r="A32" s="4">
        <v>929883</v>
      </c>
      <c r="B32" s="5" t="s">
        <v>325</v>
      </c>
      <c r="C32" s="7" t="s">
        <v>386</v>
      </c>
      <c r="D32" s="9">
        <v>18000</v>
      </c>
    </row>
    <row r="33" spans="1:4" x14ac:dyDescent="0.3">
      <c r="A33" s="4">
        <v>15105</v>
      </c>
      <c r="B33" s="5" t="s">
        <v>326</v>
      </c>
      <c r="C33" s="7" t="s">
        <v>386</v>
      </c>
      <c r="D33" s="9">
        <v>1000</v>
      </c>
    </row>
    <row r="34" spans="1:4" x14ac:dyDescent="0.3">
      <c r="A34" s="4">
        <v>209359</v>
      </c>
      <c r="B34" s="5" t="s">
        <v>327</v>
      </c>
      <c r="C34" s="7" t="s">
        <v>386</v>
      </c>
      <c r="D34" s="9">
        <v>1000</v>
      </c>
    </row>
    <row r="35" spans="1:4" x14ac:dyDescent="0.3">
      <c r="A35" s="4">
        <v>220359</v>
      </c>
      <c r="B35" s="5" t="s">
        <v>328</v>
      </c>
      <c r="C35" s="7" t="s">
        <v>386</v>
      </c>
      <c r="D35" s="9">
        <v>20000</v>
      </c>
    </row>
    <row r="36" spans="1:4" x14ac:dyDescent="0.3">
      <c r="A36" s="4">
        <v>209069</v>
      </c>
      <c r="B36" s="5" t="s">
        <v>329</v>
      </c>
      <c r="C36" s="7" t="s">
        <v>386</v>
      </c>
      <c r="D36" s="9">
        <v>1000</v>
      </c>
    </row>
    <row r="37" spans="1:4" x14ac:dyDescent="0.3">
      <c r="A37" s="4">
        <v>94048</v>
      </c>
      <c r="B37" s="5" t="s">
        <v>334</v>
      </c>
      <c r="C37" s="7" t="s">
        <v>386</v>
      </c>
      <c r="D37" s="9">
        <v>15000</v>
      </c>
    </row>
    <row r="38" spans="1:4" x14ac:dyDescent="0.3">
      <c r="A38" s="4">
        <v>224099</v>
      </c>
      <c r="B38" s="5" t="s">
        <v>354</v>
      </c>
      <c r="C38" s="7" t="s">
        <v>386</v>
      </c>
      <c r="D38" s="9">
        <v>15000</v>
      </c>
    </row>
    <row r="39" spans="1:4" x14ac:dyDescent="0.3">
      <c r="A39" s="4">
        <v>792306</v>
      </c>
      <c r="B39" s="5" t="s">
        <v>359</v>
      </c>
      <c r="C39" s="7" t="s">
        <v>386</v>
      </c>
      <c r="D39" s="9">
        <v>1000</v>
      </c>
    </row>
    <row r="40" spans="1:4" x14ac:dyDescent="0.3">
      <c r="A40" s="4">
        <v>962201</v>
      </c>
      <c r="B40" s="5" t="s">
        <v>376</v>
      </c>
      <c r="C40" s="7" t="s">
        <v>386</v>
      </c>
      <c r="D40" s="9">
        <v>18000</v>
      </c>
    </row>
    <row r="41" spans="1:4" x14ac:dyDescent="0.3">
      <c r="A41" s="4">
        <v>11517</v>
      </c>
      <c r="B41" s="5" t="s">
        <v>381</v>
      </c>
      <c r="C41" s="7" t="s">
        <v>386</v>
      </c>
      <c r="D41" s="9">
        <v>15000</v>
      </c>
    </row>
    <row r="42" spans="1:4" x14ac:dyDescent="0.3">
      <c r="A42" s="4">
        <v>224589</v>
      </c>
      <c r="B42" s="5" t="s">
        <v>350</v>
      </c>
      <c r="C42" s="7" t="s">
        <v>400</v>
      </c>
      <c r="D42" s="9"/>
    </row>
    <row r="43" spans="1:4" x14ac:dyDescent="0.3">
      <c r="A43" s="4">
        <v>224579</v>
      </c>
      <c r="B43" s="5" t="s">
        <v>355</v>
      </c>
      <c r="C43" s="7" t="s">
        <v>400</v>
      </c>
      <c r="D43" s="9"/>
    </row>
    <row r="44" spans="1:4" x14ac:dyDescent="0.3">
      <c r="A44" s="4">
        <v>12645</v>
      </c>
      <c r="B44" s="5" t="s">
        <v>333</v>
      </c>
      <c r="C44" s="7" t="s">
        <v>392</v>
      </c>
      <c r="D44" s="9">
        <v>15000</v>
      </c>
    </row>
    <row r="45" spans="1:4" x14ac:dyDescent="0.3">
      <c r="A45" s="4">
        <v>40762</v>
      </c>
      <c r="B45" s="5" t="s">
        <v>313</v>
      </c>
      <c r="C45" s="7" t="s">
        <v>396</v>
      </c>
      <c r="D45" s="9">
        <v>10000</v>
      </c>
    </row>
    <row r="46" spans="1:4" x14ac:dyDescent="0.3">
      <c r="A46" s="4">
        <v>42838</v>
      </c>
      <c r="B46" s="5" t="s">
        <v>314</v>
      </c>
      <c r="C46" s="7" t="s">
        <v>396</v>
      </c>
      <c r="D46" s="9">
        <v>2000</v>
      </c>
    </row>
    <row r="47" spans="1:4" x14ac:dyDescent="0.3">
      <c r="A47" s="4">
        <v>42846</v>
      </c>
      <c r="B47" s="5" t="s">
        <v>315</v>
      </c>
      <c r="C47" s="7" t="s">
        <v>396</v>
      </c>
      <c r="D47" s="9">
        <v>2000</v>
      </c>
    </row>
    <row r="48" spans="1:4" x14ac:dyDescent="0.3">
      <c r="A48" s="4">
        <v>42854</v>
      </c>
      <c r="B48" s="5" t="s">
        <v>316</v>
      </c>
      <c r="C48" s="7" t="s">
        <v>396</v>
      </c>
      <c r="D48" s="9">
        <v>2080</v>
      </c>
    </row>
    <row r="49" spans="1:4" x14ac:dyDescent="0.3">
      <c r="A49" s="4">
        <v>42862</v>
      </c>
      <c r="B49" s="5" t="s">
        <v>317</v>
      </c>
      <c r="C49" s="7" t="s">
        <v>396</v>
      </c>
      <c r="D49" s="9">
        <v>2000</v>
      </c>
    </row>
    <row r="50" spans="1:4" x14ac:dyDescent="0.3">
      <c r="A50" s="4">
        <v>864048</v>
      </c>
      <c r="B50" s="5" t="s">
        <v>318</v>
      </c>
      <c r="C50" s="7" t="s">
        <v>396</v>
      </c>
      <c r="D50" s="9">
        <v>2000</v>
      </c>
    </row>
    <row r="51" spans="1:4" x14ac:dyDescent="0.3">
      <c r="A51" s="4">
        <v>990722</v>
      </c>
      <c r="B51" s="5" t="s">
        <v>319</v>
      </c>
      <c r="C51" s="7" t="s">
        <v>396</v>
      </c>
      <c r="D51" s="9">
        <v>7500</v>
      </c>
    </row>
    <row r="52" spans="1:4" x14ac:dyDescent="0.3">
      <c r="A52" s="4">
        <v>13102</v>
      </c>
      <c r="B52" s="5" t="s">
        <v>335</v>
      </c>
      <c r="C52" s="7" t="s">
        <v>396</v>
      </c>
      <c r="D52" s="9">
        <v>15000</v>
      </c>
    </row>
    <row r="53" spans="1:4" x14ac:dyDescent="0.3">
      <c r="A53" s="4">
        <v>55552</v>
      </c>
      <c r="B53" s="5" t="s">
        <v>336</v>
      </c>
      <c r="C53" s="7" t="s">
        <v>396</v>
      </c>
      <c r="D53" s="9">
        <v>15000</v>
      </c>
    </row>
    <row r="54" spans="1:4" x14ac:dyDescent="0.3">
      <c r="A54" s="4">
        <v>929905</v>
      </c>
      <c r="B54" s="5" t="s">
        <v>343</v>
      </c>
      <c r="C54" s="7" t="s">
        <v>396</v>
      </c>
      <c r="D54" s="9">
        <v>18000</v>
      </c>
    </row>
    <row r="55" spans="1:4" x14ac:dyDescent="0.3">
      <c r="A55" s="4">
        <v>54632</v>
      </c>
      <c r="B55" s="5" t="s">
        <v>344</v>
      </c>
      <c r="C55" s="7" t="s">
        <v>396</v>
      </c>
      <c r="D55" s="9">
        <v>1000</v>
      </c>
    </row>
    <row r="56" spans="1:4" x14ac:dyDescent="0.3">
      <c r="A56" s="4">
        <v>992014</v>
      </c>
      <c r="B56" s="5" t="s">
        <v>345</v>
      </c>
      <c r="C56" s="7" t="s">
        <v>396</v>
      </c>
      <c r="D56" s="9">
        <v>700</v>
      </c>
    </row>
    <row r="57" spans="1:4" x14ac:dyDescent="0.3">
      <c r="A57" s="4">
        <v>197718</v>
      </c>
      <c r="B57" s="5" t="s">
        <v>348</v>
      </c>
      <c r="C57" s="7" t="s">
        <v>396</v>
      </c>
      <c r="D57" s="9">
        <v>1000</v>
      </c>
    </row>
    <row r="58" spans="1:4" x14ac:dyDescent="0.3">
      <c r="A58" s="4">
        <v>209299</v>
      </c>
      <c r="B58" s="5" t="s">
        <v>349</v>
      </c>
      <c r="C58" s="7" t="s">
        <v>396</v>
      </c>
      <c r="D58" s="9">
        <v>1000</v>
      </c>
    </row>
    <row r="59" spans="1:4" x14ac:dyDescent="0.3">
      <c r="A59" s="4">
        <v>13188</v>
      </c>
      <c r="B59" s="5" t="s">
        <v>351</v>
      </c>
      <c r="C59" s="7" t="s">
        <v>396</v>
      </c>
      <c r="D59" s="9">
        <v>1000</v>
      </c>
    </row>
    <row r="60" spans="1:4" x14ac:dyDescent="0.3">
      <c r="A60" s="4">
        <v>15229</v>
      </c>
      <c r="B60" s="5" t="s">
        <v>352</v>
      </c>
      <c r="C60" s="7" t="s">
        <v>396</v>
      </c>
      <c r="D60" s="9">
        <v>1000</v>
      </c>
    </row>
    <row r="61" spans="1:4" x14ac:dyDescent="0.3">
      <c r="A61" s="4">
        <v>209009</v>
      </c>
      <c r="B61" s="5" t="s">
        <v>353</v>
      </c>
      <c r="C61" s="7" t="s">
        <v>396</v>
      </c>
      <c r="D61" s="9">
        <v>1000</v>
      </c>
    </row>
    <row r="62" spans="1:4" x14ac:dyDescent="0.3">
      <c r="A62" s="4">
        <v>42820</v>
      </c>
      <c r="B62" s="5" t="s">
        <v>356</v>
      </c>
      <c r="C62" s="7" t="s">
        <v>396</v>
      </c>
      <c r="D62" s="9">
        <v>2000</v>
      </c>
    </row>
    <row r="63" spans="1:4" x14ac:dyDescent="0.3">
      <c r="A63" s="4">
        <v>42811</v>
      </c>
      <c r="B63" s="5" t="s">
        <v>357</v>
      </c>
      <c r="C63" s="7" t="s">
        <v>396</v>
      </c>
      <c r="D63" s="9">
        <v>2000</v>
      </c>
    </row>
    <row r="64" spans="1:4" x14ac:dyDescent="0.3">
      <c r="A64" s="4">
        <v>962198</v>
      </c>
      <c r="B64" s="5" t="s">
        <v>358</v>
      </c>
      <c r="C64" s="7" t="s">
        <v>396</v>
      </c>
      <c r="D64" s="9">
        <v>18000</v>
      </c>
    </row>
    <row r="65" spans="1:4" x14ac:dyDescent="0.3">
      <c r="A65" s="4">
        <v>209419</v>
      </c>
      <c r="B65" s="5" t="s">
        <v>364</v>
      </c>
      <c r="C65" s="7" t="s">
        <v>396</v>
      </c>
      <c r="D65" s="9">
        <v>1000</v>
      </c>
    </row>
    <row r="66" spans="1:4" x14ac:dyDescent="0.3">
      <c r="A66" s="4">
        <v>197726</v>
      </c>
      <c r="B66" s="5" t="s">
        <v>366</v>
      </c>
      <c r="C66" s="7" t="s">
        <v>396</v>
      </c>
      <c r="D66" s="9">
        <v>1000</v>
      </c>
    </row>
    <row r="67" spans="1:4" x14ac:dyDescent="0.3">
      <c r="A67" s="4">
        <v>209099</v>
      </c>
      <c r="B67" s="5" t="s">
        <v>367</v>
      </c>
      <c r="C67" s="7" t="s">
        <v>396</v>
      </c>
      <c r="D67" s="9">
        <v>1000</v>
      </c>
    </row>
    <row r="68" spans="1:4" x14ac:dyDescent="0.3">
      <c r="A68" s="4">
        <v>991277</v>
      </c>
      <c r="B68" s="5" t="s">
        <v>368</v>
      </c>
      <c r="C68" s="7" t="s">
        <v>396</v>
      </c>
      <c r="D68" s="9">
        <v>1000</v>
      </c>
    </row>
    <row r="69" spans="1:4" x14ac:dyDescent="0.3">
      <c r="A69" s="4">
        <v>50580</v>
      </c>
      <c r="B69" s="5" t="s">
        <v>369</v>
      </c>
      <c r="C69" s="7" t="s">
        <v>396</v>
      </c>
      <c r="D69" s="9">
        <v>2000</v>
      </c>
    </row>
    <row r="70" spans="1:4" x14ac:dyDescent="0.3">
      <c r="A70" s="4">
        <v>14141</v>
      </c>
      <c r="B70" s="5" t="s">
        <v>370</v>
      </c>
      <c r="C70" s="7" t="s">
        <v>396</v>
      </c>
      <c r="D70" s="9">
        <v>15000</v>
      </c>
    </row>
    <row r="71" spans="1:4" x14ac:dyDescent="0.3">
      <c r="A71" s="4">
        <v>209319</v>
      </c>
      <c r="B71" s="5" t="s">
        <v>377</v>
      </c>
      <c r="C71" s="7" t="s">
        <v>396</v>
      </c>
      <c r="D71" s="9">
        <v>1000</v>
      </c>
    </row>
    <row r="72" spans="1:4" x14ac:dyDescent="0.3">
      <c r="A72" s="4">
        <v>962236</v>
      </c>
      <c r="B72" s="5" t="s">
        <v>378</v>
      </c>
      <c r="C72" s="7" t="s">
        <v>396</v>
      </c>
      <c r="D72" s="9">
        <v>18000</v>
      </c>
    </row>
    <row r="73" spans="1:4" x14ac:dyDescent="0.3">
      <c r="A73" s="4">
        <v>209019</v>
      </c>
      <c r="B73" s="5" t="s">
        <v>379</v>
      </c>
      <c r="C73" s="7" t="s">
        <v>396</v>
      </c>
      <c r="D73" s="9">
        <v>1000</v>
      </c>
    </row>
    <row r="74" spans="1:4" x14ac:dyDescent="0.3">
      <c r="A74" s="4">
        <v>232079</v>
      </c>
      <c r="B74" s="5" t="s">
        <v>308</v>
      </c>
      <c r="C74" s="7" t="s">
        <v>393</v>
      </c>
      <c r="D74" s="9">
        <v>7500</v>
      </c>
    </row>
    <row r="75" spans="1:4" x14ac:dyDescent="0.3">
      <c r="A75" s="4">
        <v>42030</v>
      </c>
      <c r="B75" s="5" t="s">
        <v>309</v>
      </c>
      <c r="C75" s="7" t="s">
        <v>393</v>
      </c>
      <c r="D75" s="9">
        <v>7500</v>
      </c>
    </row>
    <row r="76" spans="1:4" x14ac:dyDescent="0.3">
      <c r="A76" s="4">
        <v>727571</v>
      </c>
      <c r="B76" s="5" t="s">
        <v>310</v>
      </c>
      <c r="C76" s="7" t="s">
        <v>393</v>
      </c>
      <c r="D76" s="9">
        <v>15000</v>
      </c>
    </row>
    <row r="77" spans="1:4" x14ac:dyDescent="0.3">
      <c r="A77" s="4">
        <v>977110</v>
      </c>
      <c r="B77" s="5" t="s">
        <v>362</v>
      </c>
      <c r="C77" s="7" t="s">
        <v>393</v>
      </c>
      <c r="D77" s="9"/>
    </row>
    <row r="78" spans="1:4" x14ac:dyDescent="0.3">
      <c r="A78" s="4">
        <v>59510</v>
      </c>
      <c r="B78" s="5" t="s">
        <v>363</v>
      </c>
      <c r="C78" s="7" t="s">
        <v>393</v>
      </c>
      <c r="D78" s="9"/>
    </row>
    <row r="79" spans="1:4" x14ac:dyDescent="0.3">
      <c r="A79" s="4">
        <v>31779</v>
      </c>
      <c r="B79" s="5" t="s">
        <v>307</v>
      </c>
      <c r="C79" s="7" t="s">
        <v>390</v>
      </c>
      <c r="D79" s="9">
        <v>15000</v>
      </c>
    </row>
    <row r="80" spans="1:4" x14ac:dyDescent="0.3">
      <c r="A80" s="4">
        <v>990454</v>
      </c>
      <c r="B80" s="5" t="s">
        <v>312</v>
      </c>
      <c r="C80" s="7" t="s">
        <v>395</v>
      </c>
      <c r="D80" s="9">
        <v>15000</v>
      </c>
    </row>
    <row r="81" spans="1:4" x14ac:dyDescent="0.3">
      <c r="A81" s="4">
        <v>209129</v>
      </c>
      <c r="B81" s="5" t="s">
        <v>330</v>
      </c>
      <c r="C81" s="7" t="s">
        <v>395</v>
      </c>
      <c r="D81" s="9">
        <v>1000</v>
      </c>
    </row>
    <row r="82" spans="1:4" x14ac:dyDescent="0.3">
      <c r="A82" s="4">
        <v>15849</v>
      </c>
      <c r="B82" s="5" t="s">
        <v>339</v>
      </c>
      <c r="C82" s="7" t="s">
        <v>395</v>
      </c>
      <c r="D82" s="9">
        <v>1000</v>
      </c>
    </row>
    <row r="83" spans="1:4" x14ac:dyDescent="0.3">
      <c r="A83" s="4">
        <v>197734</v>
      </c>
      <c r="B83" s="5" t="s">
        <v>360</v>
      </c>
      <c r="C83" s="7" t="s">
        <v>395</v>
      </c>
      <c r="D83" s="9">
        <v>1000</v>
      </c>
    </row>
    <row r="84" spans="1:4" x14ac:dyDescent="0.3">
      <c r="A84" s="4">
        <v>963968</v>
      </c>
      <c r="B84" s="5" t="s">
        <v>382</v>
      </c>
      <c r="C84" s="7" t="s">
        <v>395</v>
      </c>
      <c r="D84" s="9">
        <v>18000</v>
      </c>
    </row>
    <row r="85" spans="1:4" x14ac:dyDescent="0.3">
      <c r="A85" s="4">
        <v>993446</v>
      </c>
      <c r="B85" s="5" t="s">
        <v>383</v>
      </c>
      <c r="C85" s="7" t="s">
        <v>395</v>
      </c>
      <c r="D85" s="9"/>
    </row>
  </sheetData>
  <autoFilter ref="A1:D85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Tabela Sobrepeso Dia</vt:lpstr>
      <vt:lpstr>Tabela Sobrepeso Mês</vt:lpstr>
      <vt:lpstr>Coleta</vt:lpstr>
      <vt:lpstr>SKU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2026-08-17T14:23:06Z</dcterms:created>
  <dcterms:modified xsi:type="dcterms:W3CDTF">2026-10-13T16:34:33Z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