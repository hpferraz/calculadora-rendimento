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4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9" i="1" l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B291" i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B267" i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D82" i="2"/>
  <c r="AM82" i="2"/>
  <c r="U83" i="2"/>
  <c r="AI81" i="2"/>
  <c r="AA82" i="2"/>
  <c r="T82" i="2"/>
  <c r="AJ81" i="2"/>
  <c r="X82" i="2"/>
  <c r="AL81" i="2"/>
  <c r="AH82" i="2"/>
  <c r="AA81" i="2"/>
  <c r="R81" i="2"/>
  <c r="T81" i="2"/>
  <c r="Y82" i="2"/>
  <c r="AH81" i="2"/>
  <c r="AF81" i="2"/>
  <c r="AG82" i="2"/>
  <c r="AC83" i="2"/>
  <c r="V81" i="2"/>
  <c r="U82" i="2"/>
  <c r="AL83" i="2"/>
  <c r="W83" i="2"/>
  <c r="AJ83" i="2"/>
  <c r="S81" i="2"/>
  <c r="AF83" i="2"/>
  <c r="AB81" i="2"/>
  <c r="AI83" i="2"/>
  <c r="AF82" i="2"/>
  <c r="S83" i="2"/>
  <c r="V82" i="2"/>
  <c r="AM83" i="2"/>
  <c r="AG81" i="2"/>
  <c r="AH83" i="2"/>
  <c r="AE82" i="2"/>
  <c r="X83" i="2"/>
  <c r="Z83" i="2"/>
  <c r="U81" i="2"/>
  <c r="V83" i="2"/>
  <c r="W81" i="2"/>
  <c r="AJ82" i="2"/>
  <c r="AB83" i="2"/>
  <c r="AI82" i="2"/>
  <c r="AE83" i="2"/>
  <c r="Z82" i="2"/>
  <c r="AB82" i="2"/>
  <c r="AK82" i="2"/>
  <c r="Y83" i="2"/>
  <c r="AM81" i="2"/>
  <c r="W82" i="2"/>
  <c r="R82" i="2"/>
  <c r="AD81" i="2"/>
  <c r="AC81" i="2"/>
  <c r="AE81" i="2"/>
  <c r="AK83" i="2"/>
  <c r="Z81" i="2"/>
  <c r="R83" i="2"/>
  <c r="AA83" i="2"/>
  <c r="X81" i="2"/>
  <c r="S82" i="2"/>
  <c r="AC82" i="2"/>
  <c r="AL82" i="2"/>
  <c r="Y81" i="2"/>
  <c r="AD83" i="2"/>
  <c r="T83" i="2"/>
  <c r="AK81" i="2"/>
  <c r="AG83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N82" i="2"/>
  <c r="F82" i="2"/>
  <c r="G81" i="2"/>
  <c r="G83" i="2"/>
  <c r="M83" i="2"/>
  <c r="K83" i="2"/>
  <c r="I81" i="2"/>
  <c r="M81" i="2"/>
  <c r="I83" i="2"/>
  <c r="F81" i="2"/>
  <c r="N81" i="2"/>
  <c r="L82" i="2"/>
  <c r="M82" i="2"/>
  <c r="E82" i="2"/>
  <c r="N83" i="2"/>
  <c r="H83" i="2"/>
  <c r="P83" i="2"/>
  <c r="J83" i="2"/>
  <c r="J82" i="2"/>
  <c r="J81" i="2"/>
  <c r="I82" i="2"/>
  <c r="L83" i="2"/>
  <c r="E83" i="2"/>
  <c r="L81" i="2"/>
  <c r="K82" i="2"/>
  <c r="H82" i="2"/>
  <c r="O81" i="2"/>
  <c r="O82" i="2"/>
  <c r="E81" i="2"/>
  <c r="H81" i="2"/>
  <c r="F83" i="2"/>
  <c r="O83" i="2"/>
  <c r="P81" i="2"/>
  <c r="G82" i="2"/>
  <c r="K81" i="2"/>
  <c r="P82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I19" i="2" l="1"/>
  <c r="J14" i="2"/>
  <c r="N58" i="2"/>
  <c r="G32" i="2"/>
  <c r="AJ17" i="2"/>
  <c r="AF35" i="2"/>
  <c r="Y39" i="2"/>
  <c r="I7" i="2"/>
  <c r="K45" i="2"/>
  <c r="N15" i="2"/>
  <c r="AJ12" i="2"/>
  <c r="T72" i="2"/>
  <c r="AD16" i="2"/>
  <c r="Y44" i="2"/>
  <c r="H26" i="2"/>
  <c r="AB12" i="2"/>
  <c r="I78" i="2"/>
  <c r="AJ70" i="2"/>
  <c r="T39" i="2"/>
  <c r="AC61" i="2"/>
  <c r="W50" i="2"/>
  <c r="AM42" i="2"/>
  <c r="F56" i="2"/>
  <c r="AF74" i="2"/>
  <c r="U4" i="2"/>
  <c r="R61" i="2"/>
  <c r="X45" i="2"/>
  <c r="X79" i="2"/>
  <c r="K17" i="2"/>
  <c r="AE56" i="2"/>
  <c r="N5" i="2"/>
  <c r="K20" i="2"/>
  <c r="AJ67" i="2"/>
  <c r="J24" i="2"/>
  <c r="AL28" i="2"/>
  <c r="N70" i="2"/>
  <c r="AG15" i="2"/>
  <c r="AJ10" i="2"/>
  <c r="L18" i="2"/>
  <c r="AD29" i="2"/>
  <c r="O20" i="2"/>
  <c r="I39" i="2"/>
  <c r="AF33" i="2"/>
  <c r="AF41" i="2"/>
  <c r="Y65" i="2"/>
  <c r="T59" i="2"/>
  <c r="AI22" i="2"/>
  <c r="Y27" i="2"/>
  <c r="S52" i="2"/>
  <c r="T33" i="2"/>
  <c r="AL5" i="2"/>
  <c r="Z56" i="2"/>
  <c r="Z20" i="2"/>
  <c r="I48" i="2"/>
  <c r="H15" i="2"/>
  <c r="AF40" i="2"/>
  <c r="K32" i="2"/>
  <c r="M28" i="2"/>
  <c r="S35" i="2"/>
  <c r="AI59" i="2"/>
  <c r="AL12" i="2"/>
  <c r="F75" i="2"/>
  <c r="AC80" i="2"/>
  <c r="AM40" i="2"/>
  <c r="T64" i="2"/>
  <c r="R41" i="2"/>
  <c r="J46" i="2"/>
  <c r="T80" i="2"/>
  <c r="M7" i="2"/>
  <c r="AK63" i="2"/>
  <c r="J38" i="2"/>
  <c r="AB77" i="2"/>
  <c r="AH62" i="2"/>
  <c r="R53" i="2"/>
  <c r="AE78" i="2"/>
  <c r="AB27" i="2"/>
  <c r="K79" i="2"/>
  <c r="P55" i="2"/>
  <c r="O50" i="2"/>
  <c r="M37" i="2"/>
  <c r="E42" i="2"/>
  <c r="AB15" i="2"/>
  <c r="I27" i="2"/>
  <c r="X78" i="2"/>
  <c r="AG57" i="2"/>
  <c r="AM61" i="2"/>
  <c r="AM10" i="2"/>
  <c r="AD69" i="2"/>
  <c r="AJ79" i="2"/>
  <c r="AE62" i="2"/>
  <c r="AL74" i="2"/>
  <c r="AA60" i="2"/>
  <c r="AE5" i="2"/>
  <c r="Z76" i="2"/>
  <c r="L68" i="2"/>
  <c r="AK9" i="2"/>
  <c r="P11" i="2"/>
  <c r="M70" i="2"/>
  <c r="L32" i="2"/>
  <c r="U16" i="2"/>
  <c r="AF46" i="2"/>
  <c r="AF66" i="2"/>
  <c r="Z21" i="2"/>
  <c r="W33" i="2"/>
  <c r="S25" i="2"/>
  <c r="U22" i="2"/>
  <c r="Z26" i="2"/>
  <c r="T49" i="2"/>
  <c r="AG59" i="2"/>
  <c r="AA54" i="2"/>
  <c r="AB13" i="2"/>
  <c r="T30" i="2"/>
  <c r="I49" i="2"/>
  <c r="L66" i="2"/>
  <c r="AJ32" i="2"/>
  <c r="K47" i="2"/>
  <c r="AD67" i="2"/>
  <c r="AE48" i="2"/>
  <c r="Z60" i="2"/>
  <c r="P76" i="2"/>
  <c r="AM23" i="2"/>
  <c r="AF72" i="2"/>
  <c r="AE68" i="2"/>
  <c r="X58" i="2"/>
  <c r="AG68" i="2"/>
  <c r="AK22" i="2"/>
  <c r="G63" i="2"/>
  <c r="AD24" i="2"/>
  <c r="G38" i="2"/>
  <c r="AI64" i="2"/>
  <c r="H43" i="2"/>
  <c r="M65" i="2"/>
  <c r="AH9" i="2"/>
  <c r="S30" i="2"/>
  <c r="AH64" i="2"/>
  <c r="AB53" i="2"/>
  <c r="AM46" i="2"/>
  <c r="J36" i="2"/>
  <c r="AH20" i="2"/>
  <c r="F18" i="2"/>
  <c r="G16" i="2"/>
  <c r="V30" i="2"/>
  <c r="X9" i="2"/>
  <c r="W73" i="2"/>
  <c r="H37" i="2"/>
  <c r="AB14" i="2"/>
  <c r="AM5" i="2"/>
  <c r="L27" i="2"/>
  <c r="AG18" i="2"/>
  <c r="AJ62" i="2"/>
  <c r="E36" i="2"/>
  <c r="AL54" i="2"/>
  <c r="Y41" i="2"/>
  <c r="S24" i="2"/>
  <c r="Z50" i="2"/>
  <c r="P70" i="2"/>
  <c r="L79" i="2"/>
  <c r="F31" i="2"/>
  <c r="T45" i="2"/>
  <c r="X56" i="2"/>
  <c r="AB47" i="2"/>
  <c r="U26" i="2"/>
  <c r="N24" i="2"/>
  <c r="AI66" i="2"/>
  <c r="I47" i="2"/>
  <c r="I34" i="2"/>
  <c r="X24" i="2"/>
  <c r="AG28" i="2"/>
  <c r="V10" i="2"/>
  <c r="G78" i="2"/>
  <c r="F59" i="2"/>
  <c r="AC14" i="2"/>
  <c r="X26" i="2"/>
  <c r="J16" i="2"/>
  <c r="E60" i="2"/>
  <c r="AE9" i="2"/>
  <c r="I66" i="2"/>
  <c r="AK32" i="2"/>
  <c r="AM34" i="2"/>
  <c r="H74" i="2"/>
  <c r="X60" i="2"/>
  <c r="AD18" i="2"/>
  <c r="L36" i="2"/>
  <c r="Y45" i="2"/>
  <c r="Y33" i="2"/>
  <c r="AF60" i="2"/>
  <c r="X4" i="2"/>
  <c r="M57" i="2"/>
  <c r="K50" i="2"/>
  <c r="E6" i="2"/>
  <c r="P6" i="2"/>
  <c r="X61" i="2"/>
  <c r="AK19" i="2"/>
  <c r="W46" i="2"/>
  <c r="R13" i="2"/>
  <c r="AK69" i="2"/>
  <c r="AE25" i="2"/>
  <c r="AE43" i="2"/>
  <c r="O14" i="2"/>
  <c r="AC53" i="2"/>
  <c r="AK61" i="2"/>
  <c r="I62" i="2"/>
  <c r="AJ46" i="2"/>
  <c r="Y35" i="2"/>
  <c r="T41" i="2"/>
  <c r="X20" i="2"/>
  <c r="V59" i="2"/>
  <c r="O28" i="2"/>
  <c r="G73" i="2"/>
  <c r="AF8" i="2"/>
  <c r="AE10" i="2"/>
  <c r="R77" i="2"/>
  <c r="V53" i="2"/>
  <c r="N17" i="2"/>
  <c r="F7" i="2"/>
  <c r="U8" i="2"/>
  <c r="AK55" i="2"/>
  <c r="E52" i="2"/>
  <c r="W53" i="2"/>
  <c r="AB52" i="2"/>
  <c r="P40" i="2"/>
  <c r="N72" i="2"/>
  <c r="O66" i="2"/>
  <c r="AG26" i="2"/>
  <c r="N69" i="2"/>
  <c r="Y62" i="2"/>
  <c r="V44" i="2"/>
  <c r="AI35" i="2"/>
  <c r="T34" i="2"/>
  <c r="P69" i="2"/>
  <c r="N62" i="2"/>
  <c r="AD8" i="2"/>
  <c r="T62" i="2"/>
  <c r="K60" i="2"/>
  <c r="J19" i="2"/>
  <c r="AA37" i="2"/>
  <c r="N21" i="2"/>
  <c r="F10" i="2"/>
  <c r="I13" i="2"/>
  <c r="AI48" i="2"/>
  <c r="AG39" i="2"/>
  <c r="W38" i="2"/>
  <c r="L15" i="2"/>
  <c r="W69" i="2"/>
  <c r="L63" i="2"/>
  <c r="E29" i="2"/>
  <c r="Y5" i="2"/>
  <c r="AG65" i="2"/>
  <c r="K78" i="2"/>
  <c r="P39" i="2"/>
  <c r="G5" i="2"/>
  <c r="P4" i="2"/>
  <c r="W12" i="2"/>
  <c r="AA42" i="2"/>
  <c r="N19" i="2"/>
  <c r="AF78" i="2"/>
  <c r="I40" i="2"/>
  <c r="AL65" i="2"/>
  <c r="N80" i="2"/>
  <c r="T29" i="2"/>
  <c r="V4" i="2"/>
  <c r="W59" i="2"/>
  <c r="M66" i="2"/>
  <c r="F29" i="2"/>
  <c r="T19" i="2"/>
  <c r="AI76" i="2"/>
  <c r="AE57" i="2"/>
  <c r="R64" i="2"/>
  <c r="AG27" i="2"/>
  <c r="J9" i="2"/>
  <c r="N50" i="2"/>
  <c r="O59" i="2"/>
  <c r="AD34" i="2"/>
  <c r="Y21" i="2"/>
  <c r="N77" i="2"/>
  <c r="P19" i="2"/>
  <c r="AK6" i="2"/>
  <c r="AG22" i="2"/>
  <c r="AC12" i="2"/>
  <c r="AF61" i="2"/>
  <c r="AD6" i="2"/>
  <c r="P38" i="2"/>
  <c r="AK13" i="2"/>
  <c r="V52" i="2"/>
  <c r="G79" i="2"/>
  <c r="U76" i="2"/>
  <c r="AG34" i="2"/>
  <c r="X6" i="2"/>
  <c r="AI4" i="2"/>
  <c r="Y80" i="2"/>
  <c r="AE33" i="2"/>
  <c r="H39" i="2"/>
  <c r="O45" i="2"/>
  <c r="AC51" i="2"/>
  <c r="T40" i="2"/>
  <c r="Y19" i="2"/>
  <c r="AI12" i="2"/>
  <c r="AK80" i="2"/>
  <c r="O58" i="2"/>
  <c r="K40" i="2"/>
  <c r="M73" i="2"/>
  <c r="AC77" i="2"/>
  <c r="Z29" i="2"/>
  <c r="M48" i="2"/>
  <c r="T26" i="2"/>
  <c r="AF63" i="2"/>
  <c r="H25" i="2"/>
  <c r="AE36" i="2"/>
  <c r="S19" i="2"/>
  <c r="AF22" i="2"/>
  <c r="AM15" i="2"/>
  <c r="AG53" i="2"/>
  <c r="AD68" i="2"/>
  <c r="AB23" i="2"/>
  <c r="T54" i="2"/>
  <c r="R39" i="2"/>
  <c r="T36" i="2"/>
  <c r="AC32" i="2"/>
  <c r="AK57" i="2"/>
  <c r="O69" i="2"/>
  <c r="M12" i="2"/>
  <c r="Y29" i="2"/>
  <c r="Z45" i="2"/>
  <c r="F47" i="2"/>
  <c r="W72" i="2"/>
  <c r="I74" i="2"/>
  <c r="AI55" i="2"/>
  <c r="AF14" i="2"/>
  <c r="AG47" i="2"/>
  <c r="E34" i="2"/>
  <c r="AH23" i="2"/>
  <c r="AK50" i="2"/>
  <c r="T13" i="2"/>
  <c r="AK59" i="2"/>
  <c r="R46" i="2"/>
  <c r="O19" i="2"/>
  <c r="K15" i="2"/>
  <c r="AM37" i="2"/>
  <c r="AF32" i="2"/>
  <c r="Z43" i="2"/>
  <c r="AC56" i="2"/>
  <c r="AG73" i="2"/>
  <c r="R48" i="2"/>
  <c r="V24" i="2"/>
  <c r="G29" i="2"/>
  <c r="G55" i="2"/>
  <c r="AH58" i="2"/>
  <c r="H5" i="2"/>
  <c r="F50" i="2"/>
  <c r="M5" i="2"/>
  <c r="AE35" i="2"/>
  <c r="S49" i="2"/>
  <c r="AE59" i="2"/>
  <c r="AE17" i="2"/>
  <c r="AJ51" i="2"/>
  <c r="K66" i="2"/>
  <c r="W41" i="2"/>
  <c r="O29" i="2"/>
  <c r="R76" i="2"/>
  <c r="X17" i="2"/>
  <c r="S7" i="2"/>
  <c r="L31" i="2"/>
  <c r="AC60" i="2"/>
  <c r="F15" i="2"/>
  <c r="AL18" i="2"/>
  <c r="AA65" i="2"/>
  <c r="M30" i="2"/>
  <c r="V68" i="2"/>
  <c r="AH47" i="2"/>
  <c r="R74" i="2"/>
  <c r="W37" i="2"/>
  <c r="AA59" i="2"/>
  <c r="E4" i="2"/>
  <c r="AA43" i="2"/>
  <c r="AB65" i="2"/>
  <c r="Z52" i="2"/>
  <c r="H75" i="2"/>
  <c r="AF48" i="2"/>
  <c r="I14" i="2"/>
  <c r="O48" i="2"/>
  <c r="U49" i="2"/>
  <c r="AE70" i="2"/>
  <c r="I18" i="2"/>
  <c r="E63" i="2"/>
  <c r="AH73" i="2"/>
  <c r="AC54" i="2"/>
  <c r="E26" i="2"/>
  <c r="AK24" i="2"/>
  <c r="AG52" i="2"/>
  <c r="AF31" i="2"/>
  <c r="AG55" i="2"/>
  <c r="V15" i="2"/>
  <c r="AJ76" i="2"/>
  <c r="R80" i="2"/>
  <c r="Y18" i="2"/>
  <c r="M11" i="2"/>
  <c r="W52" i="2"/>
  <c r="I58" i="2"/>
  <c r="S42" i="2"/>
  <c r="X38" i="2"/>
  <c r="AF80" i="2"/>
  <c r="E18" i="2"/>
  <c r="AE4" i="2"/>
  <c r="T27" i="2"/>
  <c r="O55" i="2"/>
  <c r="G76" i="2"/>
  <c r="W28" i="2"/>
  <c r="F48" i="2"/>
  <c r="AA12" i="2"/>
  <c r="AK7" i="2"/>
  <c r="AJ24" i="2"/>
  <c r="AF19" i="2"/>
  <c r="AJ77" i="2"/>
  <c r="R22" i="2"/>
  <c r="G66" i="2"/>
  <c r="AA80" i="2"/>
  <c r="AJ8" i="2"/>
  <c r="T42" i="2"/>
  <c r="AH49" i="2"/>
  <c r="I79" i="2"/>
  <c r="AK14" i="2"/>
  <c r="W6" i="2"/>
  <c r="AL52" i="2"/>
  <c r="F24" i="2"/>
  <c r="AA27" i="2"/>
  <c r="Z53" i="2"/>
  <c r="AE32" i="2"/>
  <c r="S13" i="2"/>
  <c r="R27" i="2"/>
  <c r="J21" i="2"/>
  <c r="N13" i="2"/>
  <c r="S45" i="2"/>
  <c r="Z8" i="2"/>
  <c r="H35" i="2"/>
  <c r="T63" i="2"/>
  <c r="AL14" i="2"/>
  <c r="AC17" i="2"/>
  <c r="AF20" i="2"/>
  <c r="T71" i="2"/>
  <c r="R4" i="2"/>
  <c r="AM57" i="2"/>
  <c r="S50" i="2"/>
  <c r="X57" i="2"/>
  <c r="J34" i="2"/>
  <c r="I24" i="2"/>
  <c r="AJ15" i="2"/>
  <c r="K8" i="2"/>
  <c r="AI31" i="2"/>
  <c r="G12" i="2"/>
  <c r="W65" i="2"/>
  <c r="AJ29" i="2"/>
  <c r="U77" i="2"/>
  <c r="AC30" i="2"/>
  <c r="J42" i="2"/>
  <c r="T14" i="2"/>
  <c r="U72" i="2"/>
  <c r="E78" i="2"/>
  <c r="N47" i="2"/>
  <c r="L26" i="2"/>
  <c r="N60" i="2"/>
  <c r="AA45" i="2"/>
  <c r="K18" i="2"/>
  <c r="O71" i="2"/>
  <c r="O53" i="2"/>
  <c r="AL34" i="2"/>
  <c r="Z48" i="2"/>
  <c r="AF44" i="2"/>
  <c r="F8" i="2"/>
  <c r="Z47" i="2"/>
  <c r="M22" i="2"/>
  <c r="I63" i="2"/>
  <c r="I25" i="2"/>
  <c r="X75" i="2"/>
  <c r="S77" i="2"/>
  <c r="O27" i="2"/>
  <c r="I5" i="2"/>
  <c r="L71" i="2"/>
  <c r="T35" i="2"/>
  <c r="F57" i="2"/>
  <c r="S63" i="2"/>
  <c r="I8" i="2"/>
  <c r="AB10" i="2"/>
  <c r="V65" i="2"/>
  <c r="V39" i="2"/>
  <c r="AA70" i="2"/>
  <c r="F49" i="2"/>
  <c r="T6" i="2"/>
  <c r="T57" i="2"/>
  <c r="AF11" i="2"/>
  <c r="AM66" i="2"/>
  <c r="AF58" i="2"/>
  <c r="K56" i="2"/>
  <c r="AE49" i="2"/>
  <c r="T37" i="2"/>
  <c r="E12" i="2"/>
  <c r="AD33" i="2"/>
  <c r="G72" i="2"/>
  <c r="AI60" i="2"/>
  <c r="O41" i="2"/>
  <c r="P36" i="2"/>
  <c r="S75" i="2"/>
  <c r="S61" i="2"/>
  <c r="L48" i="2"/>
  <c r="U39" i="2"/>
  <c r="K73" i="2"/>
  <c r="J47" i="2"/>
  <c r="T47" i="2"/>
  <c r="AH71" i="2"/>
  <c r="K77" i="2"/>
  <c r="F77" i="2"/>
  <c r="AD28" i="2"/>
  <c r="V60" i="2"/>
  <c r="S55" i="2"/>
  <c r="AE60" i="2"/>
  <c r="F20" i="2"/>
  <c r="F61" i="2"/>
  <c r="O70" i="2"/>
  <c r="H70" i="2"/>
  <c r="AJ9" i="2"/>
  <c r="X69" i="2"/>
  <c r="AJ20" i="2"/>
  <c r="O37" i="2"/>
  <c r="G37" i="2"/>
  <c r="Y51" i="2"/>
  <c r="R18" i="2"/>
  <c r="AL49" i="2"/>
  <c r="P53" i="2"/>
  <c r="H23" i="2"/>
  <c r="Z78" i="2"/>
  <c r="N59" i="2"/>
  <c r="AM68" i="2"/>
  <c r="AJ47" i="2"/>
  <c r="U33" i="2"/>
  <c r="AJ37" i="2"/>
  <c r="AL56" i="2"/>
  <c r="K26" i="2"/>
  <c r="AG7" i="2"/>
  <c r="AB63" i="2"/>
  <c r="Y24" i="2"/>
  <c r="W21" i="2"/>
  <c r="E21" i="2"/>
  <c r="H6" i="2"/>
  <c r="W18" i="2"/>
  <c r="X68" i="2"/>
  <c r="O15" i="2"/>
  <c r="AA50" i="2"/>
  <c r="AA16" i="2"/>
  <c r="U45" i="2"/>
  <c r="R15" i="2"/>
  <c r="K62" i="2"/>
  <c r="AC46" i="2"/>
  <c r="Y42" i="2"/>
  <c r="AL26" i="2"/>
  <c r="AI16" i="2"/>
  <c r="U78" i="2"/>
  <c r="AC62" i="2"/>
  <c r="AC23" i="2"/>
  <c r="J29" i="2"/>
  <c r="K46" i="2"/>
  <c r="W63" i="2"/>
  <c r="F27" i="2"/>
  <c r="AG69" i="2"/>
  <c r="S20" i="2"/>
  <c r="J27" i="2"/>
  <c r="F5" i="2"/>
  <c r="P37" i="2"/>
  <c r="G26" i="2"/>
  <c r="H73" i="2"/>
  <c r="AC52" i="2"/>
  <c r="AA67" i="2"/>
  <c r="V46" i="2"/>
  <c r="AJ78" i="2"/>
  <c r="Y36" i="2"/>
  <c r="AM26" i="2"/>
  <c r="T61" i="2"/>
  <c r="W48" i="2"/>
  <c r="G45" i="2"/>
  <c r="AG75" i="2"/>
  <c r="G41" i="2"/>
  <c r="AG50" i="2"/>
  <c r="T11" i="2"/>
  <c r="K61" i="2"/>
  <c r="AA4" i="2"/>
  <c r="AM21" i="2"/>
  <c r="I59" i="2"/>
  <c r="L70" i="2"/>
  <c r="V36" i="2"/>
  <c r="Z33" i="2"/>
  <c r="AG41" i="2"/>
  <c r="E11" i="2"/>
  <c r="AG9" i="2"/>
  <c r="P5" i="2"/>
  <c r="F14" i="2"/>
  <c r="O77" i="2"/>
  <c r="J53" i="2"/>
  <c r="AE42" i="2"/>
  <c r="P44" i="2"/>
  <c r="K51" i="2"/>
  <c r="AL17" i="2"/>
  <c r="L72" i="2"/>
  <c r="AG72" i="2"/>
  <c r="J60" i="2"/>
  <c r="AL47" i="2"/>
  <c r="AA5" i="2"/>
  <c r="AA47" i="2"/>
  <c r="AJ42" i="2"/>
  <c r="I52" i="2"/>
  <c r="H54" i="2"/>
  <c r="AB41" i="2"/>
  <c r="AK56" i="2"/>
  <c r="U20" i="2"/>
  <c r="S60" i="2"/>
  <c r="AL42" i="2"/>
  <c r="F53" i="2"/>
  <c r="AJ21" i="2"/>
  <c r="AD39" i="2"/>
  <c r="P21" i="2"/>
  <c r="S27" i="2"/>
  <c r="Z74" i="2"/>
  <c r="AC5" i="2"/>
  <c r="AL67" i="2"/>
  <c r="N28" i="2"/>
  <c r="O60" i="2"/>
  <c r="Z4" i="2"/>
  <c r="H48" i="2"/>
  <c r="AJ63" i="2"/>
  <c r="L74" i="2"/>
  <c r="O32" i="2"/>
  <c r="T76" i="2"/>
  <c r="M13" i="2"/>
  <c r="Y25" i="2"/>
  <c r="AB69" i="2"/>
  <c r="R7" i="2"/>
  <c r="R59" i="2"/>
  <c r="X63" i="2"/>
  <c r="AE26" i="2"/>
  <c r="AH46" i="2"/>
  <c r="AK41" i="2"/>
  <c r="AM25" i="2"/>
  <c r="AC33" i="2"/>
  <c r="AI45" i="2"/>
  <c r="AH8" i="2"/>
  <c r="J20" i="2"/>
  <c r="Y57" i="2"/>
  <c r="AJ64" i="2"/>
  <c r="R50" i="2"/>
  <c r="AC67" i="2"/>
  <c r="AL21" i="2"/>
  <c r="AH75" i="2"/>
  <c r="K35" i="2"/>
  <c r="AM53" i="2"/>
  <c r="I75" i="2"/>
  <c r="AM78" i="2"/>
  <c r="AE7" i="2"/>
  <c r="U68" i="2"/>
  <c r="AH24" i="2"/>
  <c r="X34" i="2"/>
  <c r="AL58" i="2"/>
  <c r="G75" i="2"/>
  <c r="AH31" i="2"/>
  <c r="AL11" i="2"/>
  <c r="X62" i="2"/>
  <c r="V63" i="2"/>
  <c r="V28" i="2"/>
  <c r="AJ16" i="2"/>
  <c r="S23" i="2"/>
  <c r="AK4" i="2"/>
  <c r="X46" i="2"/>
  <c r="F65" i="2"/>
  <c r="O63" i="2"/>
  <c r="E22" i="2"/>
  <c r="AC47" i="2"/>
  <c r="J25" i="2"/>
  <c r="L73" i="2"/>
  <c r="W34" i="2"/>
  <c r="E61" i="2"/>
  <c r="T50" i="2"/>
  <c r="H40" i="2"/>
  <c r="AM13" i="2"/>
  <c r="F17" i="2"/>
  <c r="R19" i="2"/>
  <c r="AD36" i="2"/>
  <c r="V40" i="2"/>
  <c r="U21" i="2"/>
  <c r="AL63" i="2"/>
  <c r="H58" i="2"/>
  <c r="I23" i="2"/>
  <c r="E10" i="2"/>
  <c r="V71" i="2"/>
  <c r="AF4" i="2"/>
  <c r="R5" i="2"/>
  <c r="Y8" i="2"/>
  <c r="O74" i="2"/>
  <c r="AI41" i="2"/>
  <c r="W67" i="2"/>
  <c r="K6" i="2"/>
  <c r="E37" i="2"/>
  <c r="S18" i="2"/>
  <c r="Z70" i="2"/>
  <c r="T7" i="2"/>
  <c r="AL24" i="2"/>
  <c r="AA10" i="2"/>
  <c r="O67" i="2"/>
  <c r="AD49" i="2"/>
  <c r="AB38" i="2"/>
  <c r="AG6" i="2"/>
  <c r="F62" i="2"/>
  <c r="U57" i="2"/>
  <c r="AD17" i="2"/>
  <c r="U51" i="2"/>
  <c r="O9" i="2"/>
  <c r="M26" i="2"/>
  <c r="M17" i="2"/>
  <c r="AB9" i="2"/>
  <c r="W26" i="2"/>
  <c r="AG62" i="2"/>
  <c r="AH34" i="2"/>
  <c r="O49" i="2"/>
  <c r="AE22" i="2"/>
  <c r="H67" i="2"/>
  <c r="AC35" i="2"/>
  <c r="L12" i="2"/>
  <c r="P7" i="2"/>
  <c r="X41" i="2"/>
  <c r="T32" i="2"/>
  <c r="H56" i="2"/>
  <c r="F60" i="2"/>
  <c r="Z39" i="2"/>
  <c r="AB79" i="2"/>
  <c r="I65" i="2"/>
  <c r="P16" i="2"/>
  <c r="G10" i="2"/>
  <c r="AG33" i="2"/>
  <c r="AC79" i="2"/>
  <c r="K36" i="2"/>
  <c r="S76" i="2"/>
  <c r="AC59" i="2"/>
  <c r="T51" i="2"/>
  <c r="AC10" i="2"/>
  <c r="AA38" i="2"/>
  <c r="AM67" i="2"/>
  <c r="AK72" i="2"/>
  <c r="U36" i="2"/>
  <c r="AB21" i="2"/>
  <c r="AK8" i="2"/>
  <c r="Z69" i="2"/>
  <c r="M19" i="2"/>
  <c r="AA6" i="2"/>
  <c r="G21" i="2"/>
  <c r="S48" i="2"/>
  <c r="N52" i="2"/>
  <c r="Z25" i="2"/>
  <c r="I44" i="2"/>
  <c r="V7" i="2"/>
  <c r="AA15" i="2"/>
  <c r="S4" i="2"/>
  <c r="AB33" i="2"/>
  <c r="AH54" i="2"/>
  <c r="AK74" i="2"/>
  <c r="O68" i="2"/>
  <c r="AB42" i="2"/>
  <c r="AI47" i="2"/>
  <c r="I45" i="2"/>
  <c r="V51" i="2"/>
  <c r="G23" i="2"/>
  <c r="AJ5" i="2"/>
  <c r="R68" i="2"/>
  <c r="J49" i="2"/>
  <c r="K33" i="2"/>
  <c r="F46" i="2"/>
  <c r="I30" i="2"/>
  <c r="AF10" i="2"/>
  <c r="F64" i="2"/>
  <c r="W79" i="2"/>
  <c r="Y79" i="2"/>
  <c r="AK70" i="2"/>
  <c r="M38" i="2"/>
  <c r="X27" i="2"/>
  <c r="P60" i="2"/>
  <c r="X47" i="2"/>
  <c r="Z79" i="2"/>
  <c r="P66" i="2"/>
  <c r="AJ44" i="2"/>
  <c r="U56" i="2"/>
  <c r="X12" i="2"/>
  <c r="I70" i="2"/>
  <c r="Y30" i="2"/>
  <c r="U14" i="2"/>
  <c r="AE51" i="2"/>
  <c r="R9" i="2"/>
  <c r="P12" i="2"/>
  <c r="AI20" i="2"/>
  <c r="AI42" i="2"/>
  <c r="AA20" i="2"/>
  <c r="M36" i="2"/>
  <c r="AB5" i="2"/>
  <c r="V11" i="2"/>
  <c r="AB43" i="2"/>
  <c r="Y22" i="2"/>
  <c r="I64" i="2"/>
  <c r="L55" i="2"/>
  <c r="G43" i="2"/>
  <c r="N64" i="2"/>
  <c r="V80" i="2"/>
  <c r="G28" i="2"/>
  <c r="AH48" i="2"/>
  <c r="E45" i="2"/>
  <c r="E40" i="2"/>
  <c r="J6" i="2"/>
  <c r="AE50" i="2"/>
  <c r="H12" i="2"/>
  <c r="AD30" i="2"/>
  <c r="AH6" i="2"/>
  <c r="S57" i="2"/>
  <c r="P77" i="2"/>
  <c r="AM64" i="2"/>
  <c r="L78" i="2"/>
  <c r="N67" i="2"/>
  <c r="AA62" i="2"/>
  <c r="J39" i="2"/>
  <c r="J54" i="2"/>
  <c r="O11" i="2"/>
  <c r="H50" i="2"/>
  <c r="AD60" i="2"/>
  <c r="S34" i="2"/>
  <c r="Y61" i="2"/>
  <c r="AB18" i="2"/>
  <c r="AE52" i="2"/>
  <c r="AF13" i="2"/>
  <c r="R12" i="2"/>
  <c r="AE29" i="2"/>
  <c r="Y7" i="2"/>
  <c r="H10" i="2"/>
  <c r="AL48" i="2"/>
  <c r="Y68" i="2"/>
  <c r="AK36" i="2"/>
  <c r="AA39" i="2"/>
  <c r="N68" i="2"/>
  <c r="AB58" i="2"/>
  <c r="J11" i="2"/>
  <c r="J76" i="2"/>
  <c r="Z58" i="2"/>
  <c r="W15" i="2"/>
  <c r="AE67" i="2"/>
  <c r="I43" i="2"/>
  <c r="AB54" i="2"/>
  <c r="AI40" i="2"/>
  <c r="N46" i="2"/>
  <c r="AL51" i="2"/>
  <c r="AI52" i="2"/>
  <c r="T53" i="2"/>
  <c r="Y34" i="2"/>
  <c r="X10" i="2"/>
  <c r="X50" i="2"/>
  <c r="W5" i="2"/>
  <c r="X30" i="2"/>
  <c r="H41" i="2"/>
  <c r="Z18" i="2"/>
  <c r="M15" i="2"/>
  <c r="AL57" i="2"/>
  <c r="J59" i="2"/>
  <c r="AJ66" i="2"/>
  <c r="AC22" i="2"/>
  <c r="W76" i="2"/>
  <c r="AG19" i="2"/>
  <c r="M35" i="2"/>
  <c r="AL46" i="2"/>
  <c r="Z22" i="2"/>
  <c r="AH43" i="2"/>
  <c r="T8" i="2"/>
  <c r="K74" i="2"/>
  <c r="V9" i="2"/>
  <c r="E66" i="2"/>
  <c r="J52" i="2"/>
  <c r="Z68" i="2"/>
  <c r="V73" i="2"/>
  <c r="O31" i="2"/>
  <c r="AK28" i="2"/>
  <c r="J5" i="2"/>
  <c r="S29" i="2"/>
  <c r="AK51" i="2"/>
  <c r="E50" i="2"/>
  <c r="G11" i="2"/>
  <c r="V38" i="2"/>
  <c r="K59" i="2"/>
  <c r="P46" i="2"/>
  <c r="AH44" i="2"/>
  <c r="F74" i="2"/>
  <c r="AH14" i="2"/>
  <c r="R17" i="2"/>
  <c r="AH60" i="2"/>
  <c r="J30" i="2"/>
  <c r="L13" i="2"/>
  <c r="AJ48" i="2"/>
  <c r="N56" i="2"/>
  <c r="G9" i="2"/>
  <c r="AL45" i="2"/>
  <c r="T75" i="2"/>
  <c r="AA77" i="2"/>
  <c r="AI34" i="2"/>
  <c r="H46" i="2"/>
  <c r="U42" i="2"/>
  <c r="G30" i="2"/>
  <c r="W43" i="2"/>
  <c r="N76" i="2"/>
  <c r="Z49" i="2"/>
  <c r="AB48" i="2"/>
  <c r="M53" i="2"/>
  <c r="K7" i="2"/>
  <c r="L76" i="2"/>
  <c r="O18" i="2"/>
  <c r="AF27" i="2"/>
  <c r="AK16" i="2"/>
  <c r="Y60" i="2"/>
  <c r="Z40" i="2"/>
  <c r="F21" i="2"/>
  <c r="AI44" i="2"/>
  <c r="H20" i="2"/>
  <c r="H78" i="2"/>
  <c r="R45" i="2"/>
  <c r="F40" i="2"/>
  <c r="AK46" i="2"/>
  <c r="AC76" i="2"/>
  <c r="F70" i="2"/>
  <c r="X44" i="2"/>
  <c r="AL59" i="2"/>
  <c r="E32" i="2"/>
  <c r="AA33" i="2"/>
  <c r="H14" i="2"/>
  <c r="X35" i="2"/>
  <c r="K41" i="2"/>
  <c r="AE12" i="2"/>
  <c r="F78" i="2"/>
  <c r="S65" i="2"/>
  <c r="M49" i="2"/>
  <c r="F52" i="2"/>
  <c r="AI75" i="2"/>
  <c r="H11" i="2"/>
  <c r="AA32" i="2"/>
  <c r="L69" i="2"/>
  <c r="H4" i="2"/>
  <c r="I80" i="2"/>
  <c r="Z10" i="2"/>
  <c r="Y37" i="2"/>
  <c r="E33" i="2"/>
  <c r="AM47" i="2"/>
  <c r="O17" i="2"/>
  <c r="J74" i="2"/>
  <c r="AB57" i="2"/>
  <c r="J70" i="2"/>
  <c r="Y69" i="2"/>
  <c r="AE23" i="2"/>
  <c r="S44" i="2"/>
  <c r="AL44" i="2"/>
  <c r="L14" i="2"/>
  <c r="V8" i="2"/>
  <c r="Z57" i="2"/>
  <c r="AM36" i="2"/>
  <c r="N12" i="2"/>
  <c r="AB30" i="2"/>
  <c r="AK58" i="2"/>
  <c r="AE24" i="2"/>
  <c r="Z72" i="2"/>
  <c r="AE61" i="2"/>
  <c r="F55" i="2"/>
  <c r="K58" i="2"/>
  <c r="W60" i="2"/>
  <c r="H72" i="2"/>
  <c r="O73" i="2"/>
  <c r="AD53" i="2"/>
  <c r="X55" i="2"/>
  <c r="N48" i="2"/>
  <c r="E5" i="2"/>
  <c r="U55" i="2"/>
  <c r="F37" i="2"/>
  <c r="AL35" i="2"/>
  <c r="AM76" i="2"/>
  <c r="AG63" i="2"/>
  <c r="E30" i="2"/>
  <c r="E13" i="2"/>
  <c r="AA51" i="2"/>
  <c r="AD23" i="2"/>
  <c r="O39" i="2"/>
  <c r="W10" i="2"/>
  <c r="G77" i="2"/>
  <c r="AB31" i="2"/>
  <c r="AD61" i="2"/>
  <c r="O6" i="2"/>
  <c r="F44" i="2"/>
  <c r="AM72" i="2"/>
  <c r="L43" i="2"/>
  <c r="V61" i="2"/>
  <c r="AC8" i="2"/>
  <c r="AB74" i="2"/>
  <c r="G51" i="2"/>
  <c r="I76" i="2"/>
  <c r="H42" i="2"/>
  <c r="AK5" i="2"/>
  <c r="U47" i="2"/>
  <c r="J68" i="2"/>
  <c r="AI58" i="2"/>
  <c r="AL38" i="2"/>
  <c r="AG78" i="2"/>
  <c r="K49" i="2"/>
  <c r="E58" i="2"/>
  <c r="AG29" i="2"/>
  <c r="M10" i="2"/>
  <c r="Y66" i="2"/>
  <c r="L46" i="2"/>
  <c r="AB40" i="2"/>
  <c r="AF55" i="2"/>
  <c r="AE28" i="2"/>
  <c r="AF29" i="2"/>
  <c r="AG11" i="2"/>
  <c r="M52" i="2"/>
  <c r="AL9" i="2"/>
  <c r="AE71" i="2"/>
  <c r="AF64" i="2"/>
  <c r="G49" i="2"/>
  <c r="W80" i="2"/>
  <c r="R16" i="2"/>
  <c r="AE30" i="2"/>
  <c r="M50" i="2"/>
  <c r="AF49" i="2"/>
  <c r="K69" i="2"/>
  <c r="I55" i="2"/>
  <c r="V21" i="2"/>
  <c r="AL37" i="2"/>
  <c r="AD22" i="2"/>
  <c r="AK54" i="2"/>
  <c r="W7" i="2"/>
  <c r="U29" i="2"/>
  <c r="R62" i="2"/>
  <c r="G27" i="2"/>
  <c r="AC38" i="2"/>
  <c r="AI70" i="2"/>
  <c r="AF68" i="2"/>
  <c r="AD74" i="2"/>
  <c r="AD71" i="2"/>
  <c r="AE75" i="2"/>
  <c r="J31" i="2"/>
  <c r="Z30" i="2"/>
  <c r="AI33" i="2"/>
  <c r="AH55" i="2"/>
  <c r="AE77" i="2"/>
  <c r="AL30" i="2"/>
  <c r="AD52" i="2"/>
  <c r="AD42" i="2"/>
  <c r="AI67" i="2"/>
  <c r="U59" i="2"/>
  <c r="P43" i="2"/>
  <c r="Y11" i="2"/>
  <c r="AK78" i="2"/>
  <c r="E23" i="2"/>
  <c r="G57" i="2"/>
  <c r="AD13" i="2"/>
  <c r="P62" i="2"/>
  <c r="L35" i="2"/>
  <c r="F11" i="2"/>
  <c r="O62" i="2"/>
  <c r="AD59" i="2"/>
  <c r="AL36" i="2"/>
  <c r="AL23" i="2"/>
  <c r="Y17" i="2"/>
  <c r="M31" i="2"/>
  <c r="AM29" i="2"/>
  <c r="K9" i="2"/>
  <c r="G33" i="2"/>
  <c r="G44" i="2"/>
  <c r="AB19" i="2"/>
  <c r="Z35" i="2"/>
  <c r="AL10" i="2"/>
  <c r="AJ60" i="2"/>
  <c r="W36" i="2"/>
  <c r="Y28" i="2"/>
  <c r="AH70" i="2"/>
  <c r="J63" i="2"/>
  <c r="F42" i="2"/>
  <c r="AI32" i="2"/>
  <c r="E70" i="2"/>
  <c r="S8" i="2"/>
  <c r="R73" i="2"/>
  <c r="AA57" i="2"/>
  <c r="AK35" i="2"/>
  <c r="M16" i="2"/>
  <c r="P49" i="2"/>
  <c r="AD57" i="2"/>
  <c r="X59" i="2"/>
  <c r="AL61" i="2"/>
  <c r="S43" i="2"/>
  <c r="J77" i="2"/>
  <c r="F16" i="2"/>
  <c r="N10" i="2"/>
  <c r="E41" i="2"/>
  <c r="N30" i="2"/>
  <c r="AM56" i="2"/>
  <c r="R8" i="2"/>
  <c r="Z51" i="2"/>
  <c r="AE39" i="2"/>
  <c r="N39" i="2"/>
  <c r="AI29" i="2"/>
  <c r="AB32" i="2"/>
  <c r="AK21" i="2"/>
  <c r="I33" i="2"/>
  <c r="R14" i="2"/>
  <c r="L28" i="2"/>
  <c r="G39" i="2"/>
  <c r="AF57" i="2"/>
  <c r="AK18" i="2"/>
  <c r="H38" i="2"/>
  <c r="AD54" i="2"/>
  <c r="J75" i="2"/>
  <c r="J58" i="2"/>
  <c r="P68" i="2"/>
  <c r="S70" i="2"/>
  <c r="AC18" i="2"/>
  <c r="AB6" i="2"/>
  <c r="U37" i="2"/>
  <c r="F32" i="2"/>
  <c r="AK20" i="2"/>
  <c r="U6" i="2"/>
  <c r="K64" i="2"/>
  <c r="AB24" i="2"/>
  <c r="L34" i="2"/>
  <c r="P42" i="2"/>
  <c r="J18" i="2"/>
  <c r="S10" i="2"/>
  <c r="Y16" i="2"/>
  <c r="X31" i="2"/>
  <c r="AF71" i="2"/>
  <c r="M68" i="2"/>
  <c r="J80" i="2"/>
  <c r="P27" i="2"/>
  <c r="AH32" i="2"/>
  <c r="Y43" i="2"/>
  <c r="N74" i="2"/>
  <c r="W54" i="2"/>
  <c r="AF45" i="2"/>
  <c r="AK26" i="2"/>
  <c r="AA52" i="2"/>
  <c r="J72" i="2"/>
  <c r="R67" i="2"/>
  <c r="Z32" i="2"/>
  <c r="AF26" i="2"/>
  <c r="AL4" i="2"/>
  <c r="J48" i="2"/>
  <c r="R31" i="2"/>
  <c r="Y63" i="2"/>
  <c r="H47" i="2"/>
  <c r="AF75" i="2"/>
  <c r="U65" i="2"/>
  <c r="O33" i="2"/>
  <c r="AH7" i="2"/>
  <c r="AH15" i="2"/>
  <c r="V32" i="2"/>
  <c r="U66" i="2"/>
  <c r="L53" i="2"/>
  <c r="K4" i="2"/>
  <c r="AD20" i="2"/>
  <c r="F39" i="2"/>
  <c r="M18" i="2"/>
  <c r="AG77" i="2"/>
  <c r="M56" i="2"/>
  <c r="AH41" i="2"/>
  <c r="V62" i="2"/>
  <c r="O30" i="2"/>
  <c r="AF21" i="2"/>
  <c r="AB71" i="2"/>
  <c r="AA53" i="2"/>
  <c r="AC7" i="2"/>
  <c r="F54" i="2"/>
  <c r="T28" i="2"/>
  <c r="S68" i="2"/>
  <c r="I57" i="2"/>
  <c r="AC39" i="2"/>
  <c r="M8" i="2"/>
  <c r="O54" i="2"/>
  <c r="S40" i="2"/>
  <c r="I22" i="2"/>
  <c r="AL6" i="2"/>
  <c r="AC43" i="2"/>
  <c r="W51" i="2"/>
  <c r="AJ36" i="2"/>
  <c r="AB66" i="2"/>
  <c r="AB51" i="2"/>
  <c r="AJ52" i="2"/>
  <c r="AJ58" i="2"/>
  <c r="N33" i="2"/>
  <c r="W31" i="2"/>
  <c r="T55" i="2"/>
  <c r="O34" i="2"/>
  <c r="K42" i="2"/>
  <c r="K55" i="2"/>
  <c r="P28" i="2"/>
  <c r="I10" i="2"/>
  <c r="W71" i="2"/>
  <c r="AE14" i="2"/>
  <c r="W58" i="2"/>
  <c r="Z67" i="2"/>
  <c r="AH35" i="2"/>
  <c r="AM22" i="2"/>
  <c r="AG67" i="2"/>
  <c r="X72" i="2"/>
  <c r="AI15" i="2"/>
  <c r="AK23" i="2"/>
  <c r="U31" i="2"/>
  <c r="P73" i="2"/>
  <c r="P33" i="2"/>
  <c r="AB56" i="2"/>
  <c r="M44" i="2"/>
  <c r="U54" i="2"/>
  <c r="L56" i="2"/>
  <c r="G65" i="2"/>
  <c r="O26" i="2"/>
  <c r="K29" i="2"/>
  <c r="K24" i="2"/>
  <c r="AB64" i="2"/>
  <c r="J45" i="2"/>
  <c r="X11" i="2"/>
  <c r="G68" i="2"/>
  <c r="AM55" i="2"/>
  <c r="V43" i="2"/>
  <c r="AK31" i="2"/>
  <c r="U79" i="2"/>
  <c r="K75" i="2"/>
  <c r="G20" i="2"/>
  <c r="X42" i="2"/>
  <c r="AM8" i="2"/>
  <c r="AA76" i="2"/>
  <c r="AM75" i="2"/>
  <c r="M51" i="2"/>
  <c r="W78" i="2"/>
  <c r="L17" i="2"/>
  <c r="AM11" i="2"/>
  <c r="N79" i="2"/>
  <c r="N41" i="2"/>
  <c r="L37" i="2"/>
  <c r="AH25" i="2"/>
  <c r="AF77" i="2"/>
  <c r="AL19" i="2"/>
  <c r="AK60" i="2"/>
  <c r="P54" i="2"/>
  <c r="AA63" i="2"/>
  <c r="X33" i="2"/>
  <c r="AJ26" i="2"/>
  <c r="V22" i="2"/>
  <c r="AL71" i="2"/>
  <c r="AH5" i="2"/>
  <c r="T58" i="2"/>
  <c r="G80" i="2"/>
  <c r="Y31" i="2"/>
  <c r="AJ55" i="2"/>
  <c r="AK11" i="2"/>
  <c r="AM54" i="2"/>
  <c r="AM41" i="2"/>
  <c r="N35" i="2"/>
  <c r="V23" i="2"/>
  <c r="X21" i="2"/>
  <c r="AA75" i="2"/>
  <c r="L6" i="2"/>
  <c r="P25" i="2"/>
  <c r="W22" i="2"/>
  <c r="AE47" i="2"/>
  <c r="AD41" i="2"/>
  <c r="AI27" i="2"/>
  <c r="V16" i="2"/>
  <c r="AI30" i="2"/>
  <c r="AJ59" i="2"/>
  <c r="K44" i="2"/>
  <c r="H64" i="2"/>
  <c r="I31" i="2"/>
  <c r="AH67" i="2"/>
  <c r="F51" i="2"/>
  <c r="AG49" i="2"/>
  <c r="J40" i="2"/>
  <c r="K71" i="2"/>
  <c r="AL43" i="2"/>
  <c r="AE11" i="2"/>
  <c r="O12" i="2"/>
  <c r="AM28" i="2"/>
  <c r="AK33" i="2"/>
  <c r="W20" i="2"/>
  <c r="Y64" i="2"/>
  <c r="W8" i="2"/>
  <c r="V41" i="2"/>
  <c r="AG35" i="2"/>
  <c r="AM27" i="2"/>
  <c r="AK17" i="2"/>
  <c r="J32" i="2"/>
  <c r="S11" i="2"/>
  <c r="L41" i="2"/>
  <c r="R38" i="2"/>
  <c r="G25" i="2"/>
  <c r="AE15" i="2"/>
  <c r="F41" i="2"/>
  <c r="AH59" i="2"/>
  <c r="U9" i="2"/>
  <c r="O72" i="2"/>
  <c r="AA8" i="2"/>
  <c r="AK30" i="2"/>
  <c r="R66" i="2"/>
  <c r="AJ49" i="2"/>
  <c r="U80" i="2"/>
  <c r="AF67" i="2"/>
  <c r="E75" i="2"/>
  <c r="N53" i="2"/>
  <c r="L22" i="2"/>
  <c r="Y75" i="2"/>
  <c r="Y13" i="2"/>
  <c r="AF51" i="2"/>
  <c r="AH26" i="2"/>
  <c r="L47" i="2"/>
  <c r="AG4" i="2"/>
  <c r="W55" i="2"/>
  <c r="Z64" i="2"/>
  <c r="AE53" i="2"/>
  <c r="Z73" i="2"/>
  <c r="N14" i="2"/>
  <c r="V35" i="2"/>
  <c r="R60" i="2"/>
  <c r="AA78" i="2"/>
  <c r="AH36" i="2"/>
  <c r="R70" i="2"/>
  <c r="AC6" i="2"/>
  <c r="W11" i="2"/>
  <c r="AJ73" i="2"/>
  <c r="G74" i="2"/>
  <c r="AC29" i="2"/>
  <c r="X13" i="2"/>
  <c r="AM38" i="2"/>
  <c r="AB76" i="2"/>
  <c r="AK71" i="2"/>
  <c r="AC37" i="2"/>
  <c r="AJ80" i="2"/>
  <c r="AD38" i="2"/>
  <c r="E73" i="2"/>
  <c r="AM20" i="2"/>
  <c r="R26" i="2"/>
  <c r="H71" i="2"/>
  <c r="V27" i="2"/>
  <c r="AJ65" i="2"/>
  <c r="AB45" i="2"/>
  <c r="J50" i="2"/>
  <c r="I16" i="2"/>
  <c r="I72" i="2"/>
  <c r="AE18" i="2"/>
  <c r="I61" i="2"/>
  <c r="AF9" i="2"/>
  <c r="Y48" i="2"/>
  <c r="AL66" i="2"/>
  <c r="T43" i="2"/>
  <c r="Z31" i="2"/>
  <c r="R51" i="2"/>
  <c r="AB39" i="2"/>
  <c r="AF47" i="2"/>
  <c r="E16" i="2"/>
  <c r="G18" i="2"/>
  <c r="S66" i="2"/>
  <c r="O56" i="2"/>
  <c r="U35" i="2"/>
  <c r="X19" i="2"/>
  <c r="AD66" i="2"/>
  <c r="AI54" i="2"/>
  <c r="H45" i="2"/>
  <c r="AB37" i="2"/>
  <c r="AF6" i="2"/>
  <c r="AA69" i="2"/>
  <c r="Z63" i="2"/>
  <c r="T38" i="2"/>
  <c r="AD78" i="2"/>
  <c r="AL16" i="2"/>
  <c r="AG21" i="2"/>
  <c r="J13" i="2"/>
  <c r="L50" i="2"/>
  <c r="I53" i="2"/>
  <c r="R20" i="2"/>
  <c r="AB20" i="2"/>
  <c r="M62" i="2"/>
  <c r="N27" i="2"/>
  <c r="AD77" i="2"/>
  <c r="R36" i="2"/>
  <c r="K11" i="2"/>
  <c r="AG40" i="2"/>
  <c r="AG24" i="2"/>
  <c r="AD12" i="2"/>
  <c r="O43" i="2"/>
  <c r="L10" i="2"/>
  <c r="W19" i="2"/>
  <c r="AI73" i="2"/>
  <c r="AL62" i="2"/>
  <c r="AF37" i="2"/>
  <c r="M43" i="2"/>
  <c r="F67" i="2"/>
  <c r="R25" i="2"/>
  <c r="F25" i="2"/>
  <c r="AF7" i="2"/>
  <c r="F13" i="2"/>
  <c r="AD45" i="2"/>
  <c r="E20" i="2"/>
  <c r="AC11" i="2"/>
  <c r="J78" i="2"/>
  <c r="V37" i="2"/>
  <c r="H18" i="2"/>
  <c r="AF62" i="2"/>
  <c r="AI7" i="2"/>
  <c r="F66" i="2"/>
  <c r="AA26" i="2"/>
  <c r="N66" i="2"/>
  <c r="AI8" i="2"/>
  <c r="AJ14" i="2"/>
  <c r="Z5" i="2"/>
  <c r="AE31" i="2"/>
  <c r="R37" i="2"/>
  <c r="AH76" i="2"/>
  <c r="AC49" i="2"/>
  <c r="AG20" i="2"/>
  <c r="AE40" i="2"/>
  <c r="AC20" i="2"/>
  <c r="F4" i="2"/>
  <c r="S16" i="2"/>
  <c r="AB44" i="2"/>
  <c r="X76" i="2"/>
  <c r="Z15" i="2"/>
  <c r="AK79" i="2"/>
  <c r="AF28" i="2"/>
  <c r="W27" i="2"/>
  <c r="I21" i="2"/>
  <c r="U10" i="2"/>
  <c r="Z24" i="2"/>
  <c r="O7" i="2"/>
  <c r="U58" i="2"/>
  <c r="R6" i="2"/>
  <c r="G62" i="2"/>
  <c r="AG10" i="2"/>
  <c r="H76" i="2"/>
  <c r="AD62" i="2"/>
  <c r="AH39" i="2"/>
  <c r="AH4" i="2"/>
  <c r="AM17" i="2"/>
  <c r="O16" i="2"/>
  <c r="AH30" i="2"/>
  <c r="AF17" i="2"/>
  <c r="AK10" i="2"/>
  <c r="G47" i="2"/>
  <c r="I54" i="2"/>
  <c r="N7" i="2"/>
  <c r="V67" i="2"/>
  <c r="AM63" i="2"/>
  <c r="R29" i="2"/>
  <c r="R49" i="2"/>
  <c r="AM32" i="2"/>
  <c r="E67" i="2"/>
  <c r="L21" i="2"/>
  <c r="AJ74" i="2"/>
  <c r="E71" i="2"/>
  <c r="S64" i="2"/>
  <c r="T12" i="2"/>
  <c r="V69" i="2"/>
  <c r="AG13" i="2"/>
  <c r="E72" i="2"/>
  <c r="U60" i="2"/>
  <c r="V14" i="2"/>
  <c r="T23" i="2"/>
  <c r="W40" i="2"/>
  <c r="K25" i="2"/>
  <c r="P30" i="2"/>
  <c r="AJ41" i="2"/>
  <c r="AM16" i="2"/>
  <c r="S22" i="2"/>
  <c r="AG43" i="2"/>
  <c r="U46" i="2"/>
  <c r="H77" i="2"/>
  <c r="U17" i="2"/>
  <c r="H8" i="2"/>
  <c r="K13" i="2"/>
  <c r="O46" i="2"/>
  <c r="X16" i="2"/>
  <c r="AM45" i="2"/>
  <c r="AM19" i="2"/>
  <c r="Y20" i="2"/>
  <c r="AC71" i="2"/>
  <c r="AH10" i="2"/>
  <c r="P35" i="2"/>
  <c r="AC34" i="2"/>
  <c r="T17" i="2"/>
  <c r="AH80" i="2"/>
  <c r="T65" i="2"/>
  <c r="AL79" i="2"/>
  <c r="O42" i="2"/>
  <c r="AG48" i="2"/>
  <c r="AJ56" i="2"/>
  <c r="P31" i="2"/>
  <c r="N38" i="2"/>
  <c r="W16" i="2"/>
  <c r="T16" i="2"/>
  <c r="AD32" i="2"/>
  <c r="AB26" i="2"/>
  <c r="AH69" i="2"/>
  <c r="M76" i="2"/>
  <c r="AG56" i="2"/>
  <c r="R63" i="2"/>
  <c r="AL53" i="2"/>
  <c r="W32" i="2"/>
  <c r="W23" i="2"/>
  <c r="E25" i="2"/>
  <c r="V29" i="2"/>
  <c r="V55" i="2"/>
  <c r="P51" i="2"/>
  <c r="O78" i="2"/>
  <c r="L8" i="2"/>
  <c r="AB67" i="2"/>
  <c r="N11" i="2"/>
  <c r="AK64" i="2"/>
  <c r="L9" i="2"/>
  <c r="E64" i="2"/>
  <c r="R11" i="2"/>
  <c r="N23" i="2"/>
  <c r="M61" i="2"/>
  <c r="Z77" i="2"/>
  <c r="AD79" i="2"/>
  <c r="R10" i="2"/>
  <c r="E47" i="2"/>
  <c r="Y74" i="2"/>
  <c r="S39" i="2"/>
  <c r="K27" i="2"/>
  <c r="V56" i="2"/>
  <c r="R34" i="2"/>
  <c r="G35" i="2"/>
  <c r="AK38" i="2"/>
  <c r="AD76" i="2"/>
  <c r="E79" i="2"/>
  <c r="AH12" i="2"/>
  <c r="AA19" i="2"/>
  <c r="AE46" i="2"/>
  <c r="AC69" i="2"/>
  <c r="AL64" i="2"/>
  <c r="I15" i="2"/>
  <c r="G40" i="2"/>
  <c r="V70" i="2"/>
  <c r="F73" i="2"/>
  <c r="N55" i="2"/>
  <c r="AF50" i="2"/>
  <c r="Z42" i="2"/>
  <c r="AA31" i="2"/>
  <c r="AF65" i="2"/>
  <c r="W25" i="2"/>
  <c r="AD10" i="2"/>
  <c r="AG71" i="2"/>
  <c r="H80" i="2"/>
  <c r="S73" i="2"/>
  <c r="AG30" i="2"/>
  <c r="N9" i="2"/>
  <c r="L38" i="2"/>
  <c r="AE34" i="2"/>
  <c r="AA23" i="2"/>
  <c r="V58" i="2"/>
  <c r="Z41" i="2"/>
  <c r="N37" i="2"/>
  <c r="W44" i="2"/>
  <c r="M21" i="2"/>
  <c r="AM73" i="2"/>
  <c r="AI80" i="2"/>
  <c r="P74" i="2"/>
  <c r="S51" i="2"/>
  <c r="J23" i="2"/>
  <c r="AC65" i="2"/>
  <c r="X43" i="2"/>
  <c r="P79" i="2"/>
  <c r="M63" i="2"/>
  <c r="AE69" i="2"/>
  <c r="V20" i="2"/>
  <c r="G70" i="2"/>
  <c r="H22" i="2"/>
  <c r="F45" i="2"/>
  <c r="AI69" i="2"/>
  <c r="J43" i="2"/>
  <c r="AI36" i="2"/>
  <c r="P22" i="2"/>
  <c r="AC42" i="2"/>
  <c r="E28" i="2"/>
  <c r="Y77" i="2"/>
  <c r="S31" i="2"/>
  <c r="H28" i="2"/>
  <c r="E9" i="2"/>
  <c r="U15" i="2"/>
  <c r="AM44" i="2"/>
  <c r="V13" i="2"/>
  <c r="V49" i="2"/>
  <c r="U40" i="2"/>
  <c r="AG66" i="2"/>
  <c r="S58" i="2"/>
  <c r="AH13" i="2"/>
  <c r="AJ35" i="2"/>
  <c r="AK44" i="2"/>
  <c r="L64" i="2"/>
  <c r="AH51" i="2"/>
  <c r="T70" i="2"/>
  <c r="O61" i="2"/>
  <c r="U28" i="2"/>
  <c r="AI78" i="2"/>
  <c r="E24" i="2"/>
  <c r="AM30" i="2"/>
  <c r="L49" i="2"/>
  <c r="T5" i="2"/>
  <c r="R40" i="2"/>
  <c r="F72" i="2"/>
  <c r="Z62" i="2"/>
  <c r="I60" i="2"/>
  <c r="AI57" i="2"/>
  <c r="AA73" i="2"/>
  <c r="R33" i="2"/>
  <c r="AE80" i="2"/>
  <c r="M41" i="2"/>
  <c r="E14" i="2"/>
  <c r="AF54" i="2"/>
  <c r="Y15" i="2"/>
  <c r="AK49" i="2"/>
  <c r="U11" i="2"/>
  <c r="AK15" i="2"/>
  <c r="AD64" i="2"/>
  <c r="AL22" i="2"/>
  <c r="AI11" i="2"/>
  <c r="AL25" i="2"/>
  <c r="R24" i="2"/>
  <c r="E35" i="2"/>
  <c r="Z75" i="2"/>
  <c r="X25" i="2"/>
  <c r="AC75" i="2"/>
  <c r="AH42" i="2"/>
  <c r="T68" i="2"/>
  <c r="N40" i="2"/>
  <c r="AI28" i="2"/>
  <c r="L52" i="2"/>
  <c r="V42" i="2"/>
  <c r="O4" i="2"/>
  <c r="AD11" i="2"/>
  <c r="J15" i="2"/>
  <c r="S9" i="2"/>
  <c r="AA64" i="2"/>
  <c r="E62" i="2"/>
  <c r="AE8" i="2"/>
  <c r="N49" i="2"/>
  <c r="R28" i="2"/>
  <c r="J67" i="2"/>
  <c r="P58" i="2"/>
  <c r="H60" i="2"/>
  <c r="AI50" i="2"/>
  <c r="AI43" i="2"/>
  <c r="R75" i="2"/>
  <c r="AL80" i="2"/>
  <c r="AL72" i="2"/>
  <c r="AF18" i="2"/>
  <c r="P50" i="2"/>
  <c r="AB78" i="2"/>
  <c r="AG31" i="2"/>
  <c r="K37" i="2"/>
  <c r="AE13" i="2"/>
  <c r="AB34" i="2"/>
  <c r="J10" i="2"/>
  <c r="M55" i="2"/>
  <c r="V72" i="2"/>
  <c r="AG54" i="2"/>
  <c r="M20" i="2"/>
  <c r="Z11" i="2"/>
  <c r="W64" i="2"/>
  <c r="O22" i="2"/>
  <c r="Y23" i="2"/>
  <c r="G17" i="2"/>
  <c r="AG58" i="2"/>
  <c r="T18" i="2"/>
  <c r="L42" i="2"/>
  <c r="J33" i="2"/>
  <c r="P48" i="2"/>
  <c r="AD70" i="2"/>
  <c r="AB50" i="2"/>
  <c r="AE41" i="2"/>
  <c r="AD48" i="2"/>
  <c r="L75" i="2"/>
  <c r="X37" i="2"/>
  <c r="AG60" i="2"/>
  <c r="X66" i="2"/>
  <c r="Z7" i="2"/>
  <c r="X71" i="2"/>
  <c r="AH45" i="2"/>
  <c r="X77" i="2"/>
  <c r="H32" i="2"/>
  <c r="AK75" i="2"/>
  <c r="P26" i="2"/>
  <c r="J35" i="2"/>
  <c r="Z46" i="2"/>
  <c r="AL32" i="2"/>
  <c r="AD47" i="2"/>
  <c r="E54" i="2"/>
  <c r="AM35" i="2"/>
  <c r="T78" i="2"/>
  <c r="I35" i="2"/>
  <c r="X32" i="2"/>
  <c r="Z9" i="2"/>
  <c r="G58" i="2"/>
  <c r="V66" i="2"/>
  <c r="AK68" i="2"/>
  <c r="AJ6" i="2"/>
  <c r="P8" i="2"/>
  <c r="AM43" i="2"/>
  <c r="AI14" i="2"/>
  <c r="AF43" i="2"/>
  <c r="F79" i="2"/>
  <c r="R21" i="2"/>
  <c r="K67" i="2"/>
  <c r="Z66" i="2"/>
  <c r="AJ25" i="2"/>
  <c r="R79" i="2"/>
  <c r="AK67" i="2"/>
  <c r="AL78" i="2"/>
  <c r="Z80" i="2"/>
  <c r="R78" i="2"/>
  <c r="AI21" i="2"/>
  <c r="AB11" i="2"/>
  <c r="AH79" i="2"/>
  <c r="G15" i="2"/>
  <c r="AC13" i="2"/>
  <c r="G67" i="2"/>
  <c r="G59" i="2"/>
  <c r="AD27" i="2"/>
  <c r="AL13" i="2"/>
  <c r="AD40" i="2"/>
  <c r="AH74" i="2"/>
  <c r="E31" i="2"/>
  <c r="U41" i="2"/>
  <c r="S53" i="2"/>
  <c r="F28" i="2"/>
  <c r="AG17" i="2"/>
  <c r="F76" i="2"/>
  <c r="X23" i="2"/>
  <c r="X67" i="2"/>
  <c r="J61" i="2"/>
  <c r="AI68" i="2"/>
  <c r="AM9" i="2"/>
  <c r="N42" i="2"/>
  <c r="G71" i="2"/>
  <c r="AF56" i="2"/>
  <c r="AA14" i="2"/>
  <c r="AA17" i="2"/>
  <c r="E17" i="2"/>
  <c r="G60" i="2"/>
  <c r="H51" i="2"/>
  <c r="P15" i="2"/>
  <c r="Z34" i="2"/>
  <c r="AM4" i="2"/>
  <c r="K30" i="2"/>
  <c r="AE27" i="2"/>
  <c r="J62" i="2"/>
  <c r="AK76" i="2"/>
  <c r="R58" i="2"/>
  <c r="K43" i="2"/>
  <c r="E49" i="2"/>
  <c r="I69" i="2"/>
  <c r="E55" i="2"/>
  <c r="W4" i="2"/>
  <c r="AE19" i="2"/>
  <c r="AL33" i="2"/>
  <c r="AB8" i="2"/>
  <c r="AE76" i="2"/>
  <c r="AF34" i="2"/>
  <c r="AJ61" i="2"/>
  <c r="AB60" i="2"/>
  <c r="W75" i="2"/>
  <c r="V19" i="2"/>
  <c r="Y59" i="2"/>
  <c r="AC50" i="2"/>
  <c r="AK29" i="2"/>
  <c r="AF5" i="2"/>
  <c r="AA55" i="2"/>
  <c r="AA18" i="2"/>
  <c r="AI10" i="2"/>
  <c r="AA30" i="2"/>
  <c r="AD37" i="2"/>
  <c r="AD5" i="2"/>
  <c r="F22" i="2"/>
  <c r="O52" i="2"/>
  <c r="H34" i="2"/>
  <c r="L57" i="2"/>
  <c r="T60" i="2"/>
  <c r="AM80" i="2"/>
  <c r="P10" i="2"/>
  <c r="T56" i="2"/>
  <c r="AA41" i="2"/>
  <c r="T52" i="2"/>
  <c r="AD56" i="2"/>
  <c r="AH77" i="2"/>
  <c r="AL27" i="2"/>
  <c r="K19" i="2"/>
  <c r="N54" i="2"/>
  <c r="AG32" i="2"/>
  <c r="AJ4" i="2"/>
  <c r="AD73" i="2"/>
  <c r="AA28" i="2"/>
  <c r="O25" i="2"/>
  <c r="E69" i="2"/>
  <c r="W77" i="2"/>
  <c r="Z38" i="2"/>
  <c r="AA66" i="2"/>
  <c r="AH56" i="2"/>
  <c r="Y26" i="2"/>
  <c r="AD46" i="2"/>
  <c r="J73" i="2"/>
  <c r="Z14" i="2"/>
  <c r="AL15" i="2"/>
  <c r="AM7" i="2"/>
  <c r="W61" i="2"/>
  <c r="U30" i="2"/>
  <c r="L25" i="2"/>
  <c r="O47" i="2"/>
  <c r="AD7" i="2"/>
  <c r="P18" i="2"/>
  <c r="S59" i="2"/>
  <c r="X36" i="2"/>
  <c r="AM69" i="2"/>
  <c r="G69" i="2"/>
  <c r="R44" i="2"/>
  <c r="Y73" i="2"/>
  <c r="AL31" i="2"/>
  <c r="AK77" i="2"/>
  <c r="J64" i="2"/>
  <c r="T46" i="2"/>
  <c r="AB22" i="2"/>
  <c r="AC70" i="2"/>
  <c r="L59" i="2"/>
  <c r="X7" i="2"/>
  <c r="AJ69" i="2"/>
  <c r="AI38" i="2"/>
  <c r="AH68" i="2"/>
  <c r="AC19" i="2"/>
  <c r="M69" i="2"/>
  <c r="AI39" i="2"/>
  <c r="X52" i="2"/>
  <c r="AB28" i="2"/>
  <c r="AF69" i="2"/>
  <c r="V57" i="2"/>
  <c r="AI77" i="2"/>
  <c r="AI79" i="2"/>
  <c r="S17" i="2"/>
  <c r="AF36" i="2"/>
  <c r="P24" i="2"/>
  <c r="P80" i="2"/>
  <c r="AM18" i="2"/>
  <c r="K54" i="2"/>
  <c r="U13" i="2"/>
  <c r="AA25" i="2"/>
  <c r="AK39" i="2"/>
  <c r="AI72" i="2"/>
  <c r="V26" i="2"/>
  <c r="AL50" i="2"/>
  <c r="AA49" i="2"/>
  <c r="AH52" i="2"/>
  <c r="G64" i="2"/>
  <c r="AF39" i="2"/>
  <c r="Z71" i="2"/>
  <c r="P34" i="2"/>
  <c r="AH33" i="2"/>
  <c r="AF15" i="2"/>
  <c r="M40" i="2"/>
  <c r="E46" i="2"/>
  <c r="O8" i="2"/>
  <c r="E19" i="2"/>
  <c r="U64" i="2"/>
  <c r="U34" i="2"/>
  <c r="I42" i="2"/>
  <c r="AA22" i="2"/>
  <c r="G36" i="2"/>
  <c r="AC15" i="2"/>
  <c r="AB75" i="2"/>
  <c r="AG14" i="2"/>
  <c r="G4" i="2"/>
  <c r="O75" i="2"/>
  <c r="U44" i="2"/>
  <c r="AB70" i="2"/>
  <c r="AI53" i="2"/>
  <c r="W13" i="2"/>
  <c r="AG79" i="2"/>
  <c r="AJ57" i="2"/>
  <c r="AI9" i="2"/>
  <c r="N65" i="2"/>
  <c r="AE21" i="2"/>
  <c r="AG5" i="2"/>
  <c r="X64" i="2"/>
  <c r="G52" i="2"/>
  <c r="N44" i="2"/>
  <c r="F69" i="2"/>
  <c r="K22" i="2"/>
  <c r="K68" i="2"/>
  <c r="Y32" i="2"/>
  <c r="L67" i="2"/>
  <c r="X53" i="2"/>
  <c r="W39" i="2"/>
  <c r="AH11" i="2"/>
  <c r="K39" i="2"/>
  <c r="S33" i="2"/>
  <c r="AB25" i="2"/>
  <c r="S15" i="2"/>
  <c r="AD35" i="2"/>
  <c r="AM31" i="2"/>
  <c r="P32" i="2"/>
  <c r="Z28" i="2"/>
  <c r="P78" i="2"/>
  <c r="R52" i="2"/>
  <c r="AJ23" i="2"/>
  <c r="E76" i="2"/>
  <c r="J65" i="2"/>
  <c r="E7" i="2"/>
  <c r="AI51" i="2"/>
  <c r="AK25" i="2"/>
  <c r="S80" i="2"/>
  <c r="AH50" i="2"/>
  <c r="AB29" i="2"/>
  <c r="AA44" i="2"/>
  <c r="L5" i="2"/>
  <c r="J79" i="2"/>
  <c r="Y50" i="2"/>
  <c r="T15" i="2"/>
  <c r="V34" i="2"/>
  <c r="J22" i="2"/>
  <c r="L40" i="2"/>
  <c r="AA36" i="2"/>
  <c r="AJ34" i="2"/>
  <c r="N18" i="2"/>
  <c r="AJ43" i="2"/>
  <c r="AJ22" i="2"/>
  <c r="AC25" i="2"/>
  <c r="W45" i="2"/>
  <c r="AF73" i="2"/>
  <c r="AA71" i="2"/>
  <c r="AB4" i="2"/>
  <c r="AK66" i="2"/>
  <c r="K31" i="2"/>
  <c r="AD50" i="2"/>
  <c r="H57" i="2"/>
  <c r="AK37" i="2"/>
  <c r="S47" i="2"/>
  <c r="AI74" i="2"/>
  <c r="W35" i="2"/>
  <c r="X48" i="2"/>
  <c r="U63" i="2"/>
  <c r="M23" i="2"/>
  <c r="AH16" i="2"/>
  <c r="AK27" i="2"/>
  <c r="AH57" i="2"/>
  <c r="AB49" i="2"/>
  <c r="H55" i="2"/>
  <c r="AA35" i="2"/>
  <c r="R56" i="2"/>
  <c r="AH22" i="2"/>
  <c r="H31" i="2"/>
  <c r="P45" i="2"/>
  <c r="I12" i="2"/>
  <c r="F58" i="2"/>
  <c r="AH63" i="2"/>
  <c r="O51" i="2"/>
  <c r="P63" i="2"/>
  <c r="Z13" i="2"/>
  <c r="V6" i="2"/>
  <c r="AM79" i="2"/>
  <c r="K10" i="2"/>
  <c r="X28" i="2"/>
  <c r="O10" i="2"/>
  <c r="AM74" i="2"/>
  <c r="AB72" i="2"/>
  <c r="M29" i="2"/>
  <c r="L30" i="2"/>
  <c r="P72" i="2"/>
  <c r="AI46" i="2"/>
  <c r="L80" i="2"/>
  <c r="AE58" i="2"/>
  <c r="AH40" i="2"/>
  <c r="S38" i="2"/>
  <c r="N6" i="2"/>
  <c r="AG25" i="2"/>
  <c r="P75" i="2"/>
  <c r="N26" i="2"/>
  <c r="E15" i="2"/>
  <c r="W68" i="2"/>
  <c r="AC68" i="2"/>
  <c r="N78" i="2"/>
  <c r="W57" i="2"/>
  <c r="G7" i="2"/>
  <c r="AI17" i="2"/>
  <c r="AH29" i="2"/>
  <c r="L61" i="2"/>
  <c r="G61" i="2"/>
  <c r="R30" i="2"/>
  <c r="U69" i="2"/>
  <c r="J28" i="2"/>
  <c r="AE20" i="2"/>
  <c r="AB55" i="2"/>
  <c r="I56" i="2"/>
  <c r="AC26" i="2"/>
  <c r="M47" i="2"/>
  <c r="O13" i="2"/>
  <c r="AF53" i="2"/>
  <c r="AM50" i="2"/>
  <c r="W70" i="2"/>
  <c r="AD14" i="2"/>
  <c r="T77" i="2"/>
  <c r="L7" i="2"/>
  <c r="AH66" i="2"/>
  <c r="P71" i="2"/>
  <c r="Z17" i="2"/>
  <c r="AM65" i="2"/>
  <c r="M27" i="2"/>
  <c r="S67" i="2"/>
  <c r="AE72" i="2"/>
  <c r="L58" i="2"/>
  <c r="H44" i="2"/>
  <c r="L77" i="2"/>
  <c r="M46" i="2"/>
  <c r="M78" i="2"/>
  <c r="P47" i="2"/>
  <c r="I9" i="2"/>
  <c r="V17" i="2"/>
  <c r="AG38" i="2"/>
  <c r="S46" i="2"/>
  <c r="AA58" i="2"/>
  <c r="AJ11" i="2"/>
  <c r="T69" i="2"/>
  <c r="V77" i="2"/>
  <c r="AL55" i="2"/>
  <c r="K53" i="2"/>
  <c r="AM51" i="2"/>
  <c r="AG36" i="2"/>
  <c r="I36" i="2"/>
  <c r="X29" i="2"/>
  <c r="U48" i="2"/>
  <c r="Z65" i="2"/>
  <c r="U67" i="2"/>
  <c r="G46" i="2"/>
  <c r="T44" i="2"/>
  <c r="AM70" i="2"/>
  <c r="Y38" i="2"/>
  <c r="K80" i="2"/>
  <c r="F43" i="2"/>
  <c r="AM12" i="2"/>
  <c r="N34" i="2"/>
  <c r="X40" i="2"/>
  <c r="P56" i="2"/>
  <c r="AA34" i="2"/>
  <c r="V48" i="2"/>
  <c r="S41" i="2"/>
  <c r="O38" i="2"/>
  <c r="Y54" i="2"/>
  <c r="J26" i="2"/>
  <c r="J51" i="2"/>
  <c r="L16" i="2"/>
  <c r="K52" i="2"/>
  <c r="Y55" i="2"/>
  <c r="H30" i="2"/>
  <c r="I11" i="2"/>
  <c r="AL69" i="2"/>
  <c r="L62" i="2"/>
  <c r="AC72" i="2"/>
  <c r="G48" i="2"/>
  <c r="AD31" i="2"/>
  <c r="M4" i="2"/>
  <c r="AA7" i="2"/>
  <c r="V45" i="2"/>
  <c r="N75" i="2"/>
  <c r="AC4" i="2"/>
  <c r="AI6" i="2"/>
  <c r="U71" i="2"/>
  <c r="AJ45" i="2"/>
  <c r="AB73" i="2"/>
  <c r="T48" i="2"/>
  <c r="L45" i="2"/>
  <c r="AC73" i="2"/>
  <c r="K57" i="2"/>
  <c r="X80" i="2"/>
  <c r="F63" i="2"/>
  <c r="M74" i="2"/>
  <c r="N25" i="2"/>
  <c r="G14" i="2"/>
  <c r="P59" i="2"/>
  <c r="AM39" i="2"/>
  <c r="V31" i="2"/>
  <c r="I4" i="2"/>
  <c r="AA79" i="2"/>
  <c r="AL60" i="2"/>
  <c r="AK43" i="2"/>
  <c r="U52" i="2"/>
  <c r="O64" i="2"/>
  <c r="U24" i="2"/>
  <c r="G50" i="2"/>
  <c r="AI62" i="2"/>
  <c r="AJ31" i="2"/>
  <c r="M34" i="2"/>
  <c r="M67" i="2"/>
  <c r="AJ30" i="2"/>
  <c r="U19" i="2"/>
  <c r="AE38" i="2"/>
  <c r="N16" i="2"/>
  <c r="N32" i="2"/>
  <c r="AA74" i="2"/>
  <c r="L23" i="2"/>
  <c r="AF59" i="2"/>
  <c r="Y6" i="2"/>
  <c r="AD51" i="2"/>
  <c r="L65" i="2"/>
  <c r="AC21" i="2"/>
  <c r="AH61" i="2"/>
  <c r="K65" i="2"/>
  <c r="V47" i="2"/>
  <c r="AL76" i="2"/>
  <c r="AB16" i="2"/>
  <c r="J69" i="2"/>
  <c r="AC63" i="2"/>
  <c r="X8" i="2"/>
  <c r="AC27" i="2"/>
  <c r="K34" i="2"/>
  <c r="E27" i="2"/>
  <c r="AC41" i="2"/>
  <c r="AM60" i="2"/>
  <c r="P14" i="2"/>
  <c r="AB35" i="2"/>
  <c r="K16" i="2"/>
  <c r="AG76" i="2"/>
  <c r="AE65" i="2"/>
  <c r="M58" i="2"/>
  <c r="W47" i="2"/>
  <c r="AA72" i="2"/>
  <c r="H21" i="2"/>
  <c r="O35" i="2"/>
  <c r="AD9" i="2"/>
  <c r="AK40" i="2"/>
  <c r="N57" i="2"/>
  <c r="Z6" i="2"/>
  <c r="E56" i="2"/>
  <c r="V79" i="2"/>
  <c r="Y72" i="2"/>
  <c r="N29" i="2"/>
  <c r="H59" i="2"/>
  <c r="J37" i="2"/>
  <c r="AF12" i="2"/>
  <c r="AJ18" i="2"/>
  <c r="AC48" i="2"/>
  <c r="N36" i="2"/>
  <c r="G8" i="2"/>
  <c r="AL20" i="2"/>
  <c r="G19" i="2"/>
  <c r="Z27" i="2"/>
  <c r="AA46" i="2"/>
  <c r="L20" i="2"/>
  <c r="N8" i="2"/>
  <c r="V12" i="2"/>
  <c r="O40" i="2"/>
  <c r="E74" i="2"/>
  <c r="M39" i="2"/>
  <c r="AJ68" i="2"/>
  <c r="AJ72" i="2"/>
  <c r="E57" i="2"/>
  <c r="F6" i="2"/>
  <c r="J8" i="2"/>
  <c r="R35" i="2"/>
  <c r="E48" i="2"/>
  <c r="T31" i="2"/>
  <c r="P23" i="2"/>
  <c r="M45" i="2"/>
  <c r="F9" i="2"/>
  <c r="AD19" i="2"/>
  <c r="S14" i="2"/>
  <c r="S56" i="2"/>
  <c r="AJ33" i="2"/>
  <c r="T22" i="2"/>
  <c r="AE37" i="2"/>
  <c r="Y76" i="2"/>
  <c r="AJ75" i="2"/>
  <c r="AF38" i="2"/>
  <c r="T21" i="2"/>
  <c r="AD44" i="2"/>
  <c r="H63" i="2"/>
  <c r="K63" i="2"/>
  <c r="AG61" i="2"/>
  <c r="E80" i="2"/>
  <c r="AI37" i="2"/>
  <c r="AH18" i="2"/>
  <c r="W30" i="2"/>
  <c r="AM24" i="2"/>
  <c r="S37" i="2"/>
  <c r="S69" i="2"/>
  <c r="AC44" i="2"/>
  <c r="E68" i="2"/>
  <c r="AK12" i="2"/>
  <c r="X70" i="2"/>
  <c r="R23" i="2"/>
  <c r="AF76" i="2"/>
  <c r="AH37" i="2"/>
  <c r="AF24" i="2"/>
  <c r="AH72" i="2"/>
  <c r="I29" i="2"/>
  <c r="N51" i="2"/>
  <c r="AC58" i="2"/>
  <c r="L29" i="2"/>
  <c r="N45" i="2"/>
  <c r="M24" i="2"/>
  <c r="AA11" i="2"/>
  <c r="N31" i="2"/>
  <c r="K38" i="2"/>
  <c r="G6" i="2"/>
  <c r="R55" i="2"/>
  <c r="F71" i="2"/>
  <c r="AI24" i="2"/>
  <c r="W49" i="2"/>
  <c r="AD72" i="2"/>
  <c r="T20" i="2"/>
  <c r="AM14" i="2"/>
  <c r="AB7" i="2"/>
  <c r="AJ28" i="2"/>
  <c r="F35" i="2"/>
  <c r="AI13" i="2"/>
  <c r="AF70" i="2"/>
  <c r="T67" i="2"/>
  <c r="AD21" i="2"/>
  <c r="AC55" i="2"/>
  <c r="R32" i="2"/>
  <c r="H27" i="2"/>
  <c r="L51" i="2"/>
  <c r="AI49" i="2"/>
  <c r="G24" i="2"/>
  <c r="H53" i="2"/>
  <c r="W62" i="2"/>
  <c r="K70" i="2"/>
  <c r="W14" i="2"/>
  <c r="I71" i="2"/>
  <c r="Y78" i="2"/>
  <c r="V54" i="2"/>
  <c r="S79" i="2"/>
  <c r="U7" i="2"/>
  <c r="V33" i="2"/>
  <c r="H33" i="2"/>
  <c r="AA29" i="2"/>
  <c r="T66" i="2"/>
  <c r="M64" i="2"/>
  <c r="N71" i="2"/>
  <c r="Z44" i="2"/>
  <c r="AH53" i="2"/>
  <c r="V76" i="2"/>
  <c r="H29" i="2"/>
  <c r="S12" i="2"/>
  <c r="T79" i="2"/>
  <c r="AF42" i="2"/>
  <c r="Y10" i="2"/>
  <c r="M60" i="2"/>
  <c r="Y56" i="2"/>
  <c r="AK48" i="2"/>
  <c r="AL77" i="2"/>
  <c r="AA40" i="2"/>
  <c r="I50" i="2"/>
  <c r="Z16" i="2"/>
  <c r="P67" i="2"/>
  <c r="AK73" i="2"/>
  <c r="F38" i="2"/>
  <c r="S74" i="2"/>
  <c r="AD80" i="2"/>
  <c r="AI56" i="2"/>
  <c r="J44" i="2"/>
  <c r="AK34" i="2"/>
  <c r="V25" i="2"/>
  <c r="M71" i="2"/>
  <c r="J57" i="2"/>
  <c r="AH65" i="2"/>
  <c r="H7" i="2"/>
  <c r="I17" i="2"/>
  <c r="I38" i="2"/>
  <c r="S71" i="2"/>
  <c r="AH17" i="2"/>
  <c r="AE45" i="2"/>
  <c r="AI26" i="2"/>
  <c r="K23" i="2"/>
  <c r="I19" i="2"/>
  <c r="Y40" i="2"/>
  <c r="H36" i="2"/>
  <c r="U70" i="2"/>
  <c r="AA48" i="2"/>
  <c r="Y49" i="2"/>
  <c r="AJ54" i="2"/>
  <c r="Y4" i="2"/>
  <c r="O24" i="2"/>
  <c r="AH27" i="2"/>
  <c r="K72" i="2"/>
  <c r="X39" i="2"/>
  <c r="O44" i="2"/>
  <c r="X73" i="2"/>
  <c r="X14" i="2"/>
  <c r="X5" i="2"/>
  <c r="AG46" i="2"/>
  <c r="I28" i="2"/>
  <c r="AE6" i="2"/>
  <c r="AL68" i="2"/>
  <c r="Z55" i="2"/>
  <c r="AI18" i="2"/>
  <c r="G34" i="2"/>
  <c r="AB36" i="2"/>
  <c r="AF23" i="2"/>
  <c r="V74" i="2"/>
  <c r="AJ53" i="2"/>
  <c r="AG64" i="2"/>
  <c r="F80" i="2"/>
  <c r="T74" i="2"/>
  <c r="Z19" i="2"/>
  <c r="W42" i="2"/>
  <c r="Z61" i="2"/>
  <c r="H24" i="2"/>
  <c r="X65" i="2"/>
  <c r="W74" i="2"/>
  <c r="AC64" i="2"/>
  <c r="E51" i="2"/>
  <c r="U27" i="2"/>
  <c r="L11" i="2"/>
  <c r="M14" i="2"/>
  <c r="AB80" i="2"/>
  <c r="G22" i="2"/>
  <c r="AK62" i="2"/>
  <c r="AJ19" i="2"/>
  <c r="N4" i="2"/>
  <c r="Y14" i="2"/>
  <c r="Y9" i="2"/>
  <c r="O21" i="2"/>
  <c r="J56" i="2"/>
  <c r="T9" i="2"/>
  <c r="AE74" i="2"/>
  <c r="U43" i="2"/>
  <c r="O23" i="2"/>
  <c r="M32" i="2"/>
  <c r="H79" i="2"/>
  <c r="AC40" i="2"/>
  <c r="V18" i="2"/>
  <c r="S21" i="2"/>
  <c r="X49" i="2"/>
  <c r="P9" i="2"/>
  <c r="AM48" i="2"/>
  <c r="AG8" i="2"/>
  <c r="S36" i="2"/>
  <c r="AM6" i="2"/>
  <c r="AB68" i="2"/>
  <c r="AI65" i="2"/>
  <c r="E77" i="2"/>
  <c r="AL7" i="2"/>
  <c r="AC9" i="2"/>
  <c r="U12" i="2"/>
  <c r="Z23" i="2"/>
  <c r="R72" i="2"/>
  <c r="X54" i="2"/>
  <c r="AD26" i="2"/>
  <c r="AJ27" i="2"/>
  <c r="M42" i="2"/>
  <c r="AH78" i="2"/>
  <c r="AI23" i="2"/>
  <c r="K5" i="2"/>
  <c r="AL75" i="2"/>
  <c r="J12" i="2"/>
  <c r="H68" i="2"/>
  <c r="I68" i="2"/>
  <c r="AD43" i="2"/>
  <c r="AE55" i="2"/>
  <c r="AC24" i="2"/>
  <c r="F26" i="2"/>
  <c r="F19" i="2"/>
  <c r="AA24" i="2"/>
  <c r="AM49" i="2"/>
  <c r="W9" i="2"/>
  <c r="AL29" i="2"/>
  <c r="R47" i="2"/>
  <c r="AB61" i="2"/>
  <c r="V5" i="2"/>
  <c r="AJ13" i="2"/>
  <c r="S6" i="2"/>
  <c r="U23" i="2"/>
  <c r="K48" i="2"/>
  <c r="I32" i="2"/>
  <c r="AJ39" i="2"/>
  <c r="K76" i="2"/>
  <c r="G13" i="2"/>
  <c r="AD15" i="2"/>
  <c r="I26" i="2"/>
  <c r="U38" i="2"/>
  <c r="L44" i="2"/>
  <c r="M77" i="2"/>
  <c r="U50" i="2"/>
  <c r="H52" i="2"/>
  <c r="W56" i="2"/>
  <c r="P64" i="2"/>
  <c r="Y58" i="2"/>
  <c r="F68" i="2"/>
  <c r="AI25" i="2"/>
  <c r="AC66" i="2"/>
  <c r="I77" i="2"/>
  <c r="E38" i="2"/>
  <c r="AC78" i="2"/>
  <c r="M59" i="2"/>
  <c r="L19" i="2"/>
  <c r="AK53" i="2"/>
  <c r="AB17" i="2"/>
  <c r="T25" i="2"/>
  <c r="F36" i="2"/>
  <c r="E8" i="2"/>
  <c r="AC31" i="2"/>
  <c r="K21" i="2"/>
  <c r="O57" i="2"/>
  <c r="AH38" i="2"/>
  <c r="AK42" i="2"/>
  <c r="AM71" i="2"/>
  <c r="AD55" i="2"/>
  <c r="AD65" i="2"/>
  <c r="T73" i="2"/>
  <c r="AG44" i="2"/>
  <c r="X74" i="2"/>
  <c r="R54" i="2"/>
  <c r="M25" i="2"/>
  <c r="F30" i="2"/>
  <c r="AA21" i="2"/>
  <c r="N61" i="2"/>
  <c r="O80" i="2"/>
  <c r="AJ40" i="2"/>
  <c r="H13" i="2"/>
  <c r="AB59" i="2"/>
  <c r="Y47" i="2"/>
  <c r="J71" i="2"/>
  <c r="H16" i="2"/>
  <c r="AE73" i="2"/>
  <c r="AM58" i="2"/>
  <c r="E43" i="2"/>
  <c r="AI5" i="2"/>
  <c r="O79" i="2"/>
  <c r="K28" i="2"/>
  <c r="V78" i="2"/>
  <c r="AI63" i="2"/>
  <c r="I6" i="2"/>
  <c r="W24" i="2"/>
  <c r="V64" i="2"/>
  <c r="U73" i="2"/>
  <c r="AC45" i="2"/>
  <c r="AL73" i="2"/>
  <c r="H62" i="2"/>
  <c r="AD4" i="2"/>
  <c r="T10" i="2"/>
  <c r="Y12" i="2"/>
  <c r="AA13" i="2"/>
  <c r="I41" i="2"/>
  <c r="AF16" i="2"/>
  <c r="AB62" i="2"/>
  <c r="J17" i="2"/>
  <c r="AK65" i="2"/>
  <c r="W66" i="2"/>
  <c r="P65" i="2"/>
  <c r="P57" i="2"/>
  <c r="AJ50" i="2"/>
  <c r="M6" i="2"/>
  <c r="H49" i="2"/>
  <c r="AF79" i="2"/>
  <c r="I46" i="2"/>
  <c r="AE79" i="2"/>
  <c r="AC36" i="2"/>
  <c r="AM62" i="2"/>
  <c r="J4" i="2"/>
  <c r="AM52" i="2"/>
  <c r="AI71" i="2"/>
  <c r="AL41" i="2"/>
  <c r="U75" i="2"/>
  <c r="F23" i="2"/>
  <c r="T24" i="2"/>
  <c r="V75" i="2"/>
  <c r="U5" i="2"/>
  <c r="Z36" i="2"/>
  <c r="AE63" i="2"/>
  <c r="U74" i="2"/>
  <c r="G31" i="2"/>
  <c r="AJ7" i="2"/>
  <c r="H9" i="2"/>
  <c r="E53" i="2"/>
  <c r="AA68" i="2"/>
  <c r="Y46" i="2"/>
  <c r="AL40" i="2"/>
  <c r="F12" i="2"/>
  <c r="AF30" i="2"/>
  <c r="AH21" i="2"/>
  <c r="L54" i="2"/>
  <c r="AG37" i="2"/>
  <c r="AK47" i="2"/>
  <c r="M80" i="2"/>
  <c r="AE64" i="2"/>
  <c r="O65" i="2"/>
  <c r="N73" i="2"/>
  <c r="L33" i="2"/>
  <c r="L60" i="2"/>
  <c r="L4" i="2"/>
  <c r="Y70" i="2"/>
  <c r="L24" i="2"/>
  <c r="AC57" i="2"/>
  <c r="AD58" i="2"/>
  <c r="H19" i="2"/>
  <c r="W17" i="2"/>
  <c r="AG51" i="2"/>
  <c r="U25" i="2"/>
  <c r="Z59" i="2"/>
  <c r="AA61" i="2"/>
  <c r="U62" i="2"/>
  <c r="AG12" i="2"/>
  <c r="H17" i="2"/>
  <c r="AG16" i="2"/>
  <c r="K12" i="2"/>
  <c r="N20" i="2"/>
  <c r="X18" i="2"/>
  <c r="AM59" i="2"/>
  <c r="AD63" i="2"/>
  <c r="J7" i="2"/>
  <c r="AF25" i="2"/>
  <c r="E39" i="2"/>
  <c r="O36" i="2"/>
  <c r="I51" i="2"/>
  <c r="H66" i="2"/>
  <c r="E65" i="2"/>
  <c r="AE16" i="2"/>
  <c r="O76" i="2"/>
  <c r="AM33" i="2"/>
  <c r="AD75" i="2"/>
  <c r="O5" i="2"/>
  <c r="M79" i="2"/>
  <c r="AE44" i="2"/>
  <c r="R65" i="2"/>
  <c r="AM77" i="2"/>
  <c r="AC28" i="2"/>
  <c r="S5" i="2"/>
  <c r="H61" i="2"/>
  <c r="R69" i="2"/>
  <c r="S54" i="2"/>
  <c r="AK52" i="2"/>
  <c r="E44" i="2"/>
  <c r="Z54" i="2"/>
  <c r="M9" i="2"/>
  <c r="H65" i="2"/>
  <c r="L39" i="2"/>
  <c r="W29" i="2"/>
  <c r="I73" i="2"/>
  <c r="P29" i="2"/>
  <c r="P17" i="2"/>
  <c r="AB46" i="2"/>
  <c r="AG42" i="2"/>
  <c r="N63" i="2"/>
  <c r="H69" i="2"/>
  <c r="Y71" i="2"/>
  <c r="P61" i="2"/>
  <c r="N43" i="2"/>
  <c r="AH28" i="2"/>
  <c r="S32" i="2"/>
  <c r="S78" i="2"/>
  <c r="AG70" i="2"/>
  <c r="U18" i="2"/>
  <c r="G53" i="2"/>
  <c r="Y52" i="2"/>
  <c r="AG45" i="2"/>
  <c r="M72" i="2"/>
  <c r="X51" i="2"/>
  <c r="P41" i="2"/>
  <c r="M75" i="2"/>
  <c r="AG23" i="2"/>
  <c r="P13" i="2"/>
  <c r="J41" i="2"/>
  <c r="AI61" i="2"/>
  <c r="AH19" i="2"/>
  <c r="E59" i="2"/>
  <c r="G42" i="2"/>
  <c r="P20" i="2"/>
  <c r="AD25" i="2"/>
  <c r="R71" i="2"/>
  <c r="Y67" i="2"/>
  <c r="K14" i="2"/>
  <c r="I67" i="2"/>
  <c r="AF52" i="2"/>
  <c r="AJ38" i="2"/>
  <c r="R42" i="2"/>
  <c r="X22" i="2"/>
  <c r="J66" i="2"/>
  <c r="S62" i="2"/>
  <c r="AL39" i="2"/>
  <c r="G54" i="2"/>
  <c r="S72" i="2"/>
  <c r="J55" i="2"/>
  <c r="U32" i="2"/>
  <c r="R57" i="2"/>
  <c r="G56" i="2"/>
  <c r="AE54" i="2"/>
  <c r="T4" i="2"/>
  <c r="U53" i="2"/>
  <c r="S28" i="2"/>
  <c r="N22" i="2"/>
  <c r="AJ71" i="2"/>
  <c r="AG80" i="2"/>
  <c r="F33" i="2"/>
  <c r="AG74" i="2"/>
  <c r="Z12" i="2"/>
  <c r="X15" i="2"/>
  <c r="AA9" i="2"/>
  <c r="AC74" i="2"/>
  <c r="I37" i="2"/>
  <c r="F34" i="2"/>
  <c r="R43" i="2"/>
  <c r="V50" i="2"/>
  <c r="M33" i="2"/>
  <c r="Y53" i="2"/>
  <c r="M54" i="2"/>
  <c r="S26" i="2"/>
  <c r="AL8" i="2"/>
  <c r="AL70" i="2"/>
  <c r="I20" i="2"/>
  <c r="P52" i="2"/>
  <c r="AA56" i="2"/>
  <c r="AC16" i="2"/>
  <c r="U61" i="2"/>
  <c r="AK45" i="2"/>
  <c r="Z37" i="2"/>
  <c r="AE66" i="2"/>
</calcChain>
</file>

<file path=xl/sharedStrings.xml><?xml version="1.0" encoding="utf-8"?>
<sst xmlns="http://schemas.openxmlformats.org/spreadsheetml/2006/main" count="4729" uniqueCount="924">
  <si>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</si>
  <si>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</si>
  <si>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</si>
  <si>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</si>
  <si>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</si>
  <si>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</si>
  <si>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</si>
  <si>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</si>
  <si>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</si>
  <si>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</si>
  <si>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</si>
  <si>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</si>
  <si>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</si>
  <si>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</si>
  <si>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</si>
  <si>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</si>
  <si>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</si>
  <si>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</si>
  <si>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</si>
  <si>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</si>
  <si>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</si>
  <si>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</si>
  <si>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</si>
  <si>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</si>
  <si>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</si>
  <si>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</si>
  <si>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</si>
  <si>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</si>
  <si>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</si>
  <si>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</si>
  <si>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</si>
  <si>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</si>
  <si>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</si>
  <si>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</si>
  <si>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</si>
  <si>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</si>
  <si>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</si>
  <si>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</si>
  <si>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</si>
  <si>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</si>
  <si>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</si>
  <si>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</si>
  <si>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</si>
  <si>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</si>
  <si>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</si>
  <si>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</si>
  <si>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</si>
  <si>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</si>
  <si>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</si>
  <si>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</si>
  <si>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</si>
  <si>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</si>
  <si>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</si>
  <si>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</si>
  <si>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</si>
  <si>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</si>
  <si>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</si>
  <si>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</si>
  <si>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</si>
  <si>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</si>
  <si>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</si>
  <si>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</si>
  <si>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</si>
  <si>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</si>
  <si>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</si>
  <si>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</si>
  <si>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</si>
  <si>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</si>
  <si>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</si>
  <si>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</si>
  <si>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</si>
  <si>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</si>
  <si>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</si>
  <si>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</si>
  <si>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</si>
  <si>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</si>
  <si>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</si>
  <si>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</si>
  <si>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</si>
  <si>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</si>
  <si>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</si>
  <si>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</si>
  <si>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</si>
  <si>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</si>
  <si>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</si>
  <si>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</si>
  <si>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</si>
  <si>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</si>
  <si>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</si>
  <si>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</si>
  <si>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</si>
  <si>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</si>
  <si>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</si>
  <si>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</si>
  <si>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</si>
  <si>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</si>
  <si>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</si>
  <si>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</si>
  <si>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</si>
  <si>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</si>
  <si>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</si>
  <si>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</si>
  <si>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</si>
  <si>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</si>
  <si>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</si>
  <si>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</si>
  <si>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</si>
  <si>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</si>
  <si>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</si>
  <si>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</si>
  <si>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</si>
  <si>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</si>
  <si>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</si>
  <si>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</si>
  <si>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</si>
  <si>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</si>
  <si>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</si>
  <si>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</si>
  <si>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</si>
  <si>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</si>
  <si>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</si>
  <si>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</si>
  <si>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</si>
  <si>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</si>
  <si>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</si>
  <si>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</si>
  <si>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</si>
  <si>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</si>
  <si>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</si>
  <si>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</si>
  <si>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</si>
  <si>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</si>
  <si>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</si>
  <si>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</si>
  <si>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</si>
  <si>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</si>
  <si>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</si>
  <si>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</si>
  <si>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</si>
  <si>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</si>
  <si>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</si>
  <si>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</si>
  <si>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</si>
  <si>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</si>
  <si>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</si>
  <si>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</si>
  <si>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</si>
  <si>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</si>
  <si>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</si>
  <si>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</si>
  <si>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</si>
  <si>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</si>
  <si>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</si>
  <si>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</si>
  <si>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</si>
  <si>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</si>
  <si>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</si>
  <si>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</si>
  <si>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</si>
  <si>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</si>
  <si>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</si>
  <si>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</si>
  <si>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</si>
  <si>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</si>
  <si>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</si>
  <si>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</si>
  <si>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</si>
  <si>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</si>
  <si>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</si>
  <si>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</si>
  <si>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</si>
  <si>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</si>
  <si>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</si>
  <si>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</si>
  <si>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</si>
  <si>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</si>
  <si>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</si>
  <si>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</si>
  <si>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</si>
  <si>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</si>
  <si>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</si>
  <si>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</si>
  <si>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</si>
  <si>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</si>
  <si>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</si>
  <si>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</si>
  <si>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</si>
  <si>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</si>
  <si>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</si>
  <si>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</si>
  <si>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</si>
  <si>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</si>
  <si>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</si>
  <si>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</si>
  <si>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</si>
  <si>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</si>
  <si>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</si>
  <si>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</si>
  <si>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</si>
  <si>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</si>
  <si>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</si>
  <si>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</si>
  <si>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</si>
  <si>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</si>
  <si>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</si>
  <si>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</si>
  <si>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</si>
  <si>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</si>
  <si>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</si>
  <si>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</si>
  <si>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</si>
  <si>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</si>
  <si>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</si>
  <si>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</si>
  <si>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</si>
  <si>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</si>
  <si>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</si>
  <si>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</si>
  <si>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</si>
  <si>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</si>
  <si>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</si>
  <si>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</si>
  <si>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</si>
  <si>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</si>
  <si>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</si>
  <si>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</si>
  <si>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</si>
  <si>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</si>
  <si>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</si>
  <si>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</si>
  <si>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</si>
  <si>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</si>
  <si>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</si>
  <si>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</si>
  <si>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</si>
  <si>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</si>
  <si>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</si>
  <si>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</si>
  <si>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</si>
  <si>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</si>
  <si>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</si>
  <si>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</si>
  <si>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</si>
  <si>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</si>
  <si>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</si>
  <si>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</si>
  <si>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</si>
  <si>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</si>
  <si>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</si>
  <si>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</si>
  <si>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</si>
  <si>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</si>
  <si>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</si>
  <si>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</si>
  <si>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</si>
  <si>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</si>
  <si>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</si>
  <si>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</si>
  <si>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</si>
  <si>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</si>
  <si>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</si>
  <si>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</si>
  <si>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</si>
  <si>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</si>
  <si>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</si>
  <si>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</si>
  <si>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</si>
  <si>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</si>
  <si>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</si>
  <si>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</si>
  <si>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</si>
  <si>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</si>
  <si>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</si>
  <si>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</si>
  <si>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</si>
  <si>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</si>
  <si>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</si>
  <si>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</si>
  <si>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</si>
  <si>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</si>
  <si>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</si>
  <si>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</si>
  <si>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</si>
  <si>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</si>
  <si>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</si>
  <si>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</si>
  <si>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</si>
  <si>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</si>
  <si>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</si>
  <si>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</si>
  <si>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</si>
  <si>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</si>
  <si>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</si>
  <si>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</si>
  <si>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</si>
  <si>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</si>
  <si>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</si>
  <si>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</si>
  <si>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</si>
  <si>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</si>
  <si>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</si>
  <si>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</si>
  <si>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</si>
  <si>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</si>
  <si>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</si>
  <si>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</si>
  <si>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</si>
  <si>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</si>
  <si>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</si>
  <si>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</si>
  <si>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</si>
  <si>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</si>
  <si>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</si>
  <si>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</si>
  <si>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</si>
  <si>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</si>
  <si>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</si>
  <si>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</si>
  <si>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</si>
  <si>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</si>
  <si>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</si>
  <si>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</si>
  <si>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</si>
  <si>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</si>
  <si>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</si>
  <si>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</si>
  <si>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</si>
  <si>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</si>
  <si>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</si>
  <si>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</si>
  <si>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</si>
  <si>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</si>
  <si>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</si>
  <si>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</si>
  <si>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</si>
  <si>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</si>
  <si>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</si>
  <si>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</si>
  <si>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</si>
  <si>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</si>
  <si>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</si>
  <si>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</si>
  <si>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</si>
  <si>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</si>
  <si>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</si>
  <si>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</si>
  <si>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</si>
  <si>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</si>
  <si>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</si>
  <si>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</si>
  <si>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</si>
  <si>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</si>
  <si>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</si>
  <si>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</si>
  <si>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</si>
  <si>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</si>
  <si>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</si>
  <si>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</si>
  <si>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</si>
  <si>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</si>
  <si>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</si>
  <si>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</si>
  <si>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</si>
  <si>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</si>
  <si>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</si>
  <si>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</si>
  <si>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</si>
  <si>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</si>
  <si>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</si>
  <si>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</si>
  <si>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</si>
  <si>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</si>
  <si>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</si>
  <si>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</si>
  <si>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</si>
  <si>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</si>
  <si>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</si>
  <si>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</si>
  <si>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</si>
  <si>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</si>
  <si>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</si>
  <si>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</si>
  <si>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</si>
  <si>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</si>
  <si>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</si>
  <si>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</si>
  <si>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</si>
  <si>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</si>
  <si>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</si>
  <si>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</si>
  <si>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</si>
  <si>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</si>
  <si>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</si>
  <si>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</si>
  <si>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</si>
  <si>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</si>
  <si>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</si>
  <si>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</si>
  <si>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</si>
  <si>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</si>
  <si>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</si>
  <si>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</si>
  <si>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</si>
  <si>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</si>
  <si>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</si>
  <si>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</si>
  <si>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</si>
  <si>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</si>
  <si>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</si>
  <si>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</si>
  <si>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</si>
  <si>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</si>
  <si>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</si>
  <si>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</si>
  <si>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</si>
  <si>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</si>
  <si>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</si>
  <si>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</si>
  <si>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</si>
  <si>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</si>
  <si>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</si>
  <si>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</si>
  <si>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</si>
  <si>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</si>
  <si>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</si>
  <si>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</si>
  <si>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</si>
  <si>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</si>
  <si>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</si>
  <si>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</si>
  <si>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</si>
  <si>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</si>
  <si>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</si>
  <si>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</si>
  <si>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</si>
  <si>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</si>
  <si>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</si>
  <si>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</si>
  <si>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</si>
  <si>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</si>
  <si>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</si>
  <si>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</si>
  <si>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</si>
  <si>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</si>
  <si>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</si>
  <si>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</si>
  <si>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</si>
  <si>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</si>
  <si>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</si>
  <si>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</si>
  <si>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</si>
  <si>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</si>
  <si>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</si>
  <si>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</si>
  <si>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</si>
  <si>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</si>
  <si>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</si>
  <si>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</si>
  <si>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</si>
  <si>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</si>
  <si>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</si>
  <si>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</si>
  <si>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</si>
  <si>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</si>
  <si>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</si>
  <si>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</si>
  <si>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</si>
  <si>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</si>
  <si>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</si>
  <si>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</si>
  <si>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</si>
  <si>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</si>
  <si>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</si>
  <si>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</si>
  <si>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</si>
  <si>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</si>
  <si>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</si>
  <si>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</si>
  <si>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</si>
  <si>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</si>
  <si>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</si>
  <si>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</si>
  <si>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</si>
  <si>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</si>
  <si>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</si>
  <si>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</si>
  <si>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</si>
  <si>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</si>
  <si>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</si>
  <si>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</si>
  <si>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</si>
  <si>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</si>
  <si>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</si>
  <si>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</si>
  <si>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</si>
  <si>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</si>
  <si>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</si>
  <si>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</si>
  <si>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</si>
  <si>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</si>
  <si>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</si>
  <si>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</si>
  <si>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</si>
  <si>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</si>
  <si>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</si>
  <si>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</si>
  <si>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</si>
  <si>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</si>
  <si>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</si>
  <si>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</si>
  <si>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</si>
  <si>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</si>
  <si>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</si>
  <si>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</si>
  <si>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</si>
  <si>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</si>
  <si>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</si>
  <si>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</si>
  <si>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</si>
  <si>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</si>
  <si>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</si>
  <si>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</si>
  <si>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</si>
  <si>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</si>
  <si>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</si>
  <si>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</si>
  <si>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</si>
  <si>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</si>
  <si>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</si>
  <si>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</si>
  <si>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</si>
  <si>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</si>
  <si>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</si>
  <si>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</si>
  <si>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</si>
  <si>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</si>
  <si>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</si>
  <si>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</si>
  <si>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</si>
  <si>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</si>
  <si>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</si>
  <si>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</si>
  <si>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</si>
  <si>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</si>
  <si>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</si>
  <si>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</si>
  <si>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</si>
  <si>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</si>
  <si>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</si>
  <si>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</si>
  <si>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</si>
  <si>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</si>
  <si>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</si>
  <si>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</si>
  <si>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</si>
  <si>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</si>
  <si>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</si>
  <si>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</si>
  <si>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</si>
  <si>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</si>
  <si>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</si>
  <si>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</si>
  <si>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</si>
  <si>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</si>
  <si>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</si>
  <si>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</si>
  <si>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</si>
  <si>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</si>
  <si>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</si>
  <si>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</si>
  <si>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</si>
  <si>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</si>
  <si>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</si>
  <si>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</si>
  <si>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</si>
  <si>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</si>
  <si>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</si>
  <si>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</si>
  <si>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</si>
  <si>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</si>
  <si>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</si>
  <si>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</si>
  <si>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</si>
  <si>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</si>
  <si>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</si>
  <si>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</si>
  <si>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</si>
  <si>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</si>
  <si>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</si>
  <si>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</si>
  <si>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</si>
  <si>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</si>
  <si>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</si>
  <si>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</si>
  <si>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</si>
  <si>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</si>
  <si>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</si>
  <si>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</si>
  <si>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</si>
  <si>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</si>
  <si>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</si>
  <si>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</si>
  <si>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</si>
  <si>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</si>
  <si>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</si>
  <si>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</si>
  <si>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</si>
  <si>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</si>
  <si>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</si>
  <si>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</si>
  <si>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</si>
  <si>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</si>
  <si>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</si>
  <si>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</si>
  <si>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</si>
  <si>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</si>
  <si>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</si>
  <si>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</si>
  <si>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</si>
  <si>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</si>
  <si>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</si>
  <si>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</si>
  <si>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</si>
  <si>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</si>
  <si>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</si>
  <si>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</si>
  <si>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</si>
  <si>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</si>
  <si>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</si>
  <si>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</si>
  <si>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</si>
  <si>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</si>
  <si>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</si>
  <si>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</si>
  <si>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</si>
  <si>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</si>
  <si>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</si>
  <si>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</si>
  <si>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</si>
  <si>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</si>
  <si>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</si>
  <si>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</si>
  <si>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</si>
  <si>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</si>
  <si>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</si>
  <si>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</si>
  <si>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</si>
  <si>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</si>
  <si>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</si>
  <si>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</si>
  <si>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</si>
  <si>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</si>
  <si>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</si>
  <si>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</si>
  <si>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</si>
  <si>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</si>
  <si>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</si>
  <si>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</si>
  <si>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</si>
  <si>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</si>
  <si>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</si>
  <si>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</si>
  <si>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</si>
  <si>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</si>
  <si>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</si>
  <si>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</si>
  <si>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</si>
  <si>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</si>
  <si>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</si>
  <si>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</si>
  <si>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</si>
  <si>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</si>
  <si>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</si>
  <si>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</si>
  <si>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</si>
  <si>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</si>
  <si>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</si>
  <si>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</si>
  <si>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</si>
  <si>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</si>
  <si>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</si>
  <si>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</si>
  <si>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</si>
  <si>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</si>
  <si>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</si>
  <si>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</si>
  <si>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</si>
  <si>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</si>
  <si>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</si>
  <si>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</si>
  <si>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</si>
  <si>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</si>
  <si>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</si>
  <si>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</si>
  <si>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</si>
  <si>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</si>
  <si>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</si>
  <si>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</si>
  <si>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</si>
  <si>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</si>
  <si>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</si>
  <si>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</si>
  <si>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</si>
  <si>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</si>
  <si>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</si>
  <si>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</si>
  <si>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</si>
  <si>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</si>
  <si>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</si>
  <si>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</si>
  <si>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</si>
  <si>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</si>
  <si>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</si>
  <si>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</si>
  <si>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</si>
  <si>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</si>
  <si>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</si>
  <si>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</si>
  <si>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</si>
  <si>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</si>
  <si>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</si>
  <si>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</si>
  <si>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</si>
  <si>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</si>
  <si>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</si>
  <si>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</si>
  <si>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</si>
  <si>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</si>
  <si>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</si>
  <si>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</si>
  <si>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</si>
  <si>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</si>
  <si>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</si>
  <si>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</si>
  <si>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</si>
  <si>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</si>
  <si>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</si>
  <si>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</si>
  <si>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</si>
  <si>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</si>
  <si>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</si>
  <si>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</si>
  <si>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</si>
  <si>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</si>
  <si>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</si>
  <si>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</si>
  <si>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</si>
  <si>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</si>
  <si>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</si>
  <si>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</si>
  <si>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</si>
  <si>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</si>
  <si>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</si>
  <si>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</si>
  <si>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</si>
  <si>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</si>
  <si>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</si>
  <si>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</si>
  <si>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</si>
  <si>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</si>
  <si>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</si>
  <si>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</si>
  <si>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</si>
  <si>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</si>
  <si>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</si>
  <si>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</si>
  <si>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</si>
  <si>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</si>
  <si>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</si>
  <si>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</si>
  <si>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</si>
  <si>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</si>
  <si>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</si>
  <si>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</si>
  <si>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</si>
  <si>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</si>
  <si>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</si>
  <si>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</si>
  <si>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</si>
  <si>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</si>
  <si>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</si>
  <si>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</si>
  <si>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</si>
  <si>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</si>
  <si>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</si>
  <si>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</si>
  <si>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</si>
  <si>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</si>
  <si>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</si>
  <si>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</si>
  <si>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</si>
  <si>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</si>
  <si>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</si>
  <si>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</si>
  <si>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</si>
  <si>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</si>
  <si>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</si>
  <si>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</si>
  <si>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</si>
  <si>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</si>
  <si>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</si>
  <si>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</si>
  <si>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</si>
  <si>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</si>
  <si>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</si>
  <si>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</si>
  <si>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</si>
  <si>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</si>
  <si>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</si>
  <si>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</si>
  <si>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</si>
  <si>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</si>
  <si>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</si>
  <si>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</si>
  <si>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</si>
  <si>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</si>
  <si>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</si>
  <si>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</si>
  <si>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</si>
  <si>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</si>
  <si>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</si>
  <si>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</si>
  <si>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</si>
  <si>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</si>
  <si>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</si>
  <si>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</si>
  <si>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</si>
  <si>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</si>
  <si>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</si>
  <si>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</si>
  <si>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</si>
  <si>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</si>
  <si>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</si>
  <si>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</si>
  <si>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</si>
  <si>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</si>
  <si>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</si>
  <si>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</si>
  <si>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</si>
  <si>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</si>
  <si>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</si>
  <si>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</si>
  <si>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</si>
  <si>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</si>
  <si>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</si>
  <si>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</si>
  <si>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</si>
  <si>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</si>
  <si>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</si>
  <si>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</si>
  <si>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</si>
  <si>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</si>
  <si>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</si>
  <si>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</si>
  <si>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</si>
  <si>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</si>
  <si>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</si>
  <si>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</si>
  <si>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</si>
  <si>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</si>
  <si>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</si>
  <si>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</si>
  <si>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</si>
  <si>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</si>
  <si>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</si>
  <si>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</si>
  <si>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</si>
  <si>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</si>
  <si>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</si>
  <si>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</si>
  <si>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</si>
  <si>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</si>
  <si>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</si>
  <si>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</si>
  <si>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</si>
  <si>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</si>
  <si>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</si>
  <si>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</si>
  <si>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</si>
  <si>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</si>
  <si>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</si>
  <si>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</si>
  <si>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</si>
  <si>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</si>
  <si>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</si>
  <si>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</si>
  <si>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</si>
  <si>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</si>
  <si>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</si>
  <si>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</si>
  <si>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</si>
  <si>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</si>
  <si>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</si>
  <si>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</si>
  <si>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</si>
  <si>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</si>
  <si>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</si>
  <si>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</si>
  <si>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</si>
  <si>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</si>
  <si>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</si>
  <si>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</si>
  <si>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</si>
  <si>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</si>
  <si>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</si>
  <si>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</si>
  <si>
    <t>6abc70e143ce2b65efeb7a4d</t>
  </si>
  <si>
    <t>29/09/2026 21:34:37</t>
  </si>
  <si>
    <t>29/09/2026 23:16:01</t>
  </si>
  <si>
    <t>29/09/2026</t>
  </si>
  <si>
    <t>6abc70e143ce2b65efeb7a3b</t>
  </si>
  <si>
    <t>29/09/2026 18:27:34</t>
  </si>
  <si>
    <t>6abc70e043ce2b65efeb7a17</t>
  </si>
  <si>
    <t>29/09/2026 14:05:27</t>
  </si>
  <si>
    <t>29/09/2026 23:16:00</t>
  </si>
  <si>
    <t>6abbe112d12b6fdcdf5519ef</t>
  </si>
  <si>
    <t>29/09/2026 11:07:05</t>
  </si>
  <si>
    <t>29/09/2026 13:02:26</t>
  </si>
  <si>
    <t>6abbe112d12b6fdcdf5519dd</t>
  </si>
  <si>
    <t>29/09/2026 08:38:00</t>
  </si>
  <si>
    <t>6abbe112d12b6fdcdf5519cb</t>
  </si>
  <si>
    <t>29/09/2026 06:54:58</t>
  </si>
  <si>
    <t>6abbe112d12b6fdcdf5519b3</t>
  </si>
  <si>
    <t>29/09/2026 04:28:40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</si>
</sst>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95.427114814818" createdVersion="5" refreshedVersion="5" minRefreshableVersion="3" recordCount="314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09-30T00:00:00" count="56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9-29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8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4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  <r>
    <x v="54"/>
    <x v="8"/>
    <s v="6abc70e143ce2b65efeb7a4d"/>
    <s v="29/09/2026 21:34:37"/>
    <s v="29/09/2026 23:16:01"/>
    <s v="Henrique"/>
    <s v="29/09/2026"/>
    <s v="Guapiaçu"/>
    <s v="2 ° Turno"/>
    <n v="157"/>
    <n v="2965"/>
    <s v="JOBILIANA APARECIDA MAXIMO BERGAMINI"/>
    <n v="20"/>
    <n v="20"/>
    <n v="5"/>
    <n v="5"/>
    <n v="8"/>
    <n v="80"/>
    <n v="0"/>
    <n v="0"/>
    <n v="0"/>
    <n v="0"/>
    <n v="0"/>
    <n v="0"/>
    <n v="4"/>
    <n v="1.2738853503184715"/>
    <n v="4"/>
    <n v="2.547770700636943"/>
    <n v="0"/>
    <n v="0"/>
    <n v="1"/>
    <n v="0.63694267515923575"/>
    <n v="2"/>
    <n v="1.2738853503184715"/>
    <s v=""/>
    <n v="0"/>
    <n v="0"/>
    <n v="0"/>
    <n v="0"/>
    <s v=""/>
    <n v="5"/>
    <n v="3.1847133757961785"/>
    <n v="5"/>
    <n v="3.1847133757961785"/>
    <n v="6"/>
    <n v="3.8216560509554141"/>
    <n v="1"/>
    <n v="0.63694267515923575"/>
    <s v=""/>
    <n v="19"/>
    <n v="0"/>
    <n v="0"/>
    <n v="38"/>
    <n v="0"/>
    <n v="0"/>
    <n v="0"/>
    <n v="0"/>
    <n v="20"/>
    <n v="17"/>
    <n v="0"/>
    <n v="0"/>
    <s v=""/>
    <n v="2"/>
    <n v="0"/>
    <n v="0"/>
    <s v="assinatura"/>
    <n v="214"/>
  </r>
  <r>
    <x v="54"/>
    <x v="8"/>
    <s v="6abc70e143ce2b65efeb7a3b"/>
    <s v="29/09/2026 18:27:34"/>
    <s v="29/09/2026 23:16:01"/>
    <s v="Henrique"/>
    <s v="29/09/2026"/>
    <s v="Guapiaçu"/>
    <s v="2 ° Turno"/>
    <n v="79"/>
    <n v="2821"/>
    <s v="JOBILIANA APARECIDA MAXIMO BERGAMINI"/>
    <n v="20"/>
    <n v="20"/>
    <n v="5"/>
    <n v="5"/>
    <n v="0"/>
    <n v="0"/>
    <n v="1"/>
    <n v="1"/>
    <n v="0"/>
    <n v="0"/>
    <n v="0"/>
    <n v="0"/>
    <n v="6"/>
    <n v="3.79746835443038"/>
    <n v="5"/>
    <n v="6.3291139240506329"/>
    <n v="0"/>
    <n v="0"/>
    <n v="1"/>
    <n v="1.2658227848101267"/>
    <n v="2"/>
    <n v="2.5316455696202533"/>
    <s v=""/>
    <n v="0"/>
    <n v="0"/>
    <n v="0"/>
    <n v="0"/>
    <s v=""/>
    <n v="3"/>
    <n v="3.79746835443038"/>
    <n v="6"/>
    <n v="7.59493670886076"/>
    <n v="5"/>
    <n v="6.3291139240506329"/>
    <n v="0"/>
    <n v="0"/>
    <s v=""/>
    <n v="18"/>
    <n v="0"/>
    <n v="0"/>
    <n v="36"/>
    <n v="0"/>
    <n v="0"/>
    <n v="0"/>
    <n v="0"/>
    <n v="20"/>
    <n v="17"/>
    <n v="0"/>
    <n v="0"/>
    <s v=""/>
    <n v="4"/>
    <n v="0"/>
    <n v="0"/>
    <s v="assinatura"/>
    <n v="10836"/>
  </r>
  <r>
    <x v="54"/>
    <x v="8"/>
    <s v="6abc70e043ce2b65efeb7a17"/>
    <s v="29/09/2026 14:05:27"/>
    <s v="29/09/2026 23:16:00"/>
    <s v="Henrique"/>
    <s v="29/09/2026"/>
    <s v="Guapiaçu"/>
    <s v="2 ° Turno"/>
    <n v="161"/>
    <n v="3025"/>
    <s v="JOBILIANA APARECIDA MAXIMO BERGAMINI"/>
    <n v="22"/>
    <n v="22"/>
    <n v="6"/>
    <n v="6"/>
    <n v="0"/>
    <n v="0"/>
    <n v="1"/>
    <n v="1"/>
    <n v="0"/>
    <n v="0"/>
    <n v="0"/>
    <n v="0"/>
    <s v=""/>
    <s v=""/>
    <n v="5"/>
    <n v="3.1055900621118013"/>
    <n v="0"/>
    <n v="0"/>
    <n v="3"/>
    <n v="1.8633540372670807"/>
    <n v="2"/>
    <n v="1.2422360248447204"/>
    <s v=""/>
    <n v="0"/>
    <n v="0"/>
    <n v="0"/>
    <n v="0"/>
    <s v=""/>
    <n v="7"/>
    <n v="4.3478260869565215"/>
    <n v="5"/>
    <n v="3.1055900621118013"/>
    <n v="5"/>
    <n v="3.1055900621118013"/>
    <n v="0"/>
    <n v="0"/>
    <s v=""/>
    <n v="19"/>
    <n v="0"/>
    <n v="0"/>
    <n v="38"/>
    <n v="0"/>
    <n v="0"/>
    <n v="1"/>
    <n v="0.6211180124223602"/>
    <n v="19"/>
    <n v="16"/>
    <n v="0"/>
    <n v="0"/>
    <s v=""/>
    <n v="1"/>
    <n v="0"/>
    <n v="0"/>
    <s v="assinatura"/>
    <n v="20734"/>
  </r>
  <r>
    <x v="54"/>
    <x v="8"/>
    <s v="6abbe112d12b6fdcdf5519ef"/>
    <s v="29/09/2026 11:07:05"/>
    <s v="29/09/2026 13:02:26"/>
    <s v="Henrique"/>
    <s v="29/09/2026"/>
    <s v="Guapiaçu"/>
    <s v="1 ° Turno"/>
    <n v="150"/>
    <n v="3094"/>
    <s v="EDMAR FELIPE MARTINS"/>
    <n v="41"/>
    <n v="41"/>
    <n v="23"/>
    <n v="23"/>
    <n v="0"/>
    <n v="0"/>
    <n v="1"/>
    <n v="1"/>
    <n v="1"/>
    <n v="1"/>
    <n v="0"/>
    <n v="0"/>
    <n v="2"/>
    <n v="0.66666666666666674"/>
    <n v="2"/>
    <n v="1.3333333333333335"/>
    <n v="0"/>
    <n v="0"/>
    <n v="1"/>
    <n v="0.66666666666666674"/>
    <n v="5"/>
    <n v="3.3333333333333335"/>
    <s v=""/>
    <n v="5"/>
    <n v="3.3333333333333335"/>
    <n v="2"/>
    <n v="1.3333333333333335"/>
    <s v=""/>
    <n v="9"/>
    <n v="6"/>
    <n v="1"/>
    <n v="0.66666666666666674"/>
    <n v="7"/>
    <n v="4.666666666666667"/>
    <n v="1"/>
    <n v="0.66666666666666674"/>
    <s v=""/>
    <n v="19"/>
    <n v="0"/>
    <n v="0"/>
    <n v="38"/>
    <n v="0"/>
    <n v="0"/>
    <n v="2"/>
    <n v="1.3333333333333335"/>
    <n v="25"/>
    <n v="20"/>
    <n v="1"/>
    <n v="10"/>
    <s v=""/>
    <s v=""/>
    <s v=""/>
    <s v=""/>
    <s v="assinatura"/>
    <n v="1475"/>
  </r>
  <r>
    <x v="54"/>
    <x v="8"/>
    <s v="6abbe112d12b6fdcdf5519dd"/>
    <s v="29/09/2026 08:38:00"/>
    <s v="29/09/2026 13:02:26"/>
    <s v="Henrique"/>
    <s v="29/09/2026"/>
    <s v="Guapiaçu"/>
    <s v="1 ° Turno"/>
    <n v="160"/>
    <n v="3321"/>
    <s v="EDMAR FELIPE MARTINS"/>
    <n v="35"/>
    <n v="35"/>
    <n v="23"/>
    <n v="23"/>
    <n v="0"/>
    <n v="0"/>
    <n v="3"/>
    <n v="3"/>
    <n v="1"/>
    <n v="1"/>
    <n v="2"/>
    <n v="10"/>
    <n v="2"/>
    <n v="0.625"/>
    <n v="2"/>
    <n v="1.25"/>
    <n v="0"/>
    <n v="0"/>
    <n v="2"/>
    <n v="1.25"/>
    <n v="6"/>
    <n v="3.75"/>
    <s v=""/>
    <n v="7"/>
    <n v="4.375"/>
    <n v="3"/>
    <n v="1.875"/>
    <s v=""/>
    <n v="11"/>
    <n v="6.8750000000000009"/>
    <n v="1"/>
    <n v="0.625"/>
    <n v="6"/>
    <n v="3.75"/>
    <n v="1"/>
    <n v="0.625"/>
    <s v=""/>
    <n v="17"/>
    <n v="0"/>
    <n v="0"/>
    <n v="34"/>
    <n v="0"/>
    <n v="0"/>
    <n v="0"/>
    <n v="0"/>
    <n v="22"/>
    <n v="19"/>
    <n v="0"/>
    <n v="0"/>
    <s v=""/>
    <n v="0"/>
    <n v="0"/>
    <n v="1"/>
    <s v=""/>
    <n v="1851"/>
  </r>
  <r>
    <x v="54"/>
    <x v="8"/>
    <s v="6abbe112d12b6fdcdf5519cb"/>
    <s v="29/09/2026 06:54:58"/>
    <s v="29/09/2026 13:02:26"/>
    <s v="Henrique"/>
    <s v="29/09/2026"/>
    <s v="Guapiaçu"/>
    <s v="1 ° Turno"/>
    <n v="80"/>
    <n v="3018"/>
    <s v="EDMAR FELIPE MARTINS"/>
    <n v="33"/>
    <n v="33"/>
    <n v="20"/>
    <n v="20"/>
    <n v="0"/>
    <n v="0"/>
    <n v="1"/>
    <n v="1"/>
    <n v="1"/>
    <n v="1"/>
    <n v="3"/>
    <n v="15"/>
    <n v="2"/>
    <n v="1.25"/>
    <n v="2"/>
    <n v="2.5"/>
    <n v="0"/>
    <n v="0"/>
    <n v="2"/>
    <n v="2.5"/>
    <n v="4"/>
    <n v="5"/>
    <s v=""/>
    <n v="5"/>
    <n v="6.25"/>
    <n v="2"/>
    <n v="2.5"/>
    <s v=""/>
    <n v="10"/>
    <n v="12.5"/>
    <n v="2"/>
    <n v="2.5"/>
    <n v="6"/>
    <n v="7.5"/>
    <n v="2"/>
    <n v="2.5"/>
    <s v=""/>
    <n v="14"/>
    <n v="0"/>
    <n v="0"/>
    <n v="28"/>
    <n v="0"/>
    <n v="0"/>
    <n v="0"/>
    <n v="0"/>
    <n v="25"/>
    <n v="18"/>
    <n v="1"/>
    <n v="10"/>
    <s v=""/>
    <n v="0"/>
    <n v="0"/>
    <n v="1"/>
    <s v="assinatura"/>
    <n v="1968"/>
  </r>
  <r>
    <x v="54"/>
    <x v="8"/>
    <s v="6abbe112d12b6fdcdf5519b3"/>
    <s v="29/09/2026 04:28:40"/>
    <s v="29/09/2026 13:02:26"/>
    <s v="Henrique"/>
    <s v="29/09/2026"/>
    <s v="Guapiaçu"/>
    <s v="1 ° Turno"/>
    <n v="146"/>
    <n v="3019"/>
    <s v="EDMAR FELIPE MARTINS"/>
    <n v="30"/>
    <n v="30"/>
    <n v="11"/>
    <n v="11"/>
    <n v="0"/>
    <n v="0"/>
    <n v="4"/>
    <n v="4"/>
    <n v="1"/>
    <n v="1"/>
    <n v="0"/>
    <n v="0"/>
    <n v="2"/>
    <n v="0.68493150684931503"/>
    <n v="4"/>
    <n v="2.7397260273972601"/>
    <n v="0"/>
    <n v="0"/>
    <n v="3"/>
    <n v="2.054794520547945"/>
    <n v="6"/>
    <n v="4.10958904109589"/>
    <s v=""/>
    <n v="8"/>
    <n v="5.4794520547945202"/>
    <n v="2"/>
    <n v="1.3698630136986301"/>
    <s v=""/>
    <n v="11"/>
    <n v="7.5342465753424657"/>
    <n v="1"/>
    <n v="0.68493150684931503"/>
    <n v="6"/>
    <n v="4.10958904109589"/>
    <n v="2"/>
    <n v="1.3698630136986301"/>
    <s v=""/>
    <n v="19"/>
    <n v="0"/>
    <n v="0"/>
    <n v="38"/>
    <n v="0"/>
    <n v="0"/>
    <n v="0"/>
    <n v="0"/>
    <n v="20"/>
    <n v="18"/>
    <n v="1"/>
    <n v="10"/>
    <s v=""/>
    <s v=""/>
    <s v=""/>
    <s v=""/>
    <s v="assinatura"/>
    <n v="34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K114" firstHeaderRow="1" firstDataRow="2" firstDataCol="0"/>
  <pivotFields count="67">
    <pivotField axis="axisCol" numFmtId="14" showAll="0" sortType="ascending">
      <items count="57">
        <item x="0"/>
        <item x="1"/>
        <item x="2"/>
        <item x="3"/>
        <item x="4"/>
        <item x="5"/>
        <item m="1" x="55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x="54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20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15" totalsRowShown="0" headerRowDxfId="58">
  <autoFilter ref="A1:BO315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42" activePane="bottomRight" state="frozen"/>
      <selection activeCell="B1" sqref="B1"/>
      <selection pane="topRight" activeCell="D1" sqref="D1"/>
      <selection pane="bottomLeft" activeCell="B6" sqref="B6"/>
      <selection pane="bottomRight" activeCell="M63" sqref="M63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>
        <f t="shared" si="0"/>
        <v>46282</v>
      </c>
      <c r="AD3" s="30">
        <f t="shared" si="0"/>
        <v>46283</v>
      </c>
      <c r="AE3" s="30">
        <f t="shared" si="0"/>
        <v>46286</v>
      </c>
      <c r="AF3" s="30">
        <f t="shared" si="0"/>
        <v>46287</v>
      </c>
      <c r="AG3" s="30">
        <f t="shared" si="0"/>
        <v>46288</v>
      </c>
      <c r="AH3" s="30">
        <f t="shared" si="0"/>
        <v>46289</v>
      </c>
      <c r="AI3" s="30">
        <f t="shared" si="0"/>
        <v>46290</v>
      </c>
      <c r="AJ3" s="30">
        <f t="shared" si="0"/>
        <v>46293</v>
      </c>
      <c r="AK3" s="30">
        <f t="shared" si="0"/>
        <v>46294</v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147 | 140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>147 | 148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>150 | 146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>156 | 132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>145 | 151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>118 | 122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>156 | 146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>129 | 106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>148 | 123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>134 | 132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2848|2826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>2785 | 2493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>2862 | 2746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>2907 | 2755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>2225 | 2759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>2756 | 2772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>3039 | 2737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>3097 | 2920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>3091 | 3282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>3113 | 2937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58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0.3160759493670886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61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>
        <f ca="1">IFERROR(AVERAGEIFS(INDIRECT("Tabela1["&amp;$B6&amp;"]"),Tabela1[Turno],$D6,Tabela1[Data Corrigida],AC$3)/100,"")</f>
        <v>0.375</v>
      </c>
      <c r="AD6" s="34">
        <f ca="1">IFERROR(AVERAGEIFS(INDIRECT("Tabela1["&amp;$B6&amp;"]"),Tabela1[Turno],$D6,Tabela1[Data Corrigida],AD$3)/100,"")</f>
        <v>0.35333333333333333</v>
      </c>
      <c r="AE6" s="34">
        <f ca="1">IFERROR(AVERAGEIFS(INDIRECT("Tabela1["&amp;$B6&amp;"]"),Tabela1[Turno],$D6,Tabela1[Data Corrigida],AE$3)/100,"")</f>
        <v>0.27750000000000002</v>
      </c>
      <c r="AF6" s="34">
        <f ca="1">IFERROR(AVERAGEIFS(INDIRECT("Tabela1["&amp;$B6&amp;"]"),Tabela1[Turno],$D6,Tabela1[Data Corrigida],AF$3)/100,"")</f>
        <v>0.33250000000000002</v>
      </c>
      <c r="AG6" s="34">
        <f ca="1">IFERROR(AVERAGEIFS(INDIRECT("Tabela1["&amp;$B6&amp;"]"),Tabela1[Turno],$D6,Tabela1[Data Corrigida],AG$3)/100,"")</f>
        <v>0.3725</v>
      </c>
      <c r="AH6" s="34">
        <f ca="1">IFERROR(AVERAGEIFS(INDIRECT("Tabela1["&amp;$B6&amp;"]"),Tabela1[Turno],$D6,Tabela1[Data Corrigida],AH$3)/100,"")</f>
        <v>0.39750000000000002</v>
      </c>
      <c r="AI6" s="34">
        <f ca="1">IFERROR(AVERAGEIFS(INDIRECT("Tabela1["&amp;$B6&amp;"]"),Tabela1[Turno],$D6,Tabela1[Data Corrigida],AI$3)/100,"")</f>
        <v>0.38750000000000001</v>
      </c>
      <c r="AJ6" s="34">
        <f ca="1">IFERROR(AVERAGEIFS(INDIRECT("Tabela1["&amp;$B6&amp;"]"),Tabela1[Turno],$D6,Tabela1[Data Corrigida],AJ$3)/100,"")</f>
        <v>0.32</v>
      </c>
      <c r="AK6" s="34">
        <f ca="1">IFERROR(AVERAGEIFS(INDIRECT("Tabela1["&amp;$B6&amp;"]"),Tabela1[Turno],$D6,Tabela1[Data Corrigida],AK$3)/100,"")</f>
        <v>0.34749999999999998</v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59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0.21266666666666667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62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>
        <f ca="1">IFERROR(AVERAGEIFS(INDIRECT("Tabela1["&amp;$B7&amp;"]"),Tabela1[Turno],$D7,Tabela1[Data Corrigida],AC$3)/100,"")</f>
        <v>0.24</v>
      </c>
      <c r="AD7" s="36">
        <f ca="1">IFERROR(AVERAGEIFS(INDIRECT("Tabela1["&amp;$B7&amp;"]"),Tabela1[Turno],$D7,Tabela1[Data Corrigida],AD$3)/100,"")</f>
        <v>0.20666666666666667</v>
      </c>
      <c r="AE7" s="36">
        <f ca="1">IFERROR(AVERAGEIFS(INDIRECT("Tabela1["&amp;$B7&amp;"]"),Tabela1[Turno],$D7,Tabela1[Data Corrigida],AE$3)/100,"")</f>
        <v>0.20666666666666667</v>
      </c>
      <c r="AF7" s="36">
        <f ca="1">IFERROR(AVERAGEIFS(INDIRECT("Tabela1["&amp;$B7&amp;"]"),Tabela1[Turno],$D7,Tabela1[Data Corrigida],AF$3)/100,"")</f>
        <v>0.22</v>
      </c>
      <c r="AG7" s="36">
        <f ca="1">IFERROR(AVERAGEIFS(INDIRECT("Tabela1["&amp;$B7&amp;"]"),Tabela1[Turno],$D7,Tabela1[Data Corrigida],AG$3)/100,"")</f>
        <v>0.19666666666666668</v>
      </c>
      <c r="AH7" s="36">
        <f ca="1">IFERROR(AVERAGEIFS(INDIRECT("Tabela1["&amp;$B7&amp;"]"),Tabela1[Turno],$D7,Tabela1[Data Corrigida],AH$3)/100,"")</f>
        <v>0.20333333333333331</v>
      </c>
      <c r="AI7" s="36">
        <f ca="1">IFERROR(AVERAGEIFS(INDIRECT("Tabela1["&amp;$B7&amp;"]"),Tabela1[Turno],$D7,Tabela1[Data Corrigida],AI$3)/100,"")</f>
        <v>0.22333333333333333</v>
      </c>
      <c r="AJ7" s="36">
        <f ca="1">IFERROR(AVERAGEIFS(INDIRECT("Tabela1["&amp;$B7&amp;"]"),Tabela1[Turno],$D7,Tabela1[Data Corrigida],AJ$3)/100,"")</f>
        <v>0.17666666666666667</v>
      </c>
      <c r="AK7" s="36">
        <f ca="1">IFERROR(AVERAGEIFS(INDIRECT("Tabela1["&amp;$B7&amp;"]"),Tabela1[Turno],$D7,Tabela1[Data Corrigida],AK$3)/100,"")</f>
        <v>0.20666666666666667</v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0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0.27143884892086328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3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>
        <f ca="1">IFERROR(AVERAGEIFS(INDIRECT("Tabela1["&amp;$B8&amp;"]"),Tabela1[Data Corrigida],AC$3)/100,"")</f>
        <v>0.31714285714285717</v>
      </c>
      <c r="AD8" s="38">
        <f ca="1">IFERROR(AVERAGEIFS(INDIRECT("Tabela1["&amp;$B8&amp;"]"),Tabela1[Data Corrigida],AD$3)/100,"")</f>
        <v>0.28000000000000003</v>
      </c>
      <c r="AE8" s="38">
        <f ca="1">IFERROR(AVERAGEIFS(INDIRECT("Tabela1["&amp;$B8&amp;"]"),Tabela1[Data Corrigida],AE$3)/100,"")</f>
        <v>0.24714285714285716</v>
      </c>
      <c r="AF8" s="38">
        <f ca="1">IFERROR(AVERAGEIFS(INDIRECT("Tabela1["&amp;$B8&amp;"]"),Tabela1[Data Corrigida],AF$3)/100,"")</f>
        <v>0.28428571428571425</v>
      </c>
      <c r="AG8" s="38">
        <f ca="1">IFERROR(AVERAGEIFS(INDIRECT("Tabela1["&amp;$B8&amp;"]"),Tabela1[Data Corrigida],AG$3)/100,"")</f>
        <v>0.29714285714285715</v>
      </c>
      <c r="AH8" s="38">
        <f ca="1">IFERROR(AVERAGEIFS(INDIRECT("Tabela1["&amp;$B8&amp;"]"),Tabela1[Data Corrigida],AH$3)/100,"")</f>
        <v>0.31428571428571428</v>
      </c>
      <c r="AI8" s="38">
        <f ca="1">IFERROR(AVERAGEIFS(INDIRECT("Tabela1["&amp;$B8&amp;"]"),Tabela1[Data Corrigida],AI$3)/100,"")</f>
        <v>0.31714285714285717</v>
      </c>
      <c r="AJ8" s="38">
        <f ca="1">IFERROR(AVERAGEIFS(INDIRECT("Tabela1["&amp;$B8&amp;"]"),Tabela1[Data Corrigida],AJ$3)/100,"")</f>
        <v>0.25857142857142856</v>
      </c>
      <c r="AK8" s="38">
        <f ca="1">IFERROR(AVERAGEIFS(INDIRECT("Tabela1["&amp;$B8&amp;"]"),Tabela1[Data Corrigida],AK$3)/100,"")</f>
        <v>0.28714285714285714</v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58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0.13189873417721518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61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>
        <f ca="1">IFERROR(AVERAGEIFS(INDIRECT("Tabela1["&amp;$B9&amp;"]"),Tabela1[Turno],$D9,Tabela1[Data Corrigida],AC$3)/100,"")</f>
        <v>0.15</v>
      </c>
      <c r="AD9" s="40">
        <f ca="1">IFERROR(AVERAGEIFS(INDIRECT("Tabela1["&amp;$B9&amp;"]"),Tabela1[Turno],$D9,Tabela1[Data Corrigida],AD$3)/100,"")</f>
        <v>0.13333333333333333</v>
      </c>
      <c r="AE9" s="40">
        <f ca="1">IFERROR(AVERAGEIFS(INDIRECT("Tabela1["&amp;$B9&amp;"]"),Tabela1[Turno],$D9,Tabela1[Data Corrigida],AE$3)/100,"")</f>
        <v>0.10249999999999999</v>
      </c>
      <c r="AF9" s="40">
        <f ca="1">IFERROR(AVERAGEIFS(INDIRECT("Tabela1["&amp;$B9&amp;"]"),Tabela1[Turno],$D9,Tabela1[Data Corrigida],AF$3)/100,"")</f>
        <v>0.125</v>
      </c>
      <c r="AG9" s="40">
        <f ca="1">IFERROR(AVERAGEIFS(INDIRECT("Tabela1["&amp;$B9&amp;"]"),Tabela1[Turno],$D9,Tabela1[Data Corrigida],AG$3)/100,"")</f>
        <v>0.1225</v>
      </c>
      <c r="AH9" s="40">
        <f ca="1">IFERROR(AVERAGEIFS(INDIRECT("Tabela1["&amp;$B9&amp;"]"),Tabela1[Turno],$D9,Tabela1[Data Corrigida],AH$3)/100,"")</f>
        <v>0.19750000000000001</v>
      </c>
      <c r="AI9" s="40">
        <f ca="1">IFERROR(AVERAGEIFS(INDIRECT("Tabela1["&amp;$B9&amp;"]"),Tabela1[Turno],$D9,Tabela1[Data Corrigida],AI$3)/100,"")</f>
        <v>0.17</v>
      </c>
      <c r="AJ9" s="40">
        <f ca="1">IFERROR(AVERAGEIFS(INDIRECT("Tabela1["&amp;$B9&amp;"]"),Tabela1[Turno],$D9,Tabela1[Data Corrigida],AJ$3)/100,"")</f>
        <v>0.13</v>
      </c>
      <c r="AK9" s="40">
        <f ca="1">IFERROR(AVERAGEIFS(INDIRECT("Tabela1["&amp;$B9&amp;"]"),Tabela1[Turno],$D9,Tabela1[Data Corrigida],AK$3)/100,"")</f>
        <v>0.1925</v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59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0.09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62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>
        <f ca="1">IFERROR(AVERAGEIFS(INDIRECT("Tabela1["&amp;$B10&amp;"]"),Tabela1[Turno],$D10,Tabela1[Data Corrigida],AC$3)/100,"")</f>
        <v>0.10666666666666666</v>
      </c>
      <c r="AD10" s="36">
        <f ca="1">IFERROR(AVERAGEIFS(INDIRECT("Tabela1["&amp;$B10&amp;"]"),Tabela1[Turno],$D10,Tabela1[Data Corrigida],AD$3)/100,"")</f>
        <v>0.22666666666666668</v>
      </c>
      <c r="AE10" s="36">
        <f ca="1">IFERROR(AVERAGEIFS(INDIRECT("Tabela1["&amp;$B10&amp;"]"),Tabela1[Turno],$D10,Tabela1[Data Corrigida],AE$3)/100,"")</f>
        <v>7.6666666666666675E-2</v>
      </c>
      <c r="AF10" s="36">
        <f ca="1">IFERROR(AVERAGEIFS(INDIRECT("Tabela1["&amp;$B10&amp;"]"),Tabela1[Turno],$D10,Tabela1[Data Corrigida],AF$3)/100,"")</f>
        <v>0.06</v>
      </c>
      <c r="AG10" s="36">
        <f ca="1">IFERROR(AVERAGEIFS(INDIRECT("Tabela1["&amp;$B10&amp;"]"),Tabela1[Turno],$D10,Tabela1[Data Corrigida],AG$3)/100,"")</f>
        <v>6.6666666666666666E-2</v>
      </c>
      <c r="AH10" s="36">
        <f ca="1">IFERROR(AVERAGEIFS(INDIRECT("Tabela1["&amp;$B10&amp;"]"),Tabela1[Turno],$D10,Tabela1[Data Corrigida],AH$3)/100,"")</f>
        <v>7.0000000000000007E-2</v>
      </c>
      <c r="AI10" s="36">
        <f ca="1">IFERROR(AVERAGEIFS(INDIRECT("Tabela1["&amp;$B10&amp;"]"),Tabela1[Turno],$D10,Tabela1[Data Corrigida],AI$3)/100,"")</f>
        <v>0.09</v>
      </c>
      <c r="AJ10" s="36">
        <f ca="1">IFERROR(AVERAGEIFS(INDIRECT("Tabela1["&amp;$B10&amp;"]"),Tabela1[Turno],$D10,Tabela1[Data Corrigida],AJ$3)/100,"")</f>
        <v>9.3333333333333338E-2</v>
      </c>
      <c r="AK10" s="36">
        <f ca="1">IFERROR(AVERAGEIFS(INDIRECT("Tabela1["&amp;$B10&amp;"]"),Tabela1[Turno],$D10,Tabela1[Data Corrigida],AK$3)/100,"")</f>
        <v>5.333333333333333E-2</v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0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0.11381294964028778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3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>
        <f ca="1">IFERROR(AVERAGEIFS(INDIRECT("Tabela1["&amp;$B11&amp;"]"),Tabela1[Data Corrigida],AC$3)/100,"")</f>
        <v>0.13142857142857142</v>
      </c>
      <c r="AD11" s="43">
        <f ca="1">IFERROR(AVERAGEIFS(INDIRECT("Tabela1["&amp;$B11&amp;"]"),Tabela1[Data Corrigida],AD$3)/100,"")</f>
        <v>0.18</v>
      </c>
      <c r="AE11" s="43">
        <f ca="1">IFERROR(AVERAGEIFS(INDIRECT("Tabela1["&amp;$B11&amp;"]"),Tabela1[Data Corrigida],AE$3)/100,"")</f>
        <v>9.1428571428571428E-2</v>
      </c>
      <c r="AF11" s="43">
        <f ca="1">IFERROR(AVERAGEIFS(INDIRECT("Tabela1["&amp;$B11&amp;"]"),Tabela1[Data Corrigida],AF$3)/100,"")</f>
        <v>9.7142857142857142E-2</v>
      </c>
      <c r="AG11" s="43">
        <f ca="1">IFERROR(AVERAGEIFS(INDIRECT("Tabela1["&amp;$B11&amp;"]"),Tabela1[Data Corrigida],AG$3)/100,"")</f>
        <v>9.8571428571428574E-2</v>
      </c>
      <c r="AH11" s="43">
        <f ca="1">IFERROR(AVERAGEIFS(INDIRECT("Tabela1["&amp;$B11&amp;"]"),Tabela1[Data Corrigida],AH$3)/100,"")</f>
        <v>0.14285714285714288</v>
      </c>
      <c r="AI11" s="43">
        <f ca="1">IFERROR(AVERAGEIFS(INDIRECT("Tabela1["&amp;$B11&amp;"]"),Tabela1[Data Corrigida],AI$3)/100,"")</f>
        <v>0.1357142857142857</v>
      </c>
      <c r="AJ11" s="43">
        <f ca="1">IFERROR(AVERAGEIFS(INDIRECT("Tabela1["&amp;$B11&amp;"]"),Tabela1[Data Corrigida],AJ$3)/100,"")</f>
        <v>0.11428571428571428</v>
      </c>
      <c r="AK11" s="43">
        <f ca="1">IFERROR(AVERAGEIFS(INDIRECT("Tabela1["&amp;$B11&amp;"]"),Tabela1[Data Corrigida],AK$3)/100,"")</f>
        <v>0.13285714285714287</v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58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1.2820512820512821E-3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61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>
        <f ca="1">IFERROR(AVERAGEIFS(INDIRECT("Tabela1["&amp;$B12&amp;"]"),Tabela1[Turno],$D12,Tabela1[Data Corrigida],AC$3)/20,"")</f>
        <v>0</v>
      </c>
      <c r="AD12" s="34">
        <f ca="1">IFERROR(AVERAGEIFS(INDIRECT("Tabela1["&amp;$B12&amp;"]"),Tabela1[Turno],$D12,Tabela1[Data Corrigida],AD$3)/20,"")</f>
        <v>0</v>
      </c>
      <c r="AE12" s="34">
        <f ca="1">IFERROR(AVERAGEIFS(INDIRECT("Tabela1["&amp;$B12&amp;"]"),Tabela1[Turno],$D12,Tabela1[Data Corrigida],AE$3)/20,"")</f>
        <v>0</v>
      </c>
      <c r="AF12" s="34">
        <f ca="1">IFERROR(AVERAGEIFS(INDIRECT("Tabela1["&amp;$B12&amp;"]"),Tabela1[Turno],$D12,Tabela1[Data Corrigida],AF$3)/20,"")</f>
        <v>0</v>
      </c>
      <c r="AG12" s="34">
        <f ca="1">IFERROR(AVERAGEIFS(INDIRECT("Tabela1["&amp;$B12&amp;"]"),Tabela1[Turno],$D12,Tabela1[Data Corrigida],AG$3)/20,"")</f>
        <v>0</v>
      </c>
      <c r="AH12" s="34">
        <f ca="1">IFERROR(AVERAGEIFS(INDIRECT("Tabela1["&amp;$B12&amp;"]"),Tabela1[Turno],$D12,Tabela1[Data Corrigida],AH$3)/20,"")</f>
        <v>0</v>
      </c>
      <c r="AI12" s="34">
        <f ca="1">IFERROR(AVERAGEIFS(INDIRECT("Tabela1["&amp;$B12&amp;"]"),Tabela1[Turno],$D12,Tabela1[Data Corrigida],AI$3)/20,"")</f>
        <v>0</v>
      </c>
      <c r="AJ12" s="34">
        <f ca="1">IFERROR(AVERAGEIFS(INDIRECT("Tabela1["&amp;$B12&amp;"]"),Tabela1[Turno],$D12,Tabela1[Data Corrigida],AJ$3)/20,"")</f>
        <v>0</v>
      </c>
      <c r="AK12" s="34">
        <f ca="1">IFERROR(AVERAGEIFS(INDIRECT("Tabela1["&amp;$B12&amp;"]"),Tabela1[Turno],$D12,Tabela1[Data Corrigida],AK$3)/20,"")</f>
        <v>0</v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59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3.2500000000000001E-2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62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>
        <f ca="1">IFERROR(AVERAGEIFS(INDIRECT("Tabela1["&amp;$B13&amp;"]"),Tabela1[Turno],$D13,Tabela1[Data Corrigida],AC$3)/20,"")</f>
        <v>6.6666666666666666E-2</v>
      </c>
      <c r="AD13" s="36">
        <f ca="1">IFERROR(AVERAGEIFS(INDIRECT("Tabela1["&amp;$B13&amp;"]"),Tabela1[Turno],$D13,Tabela1[Data Corrigida],AD$3)/20,"")</f>
        <v>1.6666666666666666E-2</v>
      </c>
      <c r="AE13" s="36">
        <f ca="1">IFERROR(AVERAGEIFS(INDIRECT("Tabela1["&amp;$B13&amp;"]"),Tabela1[Turno],$D13,Tabela1[Data Corrigida],AE$3)/20,"")</f>
        <v>0</v>
      </c>
      <c r="AF13" s="36">
        <f ca="1">IFERROR(AVERAGEIFS(INDIRECT("Tabela1["&amp;$B13&amp;"]"),Tabela1[Turno],$D13,Tabela1[Data Corrigida],AF$3)/20,"")</f>
        <v>1.6666666666666666E-2</v>
      </c>
      <c r="AG13" s="36">
        <f ca="1">IFERROR(AVERAGEIFS(INDIRECT("Tabela1["&amp;$B13&amp;"]"),Tabela1[Turno],$D13,Tabela1[Data Corrigida],AG$3)/20,"")</f>
        <v>0</v>
      </c>
      <c r="AH13" s="36">
        <f ca="1">IFERROR(AVERAGEIFS(INDIRECT("Tabela1["&amp;$B13&amp;"]"),Tabela1[Turno],$D13,Tabela1[Data Corrigida],AH$3)/20,"")</f>
        <v>0</v>
      </c>
      <c r="AI13" s="36">
        <f ca="1">IFERROR(AVERAGEIFS(INDIRECT("Tabela1["&amp;$B13&amp;"]"),Tabela1[Turno],$D13,Tabela1[Data Corrigida],AI$3)/20,"")</f>
        <v>1.6666666666666666E-2</v>
      </c>
      <c r="AJ13" s="36">
        <f ca="1">IFERROR(AVERAGEIFS(INDIRECT("Tabela1["&amp;$B13&amp;"]"),Tabela1[Turno],$D13,Tabela1[Data Corrigida],AJ$3)/20,"")</f>
        <v>0</v>
      </c>
      <c r="AK13" s="36">
        <f ca="1">IFERROR(AVERAGEIFS(INDIRECT("Tabela1["&amp;$B13&amp;"]"),Tabela1[Turno],$D13,Tabela1[Data Corrigida],AK$3)/20,"")</f>
        <v>0.13333333333333333</v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0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1.4855072463768115E-2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3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>
        <f ca="1">IFERROR(AVERAGEIFS(INDIRECT("Tabela1["&amp;$B14&amp;"]"),Tabela1[Data Corrigida],AC$3)/20,"")</f>
        <v>2.8571428571428571E-2</v>
      </c>
      <c r="AD14" s="38">
        <f ca="1">IFERROR(AVERAGEIFS(INDIRECT("Tabela1["&amp;$B14&amp;"]"),Tabela1[Data Corrigida],AD$3)/20,"")</f>
        <v>8.3333333333333332E-3</v>
      </c>
      <c r="AE14" s="38">
        <f ca="1">IFERROR(AVERAGEIFS(INDIRECT("Tabela1["&amp;$B14&amp;"]"),Tabela1[Data Corrigida],AE$3)/20,"")</f>
        <v>0</v>
      </c>
      <c r="AF14" s="38">
        <f ca="1">IFERROR(AVERAGEIFS(INDIRECT("Tabela1["&amp;$B14&amp;"]"),Tabela1[Data Corrigida],AF$3)/20,"")</f>
        <v>7.1428571428571426E-3</v>
      </c>
      <c r="AG14" s="38">
        <f ca="1">IFERROR(AVERAGEIFS(INDIRECT("Tabela1["&amp;$B14&amp;"]"),Tabela1[Data Corrigida],AG$3)/20,"")</f>
        <v>0</v>
      </c>
      <c r="AH14" s="38">
        <f ca="1">IFERROR(AVERAGEIFS(INDIRECT("Tabela1["&amp;$B14&amp;"]"),Tabela1[Data Corrigida],AH$3)/20,"")</f>
        <v>0</v>
      </c>
      <c r="AI14" s="38">
        <f ca="1">IFERROR(AVERAGEIFS(INDIRECT("Tabela1["&amp;$B14&amp;"]"),Tabela1[Data Corrigida],AI$3)/20,"")</f>
        <v>7.1428571428571426E-3</v>
      </c>
      <c r="AJ14" s="38">
        <f ca="1">IFERROR(AVERAGEIFS(INDIRECT("Tabela1["&amp;$B14&amp;"]"),Tabela1[Data Corrigida],AJ$3)/20,"")</f>
        <v>0</v>
      </c>
      <c r="AK14" s="38">
        <f ca="1">IFERROR(AVERAGEIFS(INDIRECT("Tabela1["&amp;$B14&amp;"]"),Tabela1[Data Corrigida],AK$3)/20,"")</f>
        <v>5.7142857142857141E-2</v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58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2.3037974683544304E-2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61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>
        <f ca="1">IFERROR(AVERAGEIFS(INDIRECT("Tabela1["&amp;$B15&amp;"]"),Tabela1[Turno],$D15,Tabela1[Data Corrigida],AC$3)/100,"")</f>
        <v>0.01</v>
      </c>
      <c r="AD15" s="40">
        <f ca="1">IFERROR(AVERAGEIFS(INDIRECT("Tabela1["&amp;$B15&amp;"]"),Tabela1[Turno],$D15,Tabela1[Data Corrigida],AD$3)/100,"")</f>
        <v>1.6666666666666666E-2</v>
      </c>
      <c r="AE15" s="40">
        <f ca="1">IFERROR(AVERAGEIFS(INDIRECT("Tabela1["&amp;$B15&amp;"]"),Tabela1[Turno],$D15,Tabela1[Data Corrigida],AE$3)/100,"")</f>
        <v>2.75E-2</v>
      </c>
      <c r="AF15" s="40">
        <f ca="1">IFERROR(AVERAGEIFS(INDIRECT("Tabela1["&amp;$B15&amp;"]"),Tabela1[Turno],$D15,Tabela1[Data Corrigida],AF$3)/100,"")</f>
        <v>0.03</v>
      </c>
      <c r="AG15" s="40">
        <f ca="1">IFERROR(AVERAGEIFS(INDIRECT("Tabela1["&amp;$B15&amp;"]"),Tabela1[Turno],$D15,Tabela1[Data Corrigida],AG$3)/100,"")</f>
        <v>0.03</v>
      </c>
      <c r="AH15" s="40">
        <f ca="1">IFERROR(AVERAGEIFS(INDIRECT("Tabela1["&amp;$B15&amp;"]"),Tabela1[Turno],$D15,Tabela1[Data Corrigida],AH$3)/100,"")</f>
        <v>2.75E-2</v>
      </c>
      <c r="AI15" s="40">
        <f ca="1">IFERROR(AVERAGEIFS(INDIRECT("Tabela1["&amp;$B15&amp;"]"),Tabela1[Turno],$D15,Tabela1[Data Corrigida],AI$3)/100,"")</f>
        <v>2.5000000000000001E-2</v>
      </c>
      <c r="AJ15" s="40">
        <f ca="1">IFERROR(AVERAGEIFS(INDIRECT("Tabela1["&amp;$B15&amp;"]"),Tabela1[Turno],$D15,Tabela1[Data Corrigida],AJ$3)/100,"")</f>
        <v>0.02</v>
      </c>
      <c r="AK15" s="40">
        <f ca="1">IFERROR(AVERAGEIFS(INDIRECT("Tabela1["&amp;$B15&amp;"]"),Tabela1[Turno],$D15,Tabela1[Data Corrigida],AK$3)/100,"")</f>
        <v>2.2499999999999999E-2</v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59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8.6666666666666663E-3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62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>
        <f ca="1">IFERROR(AVERAGEIFS(INDIRECT("Tabela1["&amp;$B16&amp;"]"),Tabela1[Turno],$D16,Tabela1[Data Corrigida],AC$3)/100,"")</f>
        <v>1.6666666666666666E-2</v>
      </c>
      <c r="AD16" s="36">
        <f ca="1">IFERROR(AVERAGEIFS(INDIRECT("Tabela1["&amp;$B16&amp;"]"),Tabela1[Turno],$D16,Tabela1[Data Corrigida],AD$3)/100,"")</f>
        <v>1.3333333333333332E-2</v>
      </c>
      <c r="AE16" s="36">
        <f ca="1">IFERROR(AVERAGEIFS(INDIRECT("Tabela1["&amp;$B16&amp;"]"),Tabela1[Turno],$D16,Tabela1[Data Corrigida],AE$3)/100,"")</f>
        <v>1.6666666666666666E-2</v>
      </c>
      <c r="AF16" s="36">
        <f ca="1">IFERROR(AVERAGEIFS(INDIRECT("Tabela1["&amp;$B16&amp;"]"),Tabela1[Turno],$D16,Tabela1[Data Corrigida],AF$3)/100,"")</f>
        <v>0.01</v>
      </c>
      <c r="AG16" s="36">
        <f ca="1">IFERROR(AVERAGEIFS(INDIRECT("Tabela1["&amp;$B16&amp;"]"),Tabela1[Turno],$D16,Tabela1[Data Corrigida],AG$3)/100,"")</f>
        <v>6.6666666666666662E-3</v>
      </c>
      <c r="AH16" s="36">
        <f ca="1">IFERROR(AVERAGEIFS(INDIRECT("Tabela1["&amp;$B16&amp;"]"),Tabela1[Turno],$D16,Tabela1[Data Corrigida],AH$3)/100,"")</f>
        <v>6.6666666666666662E-3</v>
      </c>
      <c r="AI16" s="36">
        <f ca="1">IFERROR(AVERAGEIFS(INDIRECT("Tabela1["&amp;$B16&amp;"]"),Tabela1[Turno],$D16,Tabela1[Data Corrigida],AI$3)/100,"")</f>
        <v>6.6666666666666662E-3</v>
      </c>
      <c r="AJ16" s="36">
        <f ca="1">IFERROR(AVERAGEIFS(INDIRECT("Tabela1["&amp;$B16&amp;"]"),Tabela1[Turno],$D16,Tabela1[Data Corrigida],AJ$3)/100,"")</f>
        <v>1.3333333333333332E-2</v>
      </c>
      <c r="AK16" s="36">
        <f ca="1">IFERROR(AVERAGEIFS(INDIRECT("Tabela1["&amp;$B16&amp;"]"),Tabela1[Turno],$D16,Tabela1[Data Corrigida],AK$3)/100,"")</f>
        <v>6.6666666666666662E-3</v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0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1.6834532374100718E-2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3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>
        <f ca="1">IFERROR(AVERAGEIFS(INDIRECT("Tabela1["&amp;$B17&amp;"]"),Tabela1[Data Corrigida],AC$3)/100,"")</f>
        <v>1.2857142857142859E-2</v>
      </c>
      <c r="AD17" s="43">
        <f ca="1">IFERROR(AVERAGEIFS(INDIRECT("Tabela1["&amp;$B17&amp;"]"),Tabela1[Data Corrigida],AD$3)/100,"")</f>
        <v>1.4999999999999999E-2</v>
      </c>
      <c r="AE17" s="43">
        <f ca="1">IFERROR(AVERAGEIFS(INDIRECT("Tabela1["&amp;$B17&amp;"]"),Tabela1[Data Corrigida],AE$3)/100,"")</f>
        <v>2.2857142857142857E-2</v>
      </c>
      <c r="AF17" s="43">
        <f ca="1">IFERROR(AVERAGEIFS(INDIRECT("Tabela1["&amp;$B17&amp;"]"),Tabela1[Data Corrigida],AF$3)/100,"")</f>
        <v>2.1428571428571429E-2</v>
      </c>
      <c r="AG17" s="43">
        <f ca="1">IFERROR(AVERAGEIFS(INDIRECT("Tabela1["&amp;$B17&amp;"]"),Tabela1[Data Corrigida],AG$3)/100,"")</f>
        <v>0.02</v>
      </c>
      <c r="AH17" s="43">
        <f ca="1">IFERROR(AVERAGEIFS(INDIRECT("Tabela1["&amp;$B17&amp;"]"),Tabela1[Data Corrigida],AH$3)/100,"")</f>
        <v>1.8571428571428572E-2</v>
      </c>
      <c r="AI17" s="43">
        <f ca="1">IFERROR(AVERAGEIFS(INDIRECT("Tabela1["&amp;$B17&amp;"]"),Tabela1[Data Corrigida],AI$3)/100,"")</f>
        <v>1.714285714285714E-2</v>
      </c>
      <c r="AJ17" s="43">
        <f ca="1">IFERROR(AVERAGEIFS(INDIRECT("Tabela1["&amp;$B17&amp;"]"),Tabela1[Data Corrigida],AJ$3)/100,"")</f>
        <v>1.714285714285714E-2</v>
      </c>
      <c r="AK17" s="43">
        <f ca="1">IFERROR(AVERAGEIFS(INDIRECT("Tabela1["&amp;$B17&amp;"]"),Tabela1[Data Corrigida],AK$3)/100,"")</f>
        <v>1.5714285714285715E-2</v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58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1.0256410256410256E-2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61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>
        <f ca="1">IFERROR(AVERAGEIFS(INDIRECT("Tabela1["&amp;$B18&amp;"]"),Tabela1[Turno],$D18,Tabela1[Data Corrigida],AC$3)/20,"")</f>
        <v>0</v>
      </c>
      <c r="AD18" s="34">
        <f ca="1">IFERROR(AVERAGEIFS(INDIRECT("Tabela1["&amp;$B18&amp;"]"),Tabela1[Turno],$D18,Tabela1[Data Corrigida],AD$3)/20,"")</f>
        <v>0</v>
      </c>
      <c r="AE18" s="34">
        <f ca="1">IFERROR(AVERAGEIFS(INDIRECT("Tabela1["&amp;$B18&amp;"]"),Tabela1[Turno],$D18,Tabela1[Data Corrigida],AE$3)/20,"")</f>
        <v>0</v>
      </c>
      <c r="AF18" s="34">
        <f ca="1">IFERROR(AVERAGEIFS(INDIRECT("Tabela1["&amp;$B18&amp;"]"),Tabela1[Turno],$D18,Tabela1[Data Corrigida],AF$3)/20,"")</f>
        <v>0</v>
      </c>
      <c r="AG18" s="34">
        <f ca="1">IFERROR(AVERAGEIFS(INDIRECT("Tabela1["&amp;$B18&amp;"]"),Tabela1[Turno],$D18,Tabela1[Data Corrigida],AG$3)/20,"")</f>
        <v>0.13750000000000001</v>
      </c>
      <c r="AH18" s="34">
        <f ca="1">IFERROR(AVERAGEIFS(INDIRECT("Tabela1["&amp;$B18&amp;"]"),Tabela1[Turno],$D18,Tabela1[Data Corrigida],AH$3)/20,"")</f>
        <v>0</v>
      </c>
      <c r="AI18" s="34">
        <f ca="1">IFERROR(AVERAGEIFS(INDIRECT("Tabela1["&amp;$B18&amp;"]"),Tabela1[Turno],$D18,Tabela1[Data Corrigida],AI$3)/20,"")</f>
        <v>0</v>
      </c>
      <c r="AJ18" s="34">
        <f ca="1">IFERROR(AVERAGEIFS(INDIRECT("Tabela1["&amp;$B18&amp;"]"),Tabela1[Turno],$D18,Tabela1[Data Corrigida],AJ$3)/20,"")</f>
        <v>0</v>
      </c>
      <c r="AK18" s="34">
        <f ca="1">IFERROR(AVERAGEIFS(INDIRECT("Tabela1["&amp;$B18&amp;"]"),Tabela1[Turno],$D18,Tabela1[Data Corrigida],AK$3)/20,"")</f>
        <v>6.25E-2</v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59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7.4999999999999997E-3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62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>
        <f ca="1">IFERROR(AVERAGEIFS(INDIRECT("Tabela1["&amp;$B19&amp;"]"),Tabela1[Turno],$D19,Tabela1[Data Corrigida],AC$3)/20,"")</f>
        <v>0</v>
      </c>
      <c r="AD19" s="36">
        <f ca="1">IFERROR(AVERAGEIFS(INDIRECT("Tabela1["&amp;$B19&amp;"]"),Tabela1[Turno],$D19,Tabela1[Data Corrigida],AD$3)/20,"")</f>
        <v>0</v>
      </c>
      <c r="AE19" s="36">
        <f ca="1">IFERROR(AVERAGEIFS(INDIRECT("Tabela1["&amp;$B19&amp;"]"),Tabela1[Turno],$D19,Tabela1[Data Corrigida],AE$3)/20,"")</f>
        <v>6.6666666666666666E-2</v>
      </c>
      <c r="AF19" s="36">
        <f ca="1">IFERROR(AVERAGEIFS(INDIRECT("Tabela1["&amp;$B19&amp;"]"),Tabela1[Turno],$D19,Tabela1[Data Corrigida],AF$3)/20,"")</f>
        <v>0</v>
      </c>
      <c r="AG19" s="36">
        <f ca="1">IFERROR(AVERAGEIFS(INDIRECT("Tabela1["&amp;$B19&amp;"]"),Tabela1[Turno],$D19,Tabela1[Data Corrigida],AG$3)/20,"")</f>
        <v>0</v>
      </c>
      <c r="AH19" s="36">
        <f ca="1">IFERROR(AVERAGEIFS(INDIRECT("Tabela1["&amp;$B19&amp;"]"),Tabela1[Turno],$D19,Tabela1[Data Corrigida],AH$3)/20,"")</f>
        <v>1.6666666666666666E-2</v>
      </c>
      <c r="AI19" s="36">
        <f ca="1">IFERROR(AVERAGEIFS(INDIRECT("Tabela1["&amp;$B19&amp;"]"),Tabela1[Turno],$D19,Tabela1[Data Corrigida],AI$3)/20,"")</f>
        <v>0</v>
      </c>
      <c r="AJ19" s="36">
        <f ca="1">IFERROR(AVERAGEIFS(INDIRECT("Tabela1["&amp;$B19&amp;"]"),Tabela1[Turno],$D19,Tabela1[Data Corrigida],AJ$3)/20,"")</f>
        <v>3.3333333333333333E-2</v>
      </c>
      <c r="AK19" s="36">
        <f ca="1">IFERROR(AVERAGEIFS(INDIRECT("Tabela1["&amp;$B19&amp;"]"),Tabela1[Turno],$D19,Tabela1[Data Corrigida],AK$3)/20,"")</f>
        <v>0</v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0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9.057971014492754E-3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3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>
        <f ca="1">IFERROR(AVERAGEIFS(INDIRECT("Tabela1["&amp;$B20&amp;"]"),Tabela1[Data Corrigida],AC$3)/20,"")</f>
        <v>0</v>
      </c>
      <c r="AD20" s="38">
        <f ca="1">IFERROR(AVERAGEIFS(INDIRECT("Tabela1["&amp;$B20&amp;"]"),Tabela1[Data Corrigida],AD$3)/20,"")</f>
        <v>0</v>
      </c>
      <c r="AE20" s="38">
        <f ca="1">IFERROR(AVERAGEIFS(INDIRECT("Tabela1["&amp;$B20&amp;"]"),Tabela1[Data Corrigida],AE$3)/20,"")</f>
        <v>2.8571428571428571E-2</v>
      </c>
      <c r="AF20" s="38">
        <f ca="1">IFERROR(AVERAGEIFS(INDIRECT("Tabela1["&amp;$B20&amp;"]"),Tabela1[Data Corrigida],AF$3)/20,"")</f>
        <v>0</v>
      </c>
      <c r="AG20" s="38">
        <f ca="1">IFERROR(AVERAGEIFS(INDIRECT("Tabela1["&amp;$B20&amp;"]"),Tabela1[Data Corrigida],AG$3)/20,"")</f>
        <v>7.857142857142857E-2</v>
      </c>
      <c r="AH20" s="38">
        <f ca="1">IFERROR(AVERAGEIFS(INDIRECT("Tabela1["&amp;$B20&amp;"]"),Tabela1[Data Corrigida],AH$3)/20,"")</f>
        <v>7.1428571428571426E-3</v>
      </c>
      <c r="AI20" s="38">
        <f ca="1">IFERROR(AVERAGEIFS(INDIRECT("Tabela1["&amp;$B20&amp;"]"),Tabela1[Data Corrigida],AI$3)/20,"")</f>
        <v>0</v>
      </c>
      <c r="AJ20" s="38">
        <f ca="1">IFERROR(AVERAGEIFS(INDIRECT("Tabela1["&amp;$B20&amp;"]"),Tabela1[Data Corrigida],AJ$3)/20,"")</f>
        <v>1.4285714285714285E-2</v>
      </c>
      <c r="AK20" s="38">
        <f ca="1">IFERROR(AVERAGEIFS(INDIRECT("Tabela1["&amp;$B20&amp;"]"),Tabela1[Data Corrigida],AK$3)/20,"")</f>
        <v>3.5714285714285712E-2</v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58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7.4918724047033916E-3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61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>
        <f ca="1">IFERROR(AVERAGEIFS(INDIRECT("Tabela1["&amp;$B21&amp;"]"),Tabela1[Turno],$D21,Tabela1[Data Corrigida],AC$3)/100,"")</f>
        <v>1.6667886072128907E-2</v>
      </c>
      <c r="AD21" s="40">
        <f ca="1">IFERROR(AVERAGEIFS(INDIRECT("Tabela1["&amp;$B21&amp;"]"),Tabela1[Turno],$D21,Tabela1[Data Corrigida],AD$3)/100,"")</f>
        <v>1.5307539682539683E-2</v>
      </c>
      <c r="AE21" s="40">
        <f ca="1">IFERROR(AVERAGEIFS(INDIRECT("Tabela1["&amp;$B21&amp;"]"),Tabela1[Turno],$D21,Tabela1[Data Corrigida],AE$3)/100,"")</f>
        <v>4.8148590539894886E-3</v>
      </c>
      <c r="AF21" s="40">
        <f ca="1">IFERROR(AVERAGEIFS(INDIRECT("Tabela1["&amp;$B21&amp;"]"),Tabela1[Turno],$D21,Tabela1[Data Corrigida],AF$3)/100,"")</f>
        <v>1.191642998206547E-2</v>
      </c>
      <c r="AG21" s="40">
        <f ca="1">IFERROR(AVERAGEIFS(INDIRECT("Tabela1["&amp;$B21&amp;"]"),Tabela1[Turno],$D21,Tabela1[Data Corrigida],AG$3)/100,"")</f>
        <v>5.5622895622895628E-3</v>
      </c>
      <c r="AH21" s="40">
        <f ca="1">IFERROR(AVERAGEIFS(INDIRECT("Tabela1["&amp;$B21&amp;"]"),Tabela1[Turno],$D21,Tabela1[Data Corrigida],AH$3)/100,"")</f>
        <v>3.994526654600798E-3</v>
      </c>
      <c r="AI21" s="40">
        <f ca="1">IFERROR(AVERAGEIFS(INDIRECT("Tabela1["&amp;$B21&amp;"]"),Tabela1[Turno],$D21,Tabela1[Data Corrigida],AI$3)/100,"")</f>
        <v>5.218860372027314E-3</v>
      </c>
      <c r="AJ21" s="40">
        <f ca="1">IFERROR(AVERAGEIFS(INDIRECT("Tabela1["&amp;$B21&amp;"]"),Tabela1[Turno],$D21,Tabela1[Data Corrigida],AJ$3)/100,"")</f>
        <v>8.1097762672589918E-3</v>
      </c>
      <c r="AK21" s="40">
        <f ca="1">IFERROR(AVERAGEIFS(INDIRECT("Tabela1["&amp;$B21&amp;"]"),Tabela1[Turno],$D21,Tabela1[Data Corrigida],AK$3)/100,"")</f>
        <v>8.0664954337899553E-3</v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59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1.9292793412217811E-2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62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>
        <f ca="1">IFERROR(AVERAGEIFS(INDIRECT("Tabela1["&amp;$B22&amp;"]"),Tabela1[Turno],$D22,Tabela1[Data Corrigida],AC$3)/100,"")</f>
        <v>1.5478495570028752E-2</v>
      </c>
      <c r="AD22" s="36">
        <f ca="1">IFERROR(AVERAGEIFS(INDIRECT("Tabela1["&amp;$B22&amp;"]"),Tabela1[Turno],$D22,Tabela1[Data Corrigida],AD$3)/100,"")</f>
        <v>2.1143537820131026E-2</v>
      </c>
      <c r="AE22" s="36">
        <f ca="1">IFERROR(AVERAGEIFS(INDIRECT("Tabela1["&amp;$B22&amp;"]"),Tabela1[Turno],$D22,Tabela1[Data Corrigida],AE$3)/100,"")</f>
        <v>2.3475674242491952E-2</v>
      </c>
      <c r="AF22" s="36">
        <f ca="1">IFERROR(AVERAGEIFS(INDIRECT("Tabela1["&amp;$B22&amp;"]"),Tabela1[Turno],$D22,Tabela1[Data Corrigida],AF$3)/100,"")</f>
        <v>1.5452538631346579E-2</v>
      </c>
      <c r="AG22" s="36">
        <f ca="1">IFERROR(AVERAGEIFS(INDIRECT("Tabela1["&amp;$B22&amp;"]"),Tabela1[Turno],$D22,Tabela1[Data Corrigida],AG$3)/100,"")</f>
        <v>1.9809141124742417E-2</v>
      </c>
      <c r="AH22" s="36">
        <f ca="1">IFERROR(AVERAGEIFS(INDIRECT("Tabela1["&amp;$B22&amp;"]"),Tabela1[Turno],$D22,Tabela1[Data Corrigida],AH$3)/100,"")</f>
        <v>2.0511405445180281E-2</v>
      </c>
      <c r="AI22" s="36">
        <f ca="1">IFERROR(AVERAGEIFS(INDIRECT("Tabela1["&amp;$B22&amp;"]"),Tabela1[Turno],$D22,Tabela1[Data Corrigida],AI$3)/100,"")</f>
        <v>2.1142781269363548E-2</v>
      </c>
      <c r="AJ22" s="36">
        <f ca="1">IFERROR(AVERAGEIFS(INDIRECT("Tabela1["&amp;$B22&amp;"]"),Tabela1[Turno],$D22,Tabela1[Data Corrigida],AJ$3)/100,"")</f>
        <v>2.0852711771809185E-2</v>
      </c>
      <c r="AK22" s="36">
        <f ca="1">IFERROR(AVERAGEIFS(INDIRECT("Tabela1["&amp;$B22&amp;"]"),Tabela1[Turno],$D22,Tabela1[Data Corrigida],AK$3)/100,"")</f>
        <v>2.5356768523744258E-2</v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0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1.2487882758249646E-2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3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>
        <f ca="1">IFERROR(AVERAGEIFS(INDIRECT("Tabela1["&amp;$B23&amp;"]"),Tabela1[Data Corrigida],AC$3)/100,"")</f>
        <v>1.6158147285514554E-2</v>
      </c>
      <c r="AD23" s="38">
        <f ca="1">IFERROR(AVERAGEIFS(INDIRECT("Tabela1["&amp;$B23&amp;"]"),Tabela1[Data Corrigida],AD$3)/100,"")</f>
        <v>1.7641938937576221E-2</v>
      </c>
      <c r="AE23" s="38">
        <f ca="1">IFERROR(AVERAGEIFS(INDIRECT("Tabela1["&amp;$B23&amp;"]"),Tabela1[Data Corrigida],AE$3)/100,"")</f>
        <v>1.28123512776334E-2</v>
      </c>
      <c r="AF23" s="38">
        <f ca="1">IFERROR(AVERAGEIFS(INDIRECT("Tabela1["&amp;$B23&amp;"]"),Tabela1[Data Corrigida],AF$3)/100,"")</f>
        <v>1.343190511747166E-2</v>
      </c>
      <c r="AG23" s="38">
        <f ca="1">IFERROR(AVERAGEIFS(INDIRECT("Tabela1["&amp;$B23&amp;"]"),Tabela1[Data Corrigida],AG$3)/100,"")</f>
        <v>1.1668083089055072E-2</v>
      </c>
      <c r="AH23" s="38">
        <f ca="1">IFERROR(AVERAGEIFS(INDIRECT("Tabela1["&amp;$B23&amp;"]"),Tabela1[Data Corrigida],AH$3)/100,"")</f>
        <v>1.1073188993420578E-2</v>
      </c>
      <c r="AI23" s="38">
        <f ca="1">IFERROR(AVERAGEIFS(INDIRECT("Tabela1["&amp;$B23&amp;"]"),Tabela1[Data Corrigida],AI$3)/100,"")</f>
        <v>1.2043397899457129E-2</v>
      </c>
      <c r="AJ23" s="38">
        <f ca="1">IFERROR(AVERAGEIFS(INDIRECT("Tabela1["&amp;$B23&amp;"]"),Tabela1[Data Corrigida],AJ$3)/100,"")</f>
        <v>1.3571034340637646E-2</v>
      </c>
      <c r="AK23" s="38">
        <f ca="1">IFERROR(AVERAGEIFS(INDIRECT("Tabela1["&amp;$B23&amp;"]"),Tabela1[Data Corrigida],AK$3)/100,"")</f>
        <v>1.3829919797108054E-2</v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58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3.9567719754186437E-2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61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>
        <f ca="1">IFERROR(AVERAGEIFS(INDIRECT("Tabela1["&amp;$B24&amp;"]"),Tabela1[Turno],$D24,Tabela1[Data Corrigida],AC$3)/100,"")</f>
        <v>4.2781057875491108E-2</v>
      </c>
      <c r="AD24" s="34">
        <f ca="1">IFERROR(AVERAGEIFS(INDIRECT("Tabela1["&amp;$B24&amp;"]"),Tabela1[Turno],$D24,Tabela1[Data Corrigida],AD$3)/100,"")</f>
        <v>7.4920634920634915E-2</v>
      </c>
      <c r="AE24" s="34">
        <f ca="1">IFERROR(AVERAGEIFS(INDIRECT("Tabela1["&amp;$B24&amp;"]"),Tabela1[Turno],$D24,Tabela1[Data Corrigida],AE$3)/100,"")</f>
        <v>1.7671205605988213E-2</v>
      </c>
      <c r="AF24" s="34">
        <f ca="1">IFERROR(AVERAGEIFS(INDIRECT("Tabela1["&amp;$B24&amp;"]"),Tabela1[Turno],$D24,Tabela1[Data Corrigida],AF$3)/100,"")</f>
        <v>6.1439891415850774E-2</v>
      </c>
      <c r="AG24" s="34">
        <f ca="1">IFERROR(AVERAGEIFS(INDIRECT("Tabela1["&amp;$B24&amp;"]"),Tabela1[Turno],$D24,Tabela1[Data Corrigida],AG$3)/100,"")</f>
        <v>4.7237373737373731E-2</v>
      </c>
      <c r="AH24" s="34">
        <f ca="1">IFERROR(AVERAGEIFS(INDIRECT("Tabela1["&amp;$B24&amp;"]"),Tabela1[Turno],$D24,Tabela1[Data Corrigida],AH$3)/100,"")</f>
        <v>3.3563317531158737E-2</v>
      </c>
      <c r="AI24" s="34">
        <f ca="1">IFERROR(AVERAGEIFS(INDIRECT("Tabela1["&amp;$B24&amp;"]"),Tabela1[Turno],$D24,Tabela1[Data Corrigida],AI$3)/100,"")</f>
        <v>6.0289851659995293E-2</v>
      </c>
      <c r="AJ24" s="34">
        <f ca="1">IFERROR(AVERAGEIFS(INDIRECT("Tabela1["&amp;$B24&amp;"]"),Tabela1[Turno],$D24,Tabela1[Data Corrigida],AJ$3)/100,"")</f>
        <v>1.6916939177052913E-2</v>
      </c>
      <c r="AK24" s="34">
        <f ca="1">IFERROR(AVERAGEIFS(INDIRECT("Tabela1["&amp;$B24&amp;"]"),Tabela1[Turno],$D24,Tabela1[Data Corrigida],AK$3)/100,"")</f>
        <v>1.9557648401826486E-2</v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59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5.2651188115958376E-2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62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>
        <f ca="1">IFERROR(AVERAGEIFS(INDIRECT("Tabela1["&amp;$B25&amp;"]"),Tabela1[Turno],$D25,Tabela1[Data Corrigida],AC$3)/100,"")</f>
        <v>7.0338471597052823E-2</v>
      </c>
      <c r="AD25" s="36">
        <f ca="1">IFERROR(AVERAGEIFS(INDIRECT("Tabela1["&amp;$B25&amp;"]"),Tabela1[Turno],$D25,Tabela1[Data Corrigida],AD$3)/100,"")</f>
        <v>5.5291938555786083E-2</v>
      </c>
      <c r="AE25" s="36">
        <f ca="1">IFERROR(AVERAGEIFS(INDIRECT("Tabela1["&amp;$B25&amp;"]"),Tabela1[Turno],$D25,Tabela1[Data Corrigida],AE$3)/100,"")</f>
        <v>4.3966002627557177E-2</v>
      </c>
      <c r="AF25" s="36">
        <f ca="1">IFERROR(AVERAGEIFS(INDIRECT("Tabela1["&amp;$B25&amp;"]"),Tabela1[Turno],$D25,Tabela1[Data Corrigida],AF$3)/100,"")</f>
        <v>6.6225165562913912E-2</v>
      </c>
      <c r="AG25" s="36">
        <f ca="1">IFERROR(AVERAGEIFS(INDIRECT("Tabela1["&amp;$B25&amp;"]"),Tabela1[Turno],$D25,Tabela1[Data Corrigida],AG$3)/100,"")</f>
        <v>3.2066478655815286E-2</v>
      </c>
      <c r="AH25" s="36">
        <f ca="1">IFERROR(AVERAGEIFS(INDIRECT("Tabela1["&amp;$B25&amp;"]"),Tabela1[Turno],$D25,Tabela1[Data Corrigida],AH$3)/100,"")</f>
        <v>3.5393671817512878E-2</v>
      </c>
      <c r="AI25" s="36">
        <f ca="1">IFERROR(AVERAGEIFS(INDIRECT("Tabela1["&amp;$B25&amp;"]"),Tabela1[Turno],$D25,Tabela1[Data Corrigida],AI$3)/100,"")</f>
        <v>6.4291404797733917E-2</v>
      </c>
      <c r="AJ25" s="36">
        <f ca="1">IFERROR(AVERAGEIFS(INDIRECT("Tabela1["&amp;$B25&amp;"]"),Tabela1[Turno],$D25,Tabela1[Data Corrigida],AJ$3)/100,"")</f>
        <v>4.2199132732979733E-2</v>
      </c>
      <c r="AK25" s="36">
        <f ca="1">IFERROR(AVERAGEIFS(INDIRECT("Tabela1["&amp;$B25&amp;"]"),Tabela1[Turno],$D25,Tabela1[Data Corrigida],AK$3)/100,"")</f>
        <v>3.9941582289331257E-2</v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0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4.5215260054231841E-2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3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>
        <f ca="1">IFERROR(AVERAGEIFS(INDIRECT("Tabela1["&amp;$B26&amp;"]"),Tabela1[Data Corrigida],AC$3)/100,"")</f>
        <v>5.4591378041874694E-2</v>
      </c>
      <c r="AD26" s="38">
        <f ca="1">IFERROR(AVERAGEIFS(INDIRECT("Tabela1["&amp;$B26&amp;"]"),Tabela1[Data Corrigida],AD$3)/100,"")</f>
        <v>6.5106286738210506E-2</v>
      </c>
      <c r="AE26" s="38">
        <f ca="1">IFERROR(AVERAGEIFS(INDIRECT("Tabela1["&amp;$B26&amp;"]"),Tabela1[Data Corrigida],AE$3)/100,"")</f>
        <v>2.894040432951777E-2</v>
      </c>
      <c r="AF26" s="38">
        <f ca="1">IFERROR(AVERAGEIFS(INDIRECT("Tabela1["&amp;$B26&amp;"]"),Tabela1[Data Corrigida],AF$3)/100,"")</f>
        <v>6.3490723193163554E-2</v>
      </c>
      <c r="AG26" s="38">
        <f ca="1">IFERROR(AVERAGEIFS(INDIRECT("Tabela1["&amp;$B26&amp;"]"),Tabela1[Data Corrigida],AG$3)/100,"")</f>
        <v>4.0735561559562969E-2</v>
      </c>
      <c r="AH26" s="38">
        <f ca="1">IFERROR(AVERAGEIFS(INDIRECT("Tabela1["&amp;$B26&amp;"]"),Tabela1[Data Corrigida],AH$3)/100,"")</f>
        <v>3.4347755082453371E-2</v>
      </c>
      <c r="AI26" s="38">
        <f ca="1">IFERROR(AVERAGEIFS(INDIRECT("Tabela1["&amp;$B26&amp;"]"),Tabela1[Data Corrigida],AI$3)/100,"")</f>
        <v>6.2004803004740421E-2</v>
      </c>
      <c r="AJ26" s="38">
        <f ca="1">IFERROR(AVERAGEIFS(INDIRECT("Tabela1["&amp;$B26&amp;"]"),Tabela1[Data Corrigida],AJ$3)/100,"")</f>
        <v>2.7752164986735831E-2</v>
      </c>
      <c r="AK26" s="38">
        <f ca="1">IFERROR(AVERAGEIFS(INDIRECT("Tabela1["&amp;$B26&amp;"]"),Tabela1[Data Corrigida],AK$3)/100,"")</f>
        <v>2.8293620067899962E-2</v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58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4.139665804877503E-4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61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>
        <f ca="1">IFERROR(AVERAGEIFS(INDIRECT("Tabela1["&amp;$B27&amp;"]"),Tabela1[Turno],$D27,Tabela1[Data Corrigida],AC$3)/100,"")</f>
        <v>0</v>
      </c>
      <c r="AD27" s="40">
        <f ca="1">IFERROR(AVERAGEIFS(INDIRECT("Tabela1["&amp;$B27&amp;"]"),Tabela1[Turno],$D27,Tabela1[Data Corrigida],AD$3)/100,"")</f>
        <v>2.0833333333333333E-3</v>
      </c>
      <c r="AE27" s="40">
        <f ca="1">IFERROR(AVERAGEIFS(INDIRECT("Tabela1["&amp;$B27&amp;"]"),Tabela1[Turno],$D27,Tabela1[Data Corrigida],AE$3)/100,"")</f>
        <v>0</v>
      </c>
      <c r="AF27" s="40">
        <f ca="1">IFERROR(AVERAGEIFS(INDIRECT("Tabela1["&amp;$B27&amp;"]"),Tabela1[Turno],$D27,Tabela1[Data Corrigida],AF$3)/100,"")</f>
        <v>0</v>
      </c>
      <c r="AG27" s="40">
        <f ca="1">IFERROR(AVERAGEIFS(INDIRECT("Tabela1["&amp;$B27&amp;"]"),Tabela1[Turno],$D27,Tabela1[Data Corrigida],AG$3)/100,"")</f>
        <v>0</v>
      </c>
      <c r="AH27" s="40">
        <f ca="1">IFERROR(AVERAGEIFS(INDIRECT("Tabela1["&amp;$B27&amp;"]"),Tabela1[Turno],$D27,Tabela1[Data Corrigida],AH$3)/100,"")</f>
        <v>0</v>
      </c>
      <c r="AI27" s="40">
        <f ca="1">IFERROR(AVERAGEIFS(INDIRECT("Tabela1["&amp;$B27&amp;"]"),Tabela1[Turno],$D27,Tabela1[Data Corrigida],AI$3)/100,"")</f>
        <v>0</v>
      </c>
      <c r="AJ27" s="40">
        <f ca="1">IFERROR(AVERAGEIFS(INDIRECT("Tabela1["&amp;$B27&amp;"]"),Tabela1[Turno],$D27,Tabela1[Data Corrigida],AJ$3)/100,"")</f>
        <v>0</v>
      </c>
      <c r="AK27" s="40">
        <f ca="1">IFERROR(AVERAGEIFS(INDIRECT("Tabela1["&amp;$B27&amp;"]"),Tabela1[Turno],$D27,Tabela1[Data Corrigida],AK$3)/100,"")</f>
        <v>0</v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59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2.3858040414331808E-4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62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>
        <f ca="1">IFERROR(AVERAGEIFS(INDIRECT("Tabela1["&amp;$B28&amp;"]"),Tabela1[Turno],$D28,Tabela1[Data Corrigida],AC$3)/100,"")</f>
        <v>0</v>
      </c>
      <c r="AD28" s="36">
        <f ca="1">IFERROR(AVERAGEIFS(INDIRECT("Tabela1["&amp;$B28&amp;"]"),Tabela1[Turno],$D28,Tabela1[Data Corrigida],AD$3)/100,"")</f>
        <v>0</v>
      </c>
      <c r="AE28" s="36">
        <f ca="1">IFERROR(AVERAGEIFS(INDIRECT("Tabela1["&amp;$B28&amp;"]"),Tabela1[Turno],$D28,Tabela1[Data Corrigida],AE$3)/100,"")</f>
        <v>0</v>
      </c>
      <c r="AF28" s="36">
        <f ca="1">IFERROR(AVERAGEIFS(INDIRECT("Tabela1["&amp;$B28&amp;"]"),Tabela1[Turno],$D28,Tabela1[Data Corrigida],AF$3)/100,"")</f>
        <v>0</v>
      </c>
      <c r="AG28" s="36">
        <f ca="1">IFERROR(AVERAGEIFS(INDIRECT("Tabela1["&amp;$B28&amp;"]"),Tabela1[Turno],$D28,Tabela1[Data Corrigida],AG$3)/100,"")</f>
        <v>0</v>
      </c>
      <c r="AH28" s="36">
        <f ca="1">IFERROR(AVERAGEIFS(INDIRECT("Tabela1["&amp;$B28&amp;"]"),Tabela1[Turno],$D28,Tabela1[Data Corrigida],AH$3)/100,"")</f>
        <v>0</v>
      </c>
      <c r="AI28" s="36">
        <f ca="1">IFERROR(AVERAGEIFS(INDIRECT("Tabela1["&amp;$B28&amp;"]"),Tabela1[Turno],$D28,Tabela1[Data Corrigida],AI$3)/100,"")</f>
        <v>2.5641025641025645E-3</v>
      </c>
      <c r="AJ28" s="36">
        <f ca="1">IFERROR(AVERAGEIFS(INDIRECT("Tabela1["&amp;$B28&amp;"]"),Tabela1[Turno],$D28,Tabela1[Data Corrigida],AJ$3)/100,"")</f>
        <v>0</v>
      </c>
      <c r="AK28" s="36">
        <f ca="1">IFERROR(AVERAGEIFS(INDIRECT("Tabela1["&amp;$B28&amp;"]"),Tabela1[Turno],$D28,Tabela1[Data Corrigida],AK$3)/100,"")</f>
        <v>0</v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0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3.3826031731749184E-4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3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>
        <f ca="1">IFERROR(AVERAGEIFS(INDIRECT("Tabela1["&amp;$B29&amp;"]"),Tabela1[Data Corrigida],AC$3)/100,"")</f>
        <v>0</v>
      </c>
      <c r="AD29" s="43">
        <f ca="1">IFERROR(AVERAGEIFS(INDIRECT("Tabela1["&amp;$B29&amp;"]"),Tabela1[Data Corrigida],AD$3)/100,"")</f>
        <v>1.0416666666666667E-3</v>
      </c>
      <c r="AE29" s="43">
        <f ca="1">IFERROR(AVERAGEIFS(INDIRECT("Tabela1["&amp;$B29&amp;"]"),Tabela1[Data Corrigida],AE$3)/100,"")</f>
        <v>0</v>
      </c>
      <c r="AF29" s="43">
        <f ca="1">IFERROR(AVERAGEIFS(INDIRECT("Tabela1["&amp;$B29&amp;"]"),Tabela1[Data Corrigida],AF$3)/100,"")</f>
        <v>0</v>
      </c>
      <c r="AG29" s="43">
        <f ca="1">IFERROR(AVERAGEIFS(INDIRECT("Tabela1["&amp;$B29&amp;"]"),Tabela1[Data Corrigida],AG$3)/100,"")</f>
        <v>0</v>
      </c>
      <c r="AH29" s="43">
        <f ca="1">IFERROR(AVERAGEIFS(INDIRECT("Tabela1["&amp;$B29&amp;"]"),Tabela1[Data Corrigida],AH$3)/100,"")</f>
        <v>0</v>
      </c>
      <c r="AI29" s="43">
        <f ca="1">IFERROR(AVERAGEIFS(INDIRECT("Tabela1["&amp;$B29&amp;"]"),Tabela1[Data Corrigida],AI$3)/100,"")</f>
        <v>1.0989010989010991E-3</v>
      </c>
      <c r="AJ29" s="43">
        <f ca="1">IFERROR(AVERAGEIFS(INDIRECT("Tabela1["&amp;$B29&amp;"]"),Tabela1[Data Corrigida],AJ$3)/100,"")</f>
        <v>0</v>
      </c>
      <c r="AK29" s="43">
        <f ca="1">IFERROR(AVERAGEIFS(INDIRECT("Tabela1["&amp;$B29&amp;"]"),Tabela1[Data Corrigida],AK$3)/100,"")</f>
        <v>0</v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58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1.135170497855806E-2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61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>
        <f ca="1">IFERROR(AVERAGEIFS(INDIRECT("Tabela1["&amp;$B30&amp;"]"),Tabela1[Turno],$D30,Tabela1[Data Corrigida],AC$3)/100,"")</f>
        <v>1.3707069658546116E-2</v>
      </c>
      <c r="AD30" s="34">
        <f ca="1">IFERROR(AVERAGEIFS(INDIRECT("Tabela1["&amp;$B30&amp;"]"),Tabela1[Turno],$D30,Tabela1[Data Corrigida],AD$3)/100,"")</f>
        <v>1.7976190476190475E-2</v>
      </c>
      <c r="AE30" s="34">
        <f ca="1">IFERROR(AVERAGEIFS(INDIRECT("Tabela1["&amp;$B30&amp;"]"),Tabela1[Turno],$D30,Tabela1[Data Corrigida],AE$3)/100,"")</f>
        <v>7.8635132982959061E-3</v>
      </c>
      <c r="AF30" s="34">
        <f ca="1">IFERROR(AVERAGEIFS(INDIRECT("Tabela1["&amp;$B30&amp;"]"),Tabela1[Turno],$D30,Tabela1[Data Corrigida],AF$3)/100,"")</f>
        <v>1.7317985470938387E-2</v>
      </c>
      <c r="AG30" s="34">
        <f ca="1">IFERROR(AVERAGEIFS(INDIRECT("Tabela1["&amp;$B30&amp;"]"),Tabela1[Turno],$D30,Tabela1[Data Corrigida],AG$3)/100,"")</f>
        <v>1.4976430976430977E-2</v>
      </c>
      <c r="AH30" s="34">
        <f ca="1">IFERROR(AVERAGEIFS(INDIRECT("Tabela1["&amp;$B30&amp;"]"),Tabela1[Turno],$D30,Tabela1[Data Corrigida],AH$3)/100,"")</f>
        <v>1.1290606618403191E-2</v>
      </c>
      <c r="AI30" s="34">
        <f ca="1">IFERROR(AVERAGEIFS(INDIRECT("Tabela1["&amp;$B30&amp;"]"),Tabela1[Turno],$D30,Tabela1[Data Corrigida],AI$3)/100,"")</f>
        <v>2.9714151165528609E-2</v>
      </c>
      <c r="AJ30" s="34">
        <f ca="1">IFERROR(AVERAGEIFS(INDIRECT("Tabela1["&amp;$B30&amp;"]"),Tabela1[Turno],$D30,Tabela1[Data Corrigida],AJ$3)/100,"")</f>
        <v>8.5098866425349293E-3</v>
      </c>
      <c r="AK30" s="34">
        <f ca="1">IFERROR(AVERAGEIFS(INDIRECT("Tabela1["&amp;$B30&amp;"]"),Tabela1[Turno],$D30,Tabela1[Data Corrigida],AK$3)/100,"")</f>
        <v>1.6178652968036528E-2</v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59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8.1152492819626283E-3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62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>
        <f ca="1">IFERROR(AVERAGEIFS(INDIRECT("Tabela1["&amp;$B31&amp;"]"),Tabela1[Turno],$D31,Tabela1[Data Corrigida],AC$3)/100,"")</f>
        <v>7.6923076923076927E-3</v>
      </c>
      <c r="AD31" s="36">
        <f ca="1">IFERROR(AVERAGEIFS(INDIRECT("Tabela1["&amp;$B31&amp;"]"),Tabela1[Turno],$D31,Tabela1[Data Corrigida],AD$3)/100,"")</f>
        <v>4.6344959388437655E-3</v>
      </c>
      <c r="AE31" s="36">
        <f ca="1">IFERROR(AVERAGEIFS(INDIRECT("Tabela1["&amp;$B31&amp;"]"),Tabela1[Turno],$D31,Tabela1[Data Corrigida],AE$3)/100,"")</f>
        <v>8.0554587351380665E-3</v>
      </c>
      <c r="AF31" s="36">
        <f ca="1">IFERROR(AVERAGEIFS(INDIRECT("Tabela1["&amp;$B31&amp;"]"),Tabela1[Turno],$D31,Tabela1[Data Corrigida],AF$3)/100,"")</f>
        <v>8.8300220750551876E-3</v>
      </c>
      <c r="AG31" s="36">
        <f ca="1">IFERROR(AVERAGEIFS(INDIRECT("Tabela1["&amp;$B31&amp;"]"),Tabela1[Turno],$D31,Tabela1[Data Corrigida],AG$3)/100,"")</f>
        <v>1.7699436483392204E-2</v>
      </c>
      <c r="AH31" s="36">
        <f ca="1">IFERROR(AVERAGEIFS(INDIRECT("Tabela1["&amp;$B31&amp;"]"),Tabela1[Turno],$D31,Tabela1[Data Corrigida],AH$3)/100,"")</f>
        <v>6.48100979226807E-3</v>
      </c>
      <c r="AI31" s="36">
        <f ca="1">IFERROR(AVERAGEIFS(INDIRECT("Tabela1["&amp;$B31&amp;"]"),Tabela1[Turno],$D31,Tabela1[Data Corrigida],AI$3)/100,"")</f>
        <v>5.5944055944055944E-3</v>
      </c>
      <c r="AJ31" s="36">
        <f ca="1">IFERROR(AVERAGEIFS(INDIRECT("Tabela1["&amp;$B31&amp;"]"),Tabela1[Turno],$D31,Tabela1[Data Corrigida],AJ$3)/100,"")</f>
        <v>1.9363117161686233E-2</v>
      </c>
      <c r="AK31" s="36">
        <f ca="1">IFERROR(AVERAGEIFS(INDIRECT("Tabela1["&amp;$B31&amp;"]"),Tabela1[Turno],$D31,Tabela1[Data Corrigida],AK$3)/100,"")</f>
        <v>1.255373165745481E-2</v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0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9.954673742617581E-3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3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>
        <f ca="1">IFERROR(AVERAGEIFS(INDIRECT("Tabela1["&amp;$B32&amp;"]"),Tabela1[Data Corrigida],AC$3)/100,"")</f>
        <v>1.1129314530158221E-2</v>
      </c>
      <c r="AD32" s="38">
        <f ca="1">IFERROR(AVERAGEIFS(INDIRECT("Tabela1["&amp;$B32&amp;"]"),Tabela1[Data Corrigida],AD$3)/100,"")</f>
        <v>1.130534320751712E-2</v>
      </c>
      <c r="AE32" s="38">
        <f ca="1">IFERROR(AVERAGEIFS(INDIRECT("Tabela1["&amp;$B32&amp;"]"),Tabela1[Data Corrigida],AE$3)/100,"")</f>
        <v>7.945775628371116E-3</v>
      </c>
      <c r="AF32" s="38">
        <f ca="1">IFERROR(AVERAGEIFS(INDIRECT("Tabela1["&amp;$B32&amp;"]"),Tabela1[Data Corrigida],AF$3)/100,"")</f>
        <v>1.3680286872702731E-2</v>
      </c>
      <c r="AG32" s="38">
        <f ca="1">IFERROR(AVERAGEIFS(INDIRECT("Tabela1["&amp;$B32&amp;"]"),Tabela1[Data Corrigida],AG$3)/100,"")</f>
        <v>1.6143433336557215E-2</v>
      </c>
      <c r="AH32" s="38">
        <f ca="1">IFERROR(AVERAGEIFS(INDIRECT("Tabela1["&amp;$B32&amp;"]"),Tabela1[Data Corrigida],AH$3)/100,"")</f>
        <v>9.2293508357738537E-3</v>
      </c>
      <c r="AI32" s="38">
        <f ca="1">IFERROR(AVERAGEIFS(INDIRECT("Tabela1["&amp;$B32&amp;"]"),Tabela1[Data Corrigida],AI$3)/100,"")</f>
        <v>1.9377117349333031E-2</v>
      </c>
      <c r="AJ32" s="38">
        <f ca="1">IFERROR(AVERAGEIFS(INDIRECT("Tabela1["&amp;$B32&amp;"]"),Tabela1[Data Corrigida],AJ$3)/100,"")</f>
        <v>1.3161271150742631E-2</v>
      </c>
      <c r="AK32" s="38">
        <f ca="1">IFERROR(AVERAGEIFS(INDIRECT("Tabela1["&amp;$B32&amp;"]"),Tabela1[Data Corrigida],AK$3)/100,"")</f>
        <v>1.4625115263501506E-2</v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58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4.0953487332575617E-2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61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>
        <f ca="1">IFERROR(AVERAGEIFS(INDIRECT("Tabela1["&amp;$B33&amp;"]"),Tabela1[Turno],$D33,Tabela1[Data Corrigida],AC$3)/100,"")</f>
        <v>3.9141432424510986E-2</v>
      </c>
      <c r="AD33" s="40">
        <f ca="1">IFERROR(AVERAGEIFS(INDIRECT("Tabela1["&amp;$B33&amp;"]"),Tabela1[Turno],$D33,Tabela1[Data Corrigida],AD$3)/100,"")</f>
        <v>4.4722222222222226E-2</v>
      </c>
      <c r="AE33" s="40">
        <f ca="1">IFERROR(AVERAGEIFS(INDIRECT("Tabela1["&amp;$B33&amp;"]"),Tabela1[Turno],$D33,Tabela1[Data Corrigida],AE$3)/100,"")</f>
        <v>4.4908026755852842E-2</v>
      </c>
      <c r="AF33" s="40">
        <f ca="1">IFERROR(AVERAGEIFS(INDIRECT("Tabela1["&amp;$B33&amp;"]"),Tabela1[Turno],$D33,Tabela1[Data Corrigida],AF$3)/100,"")</f>
        <v>5.3706934451740768E-2</v>
      </c>
      <c r="AG33" s="40">
        <f ca="1">IFERROR(AVERAGEIFS(INDIRECT("Tabela1["&amp;$B33&amp;"]"),Tabela1[Turno],$D33,Tabela1[Data Corrigida],AG$3)/100,"")</f>
        <v>4.6747474747474753E-2</v>
      </c>
      <c r="AH33" s="40">
        <f ca="1">IFERROR(AVERAGEIFS(INDIRECT("Tabela1["&amp;$B33&amp;"]"),Tabela1[Turno],$D33,Tabela1[Data Corrigida],AH$3)/100,"")</f>
        <v>4.012181985520958E-2</v>
      </c>
      <c r="AI33" s="40">
        <f ca="1">IFERROR(AVERAGEIFS(INDIRECT("Tabela1["&amp;$B33&amp;"]"),Tabela1[Turno],$D33,Tabela1[Data Corrigida],AI$3)/100,"")</f>
        <v>6.7402754885801747E-2</v>
      </c>
      <c r="AJ33" s="40">
        <f ca="1">IFERROR(AVERAGEIFS(INDIRECT("Tabela1["&amp;$B33&amp;"]"),Tabela1[Turno],$D33,Tabela1[Data Corrigida],AJ$3)/100,"")</f>
        <v>3.3843583323049924E-2</v>
      </c>
      <c r="AK33" s="40">
        <f ca="1">IFERROR(AVERAGEIFS(INDIRECT("Tabela1["&amp;$B33&amp;"]"),Tabela1[Turno],$D33,Tabela1[Data Corrigida],AK$3)/100,"")</f>
        <v>4.0482305936073056E-2</v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59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1.5375165158618078E-2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62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>
        <f ca="1">IFERROR(AVERAGEIFS(INDIRECT("Tabela1["&amp;$B34&amp;"]"),Tabela1[Turno],$D34,Tabela1[Data Corrigida],AC$3)/100,"")</f>
        <v>1.3654956789968231E-2</v>
      </c>
      <c r="AD34" s="36">
        <f ca="1">IFERROR(AVERAGEIFS(INDIRECT("Tabela1["&amp;$B34&amp;"]"),Tabela1[Turno],$D34,Tabela1[Data Corrigida],AD$3)/100,"")</f>
        <v>1.6399304487452197E-2</v>
      </c>
      <c r="AE34" s="36">
        <f ca="1">IFERROR(AVERAGEIFS(INDIRECT("Tabela1["&amp;$B34&amp;"]"),Tabela1[Turno],$D34,Tabela1[Data Corrigida],AE$3)/100,"")</f>
        <v>1.539116938210699E-2</v>
      </c>
      <c r="AF34" s="36">
        <f ca="1">IFERROR(AVERAGEIFS(INDIRECT("Tabela1["&amp;$B34&amp;"]"),Tabela1[Turno],$D34,Tabela1[Data Corrigida],AF$3)/100,"")</f>
        <v>1.9867549668874173E-2</v>
      </c>
      <c r="AG34" s="36">
        <f ca="1">IFERROR(AVERAGEIFS(INDIRECT("Tabela1["&amp;$B34&amp;"]"),Tabela1[Turno],$D34,Tabela1[Data Corrigida],AG$3)/100,"")</f>
        <v>1.1689899730985571E-2</v>
      </c>
      <c r="AH34" s="36">
        <f ca="1">IFERROR(AVERAGEIFS(INDIRECT("Tabela1["&amp;$B34&amp;"]"),Tabela1[Turno],$D34,Tabela1[Data Corrigida],AH$3)/100,"")</f>
        <v>1.3816720439236995E-2</v>
      </c>
      <c r="AI34" s="36">
        <f ca="1">IFERROR(AVERAGEIFS(INDIRECT("Tabela1["&amp;$B34&amp;"]"),Tabela1[Turno],$D34,Tabela1[Data Corrigida],AI$3)/100,"")</f>
        <v>1.540822047151161E-2</v>
      </c>
      <c r="AJ34" s="36">
        <f ca="1">IFERROR(AVERAGEIFS(INDIRECT("Tabela1["&amp;$B34&amp;"]"),Tabela1[Turno],$D34,Tabela1[Data Corrigida],AJ$3)/100,"")</f>
        <v>1.9778203817829573E-2</v>
      </c>
      <c r="AK34" s="36">
        <f ca="1">IFERROR(AVERAGEIFS(INDIRECT("Tabela1["&amp;$B34&amp;"]"),Tabela1[Turno],$D34,Tabela1[Data Corrigida],AK$3)/100,"")</f>
        <v>1.6825889815944819E-2</v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0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2.9912484955327757E-2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3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>
        <f ca="1">IFERROR(AVERAGEIFS(INDIRECT("Tabela1["&amp;$B35&amp;"]"),Tabela1[Data Corrigida],AC$3)/100,"")</f>
        <v>2.8218657152564091E-2</v>
      </c>
      <c r="AD35" s="43">
        <f ca="1">IFERROR(AVERAGEIFS(INDIRECT("Tabela1["&amp;$B35&amp;"]"),Tabela1[Data Corrigida],AD$3)/100,"")</f>
        <v>3.0560763354837213E-2</v>
      </c>
      <c r="AE35" s="43">
        <f ca="1">IFERROR(AVERAGEIFS(INDIRECT("Tabela1["&amp;$B35&amp;"]"),Tabela1[Data Corrigida],AE$3)/100,"")</f>
        <v>3.2257945024247475E-2</v>
      </c>
      <c r="AF35" s="43">
        <f ca="1">IFERROR(AVERAGEIFS(INDIRECT("Tabela1["&amp;$B35&amp;"]"),Tabela1[Data Corrigida],AF$3)/100,"")</f>
        <v>3.9204340973369368E-2</v>
      </c>
      <c r="AG35" s="43">
        <f ca="1">IFERROR(AVERAGEIFS(INDIRECT("Tabela1["&amp;$B35&amp;"]"),Tabela1[Data Corrigida],AG$3)/100,"")</f>
        <v>3.1722799740407953E-2</v>
      </c>
      <c r="AH35" s="43">
        <f ca="1">IFERROR(AVERAGEIFS(INDIRECT("Tabela1["&amp;$B35&amp;"]"),Tabela1[Data Corrigida],AH$3)/100,"")</f>
        <v>2.884820581979276E-2</v>
      </c>
      <c r="AI35" s="43">
        <f ca="1">IFERROR(AVERAGEIFS(INDIRECT("Tabela1["&amp;$B35&amp;"]"),Tabela1[Data Corrigida],AI$3)/100,"")</f>
        <v>4.5119382993963113E-2</v>
      </c>
      <c r="AJ35" s="43">
        <f ca="1">IFERROR(AVERAGEIFS(INDIRECT("Tabela1["&amp;$B35&amp;"]"),Tabela1[Data Corrigida],AJ$3)/100,"")</f>
        <v>2.7815563535098346E-2</v>
      </c>
      <c r="AK35" s="43">
        <f ca="1">IFERROR(AVERAGEIFS(INDIRECT("Tabela1["&amp;$B35&amp;"]"),Tabela1[Data Corrigida],AK$3)/100,"")</f>
        <v>3.034384188458953E-2</v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58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2.665694105225562E-2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61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>
        <f ca="1">IFERROR(AVERAGEIFS(INDIRECT("Tabela1["&amp;$B36&amp;"]"),Tabela1[Turno],$D36,Tabela1[Data Corrigida],AC$3)/100,"")</f>
        <v>2.9547964396122794E-2</v>
      </c>
      <c r="AD36" s="34">
        <f ca="1">IFERROR(AVERAGEIFS(INDIRECT("Tabela1["&amp;$B36&amp;"]"),Tabela1[Turno],$D36,Tabela1[Data Corrigida],AD$3)/100,"")</f>
        <v>2.4523809523809524E-2</v>
      </c>
      <c r="AE36" s="34">
        <f ca="1">IFERROR(AVERAGEIFS(INDIRECT("Tabela1["&amp;$B36&amp;"]"),Tabela1[Turno],$D36,Tabela1[Data Corrigida],AE$3)/100,"")</f>
        <v>1.9273769708552317E-2</v>
      </c>
      <c r="AF36" s="34">
        <f ca="1">IFERROR(AVERAGEIFS(INDIRECT("Tabela1["&amp;$B36&amp;"]"),Tabela1[Turno],$D36,Tabela1[Data Corrigida],AF$3)/100,"")</f>
        <v>2.2495621044110566E-2</v>
      </c>
      <c r="AG36" s="34">
        <f ca="1">IFERROR(AVERAGEIFS(INDIRECT("Tabela1["&amp;$B36&amp;"]"),Tabela1[Turno],$D36,Tabela1[Data Corrigida],AG$3)/100,"")</f>
        <v>2.3373737373737376E-2</v>
      </c>
      <c r="AH36" s="34">
        <f ca="1">IFERROR(AVERAGEIFS(INDIRECT("Tabela1["&amp;$B36&amp;"]"),Tabela1[Turno],$D36,Tabela1[Data Corrigida],AH$3)/100,"")</f>
        <v>3.8559319855209571E-2</v>
      </c>
      <c r="AI36" s="34">
        <f ca="1">IFERROR(AVERAGEIFS(INDIRECT("Tabela1["&amp;$B36&amp;"]"),Tabela1[Turno],$D36,Tabela1[Data Corrigida],AI$3)/100,"")</f>
        <v>5.1027313397692488E-2</v>
      </c>
      <c r="AJ36" s="34">
        <f ca="1">IFERROR(AVERAGEIFS(INDIRECT("Tabela1["&amp;$B36&amp;"]"),Tabela1[Turno],$D36,Tabela1[Data Corrigida],AJ$3)/100,"")</f>
        <v>4.3478560802380273E-2</v>
      </c>
      <c r="AK36" s="34">
        <f ca="1">IFERROR(AVERAGEIFS(INDIRECT("Tabela1["&amp;$B36&amp;"]"),Tabela1[Turno],$D36,Tabela1[Data Corrigida],AK$3)/100,"")</f>
        <v>4.8594463470319635E-2</v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59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2.050759308336468E-3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62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>
        <f ca="1">IFERROR(AVERAGEIFS(INDIRECT("Tabela1["&amp;$B37&amp;"]"),Tabela1[Turno],$D37,Tabela1[Data Corrigida],AC$3)/100,"")</f>
        <v>2.5641025641025645E-3</v>
      </c>
      <c r="AD37" s="36">
        <f ca="1">IFERROR(AVERAGEIFS(INDIRECT("Tabela1["&amp;$B37&amp;"]"),Tabela1[Turno],$D37,Tabela1[Data Corrigida],AD$3)/100,"")</f>
        <v>5.1282051282051291E-3</v>
      </c>
      <c r="AE37" s="36">
        <f ca="1">IFERROR(AVERAGEIFS(INDIRECT("Tabela1["&amp;$B37&amp;"]"),Tabela1[Turno],$D37,Tabela1[Data Corrigida],AE$3)/100,"")</f>
        <v>0</v>
      </c>
      <c r="AF37" s="36">
        <f ca="1">IFERROR(AVERAGEIFS(INDIRECT("Tabela1["&amp;$B37&amp;"]"),Tabela1[Turno],$D37,Tabela1[Data Corrigida],AF$3)/100,"")</f>
        <v>2.2075055187637969E-3</v>
      </c>
      <c r="AG37" s="36">
        <f ca="1">IFERROR(AVERAGEIFS(INDIRECT("Tabela1["&amp;$B37&amp;"]"),Tabela1[Turno],$D37,Tabela1[Data Corrigida],AG$3)/100,"")</f>
        <v>1.4957078422813909E-2</v>
      </c>
      <c r="AH37" s="36">
        <f ca="1">IFERROR(AVERAGEIFS(INDIRECT("Tabela1["&amp;$B37&amp;"]"),Tabela1[Turno],$D37,Tabela1[Data Corrigida],AH$3)/100,"")</f>
        <v>2.5641025641025645E-3</v>
      </c>
      <c r="AI37" s="36">
        <f ca="1">IFERROR(AVERAGEIFS(INDIRECT("Tabela1["&amp;$B37&amp;"]"),Tabela1[Turno],$D37,Tabela1[Data Corrigida],AI$3)/100,"")</f>
        <v>2.5641025641025645E-3</v>
      </c>
      <c r="AJ37" s="36">
        <f ca="1">IFERROR(AVERAGEIFS(INDIRECT("Tabela1["&amp;$B37&amp;"]"),Tabela1[Turno],$D37,Tabela1[Data Corrigida],AJ$3)/100,"")</f>
        <v>4.2194092827004225E-3</v>
      </c>
      <c r="AK37" s="36">
        <f ca="1">IFERROR(AVERAGEIFS(INDIRECT("Tabela1["&amp;$B37&amp;"]"),Tabela1[Turno],$D37,Tabela1[Data Corrigida],AK$3)/100,"")</f>
        <v>0</v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0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1.6035567637614257E-2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3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>
        <f ca="1">IFERROR(AVERAGEIFS(INDIRECT("Tabela1["&amp;$B38&amp;"]"),Tabela1[Data Corrigida],AC$3)/100,"")</f>
        <v>1.7983452182399839E-2</v>
      </c>
      <c r="AD38" s="38">
        <f ca="1">IFERROR(AVERAGEIFS(INDIRECT("Tabela1["&amp;$B38&amp;"]"),Tabela1[Data Corrigida],AD$3)/100,"")</f>
        <v>1.4826007326007327E-2</v>
      </c>
      <c r="AE38" s="38">
        <f ca="1">IFERROR(AVERAGEIFS(INDIRECT("Tabela1["&amp;$B38&amp;"]"),Tabela1[Data Corrigida],AE$3)/100,"")</f>
        <v>1.1013582690601325E-2</v>
      </c>
      <c r="AF38" s="38">
        <f ca="1">IFERROR(AVERAGEIFS(INDIRECT("Tabela1["&amp;$B38&amp;"]"),Tabela1[Data Corrigida],AF$3)/100,"")</f>
        <v>1.3800714390390524E-2</v>
      </c>
      <c r="AG38" s="38">
        <f ca="1">IFERROR(AVERAGEIFS(INDIRECT("Tabela1["&amp;$B38&amp;"]"),Tabela1[Data Corrigida],AG$3)/100,"")</f>
        <v>1.9766597823341604E-2</v>
      </c>
      <c r="AH38" s="38">
        <f ca="1">IFERROR(AVERAGEIFS(INDIRECT("Tabela1["&amp;$B38&amp;"]"),Tabela1[Data Corrigida],AH$3)/100,"")</f>
        <v>2.3132798159020855E-2</v>
      </c>
      <c r="AI38" s="38">
        <f ca="1">IFERROR(AVERAGEIFS(INDIRECT("Tabela1["&amp;$B38&amp;"]"),Tabela1[Data Corrigida],AI$3)/100,"")</f>
        <v>3.0257365897582524E-2</v>
      </c>
      <c r="AJ38" s="38">
        <f ca="1">IFERROR(AVERAGEIFS(INDIRECT("Tabela1["&amp;$B38&amp;"]"),Tabela1[Data Corrigida],AJ$3)/100,"")</f>
        <v>2.6653210151088905E-2</v>
      </c>
      <c r="AK38" s="38">
        <f ca="1">IFERROR(AVERAGEIFS(INDIRECT("Tabela1["&amp;$B38&amp;"]"),Tabela1[Data Corrigida],AK$3)/100,"")</f>
        <v>2.7768264840182647E-2</v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58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1.407527913683611E-2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61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>
        <f ca="1">IFERROR(AVERAGEIFS(INDIRECT("Tabela1["&amp;$B39&amp;"]"),Tabela1[Turno],$D39,Tabela1[Data Corrigida],AC$3)/100,"")</f>
        <v>1.5269569658546115E-2</v>
      </c>
      <c r="AD39" s="40">
        <f ca="1">IFERROR(AVERAGEIFS(INDIRECT("Tabela1["&amp;$B39&amp;"]"),Tabela1[Turno],$D39,Tabela1[Data Corrigida],AD$3)/100,"")</f>
        <v>1.545634920634921E-2</v>
      </c>
      <c r="AE39" s="40">
        <f ca="1">IFERROR(AVERAGEIFS(INDIRECT("Tabela1["&amp;$B39&amp;"]"),Tabela1[Turno],$D39,Tabela1[Data Corrigida],AE$3)/100,"")</f>
        <v>1.2799410734193342E-2</v>
      </c>
      <c r="AF39" s="40">
        <f ca="1">IFERROR(AVERAGEIFS(INDIRECT("Tabela1["&amp;$B39&amp;"]"),Tabela1[Turno],$D39,Tabela1[Data Corrigida],AF$3)/100,"")</f>
        <v>1.7528733626892022E-2</v>
      </c>
      <c r="AG39" s="40">
        <f ca="1">IFERROR(AVERAGEIFS(INDIRECT("Tabela1["&amp;$B39&amp;"]"),Tabela1[Turno],$D39,Tabela1[Data Corrigida],AG$3)/100,"")</f>
        <v>1.724915824915825E-2</v>
      </c>
      <c r="AH39" s="40">
        <f ca="1">IFERROR(AVERAGEIFS(INDIRECT("Tabela1["&amp;$B39&amp;"]"),Tabela1[Turno],$D39,Tabela1[Data Corrigida],AH$3)/100,"")</f>
        <v>1.2853106618403191E-2</v>
      </c>
      <c r="AI39" s="40">
        <f ca="1">IFERROR(AVERAGEIFS(INDIRECT("Tabela1["&amp;$B39&amp;"]"),Tabela1[Turno],$D39,Tabela1[Data Corrigida],AI$3)/100,"")</f>
        <v>1.7488344713915704E-2</v>
      </c>
      <c r="AJ39" s="40">
        <f ca="1">IFERROR(AVERAGEIFS(INDIRECT("Tabela1["&amp;$B39&amp;"]"),Tabela1[Turno],$D39,Tabela1[Data Corrigida],AJ$3)/100,"")</f>
        <v>1.3698810037980062E-2</v>
      </c>
      <c r="AK39" s="40">
        <f ca="1">IFERROR(AVERAGEIFS(INDIRECT("Tabela1["&amp;$B39&amp;"]"),Tabela1[Turno],$D39,Tabela1[Data Corrigida],AK$3)/100,"")</f>
        <v>1.7695490867579912E-2</v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59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62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>
        <f ca="1">IFERROR(AVERAGEIFS(INDIRECT("Tabela1["&amp;$B40&amp;"]"),Tabela1[Turno],$D40,Tabela1[Data Corrigida],AC$3)/100,"")</f>
        <v>0</v>
      </c>
      <c r="AD40" s="36">
        <f ca="1">IFERROR(AVERAGEIFS(INDIRECT("Tabela1["&amp;$B40&amp;"]"),Tabela1[Turno],$D40,Tabela1[Data Corrigida],AD$3)/100,"")</f>
        <v>0</v>
      </c>
      <c r="AE40" s="36">
        <f ca="1">IFERROR(AVERAGEIFS(INDIRECT("Tabela1["&amp;$B40&amp;"]"),Tabela1[Turno],$D40,Tabela1[Data Corrigida],AE$3)/100,"")</f>
        <v>0</v>
      </c>
      <c r="AF40" s="36">
        <f ca="1">IFERROR(AVERAGEIFS(INDIRECT("Tabela1["&amp;$B40&amp;"]"),Tabela1[Turno],$D40,Tabela1[Data Corrigida],AF$3)/100,"")</f>
        <v>0</v>
      </c>
      <c r="AG40" s="36">
        <f ca="1">IFERROR(AVERAGEIFS(INDIRECT("Tabela1["&amp;$B40&amp;"]"),Tabela1[Turno],$D40,Tabela1[Data Corrigida],AG$3)/100,"")</f>
        <v>0</v>
      </c>
      <c r="AH40" s="36">
        <f ca="1">IFERROR(AVERAGEIFS(INDIRECT("Tabela1["&amp;$B40&amp;"]"),Tabela1[Turno],$D40,Tabela1[Data Corrigida],AH$3)/100,"")</f>
        <v>0</v>
      </c>
      <c r="AI40" s="36">
        <f ca="1">IFERROR(AVERAGEIFS(INDIRECT("Tabela1["&amp;$B40&amp;"]"),Tabela1[Turno],$D40,Tabela1[Data Corrigida],AI$3)/100,"")</f>
        <v>0</v>
      </c>
      <c r="AJ40" s="36">
        <f ca="1">IFERROR(AVERAGEIFS(INDIRECT("Tabela1["&amp;$B40&amp;"]"),Tabela1[Turno],$D40,Tabela1[Data Corrigida],AJ$3)/100,"")</f>
        <v>0</v>
      </c>
      <c r="AK40" s="36">
        <f ca="1">IFERROR(AVERAGEIFS(INDIRECT("Tabela1["&amp;$B40&amp;"]"),Tabela1[Turno],$D40,Tabela1[Data Corrigida],AK$3)/100,"")</f>
        <v>0</v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0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7.9996190777701631E-3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3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>
        <f ca="1">IFERROR(AVERAGEIFS(INDIRECT("Tabela1["&amp;$B41&amp;"]"),Tabela1[Data Corrigida],AC$3)/100,"")</f>
        <v>8.7254683763120667E-3</v>
      </c>
      <c r="AD41" s="43">
        <f ca="1">IFERROR(AVERAGEIFS(INDIRECT("Tabela1["&amp;$B41&amp;"]"),Tabela1[Data Corrigida],AD$3)/100,"")</f>
        <v>7.7281746031746049E-3</v>
      </c>
      <c r="AE41" s="43">
        <f ca="1">IFERROR(AVERAGEIFS(INDIRECT("Tabela1["&amp;$B41&amp;"]"),Tabela1[Data Corrigida],AE$3)/100,"")</f>
        <v>7.3139489909676237E-3</v>
      </c>
      <c r="AF41" s="43">
        <f ca="1">IFERROR(AVERAGEIFS(INDIRECT("Tabela1["&amp;$B41&amp;"]"),Tabela1[Data Corrigida],AF$3)/100,"")</f>
        <v>1.0016419215366869E-2</v>
      </c>
      <c r="AG41" s="43">
        <f ca="1">IFERROR(AVERAGEIFS(INDIRECT("Tabela1["&amp;$B41&amp;"]"),Tabela1[Data Corrigida],AG$3)/100,"")</f>
        <v>9.8566618566618587E-3</v>
      </c>
      <c r="AH41" s="43">
        <f ca="1">IFERROR(AVERAGEIFS(INDIRECT("Tabela1["&amp;$B41&amp;"]"),Tabela1[Data Corrigida],AH$3)/100,"")</f>
        <v>7.3446323533732528E-3</v>
      </c>
      <c r="AI41" s="43">
        <f ca="1">IFERROR(AVERAGEIFS(INDIRECT("Tabela1["&amp;$B41&amp;"]"),Tabela1[Data Corrigida],AI$3)/100,"")</f>
        <v>9.993339836523259E-3</v>
      </c>
      <c r="AJ41" s="43">
        <f ca="1">IFERROR(AVERAGEIFS(INDIRECT("Tabela1["&amp;$B41&amp;"]"),Tabela1[Data Corrigida],AJ$3)/100,"")</f>
        <v>7.8278914502743213E-3</v>
      </c>
      <c r="AK41" s="43">
        <f ca="1">IFERROR(AVERAGEIFS(INDIRECT("Tabela1["&amp;$B41&amp;"]"),Tabela1[Data Corrigida],AK$3)/100,"")</f>
        <v>1.0111709067188522E-2</v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58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5.9010832989095811E-2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61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>
        <f ca="1">IFERROR(AVERAGEIFS(INDIRECT("Tabela1["&amp;$B42&amp;"]"),Tabela1[Turno],$D42,Tabela1[Data Corrigida],AC$3)/100,"")</f>
        <v>4.9784421471887448E-2</v>
      </c>
      <c r="AD42" s="34">
        <f ca="1">IFERROR(AVERAGEIFS(INDIRECT("Tabela1["&amp;$B42&amp;"]"),Tabela1[Turno],$D42,Tabela1[Data Corrigida],AD$3)/100,"")</f>
        <v>5.4682539682539687E-2</v>
      </c>
      <c r="AE42" s="34">
        <f ca="1">IFERROR(AVERAGEIFS(INDIRECT("Tabela1["&amp;$B42&amp;"]"),Tabela1[Turno],$D42,Tabela1[Data Corrigida],AE$3)/100,"")</f>
        <v>3.5278308647873867E-2</v>
      </c>
      <c r="AF42" s="34">
        <f ca="1">IFERROR(AVERAGEIFS(INDIRECT("Tabela1["&amp;$B42&amp;"]"),Tabela1[Turno],$D42,Tabela1[Data Corrigida],AF$3)/100,"")</f>
        <v>5.477096839475503E-2</v>
      </c>
      <c r="AG42" s="34">
        <f ca="1">IFERROR(AVERAGEIFS(INDIRECT("Tabela1["&amp;$B42&amp;"]"),Tabela1[Turno],$D42,Tabela1[Data Corrigida],AG$3)/100,"")</f>
        <v>5.9986531986531991E-2</v>
      </c>
      <c r="AH42" s="34">
        <f ca="1">IFERROR(AVERAGEIFS(INDIRECT("Tabela1["&amp;$B42&amp;"]"),Tabela1[Turno],$D42,Tabela1[Data Corrigida],AH$3)/100,"")</f>
        <v>8.0503617189749493E-2</v>
      </c>
      <c r="AI42" s="34">
        <f ca="1">IFERROR(AVERAGEIFS(INDIRECT("Tabela1["&amp;$B42&amp;"]"),Tabela1[Turno],$D42,Tabela1[Data Corrigida],AI$3)/100,"")</f>
        <v>8.8128561337414646E-2</v>
      </c>
      <c r="AJ42" s="34">
        <f ca="1">IFERROR(AVERAGEIFS(INDIRECT("Tabela1["&amp;$B42&amp;"]"),Tabela1[Turno],$D42,Tabela1[Data Corrigida],AJ$3)/100,"")</f>
        <v>7.4123424924245535E-2</v>
      </c>
      <c r="AK42" s="34">
        <f ca="1">IFERROR(AVERAGEIFS(INDIRECT("Tabela1["&amp;$B42&amp;"]"),Tabela1[Turno],$D42,Tabela1[Data Corrigida],AK$3)/100,"")</f>
        <v>8.2273116438356164E-2</v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59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5.8106667321303783E-2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62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>
        <f ca="1">IFERROR(AVERAGEIFS(INDIRECT("Tabela1["&amp;$B43&amp;"]"),Tabela1[Turno],$D43,Tabela1[Data Corrigida],AC$3)/100,"")</f>
        <v>3.8155589643003827E-2</v>
      </c>
      <c r="AD43" s="36">
        <f ca="1">IFERROR(AVERAGEIFS(INDIRECT("Tabela1["&amp;$B43&amp;"]"),Tabela1[Turno],$D43,Tabela1[Data Corrigida],AD$3)/100,"")</f>
        <v>3.6472957259139509E-2</v>
      </c>
      <c r="AE43" s="36">
        <f ca="1">IFERROR(AVERAGEIFS(INDIRECT("Tabela1["&amp;$B43&amp;"]"),Tabela1[Turno],$D43,Tabela1[Data Corrigida],AE$3)/100,"")</f>
        <v>5.8229288623154074E-2</v>
      </c>
      <c r="AF43" s="36">
        <f ca="1">IFERROR(AVERAGEIFS(INDIRECT("Tabela1["&amp;$B43&amp;"]"),Tabela1[Turno],$D43,Tabela1[Data Corrigida],AF$3)/100,"")</f>
        <v>4.194260485651214E-2</v>
      </c>
      <c r="AG43" s="36">
        <f ca="1">IFERROR(AVERAGEIFS(INDIRECT("Tabela1["&amp;$B43&amp;"]"),Tabela1[Turno],$D43,Tabela1[Data Corrigida],AG$3)/100,"")</f>
        <v>4.8944115786616969E-2</v>
      </c>
      <c r="AH43" s="36">
        <f ca="1">IFERROR(AVERAGEIFS(INDIRECT("Tabela1["&amp;$B43&amp;"]"),Tabela1[Turno],$D43,Tabela1[Data Corrigida],AH$3)/100,"")</f>
        <v>4.8856625346691579E-2</v>
      </c>
      <c r="AI43" s="36">
        <f ca="1">IFERROR(AVERAGEIFS(INDIRECT("Tabela1["&amp;$B43&amp;"]"),Tabela1[Turno],$D43,Tabela1[Data Corrigida],AI$3)/100,"")</f>
        <v>7.9699625269245511E-2</v>
      </c>
      <c r="AJ43" s="36">
        <f ca="1">IFERROR(AVERAGEIFS(INDIRECT("Tabela1["&amp;$B43&amp;"]"),Tabela1[Turno],$D43,Tabela1[Data Corrigida],AJ$3)/100,"")</f>
        <v>7.9348682870972354E-2</v>
      </c>
      <c r="AK43" s="36">
        <f ca="1">IFERROR(AVERAGEIFS(INDIRECT("Tabela1["&amp;$B43&amp;"]"),Tabela1[Turno],$D43,Tabela1[Data Corrigida],AK$3)/100,"")</f>
        <v>3.7766692723943597E-2</v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0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5.8620545650480506E-2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3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>
        <f ca="1">IFERROR(AVERAGEIFS(INDIRECT("Tabela1["&amp;$B44&amp;"]"),Tabela1[Data Corrigida],AC$3)/100,"")</f>
        <v>4.4800636402365895E-2</v>
      </c>
      <c r="AD44" s="38">
        <f ca="1">IFERROR(AVERAGEIFS(INDIRECT("Tabela1["&amp;$B44&amp;"]"),Tabela1[Data Corrigida],AD$3)/100,"")</f>
        <v>4.5577748470839598E-2</v>
      </c>
      <c r="AE44" s="38">
        <f ca="1">IFERROR(AVERAGEIFS(INDIRECT("Tabela1["&amp;$B44&amp;"]"),Tabela1[Data Corrigida],AE$3)/100,"")</f>
        <v>4.5114442922993957E-2</v>
      </c>
      <c r="AF44" s="38">
        <f ca="1">IFERROR(AVERAGEIFS(INDIRECT("Tabela1["&amp;$B44&amp;"]"),Tabela1[Data Corrigida],AF$3)/100,"")</f>
        <v>4.9273098306936651E-2</v>
      </c>
      <c r="AG44" s="38">
        <f ca="1">IFERROR(AVERAGEIFS(INDIRECT("Tabela1["&amp;$B44&amp;"]"),Tabela1[Data Corrigida],AG$3)/100,"")</f>
        <v>5.5254067900854124E-2</v>
      </c>
      <c r="AH44" s="38">
        <f ca="1">IFERROR(AVERAGEIFS(INDIRECT("Tabela1["&amp;$B44&amp;"]"),Tabela1[Data Corrigida],AH$3)/100,"")</f>
        <v>6.694062068558182E-2</v>
      </c>
      <c r="AI44" s="38">
        <f ca="1">IFERROR(AVERAGEIFS(INDIRECT("Tabela1["&amp;$B44&amp;"]"),Tabela1[Data Corrigida],AI$3)/100,"")</f>
        <v>8.451616016534215E-2</v>
      </c>
      <c r="AJ44" s="38">
        <f ca="1">IFERROR(AVERAGEIFS(INDIRECT("Tabela1["&amp;$B44&amp;"]"),Tabela1[Data Corrigida],AJ$3)/100,"")</f>
        <v>7.6362821187128463E-2</v>
      </c>
      <c r="AK44" s="38">
        <f ca="1">IFERROR(AVERAGEIFS(INDIRECT("Tabela1["&amp;$B44&amp;"]"),Tabela1[Data Corrigida],AK$3)/100,"")</f>
        <v>6.3198934846465063E-2</v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58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4.8293466860501157E-2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61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>
        <f ca="1">IFERROR(AVERAGEIFS(INDIRECT("Tabela1["&amp;$B45&amp;"]"),Tabela1[Turno],$D45,Tabela1[Data Corrigida],AC$3)/100,"")</f>
        <v>4.085376119163428E-2</v>
      </c>
      <c r="AD45" s="40">
        <f ca="1">IFERROR(AVERAGEIFS(INDIRECT("Tabela1["&amp;$B45&amp;"]"),Tabela1[Turno],$D45,Tabela1[Data Corrigida],AD$3)/100,"")</f>
        <v>5.3511904761904754E-2</v>
      </c>
      <c r="AE45" s="40">
        <f ca="1">IFERROR(AVERAGEIFS(INDIRECT("Tabela1["&amp;$B45&amp;"]"),Tabela1[Turno],$D45,Tabela1[Data Corrigida],AE$3)/100,"")</f>
        <v>4.0150103519668738E-2</v>
      </c>
      <c r="AF45" s="40">
        <f ca="1">IFERROR(AVERAGEIFS(INDIRECT("Tabela1["&amp;$B45&amp;"]"),Tabela1[Turno],$D45,Tabela1[Data Corrigida],AF$3)/100,"")</f>
        <v>6.6901025129275149E-2</v>
      </c>
      <c r="AG45" s="40">
        <f ca="1">IFERROR(AVERAGEIFS(INDIRECT("Tabela1["&amp;$B45&amp;"]"),Tabela1[Turno],$D45,Tabela1[Data Corrigida],AG$3)/100,"")</f>
        <v>6.6121212121212136E-2</v>
      </c>
      <c r="AH45" s="40">
        <f ca="1">IFERROR(AVERAGEIFS(INDIRECT("Tabela1["&amp;$B45&amp;"]"),Tabela1[Turno],$D45,Tabela1[Data Corrigida],AH$3)/100,"")</f>
        <v>4.3330244025338319E-2</v>
      </c>
      <c r="AI45" s="40">
        <f ca="1">IFERROR(AVERAGEIFS(INDIRECT("Tabela1["&amp;$B45&amp;"]"),Tabela1[Turno],$D45,Tabela1[Data Corrigida],AI$3)/100,"")</f>
        <v>7.5190840593360009E-2</v>
      </c>
      <c r="AJ45" s="40">
        <f ca="1">IFERROR(AVERAGEIFS(INDIRECT("Tabela1["&amp;$B45&amp;"]"),Tabela1[Turno],$D45,Tabela1[Data Corrigida],AJ$3)/100,"")</f>
        <v>4.7979802524234574E-2</v>
      </c>
      <c r="AK45" s="40">
        <f ca="1">IFERROR(AVERAGEIFS(INDIRECT("Tabela1["&amp;$B45&amp;"]"),Tabela1[Turno],$D45,Tabela1[Data Corrigida],AK$3)/100,"")</f>
        <v>5.0065639269406395E-2</v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59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4.1326849539888001E-2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62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>
        <f ca="1">IFERROR(AVERAGEIFS(INDIRECT("Tabela1["&amp;$B46&amp;"]"),Tabela1[Turno],$D46,Tabela1[Data Corrigida],AC$3)/100,"")</f>
        <v>3.1079580221456654E-2</v>
      </c>
      <c r="AD46" s="36">
        <f ca="1">IFERROR(AVERAGEIFS(INDIRECT("Tabela1["&amp;$B46&amp;"]"),Tabela1[Turno],$D46,Tabela1[Data Corrigida],AD$3)/100,"")</f>
        <v>3.4519718915192413E-2</v>
      </c>
      <c r="AE46" s="36">
        <f ca="1">IFERROR(AVERAGEIFS(INDIRECT("Tabela1["&amp;$B46&amp;"]"),Tabela1[Turno],$D46,Tabela1[Data Corrigida],AE$3)/100,"")</f>
        <v>4.104530301811584E-2</v>
      </c>
      <c r="AF46" s="36">
        <f ca="1">IFERROR(AVERAGEIFS(INDIRECT("Tabela1["&amp;$B46&amp;"]"),Tabela1[Turno],$D46,Tabela1[Data Corrigida],AF$3)/100,"")</f>
        <v>4.6357615894039743E-2</v>
      </c>
      <c r="AG46" s="36">
        <f ca="1">IFERROR(AVERAGEIFS(INDIRECT("Tabela1["&amp;$B46&amp;"]"),Tabela1[Turno],$D46,Tabela1[Data Corrigida],AG$3)/100,"")</f>
        <v>4.2556287167485475E-2</v>
      </c>
      <c r="AH46" s="36">
        <f ca="1">IFERROR(AVERAGEIFS(INDIRECT("Tabela1["&amp;$B46&amp;"]"),Tabela1[Turno],$D46,Tabela1[Data Corrigida],AH$3)/100,"")</f>
        <v>3.888605875360842E-2</v>
      </c>
      <c r="AI46" s="36">
        <f ca="1">IFERROR(AVERAGEIFS(INDIRECT("Tabela1["&amp;$B46&amp;"]"),Tabela1[Turno],$D46,Tabela1[Data Corrigida],AI$3)/100,"")</f>
        <v>6.3102298545336527E-2</v>
      </c>
      <c r="AJ46" s="36">
        <f ca="1">IFERROR(AVERAGEIFS(INDIRECT("Tabela1["&amp;$B46&amp;"]"),Tabela1[Turno],$D46,Tabela1[Data Corrigida],AJ$3)/100,"")</f>
        <v>5.3123431329265121E-2</v>
      </c>
      <c r="AK46" s="36">
        <f ca="1">IFERROR(AVERAGEIFS(INDIRECT("Tabela1["&amp;$B46&amp;"]"),Tabela1[Turno],$D46,Tabela1[Data Corrigida],AK$3)/100,"")</f>
        <v>4.4187866790392827E-2</v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0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4.5286293916351597E-2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3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>
        <f ca="1">IFERROR(AVERAGEIFS(INDIRECT("Tabela1["&amp;$B47&amp;"]"),Tabela1[Data Corrigida],AC$3)/100,"")</f>
        <v>3.666482649012958E-2</v>
      </c>
      <c r="AD47" s="43">
        <f ca="1">IFERROR(AVERAGEIFS(INDIRECT("Tabela1["&amp;$B47&amp;"]"),Tabela1[Data Corrigida],AD$3)/100,"")</f>
        <v>4.4015811838548587E-2</v>
      </c>
      <c r="AE47" s="43">
        <f ca="1">IFERROR(AVERAGEIFS(INDIRECT("Tabela1["&amp;$B47&amp;"]"),Tabela1[Data Corrigida],AE$3)/100,"")</f>
        <v>4.0533760447574639E-2</v>
      </c>
      <c r="AF47" s="43">
        <f ca="1">IFERROR(AVERAGEIFS(INDIRECT("Tabela1["&amp;$B47&amp;"]"),Tabela1[Data Corrigida],AF$3)/100,"")</f>
        <v>5.8096706885602825E-2</v>
      </c>
      <c r="AG47" s="43">
        <f ca="1">IFERROR(AVERAGEIFS(INDIRECT("Tabela1["&amp;$B47&amp;"]"),Tabela1[Data Corrigida],AG$3)/100,"")</f>
        <v>5.6021958569614991E-2</v>
      </c>
      <c r="AH47" s="43">
        <f ca="1">IFERROR(AVERAGEIFS(INDIRECT("Tabela1["&amp;$B47&amp;"]"),Tabela1[Data Corrigida],AH$3)/100,"")</f>
        <v>4.1425593194596939E-2</v>
      </c>
      <c r="AI47" s="43">
        <f ca="1">IFERROR(AVERAGEIFS(INDIRECT("Tabela1["&amp;$B47&amp;"]"),Tabela1[Data Corrigida],AI$3)/100,"")</f>
        <v>7.0010036858492816E-2</v>
      </c>
      <c r="AJ47" s="43">
        <f ca="1">IFERROR(AVERAGEIFS(INDIRECT("Tabela1["&amp;$B47&amp;"]"),Tabela1[Data Corrigida],AJ$3)/100,"")</f>
        <v>5.0184214869247651E-2</v>
      </c>
      <c r="AK47" s="43">
        <f ca="1">IFERROR(AVERAGEIFS(INDIRECT("Tabela1["&amp;$B47&amp;"]"),Tabela1[Data Corrigida],AK$3)/100,"")</f>
        <v>4.7546593921257721E-2</v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58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1.0764330332471463E-2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61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>
        <f ca="1">IFERROR(AVERAGEIFS(INDIRECT("Tabela1["&amp;$B48&amp;"]"),Tabela1[Turno],$D48,Tabela1[Data Corrigida],AC$3)/100,"")</f>
        <v>6.8535348292730579E-3</v>
      </c>
      <c r="AD48" s="34">
        <f ca="1">IFERROR(AVERAGEIFS(INDIRECT("Tabela1["&amp;$B48&amp;"]"),Tabela1[Turno],$D48,Tabela1[Data Corrigida],AD$3)/100,"")</f>
        <v>1.1150793650793654E-2</v>
      </c>
      <c r="AE48" s="34">
        <f ca="1">IFERROR(AVERAGEIFS(INDIRECT("Tabela1["&amp;$B48&amp;"]"),Tabela1[Turno],$D48,Tabela1[Data Corrigida],AE$3)/100,"")</f>
        <v>6.4245899028507721E-3</v>
      </c>
      <c r="AF48" s="34">
        <f ca="1">IFERROR(AVERAGEIFS(INDIRECT("Tabela1["&amp;$B48&amp;"]"),Tabela1[Turno],$D48,Tabela1[Data Corrigida],AF$3)/100,"")</f>
        <v>1.5816404859768735E-2</v>
      </c>
      <c r="AG48" s="34">
        <f ca="1">IFERROR(AVERAGEIFS(INDIRECT("Tabela1["&amp;$B48&amp;"]"),Tabela1[Turno],$D48,Tabela1[Data Corrigida],AG$3)/100,"")</f>
        <v>1.9749158249158252E-2</v>
      </c>
      <c r="AH48" s="34">
        <f ca="1">IFERROR(AVERAGEIFS(INDIRECT("Tabela1["&amp;$B48&amp;"]"),Tabela1[Turno],$D48,Tabela1[Data Corrigida],AH$3)/100,"")</f>
        <v>1.1197477479330344E-2</v>
      </c>
      <c r="AI48" s="34">
        <f ca="1">IFERROR(AVERAGEIFS(INDIRECT("Tabela1["&amp;$B48&amp;"]"),Tabela1[Turno],$D48,Tabela1[Data Corrigida],AI$3)/100,"")</f>
        <v>2.1101247939722158E-2</v>
      </c>
      <c r="AJ48" s="34">
        <f ca="1">IFERROR(AVERAGEIFS(INDIRECT("Tabela1["&amp;$B48&amp;"]"),Tabela1[Turno],$D48,Tabela1[Data Corrigida],AJ$3)/100,"")</f>
        <v>8.9375908367954147E-3</v>
      </c>
      <c r="AK48" s="34">
        <f ca="1">IFERROR(AVERAGEIFS(INDIRECT("Tabela1["&amp;$B48&amp;"]"),Tabela1[Turno],$D48,Tabela1[Data Corrigida],AK$3)/100,"")</f>
        <v>1.2903824200913244E-2</v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59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1.1442736487265639E-3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62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>
        <f ca="1">IFERROR(AVERAGEIFS(INDIRECT("Tabela1["&amp;$B49&amp;"]"),Tabela1[Turno],$D49,Tabela1[Data Corrigida],AC$3)/100,"")</f>
        <v>2.5641025641025645E-3</v>
      </c>
      <c r="AD49" s="36">
        <f ca="1">IFERROR(AVERAGEIFS(INDIRECT("Tabela1["&amp;$B49&amp;"]"),Tabela1[Turno],$D49,Tabela1[Data Corrigida],AD$3)/100,"")</f>
        <v>0</v>
      </c>
      <c r="AE49" s="36">
        <f ca="1">IFERROR(AVERAGEIFS(INDIRECT("Tabela1["&amp;$B49&amp;"]"),Tabela1[Turno],$D49,Tabela1[Data Corrigida],AE$3)/100,"")</f>
        <v>0</v>
      </c>
      <c r="AF49" s="36">
        <f ca="1">IFERROR(AVERAGEIFS(INDIRECT("Tabela1["&amp;$B49&amp;"]"),Tabela1[Turno],$D49,Tabela1[Data Corrigida],AF$3)/100,"")</f>
        <v>0</v>
      </c>
      <c r="AG49" s="36">
        <f ca="1">IFERROR(AVERAGEIFS(INDIRECT("Tabela1["&amp;$B49&amp;"]"),Tabela1[Turno],$D49,Tabela1[Data Corrigida],AG$3)/100,"")</f>
        <v>2.2988505747126441E-3</v>
      </c>
      <c r="AH49" s="36">
        <f ca="1">IFERROR(AVERAGEIFS(INDIRECT("Tabela1["&amp;$B49&amp;"]"),Tabela1[Turno],$D49,Tabela1[Data Corrigida],AH$3)/100,"")</f>
        <v>2.1367521367521365E-3</v>
      </c>
      <c r="AI49" s="36">
        <f ca="1">IFERROR(AVERAGEIFS(INDIRECT("Tabela1["&amp;$B49&amp;"]"),Tabela1[Turno],$D49,Tabela1[Data Corrigida],AI$3)/100,"")</f>
        <v>4.2194092827004225E-3</v>
      </c>
      <c r="AJ49" s="36">
        <f ca="1">IFERROR(AVERAGEIFS(INDIRECT("Tabela1["&amp;$B49&amp;"]"),Tabela1[Turno],$D49,Tabela1[Data Corrigida],AJ$3)/100,"")</f>
        <v>2.5641025641025645E-3</v>
      </c>
      <c r="AK49" s="36">
        <f ca="1">IFERROR(AVERAGEIFS(INDIRECT("Tabela1["&amp;$B49&amp;"]"),Tabela1[Turno],$D49,Tabela1[Data Corrigida],AK$3)/100,"")</f>
        <v>2.123142250530786E-3</v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0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6.6117878790563998E-3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3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>
        <f ca="1">IFERROR(AVERAGEIFS(INDIRECT("Tabela1["&amp;$B50&amp;"]"),Tabela1[Data Corrigida],AC$3)/100,"")</f>
        <v>5.0152067156285611E-3</v>
      </c>
      <c r="AD50" s="38">
        <f ca="1">IFERROR(AVERAGEIFS(INDIRECT("Tabela1["&amp;$B50&amp;"]"),Tabela1[Data Corrigida],AD$3)/100,"")</f>
        <v>5.5753968253968271E-3</v>
      </c>
      <c r="AE50" s="38">
        <f ca="1">IFERROR(AVERAGEIFS(INDIRECT("Tabela1["&amp;$B50&amp;"]"),Tabela1[Data Corrigida],AE$3)/100,"")</f>
        <v>3.6711942302004412E-3</v>
      </c>
      <c r="AF50" s="38">
        <f ca="1">IFERROR(AVERAGEIFS(INDIRECT("Tabela1["&amp;$B50&amp;"]"),Tabela1[Data Corrigida],AF$3)/100,"")</f>
        <v>9.0379456341535633E-3</v>
      </c>
      <c r="AG50" s="38">
        <f ca="1">IFERROR(AVERAGEIFS(INDIRECT("Tabela1["&amp;$B50&amp;"]"),Tabela1[Data Corrigida],AG$3)/100,"")</f>
        <v>1.2270454960110136E-2</v>
      </c>
      <c r="AH50" s="38">
        <f ca="1">IFERROR(AVERAGEIFS(INDIRECT("Tabela1["&amp;$B50&amp;"]"),Tabela1[Data Corrigida],AH$3)/100,"")</f>
        <v>7.3143094753682549E-3</v>
      </c>
      <c r="AI50" s="38">
        <f ca="1">IFERROR(AVERAGEIFS(INDIRECT("Tabela1["&amp;$B50&amp;"]"),Tabela1[Data Corrigida],AI$3)/100,"")</f>
        <v>1.3866174229569985E-2</v>
      </c>
      <c r="AJ50" s="38">
        <f ca="1">IFERROR(AVERAGEIFS(INDIRECT("Tabela1["&amp;$B50&amp;"]"),Tabela1[Data Corrigida],AJ$3)/100,"")</f>
        <v>6.2060958627841931E-3</v>
      </c>
      <c r="AK50" s="38">
        <f ca="1">IFERROR(AVERAGEIFS(INDIRECT("Tabela1["&amp;$B50&amp;"]"),Tabela1[Data Corrigida],AK$3)/100,"")</f>
        <v>8.2835319364636187E-3</v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58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0.34936708860759497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61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>
        <f ca="1">IFERROR(AVERAGEIFS(INDIRECT("Tabela1["&amp;$B51&amp;"]"),Tabela1[Turno],$D51,Tabela1[Data Corrigida],AC$3)/100,"")</f>
        <v>0.34</v>
      </c>
      <c r="AD51" s="40">
        <f ca="1">IFERROR(AVERAGEIFS(INDIRECT("Tabela1["&amp;$B51&amp;"]"),Tabela1[Turno],$D51,Tabela1[Data Corrigida],AD$3)/100,"")</f>
        <v>0.32666666666666666</v>
      </c>
      <c r="AE51" s="40">
        <f ca="1">IFERROR(AVERAGEIFS(INDIRECT("Tabela1["&amp;$B51&amp;"]"),Tabela1[Turno],$D51,Tabela1[Data Corrigida],AE$3)/100,"")</f>
        <v>0.36</v>
      </c>
      <c r="AF51" s="40">
        <f ca="1">IFERROR(AVERAGEIFS(INDIRECT("Tabela1["&amp;$B51&amp;"]"),Tabela1[Turno],$D51,Tabela1[Data Corrigida],AF$3)/100,"")</f>
        <v>0.36</v>
      </c>
      <c r="AG51" s="40">
        <f ca="1">IFERROR(AVERAGEIFS(INDIRECT("Tabela1["&amp;$B51&amp;"]"),Tabela1[Turno],$D51,Tabela1[Data Corrigida],AG$3)/100,"")</f>
        <v>0.32</v>
      </c>
      <c r="AH51" s="40">
        <f ca="1">IFERROR(AVERAGEIFS(INDIRECT("Tabela1["&amp;$B51&amp;"]"),Tabela1[Turno],$D51,Tabela1[Data Corrigida],AH$3)/100,"")</f>
        <v>0.39</v>
      </c>
      <c r="AI51" s="40">
        <f ca="1">IFERROR(AVERAGEIFS(INDIRECT("Tabela1["&amp;$B51&amp;"]"),Tabela1[Turno],$D51,Tabela1[Data Corrigida],AI$3)/100,"")</f>
        <v>0.4</v>
      </c>
      <c r="AJ51" s="40">
        <f ca="1">IFERROR(AVERAGEIFS(INDIRECT("Tabela1["&amp;$B51&amp;"]"),Tabela1[Turno],$D51,Tabela1[Data Corrigida],AJ$3)/100,"")</f>
        <v>0.375</v>
      </c>
      <c r="AK51" s="40">
        <f ca="1">IFERROR(AVERAGEIFS(INDIRECT("Tabela1["&amp;$B51&amp;"]"),Tabela1[Turno],$D51,Tabela1[Data Corrigida],AK$3)/100,"")</f>
        <v>0.34499999999999997</v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59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0.23666666666666669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62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>
        <f ca="1">IFERROR(AVERAGEIFS(INDIRECT("Tabela1["&amp;$B52&amp;"]"),Tabela1[Turno],$D52,Tabela1[Data Corrigida],AC$3)/100,"")</f>
        <v>0.21333333333333332</v>
      </c>
      <c r="AD52" s="36">
        <f ca="1">IFERROR(AVERAGEIFS(INDIRECT("Tabela1["&amp;$B52&amp;"]"),Tabela1[Turno],$D52,Tabela1[Data Corrigida],AD$3)/100,"")</f>
        <v>0.3066666666666667</v>
      </c>
      <c r="AE52" s="36">
        <f ca="1">IFERROR(AVERAGEIFS(INDIRECT("Tabela1["&amp;$B52&amp;"]"),Tabela1[Turno],$D52,Tabela1[Data Corrigida],AE$3)/100,"")</f>
        <v>0.32</v>
      </c>
      <c r="AF52" s="36">
        <f ca="1">IFERROR(AVERAGEIFS(INDIRECT("Tabela1["&amp;$B52&amp;"]"),Tabela1[Turno],$D52,Tabela1[Data Corrigida],AF$3)/100,"")</f>
        <v>0.34</v>
      </c>
      <c r="AG52" s="36">
        <f ca="1">IFERROR(AVERAGEIFS(INDIRECT("Tabela1["&amp;$B52&amp;"]"),Tabela1[Turno],$D52,Tabela1[Data Corrigida],AG$3)/100,"")</f>
        <v>0.36666666666666664</v>
      </c>
      <c r="AH52" s="36">
        <f ca="1">IFERROR(AVERAGEIFS(INDIRECT("Tabela1["&amp;$B52&amp;"]"),Tabela1[Turno],$D52,Tabela1[Data Corrigida],AH$3)/100,"")</f>
        <v>0.38666666666666666</v>
      </c>
      <c r="AI52" s="36">
        <f ca="1">IFERROR(AVERAGEIFS(INDIRECT("Tabela1["&amp;$B52&amp;"]"),Tabela1[Turno],$D52,Tabela1[Data Corrigida],AI$3)/100,"")</f>
        <v>0.38666666666666666</v>
      </c>
      <c r="AJ52" s="36">
        <f ca="1">IFERROR(AVERAGEIFS(INDIRECT("Tabela1["&amp;$B52&amp;"]"),Tabela1[Turno],$D52,Tabela1[Data Corrigida],AJ$3)/100,"")</f>
        <v>0.37333333333333335</v>
      </c>
      <c r="AK52" s="36">
        <f ca="1">IFERROR(AVERAGEIFS(INDIRECT("Tabela1["&amp;$B52&amp;"]"),Tabela1[Turno],$D52,Tabela1[Data Corrigida],AK$3)/100,"")</f>
        <v>0.37333333333333335</v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0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0.30071942446043165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3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>
        <f ca="1">IFERROR(AVERAGEIFS(INDIRECT("Tabela1["&amp;$B53&amp;"]"),Tabela1[Data Corrigida],AC$3)/100,"")</f>
        <v>0.28571428571428575</v>
      </c>
      <c r="AD53" s="53">
        <f ca="1">IFERROR(AVERAGEIFS(INDIRECT("Tabela1["&amp;$B53&amp;"]"),Tabela1[Data Corrigida],AD$3)/100,"")</f>
        <v>0.31666666666666665</v>
      </c>
      <c r="AE53" s="53">
        <f ca="1">IFERROR(AVERAGEIFS(INDIRECT("Tabela1["&amp;$B53&amp;"]"),Tabela1[Data Corrigida],AE$3)/100,"")</f>
        <v>0.34285714285714286</v>
      </c>
      <c r="AF53" s="53">
        <f ca="1">IFERROR(AVERAGEIFS(INDIRECT("Tabela1["&amp;$B53&amp;"]"),Tabela1[Data Corrigida],AF$3)/100,"")</f>
        <v>0.35142857142857148</v>
      </c>
      <c r="AG53" s="53">
        <f ca="1">IFERROR(AVERAGEIFS(INDIRECT("Tabela1["&amp;$B53&amp;"]"),Tabela1[Data Corrigida],AG$3)/100,"")</f>
        <v>0.34</v>
      </c>
      <c r="AH53" s="53">
        <f ca="1">IFERROR(AVERAGEIFS(INDIRECT("Tabela1["&amp;$B53&amp;"]"),Tabela1[Data Corrigida],AH$3)/100,"")</f>
        <v>0.38857142857142857</v>
      </c>
      <c r="AI53" s="53">
        <f ca="1">IFERROR(AVERAGEIFS(INDIRECT("Tabela1["&amp;$B53&amp;"]"),Tabela1[Data Corrigida],AI$3)/100,"")</f>
        <v>0.39428571428571429</v>
      </c>
      <c r="AJ53" s="53">
        <f ca="1">IFERROR(AVERAGEIFS(INDIRECT("Tabela1["&amp;$B53&amp;"]"),Tabela1[Data Corrigida],AJ$3)/100,"")</f>
        <v>0.37428571428571433</v>
      </c>
      <c r="AK53" s="53">
        <f ca="1">IFERROR(AVERAGEIFS(INDIRECT("Tabela1["&amp;$B53&amp;"]"),Tabela1[Data Corrigida],AK$3)/100,"")</f>
        <v>0.35714285714285715</v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58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1.2820512820512818E-3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61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>
        <f ca="1">IFERROR(AVERAGEIFS(INDIRECT("Tabela1["&amp;$B54&amp;"]"),Tabela1[Turno],$D54,Tabela1[Data Corrigida],AC$3)/100,"")</f>
        <v>0</v>
      </c>
      <c r="AD54" s="40">
        <f ca="1">IFERROR(AVERAGEIFS(INDIRECT("Tabela1["&amp;$B54&amp;"]"),Tabela1[Turno],$D54,Tabela1[Data Corrigida],AD$3)/100,"")</f>
        <v>6.6666666666666662E-3</v>
      </c>
      <c r="AE54" s="40">
        <f ca="1">IFERROR(AVERAGEIFS(INDIRECT("Tabela1["&amp;$B54&amp;"]"),Tabela1[Turno],$D54,Tabela1[Data Corrigida],AE$3)/100,"")</f>
        <v>5.0000000000000001E-3</v>
      </c>
      <c r="AF54" s="40">
        <f ca="1">IFERROR(AVERAGEIFS(INDIRECT("Tabela1["&amp;$B54&amp;"]"),Tabela1[Turno],$D54,Tabela1[Data Corrigida],AF$3)/100,"")</f>
        <v>5.0000000000000001E-3</v>
      </c>
      <c r="AG54" s="40">
        <f ca="1">IFERROR(AVERAGEIFS(INDIRECT("Tabela1["&amp;$B54&amp;"]"),Tabela1[Turno],$D54,Tabela1[Data Corrigida],AG$3)/100,"")</f>
        <v>0</v>
      </c>
      <c r="AH54" s="40">
        <f ca="1">IFERROR(AVERAGEIFS(INDIRECT("Tabela1["&amp;$B54&amp;"]"),Tabela1[Turno],$D54,Tabela1[Data Corrigida],AH$3)/100,"")</f>
        <v>0</v>
      </c>
      <c r="AI54" s="40">
        <f ca="1">IFERROR(AVERAGEIFS(INDIRECT("Tabela1["&amp;$B54&amp;"]"),Tabela1[Turno],$D54,Tabela1[Data Corrigida],AI$3)/100,"")</f>
        <v>5.0000000000000001E-3</v>
      </c>
      <c r="AJ54" s="40">
        <f ca="1">IFERROR(AVERAGEIFS(INDIRECT("Tabela1["&amp;$B54&amp;"]"),Tabela1[Turno],$D54,Tabela1[Data Corrigida],AJ$3)/100,"")</f>
        <v>0</v>
      </c>
      <c r="AK54" s="40">
        <f ca="1">IFERROR(AVERAGEIFS(INDIRECT("Tabela1["&amp;$B54&amp;"]"),Tabela1[Turno],$D54,Tabela1[Data Corrigida],AK$3)/100,"")</f>
        <v>0</v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59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4.6666666666666671E-3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62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>
        <f ca="1">IFERROR(AVERAGEIFS(INDIRECT("Tabela1["&amp;$B55&amp;"]"),Tabela1[Turno],$D55,Tabela1[Data Corrigida],AC$3)/100,"")</f>
        <v>0.02</v>
      </c>
      <c r="AD55" s="36">
        <f ca="1">IFERROR(AVERAGEIFS(INDIRECT("Tabela1["&amp;$B55&amp;"]"),Tabela1[Turno],$D55,Tabela1[Data Corrigida],AD$3)/100,"")</f>
        <v>0</v>
      </c>
      <c r="AE55" s="36">
        <f ca="1">IFERROR(AVERAGEIFS(INDIRECT("Tabela1["&amp;$B55&amp;"]"),Tabela1[Turno],$D55,Tabela1[Data Corrigida],AE$3)/100,"")</f>
        <v>0</v>
      </c>
      <c r="AF55" s="36">
        <f ca="1">IFERROR(AVERAGEIFS(INDIRECT("Tabela1["&amp;$B55&amp;"]"),Tabela1[Turno],$D55,Tabela1[Data Corrigida],AF$3)/100,"")</f>
        <v>1.3333333333333332E-2</v>
      </c>
      <c r="AG55" s="36">
        <f ca="1">IFERROR(AVERAGEIFS(INDIRECT("Tabela1["&amp;$B55&amp;"]"),Tabela1[Turno],$D55,Tabela1[Data Corrigida],AG$3)/100,"")</f>
        <v>0</v>
      </c>
      <c r="AH55" s="36">
        <f ca="1">IFERROR(AVERAGEIFS(INDIRECT("Tabela1["&amp;$B55&amp;"]"),Tabela1[Turno],$D55,Tabela1[Data Corrigida],AH$3)/100,"")</f>
        <v>0</v>
      </c>
      <c r="AI55" s="36">
        <f ca="1">IFERROR(AVERAGEIFS(INDIRECT("Tabela1["&amp;$B55&amp;"]"),Tabela1[Turno],$D55,Tabela1[Data Corrigida],AI$3)/100,"")</f>
        <v>0</v>
      </c>
      <c r="AJ55" s="36">
        <f ca="1">IFERROR(AVERAGEIFS(INDIRECT("Tabela1["&amp;$B55&amp;"]"),Tabela1[Turno],$D55,Tabela1[Data Corrigida],AJ$3)/100,"")</f>
        <v>0</v>
      </c>
      <c r="AK55" s="36">
        <f ca="1">IFERROR(AVERAGEIFS(INDIRECT("Tabela1["&amp;$B55&amp;"]"),Tabela1[Turno],$D55,Tabela1[Data Corrigida],AK$3)/100,"")</f>
        <v>0</v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0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2.7536231884057972E-3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3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>
        <f ca="1">IFERROR(AVERAGEIFS(INDIRECT("Tabela1["&amp;$B56&amp;"]"),Tabela1[Data Corrigida],AC$3)/100,"")</f>
        <v>8.5714285714285701E-3</v>
      </c>
      <c r="AD56" s="38">
        <f ca="1">IFERROR(AVERAGEIFS(INDIRECT("Tabela1["&amp;$B56&amp;"]"),Tabela1[Data Corrigida],AD$3)/100,"")</f>
        <v>3.3333333333333331E-3</v>
      </c>
      <c r="AE56" s="38">
        <f ca="1">IFERROR(AVERAGEIFS(INDIRECT("Tabela1["&amp;$B56&amp;"]"),Tabela1[Data Corrigida],AE$3)/100,"")</f>
        <v>2.8571428571428571E-3</v>
      </c>
      <c r="AF56" s="38">
        <f ca="1">IFERROR(AVERAGEIFS(INDIRECT("Tabela1["&amp;$B56&amp;"]"),Tabela1[Data Corrigida],AF$3)/100,"")</f>
        <v>8.5714285714285701E-3</v>
      </c>
      <c r="AG56" s="38">
        <f ca="1">IFERROR(AVERAGEIFS(INDIRECT("Tabela1["&amp;$B56&amp;"]"),Tabela1[Data Corrigida],AG$3)/100,"")</f>
        <v>0</v>
      </c>
      <c r="AH56" s="38">
        <f ca="1">IFERROR(AVERAGEIFS(INDIRECT("Tabela1["&amp;$B56&amp;"]"),Tabela1[Data Corrigida],AH$3)/100,"")</f>
        <v>0</v>
      </c>
      <c r="AI56" s="38">
        <f ca="1">IFERROR(AVERAGEIFS(INDIRECT("Tabela1["&amp;$B56&amp;"]"),Tabela1[Data Corrigida],AI$3)/100,"")</f>
        <v>2.8571428571428571E-3</v>
      </c>
      <c r="AJ56" s="38">
        <f ca="1">IFERROR(AVERAGEIFS(INDIRECT("Tabela1["&amp;$B56&amp;"]"),Tabela1[Data Corrigida],AJ$3)/100,"")</f>
        <v>0</v>
      </c>
      <c r="AK56" s="38">
        <f ca="1">IFERROR(AVERAGEIFS(INDIRECT("Tabela1["&amp;$B56&amp;"]"),Tabela1[Data Corrigida],AK$3)/100,"")</f>
        <v>0</v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58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1.2820512820512818E-3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61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>
        <f ca="1">IFERROR(AVERAGEIFS(INDIRECT("Tabela1["&amp;$B57&amp;"]"),Tabela1[Turno],$D57,Tabela1[Data Corrigida],AC$3)/100,"")</f>
        <v>0</v>
      </c>
      <c r="AD57" s="40">
        <f ca="1">IFERROR(AVERAGEIFS(INDIRECT("Tabela1["&amp;$B57&amp;"]"),Tabela1[Turno],$D57,Tabela1[Data Corrigida],AD$3)/100,"")</f>
        <v>6.6666666666666662E-3</v>
      </c>
      <c r="AE57" s="40">
        <f ca="1">IFERROR(AVERAGEIFS(INDIRECT("Tabela1["&amp;$B57&amp;"]"),Tabela1[Turno],$D57,Tabela1[Data Corrigida],AE$3)/100,"")</f>
        <v>5.0000000000000001E-3</v>
      </c>
      <c r="AF57" s="40">
        <f ca="1">IFERROR(AVERAGEIFS(INDIRECT("Tabela1["&amp;$B57&amp;"]"),Tabela1[Turno],$D57,Tabela1[Data Corrigida],AF$3)/100,"")</f>
        <v>5.0000000000000001E-3</v>
      </c>
      <c r="AG57" s="40">
        <f ca="1">IFERROR(AVERAGEIFS(INDIRECT("Tabela1["&amp;$B57&amp;"]"),Tabela1[Turno],$D57,Tabela1[Data Corrigida],AG$3)/100,"")</f>
        <v>0</v>
      </c>
      <c r="AH57" s="40">
        <f ca="1">IFERROR(AVERAGEIFS(INDIRECT("Tabela1["&amp;$B57&amp;"]"),Tabela1[Turno],$D57,Tabela1[Data Corrigida],AH$3)/100,"")</f>
        <v>0</v>
      </c>
      <c r="AI57" s="40">
        <f ca="1">IFERROR(AVERAGEIFS(INDIRECT("Tabela1["&amp;$B57&amp;"]"),Tabela1[Turno],$D57,Tabela1[Data Corrigida],AI$3)/100,"")</f>
        <v>5.0000000000000001E-3</v>
      </c>
      <c r="AJ57" s="40">
        <f ca="1">IFERROR(AVERAGEIFS(INDIRECT("Tabela1["&amp;$B57&amp;"]"),Tabela1[Turno],$D57,Tabela1[Data Corrigida],AJ$3)/100,"")</f>
        <v>0</v>
      </c>
      <c r="AK57" s="40">
        <f ca="1">IFERROR(AVERAGEIFS(INDIRECT("Tabela1["&amp;$B57&amp;"]"),Tabela1[Turno],$D57,Tabela1[Data Corrigida],AK$3)/100,"")</f>
        <v>0</v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59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4.0000000000000001E-3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62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>
        <f ca="1">IFERROR(AVERAGEIFS(INDIRECT("Tabela1["&amp;$B58&amp;"]"),Tabela1[Turno],$D58,Tabela1[Data Corrigida],AC$3)/100,"")</f>
        <v>1.3333333333333332E-2</v>
      </c>
      <c r="AD58" s="36">
        <f ca="1">IFERROR(AVERAGEIFS(INDIRECT("Tabela1["&amp;$B58&amp;"]"),Tabela1[Turno],$D58,Tabela1[Data Corrigida],AD$3)/100,"")</f>
        <v>0</v>
      </c>
      <c r="AE58" s="36">
        <f ca="1">IFERROR(AVERAGEIFS(INDIRECT("Tabela1["&amp;$B58&amp;"]"),Tabela1[Turno],$D58,Tabela1[Data Corrigida],AE$3)/100,"")</f>
        <v>6.6666666666666662E-3</v>
      </c>
      <c r="AF58" s="36">
        <f ca="1">IFERROR(AVERAGEIFS(INDIRECT("Tabela1["&amp;$B58&amp;"]"),Tabela1[Turno],$D58,Tabela1[Data Corrigida],AF$3)/100,"")</f>
        <v>1.3333333333333332E-2</v>
      </c>
      <c r="AG58" s="36">
        <f ca="1">IFERROR(AVERAGEIFS(INDIRECT("Tabela1["&amp;$B58&amp;"]"),Tabela1[Turno],$D58,Tabela1[Data Corrigida],AG$3)/100,"")</f>
        <v>0</v>
      </c>
      <c r="AH58" s="36">
        <f ca="1">IFERROR(AVERAGEIFS(INDIRECT("Tabela1["&amp;$B58&amp;"]"),Tabela1[Turno],$D58,Tabela1[Data Corrigida],AH$3)/100,"")</f>
        <v>0</v>
      </c>
      <c r="AI58" s="36">
        <f ca="1">IFERROR(AVERAGEIFS(INDIRECT("Tabela1["&amp;$B58&amp;"]"),Tabela1[Turno],$D58,Tabela1[Data Corrigida],AI$3)/100,"")</f>
        <v>0</v>
      </c>
      <c r="AJ58" s="36">
        <f ca="1">IFERROR(AVERAGEIFS(INDIRECT("Tabela1["&amp;$B58&amp;"]"),Tabela1[Turno],$D58,Tabela1[Data Corrigida],AJ$3)/100,"")</f>
        <v>0</v>
      </c>
      <c r="AK58" s="36">
        <f ca="1">IFERROR(AVERAGEIFS(INDIRECT("Tabela1["&amp;$B58&amp;"]"),Tabela1[Turno],$D58,Tabela1[Data Corrigida],AK$3)/100,"")</f>
        <v>0</v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0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2.4637681159420293E-3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3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>
        <f ca="1">IFERROR(AVERAGEIFS(INDIRECT("Tabela1["&amp;$B59&amp;"]"),Tabela1[Data Corrigida],AC$3)/100,"")</f>
        <v>5.7142857142857143E-3</v>
      </c>
      <c r="AD59" s="43">
        <f ca="1">IFERROR(AVERAGEIFS(INDIRECT("Tabela1["&amp;$B59&amp;"]"),Tabela1[Data Corrigida],AD$3)/100,"")</f>
        <v>3.3333333333333331E-3</v>
      </c>
      <c r="AE59" s="43">
        <f ca="1">IFERROR(AVERAGEIFS(INDIRECT("Tabela1["&amp;$B59&amp;"]"),Tabela1[Data Corrigida],AE$3)/100,"")</f>
        <v>5.7142857142857143E-3</v>
      </c>
      <c r="AF59" s="43">
        <f ca="1">IFERROR(AVERAGEIFS(INDIRECT("Tabela1["&amp;$B59&amp;"]"),Tabela1[Data Corrigida],AF$3)/100,"")</f>
        <v>8.5714285714285701E-3</v>
      </c>
      <c r="AG59" s="43">
        <f ca="1">IFERROR(AVERAGEIFS(INDIRECT("Tabela1["&amp;$B59&amp;"]"),Tabela1[Data Corrigida],AG$3)/100,"")</f>
        <v>0</v>
      </c>
      <c r="AH59" s="43">
        <f ca="1">IFERROR(AVERAGEIFS(INDIRECT("Tabela1["&amp;$B59&amp;"]"),Tabela1[Data Corrigida],AH$3)/100,"")</f>
        <v>0</v>
      </c>
      <c r="AI59" s="43">
        <f ca="1">IFERROR(AVERAGEIFS(INDIRECT("Tabela1["&amp;$B59&amp;"]"),Tabela1[Data Corrigida],AI$3)/100,"")</f>
        <v>2.8571428571428571E-3</v>
      </c>
      <c r="AJ59" s="43">
        <f ca="1">IFERROR(AVERAGEIFS(INDIRECT("Tabela1["&amp;$B59&amp;"]"),Tabela1[Data Corrigida],AJ$3)/100,"")</f>
        <v>0</v>
      </c>
      <c r="AK59" s="43">
        <f ca="1">IFERROR(AVERAGEIFS(INDIRECT("Tabela1["&amp;$B59&amp;"]"),Tabela1[Data Corrigida],AK$3)/100,"")</f>
        <v>0</v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58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0.21316455696202533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61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>
        <f ca="1">IFERROR(AVERAGEIFS(INDIRECT("Tabela1["&amp;$B60&amp;"]"),Tabela1[Turno],$D60,Tabela1[Data Corrigida],AC$3)/100,"")</f>
        <v>0.255</v>
      </c>
      <c r="AD60" s="34">
        <f ca="1">IFERROR(AVERAGEIFS(INDIRECT("Tabela1["&amp;$B60&amp;"]"),Tabela1[Turno],$D60,Tabela1[Data Corrigida],AD$3)/100,"")</f>
        <v>0.24333333333333332</v>
      </c>
      <c r="AE60" s="34">
        <f ca="1">IFERROR(AVERAGEIFS(INDIRECT("Tabela1["&amp;$B60&amp;"]"),Tabela1[Turno],$D60,Tabela1[Data Corrigida],AE$3)/100,"")</f>
        <v>0.2225</v>
      </c>
      <c r="AF60" s="34">
        <f ca="1">IFERROR(AVERAGEIFS(INDIRECT("Tabela1["&amp;$B60&amp;"]"),Tabela1[Turno],$D60,Tabela1[Data Corrigida],AF$3)/100,"")</f>
        <v>0.23749999999999999</v>
      </c>
      <c r="AG60" s="34">
        <f ca="1">IFERROR(AVERAGEIFS(INDIRECT("Tabela1["&amp;$B60&amp;"]"),Tabela1[Turno],$D60,Tabela1[Data Corrigida],AG$3)/100,"")</f>
        <v>0.23250000000000001</v>
      </c>
      <c r="AH60" s="34">
        <f ca="1">IFERROR(AVERAGEIFS(INDIRECT("Tabela1["&amp;$B60&amp;"]"),Tabela1[Turno],$D60,Tabela1[Data Corrigida],AH$3)/100,"")</f>
        <v>0.19500000000000001</v>
      </c>
      <c r="AI60" s="34">
        <f ca="1">IFERROR(AVERAGEIFS(INDIRECT("Tabela1["&amp;$B60&amp;"]"),Tabela1[Turno],$D60,Tabela1[Data Corrigida],AI$3)/100,"")</f>
        <v>0.2175</v>
      </c>
      <c r="AJ60" s="34">
        <f ca="1">IFERROR(AVERAGEIFS(INDIRECT("Tabela1["&amp;$B60&amp;"]"),Tabela1[Turno],$D60,Tabela1[Data Corrigida],AJ$3)/100,"")</f>
        <v>0.17749999999999999</v>
      </c>
      <c r="AK60" s="34">
        <f ca="1">IFERROR(AVERAGEIFS(INDIRECT("Tabela1["&amp;$B60&amp;"]"),Tabela1[Turno],$D60,Tabela1[Data Corrigida],AK$3)/100,"")</f>
        <v>0.23</v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59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0.13633333333333333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62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>
        <f ca="1">IFERROR(AVERAGEIFS(INDIRECT("Tabela1["&amp;$B61&amp;"]"),Tabela1[Turno],$D61,Tabela1[Data Corrigida],AC$3)/100,"")</f>
        <v>0.20666666666666667</v>
      </c>
      <c r="AD61" s="36">
        <f ca="1">IFERROR(AVERAGEIFS(INDIRECT("Tabela1["&amp;$B61&amp;"]"),Tabela1[Turno],$D61,Tabela1[Data Corrigida],AD$3)/100,"")</f>
        <v>0.23333333333333331</v>
      </c>
      <c r="AE61" s="36">
        <f ca="1">IFERROR(AVERAGEIFS(INDIRECT("Tabela1["&amp;$B61&amp;"]"),Tabela1[Turno],$D61,Tabela1[Data Corrigida],AE$3)/100,"")</f>
        <v>0.19</v>
      </c>
      <c r="AF61" s="36">
        <f ca="1">IFERROR(AVERAGEIFS(INDIRECT("Tabela1["&amp;$B61&amp;"]"),Tabela1[Turno],$D61,Tabela1[Data Corrigida],AF$3)/100,"")</f>
        <v>0.21666666666666667</v>
      </c>
      <c r="AG61" s="36">
        <f ca="1">IFERROR(AVERAGEIFS(INDIRECT("Tabela1["&amp;$B61&amp;"]"),Tabela1[Turno],$D61,Tabela1[Data Corrigida],AG$3)/100,"")</f>
        <v>0.22666666666666668</v>
      </c>
      <c r="AH61" s="36">
        <f ca="1">IFERROR(AVERAGEIFS(INDIRECT("Tabela1["&amp;$B61&amp;"]"),Tabela1[Turno],$D61,Tabela1[Data Corrigida],AH$3)/100,"")</f>
        <v>0.17333333333333331</v>
      </c>
      <c r="AI61" s="36">
        <f ca="1">IFERROR(AVERAGEIFS(INDIRECT("Tabela1["&amp;$B61&amp;"]"),Tabela1[Turno],$D61,Tabela1[Data Corrigida],AI$3)/100,"")</f>
        <v>0.22</v>
      </c>
      <c r="AJ61" s="36">
        <f ca="1">IFERROR(AVERAGEIFS(INDIRECT("Tabela1["&amp;$B61&amp;"]"),Tabela1[Turno],$D61,Tabela1[Data Corrigida],AJ$3)/100,"")</f>
        <v>0.19666666666666668</v>
      </c>
      <c r="AK61" s="36">
        <f ca="1">IFERROR(AVERAGEIFS(INDIRECT("Tabela1["&amp;$B61&amp;"]"),Tabela1[Turno],$D61,Tabela1[Data Corrigida],AK$3)/100,"")</f>
        <v>0.19666666666666668</v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0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0.18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3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>
        <f ca="1">IFERROR(AVERAGEIFS(INDIRECT("Tabela1["&amp;$B62&amp;"]"),Tabela1[Data Corrigida],AC$3)/100,"")</f>
        <v>0.23428571428571426</v>
      </c>
      <c r="AD62" s="38">
        <f ca="1">IFERROR(AVERAGEIFS(INDIRECT("Tabela1["&amp;$B62&amp;"]"),Tabela1[Data Corrigida],AD$3)/100,"")</f>
        <v>0.23833333333333331</v>
      </c>
      <c r="AE62" s="38">
        <f ca="1">IFERROR(AVERAGEIFS(INDIRECT("Tabela1["&amp;$B62&amp;"]"),Tabela1[Data Corrigida],AE$3)/100,"")</f>
        <v>0.20857142857142857</v>
      </c>
      <c r="AF62" s="38">
        <f ca="1">IFERROR(AVERAGEIFS(INDIRECT("Tabela1["&amp;$B62&amp;"]"),Tabela1[Data Corrigida],AF$3)/100,"")</f>
        <v>0.22857142857142856</v>
      </c>
      <c r="AG62" s="38">
        <f ca="1">IFERROR(AVERAGEIFS(INDIRECT("Tabela1["&amp;$B62&amp;"]"),Tabela1[Data Corrigida],AG$3)/100,"")</f>
        <v>0.23</v>
      </c>
      <c r="AH62" s="38">
        <f ca="1">IFERROR(AVERAGEIFS(INDIRECT("Tabela1["&amp;$B62&amp;"]"),Tabela1[Data Corrigida],AH$3)/100,"")</f>
        <v>0.18571428571428572</v>
      </c>
      <c r="AI62" s="38">
        <f ca="1">IFERROR(AVERAGEIFS(INDIRECT("Tabela1["&amp;$B62&amp;"]"),Tabela1[Data Corrigida],AI$3)/100,"")</f>
        <v>0.21857142857142858</v>
      </c>
      <c r="AJ62" s="38">
        <f ca="1">IFERROR(AVERAGEIFS(INDIRECT("Tabela1["&amp;$B62&amp;"]"),Tabela1[Data Corrigida],AJ$3)/100,"")</f>
        <v>0.18571428571428572</v>
      </c>
      <c r="AK62" s="38">
        <f ca="1">IFERROR(AVERAGEIFS(INDIRECT("Tabela1["&amp;$B62&amp;"]"),Tabela1[Data Corrigida],AK$3)/100,"")</f>
        <v>0.21571428571428572</v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58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0.16860759493670888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61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>
        <f ca="1">IFERROR(AVERAGEIFS(INDIRECT("Tabela1["&amp;$B63&amp;"]"),Tabela1[Turno],$D63,Tabela1[Data Corrigida],AC$3)/100,"")</f>
        <v>0.14000000000000001</v>
      </c>
      <c r="AD63" s="40">
        <f ca="1">IFERROR(AVERAGEIFS(INDIRECT("Tabela1["&amp;$B63&amp;"]"),Tabela1[Turno],$D63,Tabela1[Data Corrigida],AD$3)/100,"")</f>
        <v>0.18333333333333332</v>
      </c>
      <c r="AE63" s="40">
        <f ca="1">IFERROR(AVERAGEIFS(INDIRECT("Tabela1["&amp;$B63&amp;"]"),Tabela1[Turno],$D63,Tabela1[Data Corrigida],AE$3)/100,"")</f>
        <v>0.11</v>
      </c>
      <c r="AF63" s="40">
        <f ca="1">IFERROR(AVERAGEIFS(INDIRECT("Tabela1["&amp;$B63&amp;"]"),Tabela1[Turno],$D63,Tabela1[Data Corrigida],AF$3)/100,"")</f>
        <v>0.1925</v>
      </c>
      <c r="AG63" s="40">
        <f ca="1">IFERROR(AVERAGEIFS(INDIRECT("Tabela1["&amp;$B63&amp;"]"),Tabela1[Turno],$D63,Tabela1[Data Corrigida],AG$3)/100,"")</f>
        <v>0.19750000000000001</v>
      </c>
      <c r="AH63" s="40">
        <f ca="1">IFERROR(AVERAGEIFS(INDIRECT("Tabela1["&amp;$B63&amp;"]"),Tabela1[Turno],$D63,Tabela1[Data Corrigida],AH$3)/100,"")</f>
        <v>0.16250000000000001</v>
      </c>
      <c r="AI63" s="40">
        <f ca="1">IFERROR(AVERAGEIFS(INDIRECT("Tabela1["&amp;$B63&amp;"]"),Tabela1[Turno],$D63,Tabela1[Data Corrigida],AI$3)/100,"")</f>
        <v>0.19500000000000001</v>
      </c>
      <c r="AJ63" s="40">
        <f ca="1">IFERROR(AVERAGEIFS(INDIRECT("Tabela1["&amp;$B63&amp;"]"),Tabela1[Turno],$D63,Tabela1[Data Corrigida],AJ$3)/100,"")</f>
        <v>0.20250000000000001</v>
      </c>
      <c r="AK63" s="40">
        <f ca="1">IFERROR(AVERAGEIFS(INDIRECT("Tabela1["&amp;$B63&amp;"]"),Tabela1[Turno],$D63,Tabela1[Data Corrigida],AK$3)/100,"")</f>
        <v>0.1875</v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59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0.10133333333333333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62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>
        <f ca="1">IFERROR(AVERAGEIFS(INDIRECT("Tabela1["&amp;$B64&amp;"]"),Tabela1[Turno],$D64,Tabela1[Data Corrigida],AC$3)/100,"")</f>
        <v>0.13666666666666666</v>
      </c>
      <c r="AD64" s="36">
        <f ca="1">IFERROR(AVERAGEIFS(INDIRECT("Tabela1["&amp;$B64&amp;"]"),Tabela1[Turno],$D64,Tabela1[Data Corrigida],AD$3)/100,"")</f>
        <v>0.13333333333333333</v>
      </c>
      <c r="AE64" s="36">
        <f ca="1">IFERROR(AVERAGEIFS(INDIRECT("Tabela1["&amp;$B64&amp;"]"),Tabela1[Turno],$D64,Tabela1[Data Corrigida],AE$3)/100,"")</f>
        <v>0.16666666666666669</v>
      </c>
      <c r="AF64" s="36">
        <f ca="1">IFERROR(AVERAGEIFS(INDIRECT("Tabela1["&amp;$B64&amp;"]"),Tabela1[Turno],$D64,Tabela1[Data Corrigida],AF$3)/100,"")</f>
        <v>0.16</v>
      </c>
      <c r="AG64" s="36">
        <f ca="1">IFERROR(AVERAGEIFS(INDIRECT("Tabela1["&amp;$B64&amp;"]"),Tabela1[Turno],$D64,Tabela1[Data Corrigida],AG$3)/100,"")</f>
        <v>0.16</v>
      </c>
      <c r="AH64" s="36">
        <f ca="1">IFERROR(AVERAGEIFS(INDIRECT("Tabela1["&amp;$B64&amp;"]"),Tabela1[Turno],$D64,Tabela1[Data Corrigida],AH$3)/100,"")</f>
        <v>0.14333333333333334</v>
      </c>
      <c r="AI64" s="36">
        <f ca="1">IFERROR(AVERAGEIFS(INDIRECT("Tabela1["&amp;$B64&amp;"]"),Tabela1[Turno],$D64,Tabela1[Data Corrigida],AI$3)/100,"")</f>
        <v>0.20333333333333331</v>
      </c>
      <c r="AJ64" s="36">
        <f ca="1">IFERROR(AVERAGEIFS(INDIRECT("Tabela1["&amp;$B64&amp;"]"),Tabela1[Turno],$D64,Tabela1[Data Corrigida],AJ$3)/100,"")</f>
        <v>0.18</v>
      </c>
      <c r="AK64" s="36">
        <f ca="1">IFERROR(AVERAGEIFS(INDIRECT("Tabela1["&amp;$B64&amp;"]"),Tabela1[Turno],$D64,Tabela1[Data Corrigida],AK$3)/100,"")</f>
        <v>0.16666666666666669</v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0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0.13956834532374102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3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>
        <f ca="1">IFERROR(AVERAGEIFS(INDIRECT("Tabela1["&amp;$B65&amp;"]"),Tabela1[Data Corrigida],AC$3)/100,"")</f>
        <v>0.13857142857142857</v>
      </c>
      <c r="AD65" s="38">
        <f ca="1">IFERROR(AVERAGEIFS(INDIRECT("Tabela1["&amp;$B65&amp;"]"),Tabela1[Data Corrigida],AD$3)/100,"")</f>
        <v>0.15833333333333333</v>
      </c>
      <c r="AE65" s="38">
        <f ca="1">IFERROR(AVERAGEIFS(INDIRECT("Tabela1["&amp;$B65&amp;"]"),Tabela1[Data Corrigida],AE$3)/100,"")</f>
        <v>0.13428571428571429</v>
      </c>
      <c r="AF65" s="38">
        <f ca="1">IFERROR(AVERAGEIFS(INDIRECT("Tabela1["&amp;$B65&amp;"]"),Tabela1[Data Corrigida],AF$3)/100,"")</f>
        <v>0.17857142857142858</v>
      </c>
      <c r="AG65" s="38">
        <f ca="1">IFERROR(AVERAGEIFS(INDIRECT("Tabela1["&amp;$B65&amp;"]"),Tabela1[Data Corrigida],AG$3)/100,"")</f>
        <v>0.18142857142857141</v>
      </c>
      <c r="AH65" s="38">
        <f ca="1">IFERROR(AVERAGEIFS(INDIRECT("Tabela1["&amp;$B65&amp;"]"),Tabela1[Data Corrigida],AH$3)/100,"")</f>
        <v>0.15428571428571428</v>
      </c>
      <c r="AI65" s="38">
        <f ca="1">IFERROR(AVERAGEIFS(INDIRECT("Tabela1["&amp;$B65&amp;"]"),Tabela1[Data Corrigida],AI$3)/100,"")</f>
        <v>0.19857142857142857</v>
      </c>
      <c r="AJ65" s="38">
        <f ca="1">IFERROR(AVERAGEIFS(INDIRECT("Tabela1["&amp;$B65&amp;"]"),Tabela1[Data Corrigida],AJ$3)/100,"")</f>
        <v>0.19285714285714284</v>
      </c>
      <c r="AK65" s="38">
        <f ca="1">IFERROR(AVERAGEIFS(INDIRECT("Tabela1["&amp;$B65&amp;"]"),Tabela1[Data Corrigida],AK$3)/100,"")</f>
        <v>0.17857142857142858</v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58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1.9153225806451613E-2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61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>
        <f ca="1">IFERROR(AVERAGEIFS(INDIRECT("Tabela1["&amp;$B66&amp;"]"),Tabela1[Turno],$D66,Tabela1[Data Corrigida],AC$3)/32,"")</f>
        <v>3.125E-2</v>
      </c>
      <c r="AD66" s="34">
        <f ca="1">IFERROR(AVERAGEIFS(INDIRECT("Tabela1["&amp;$B66&amp;"]"),Tabela1[Turno],$D66,Tabela1[Data Corrigida],AD$3)/32,"")</f>
        <v>0</v>
      </c>
      <c r="AE66" s="34" t="str">
        <f ca="1">IFERROR(AVERAGEIFS(INDIRECT("Tabela1["&amp;$B66&amp;"]"),Tabela1[Turno],$D66,Tabela1[Data Corrigida],AE$3)/32,"")</f>
        <v/>
      </c>
      <c r="AF66" s="34">
        <f ca="1">IFERROR(AVERAGEIFS(INDIRECT("Tabela1["&amp;$B66&amp;"]"),Tabela1[Turno],$D66,Tabela1[Data Corrigida],AF$3)/32,"")</f>
        <v>1.5625E-2</v>
      </c>
      <c r="AG66" s="34">
        <f ca="1">IFERROR(AVERAGEIFS(INDIRECT("Tabela1["&amp;$B66&amp;"]"),Tabela1[Turno],$D66,Tabela1[Data Corrigida],AG$3)/32,"")</f>
        <v>3.125E-2</v>
      </c>
      <c r="AH66" s="34">
        <f ca="1">IFERROR(AVERAGEIFS(INDIRECT("Tabela1["&amp;$B66&amp;"]"),Tabela1[Turno],$D66,Tabela1[Data Corrigida],AH$3)/32,"")</f>
        <v>6.25E-2</v>
      </c>
      <c r="AI66" s="34">
        <f ca="1">IFERROR(AVERAGEIFS(INDIRECT("Tabela1["&amp;$B66&amp;"]"),Tabela1[Turno],$D66,Tabela1[Data Corrigida],AI$3)/32,"")</f>
        <v>0</v>
      </c>
      <c r="AJ66" s="34">
        <f ca="1">IFERROR(AVERAGEIFS(INDIRECT("Tabela1["&amp;$B66&amp;"]"),Tabela1[Turno],$D66,Tabela1[Data Corrigida],AJ$3)/32,"")</f>
        <v>3.125E-2</v>
      </c>
      <c r="AK66" s="34">
        <f ca="1">IFERROR(AVERAGEIFS(INDIRECT("Tabela1["&amp;$B66&amp;"]"),Tabela1[Turno],$D66,Tabela1[Data Corrigida],AK$3)/32,"")</f>
        <v>0</v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59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0.10328389830508475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62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>
        <f ca="1">IFERROR(AVERAGEIFS(INDIRECT("Tabela1["&amp;$B67&amp;"]"),Tabela1[Turno],$D67,Tabela1[Data Corrigida],AC$3)/32,"")</f>
        <v>2.0833333333333332E-2</v>
      </c>
      <c r="AD67" s="36">
        <f ca="1">IFERROR(AVERAGEIFS(INDIRECT("Tabela1["&amp;$B67&amp;"]"),Tabela1[Turno],$D67,Tabela1[Data Corrigida],AD$3)/32,"")</f>
        <v>0.48958333333333331</v>
      </c>
      <c r="AE67" s="36">
        <f ca="1">IFERROR(AVERAGEIFS(INDIRECT("Tabela1["&amp;$B67&amp;"]"),Tabela1[Turno],$D67,Tabela1[Data Corrigida],AE$3)/32,"")</f>
        <v>0.296875</v>
      </c>
      <c r="AF67" s="36">
        <f ca="1">IFERROR(AVERAGEIFS(INDIRECT("Tabela1["&amp;$B67&amp;"]"),Tabela1[Turno],$D67,Tabela1[Data Corrigida],AF$3)/32,"")</f>
        <v>1.0416666666666666E-2</v>
      </c>
      <c r="AG67" s="36">
        <f ca="1">IFERROR(AVERAGEIFS(INDIRECT("Tabela1["&amp;$B67&amp;"]"),Tabela1[Turno],$D67,Tabela1[Data Corrigida],AG$3)/32,"")</f>
        <v>0</v>
      </c>
      <c r="AH67" s="36">
        <f ca="1">IFERROR(AVERAGEIFS(INDIRECT("Tabela1["&amp;$B67&amp;"]"),Tabela1[Turno],$D67,Tabela1[Data Corrigida],AH$3)/32,"")</f>
        <v>4.1666666666666664E-2</v>
      </c>
      <c r="AI67" s="36">
        <f ca="1">IFERROR(AVERAGEIFS(INDIRECT("Tabela1["&amp;$B67&amp;"]"),Tabela1[Turno],$D67,Tabela1[Data Corrigida],AI$3)/32,"")</f>
        <v>0.10416666666666667</v>
      </c>
      <c r="AJ67" s="36">
        <f ca="1">IFERROR(AVERAGEIFS(INDIRECT("Tabela1["&amp;$B67&amp;"]"),Tabela1[Turno],$D67,Tabela1[Data Corrigida],AJ$3)/32,"")</f>
        <v>3.125E-2</v>
      </c>
      <c r="AK67" s="36">
        <f ca="1">IFERROR(AVERAGEIFS(INDIRECT("Tabela1["&amp;$B67&amp;"]"),Tabela1[Turno],$D67,Tabela1[Data Corrigida],AK$3)/32,"")</f>
        <v>7.2916666666666671E-2</v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0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7.4305555555555555E-2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3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>
        <f ca="1">IFERROR(AVERAGEIFS(INDIRECT("Tabela1["&amp;$B68&amp;"]"),Tabela1[Data Corrigida],AC$3)/32,"")</f>
        <v>2.34375E-2</v>
      </c>
      <c r="AD68" s="38">
        <f ca="1">IFERROR(AVERAGEIFS(INDIRECT("Tabela1["&amp;$B68&amp;"]"),Tabela1[Data Corrigida],AD$3)/32,"")</f>
        <v>0.3671875</v>
      </c>
      <c r="AE68" s="38">
        <f ca="1">IFERROR(AVERAGEIFS(INDIRECT("Tabela1["&amp;$B68&amp;"]"),Tabela1[Data Corrigida],AE$3)/32,"")</f>
        <v>0.296875</v>
      </c>
      <c r="AF68" s="38">
        <f ca="1">IFERROR(AVERAGEIFS(INDIRECT("Tabela1["&amp;$B68&amp;"]"),Tabela1[Data Corrigida],AF$3)/32,"")</f>
        <v>1.2500000000000001E-2</v>
      </c>
      <c r="AG68" s="38">
        <f ca="1">IFERROR(AVERAGEIFS(INDIRECT("Tabela1["&amp;$B68&amp;"]"),Tabela1[Data Corrigida],AG$3)/32,"")</f>
        <v>1.2500000000000001E-2</v>
      </c>
      <c r="AH68" s="38">
        <f ca="1">IFERROR(AVERAGEIFS(INDIRECT("Tabela1["&amp;$B68&amp;"]"),Tabela1[Data Corrigida],AH$3)/32,"")</f>
        <v>4.6875E-2</v>
      </c>
      <c r="AI68" s="38">
        <f ca="1">IFERROR(AVERAGEIFS(INDIRECT("Tabela1["&amp;$B68&amp;"]"),Tabela1[Data Corrigida],AI$3)/32,"")</f>
        <v>6.25E-2</v>
      </c>
      <c r="AJ68" s="38">
        <f ca="1">IFERROR(AVERAGEIFS(INDIRECT("Tabela1["&amp;$B68&amp;"]"),Tabela1[Data Corrigida],AJ$3)/32,"")</f>
        <v>3.125E-2</v>
      </c>
      <c r="AK68" s="38">
        <f ca="1">IFERROR(AVERAGEIFS(INDIRECT("Tabela1["&amp;$B68&amp;"]"),Tabela1[Data Corrigida],AK$3)/32,"")</f>
        <v>4.3749999999999997E-2</v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58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61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>
        <f ca="1">IFERROR(AVERAGEIFS(INDIRECT("Tabela1["&amp;$B69&amp;"]"),Tabela1[Turno],$D69,Tabela1[Data Corrigida],AC$3)/32,"")</f>
        <v>0</v>
      </c>
      <c r="AD69" s="34">
        <f ca="1">IFERROR(AVERAGEIFS(INDIRECT("Tabela1["&amp;$B69&amp;"]"),Tabela1[Turno],$D69,Tabela1[Data Corrigida],AD$3)/32,"")</f>
        <v>0</v>
      </c>
      <c r="AE69" s="34" t="str">
        <f ca="1">IFERROR(AVERAGEIFS(INDIRECT("Tabela1["&amp;$B69&amp;"]"),Tabela1[Turno],$D69,Tabela1[Data Corrigida],AE$3)/32,"")</f>
        <v/>
      </c>
      <c r="AF69" s="34">
        <f ca="1">IFERROR(AVERAGEIFS(INDIRECT("Tabela1["&amp;$B69&amp;"]"),Tabela1[Turno],$D69,Tabela1[Data Corrigida],AF$3)/32,"")</f>
        <v>0</v>
      </c>
      <c r="AG69" s="34">
        <f ca="1">IFERROR(AVERAGEIFS(INDIRECT("Tabela1["&amp;$B69&amp;"]"),Tabela1[Turno],$D69,Tabela1[Data Corrigida],AG$3)/32,"")</f>
        <v>0</v>
      </c>
      <c r="AH69" s="34">
        <f ca="1">IFERROR(AVERAGEIFS(INDIRECT("Tabela1["&amp;$B69&amp;"]"),Tabela1[Turno],$D69,Tabela1[Data Corrigida],AH$3)/32,"")</f>
        <v>0</v>
      </c>
      <c r="AI69" s="34">
        <f ca="1">IFERROR(AVERAGEIFS(INDIRECT("Tabela1["&amp;$B69&amp;"]"),Tabela1[Turno],$D69,Tabela1[Data Corrigida],AI$3)/32,"")</f>
        <v>0</v>
      </c>
      <c r="AJ69" s="34">
        <f ca="1">IFERROR(AVERAGEIFS(INDIRECT("Tabela1["&amp;$B69&amp;"]"),Tabela1[Turno],$D69,Tabela1[Data Corrigida],AJ$3)/32,"")</f>
        <v>0</v>
      </c>
      <c r="AK69" s="34">
        <f ca="1">IFERROR(AVERAGEIFS(INDIRECT("Tabela1["&amp;$B69&amp;"]"),Tabela1[Turno],$D69,Tabela1[Data Corrigida],AK$3)/32,"")</f>
        <v>0</v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59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62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>
        <f ca="1">IFERROR(AVERAGEIFS(INDIRECT("Tabela1["&amp;$B70&amp;"]"),Tabela1[Turno],$D70,Tabela1[Data Corrigida],AC$3)/32,"")</f>
        <v>0</v>
      </c>
      <c r="AD70" s="36">
        <f ca="1">IFERROR(AVERAGEIFS(INDIRECT("Tabela1["&amp;$B70&amp;"]"),Tabela1[Turno],$D70,Tabela1[Data Corrigida],AD$3)/32,"")</f>
        <v>0</v>
      </c>
      <c r="AE70" s="36">
        <f ca="1">IFERROR(AVERAGEIFS(INDIRECT("Tabela1["&amp;$B70&amp;"]"),Tabela1[Turno],$D70,Tabela1[Data Corrigida],AE$3)/32,"")</f>
        <v>0</v>
      </c>
      <c r="AF70" s="36">
        <f ca="1">IFERROR(AVERAGEIFS(INDIRECT("Tabela1["&amp;$B70&amp;"]"),Tabela1[Turno],$D70,Tabela1[Data Corrigida],AF$3)/32,"")</f>
        <v>0</v>
      </c>
      <c r="AG70" s="36">
        <f ca="1">IFERROR(AVERAGEIFS(INDIRECT("Tabela1["&amp;$B70&amp;"]"),Tabela1[Turno],$D70,Tabela1[Data Corrigida],AG$3)/32,"")</f>
        <v>0</v>
      </c>
      <c r="AH70" s="36">
        <f ca="1">IFERROR(AVERAGEIFS(INDIRECT("Tabela1["&amp;$B70&amp;"]"),Tabela1[Turno],$D70,Tabela1[Data Corrigida],AH$3)/32,"")</f>
        <v>0</v>
      </c>
      <c r="AI70" s="36">
        <f ca="1">IFERROR(AVERAGEIFS(INDIRECT("Tabela1["&amp;$B70&amp;"]"),Tabela1[Turno],$D70,Tabela1[Data Corrigida],AI$3)/32,"")</f>
        <v>0</v>
      </c>
      <c r="AJ70" s="36">
        <f ca="1">IFERROR(AVERAGEIFS(INDIRECT("Tabela1["&amp;$B70&amp;"]"),Tabela1[Turno],$D70,Tabela1[Data Corrigida],AJ$3)/32,"")</f>
        <v>0</v>
      </c>
      <c r="AK70" s="36">
        <f ca="1">IFERROR(AVERAGEIFS(INDIRECT("Tabela1["&amp;$B70&amp;"]"),Tabela1[Turno],$D70,Tabela1[Data Corrigida],AK$3)/32,"")</f>
        <v>0</v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0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3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>
        <f ca="1">IFERROR(AVERAGEIFS(INDIRECT("Tabela1["&amp;$B71&amp;"]"),Tabela1[Data Corrigida],AC$3)/32,"")</f>
        <v>0</v>
      </c>
      <c r="AD71" s="38">
        <f ca="1">IFERROR(AVERAGEIFS(INDIRECT("Tabela1["&amp;$B71&amp;"]"),Tabela1[Data Corrigida],AD$3)/32,"")</f>
        <v>0</v>
      </c>
      <c r="AE71" s="38">
        <f ca="1">IFERROR(AVERAGEIFS(INDIRECT("Tabela1["&amp;$B71&amp;"]"),Tabela1[Data Corrigida],AE$3)/32,"")</f>
        <v>0</v>
      </c>
      <c r="AF71" s="38">
        <f ca="1">IFERROR(AVERAGEIFS(INDIRECT("Tabela1["&amp;$B71&amp;"]"),Tabela1[Data Corrigida],AF$3)/32,"")</f>
        <v>0</v>
      </c>
      <c r="AG71" s="38">
        <f ca="1">IFERROR(AVERAGEIFS(INDIRECT("Tabela1["&amp;$B71&amp;"]"),Tabela1[Data Corrigida],AG$3)/32,"")</f>
        <v>0</v>
      </c>
      <c r="AH71" s="38">
        <f ca="1">IFERROR(AVERAGEIFS(INDIRECT("Tabela1["&amp;$B71&amp;"]"),Tabela1[Data Corrigida],AH$3)/32,"")</f>
        <v>0</v>
      </c>
      <c r="AI71" s="38">
        <f ca="1">IFERROR(AVERAGEIFS(INDIRECT("Tabela1["&amp;$B71&amp;"]"),Tabela1[Data Corrigida],AI$3)/32,"")</f>
        <v>0</v>
      </c>
      <c r="AJ71" s="38">
        <f ca="1">IFERROR(AVERAGEIFS(INDIRECT("Tabela1["&amp;$B71&amp;"]"),Tabela1[Data Corrigida],AJ$3)/32,"")</f>
        <v>0</v>
      </c>
      <c r="AK71" s="38">
        <f ca="1">IFERROR(AVERAGEIFS(INDIRECT("Tabela1["&amp;$B71&amp;"]"),Tabela1[Data Corrigida],AK$3)/32,"")</f>
        <v>0</v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58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3.6290322580645164E-2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61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>
        <f ca="1">IFERROR(AVERAGEIFS(INDIRECT("Tabela1["&amp;$B72&amp;"]"),Tabela1[Turno],$D72,Tabela1[Data Corrigida],AC$3)/32,"")</f>
        <v>3.125E-2</v>
      </c>
      <c r="AD72" s="34">
        <f ca="1">IFERROR(AVERAGEIFS(INDIRECT("Tabela1["&amp;$B72&amp;"]"),Tabela1[Turno],$D72,Tabela1[Data Corrigida],AD$3)/32,"")</f>
        <v>3.125E-2</v>
      </c>
      <c r="AE72" s="34" t="str">
        <f ca="1">IFERROR(AVERAGEIFS(INDIRECT("Tabela1["&amp;$B72&amp;"]"),Tabela1[Turno],$D72,Tabela1[Data Corrigida],AE$3)/32,"")</f>
        <v/>
      </c>
      <c r="AF72" s="34">
        <f ca="1">IFERROR(AVERAGEIFS(INDIRECT("Tabela1["&amp;$B72&amp;"]"),Tabela1[Turno],$D72,Tabela1[Data Corrigida],AF$3)/32,"")</f>
        <v>3.125E-2</v>
      </c>
      <c r="AG72" s="34">
        <f ca="1">IFERROR(AVERAGEIFS(INDIRECT("Tabela1["&amp;$B72&amp;"]"),Tabela1[Turno],$D72,Tabela1[Data Corrigida],AG$3)/32,"")</f>
        <v>3.125E-2</v>
      </c>
      <c r="AH72" s="34">
        <f ca="1">IFERROR(AVERAGEIFS(INDIRECT("Tabela1["&amp;$B72&amp;"]"),Tabela1[Turno],$D72,Tabela1[Data Corrigida],AH$3)/32,"")</f>
        <v>3.125E-2</v>
      </c>
      <c r="AI72" s="34">
        <f ca="1">IFERROR(AVERAGEIFS(INDIRECT("Tabela1["&amp;$B72&amp;"]"),Tabela1[Turno],$D72,Tabela1[Data Corrigida],AI$3)/32,"")</f>
        <v>4.6875E-2</v>
      </c>
      <c r="AJ72" s="34">
        <f ca="1">IFERROR(AVERAGEIFS(INDIRECT("Tabela1["&amp;$B72&amp;"]"),Tabela1[Turno],$D72,Tabela1[Data Corrigida],AJ$3)/32,"")</f>
        <v>1.5625E-2</v>
      </c>
      <c r="AK72" s="34">
        <f ca="1">IFERROR(AVERAGEIFS(INDIRECT("Tabela1["&amp;$B72&amp;"]"),Tabela1[Turno],$D72,Tabela1[Data Corrigida],AK$3)/32,"")</f>
        <v>3.125E-2</v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59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62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>
        <f ca="1">IFERROR(AVERAGEIFS(INDIRECT("Tabela1["&amp;$B73&amp;"]"),Tabela1[Turno],$D73,Tabela1[Data Corrigida],AC$3)/32,"")</f>
        <v>0</v>
      </c>
      <c r="AD73" s="36">
        <f ca="1">IFERROR(AVERAGEIFS(INDIRECT("Tabela1["&amp;$B73&amp;"]"),Tabela1[Turno],$D73,Tabela1[Data Corrigida],AD$3)/32,"")</f>
        <v>0</v>
      </c>
      <c r="AE73" s="36">
        <f ca="1">IFERROR(AVERAGEIFS(INDIRECT("Tabela1["&amp;$B73&amp;"]"),Tabela1[Turno],$D73,Tabela1[Data Corrigida],AE$3)/32,"")</f>
        <v>0</v>
      </c>
      <c r="AF73" s="36">
        <f ca="1">IFERROR(AVERAGEIFS(INDIRECT("Tabela1["&amp;$B73&amp;"]"),Tabela1[Turno],$D73,Tabela1[Data Corrigida],AF$3)/32,"")</f>
        <v>0</v>
      </c>
      <c r="AG73" s="36">
        <f ca="1">IFERROR(AVERAGEIFS(INDIRECT("Tabela1["&amp;$B73&amp;"]"),Tabela1[Turno],$D73,Tabela1[Data Corrigida],AG$3)/32,"")</f>
        <v>0</v>
      </c>
      <c r="AH73" s="36">
        <f ca="1">IFERROR(AVERAGEIFS(INDIRECT("Tabela1["&amp;$B73&amp;"]"),Tabela1[Turno],$D73,Tabela1[Data Corrigida],AH$3)/32,"")</f>
        <v>0</v>
      </c>
      <c r="AI73" s="36">
        <f ca="1">IFERROR(AVERAGEIFS(INDIRECT("Tabela1["&amp;$B73&amp;"]"),Tabela1[Turno],$D73,Tabela1[Data Corrigida],AI$3)/32,"")</f>
        <v>0</v>
      </c>
      <c r="AJ73" s="36">
        <f ca="1">IFERROR(AVERAGEIFS(INDIRECT("Tabela1["&amp;$B73&amp;"]"),Tabela1[Turno],$D73,Tabela1[Data Corrigida],AJ$3)/32,"")</f>
        <v>0</v>
      </c>
      <c r="AK73" s="36">
        <f ca="1">IFERROR(AVERAGEIFS(INDIRECT("Tabela1["&amp;$B73&amp;"]"),Tabela1[Turno],$D73,Tabela1[Data Corrigida],AK$3)/32,"")</f>
        <v>0</v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0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1.2640449438202247E-2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3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>
        <f ca="1">IFERROR(AVERAGEIFS(INDIRECT("Tabela1["&amp;$B74&amp;"]"),Tabela1[Data Corrigida],AC$3)/32,"")</f>
        <v>7.8125E-3</v>
      </c>
      <c r="AD74" s="38">
        <f ca="1">IFERROR(AVERAGEIFS(INDIRECT("Tabela1["&amp;$B74&amp;"]"),Tabela1[Data Corrigida],AD$3)/32,"")</f>
        <v>7.8125E-3</v>
      </c>
      <c r="AE74" s="38">
        <f ca="1">IFERROR(AVERAGEIFS(INDIRECT("Tabela1["&amp;$B74&amp;"]"),Tabela1[Data Corrigida],AE$3)/32,"")</f>
        <v>0</v>
      </c>
      <c r="AF74" s="38">
        <f ca="1">IFERROR(AVERAGEIFS(INDIRECT("Tabela1["&amp;$B74&amp;"]"),Tabela1[Data Corrigida],AF$3)/32,"")</f>
        <v>1.2500000000000001E-2</v>
      </c>
      <c r="AG74" s="38">
        <f ca="1">IFERROR(AVERAGEIFS(INDIRECT("Tabela1["&amp;$B74&amp;"]"),Tabela1[Data Corrigida],AG$3)/32,"")</f>
        <v>1.2500000000000001E-2</v>
      </c>
      <c r="AH74" s="38">
        <f ca="1">IFERROR(AVERAGEIFS(INDIRECT("Tabela1["&amp;$B74&amp;"]"),Tabela1[Data Corrigida],AH$3)/32,"")</f>
        <v>7.8125E-3</v>
      </c>
      <c r="AI74" s="38">
        <f ca="1">IFERROR(AVERAGEIFS(INDIRECT("Tabela1["&amp;$B74&amp;"]"),Tabela1[Data Corrigida],AI$3)/32,"")</f>
        <v>1.8749999999999999E-2</v>
      </c>
      <c r="AJ74" s="38">
        <f ca="1">IFERROR(AVERAGEIFS(INDIRECT("Tabela1["&amp;$B74&amp;"]"),Tabela1[Data Corrigida],AJ$3)/32,"")</f>
        <v>6.2500000000000003E-3</v>
      </c>
      <c r="AK74" s="38">
        <f ca="1">IFERROR(AVERAGEIFS(INDIRECT("Tabela1["&amp;$B74&amp;"]"),Tabela1[Data Corrigida],AK$3)/32,"")</f>
        <v>1.2500000000000001E-2</v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58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2.8044871794871796E-2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61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>
        <f ca="1">IFERROR(AVERAGEIFS(INDIRECT("Tabela1["&amp;$B75&amp;"]"),Tabela1[Turno],$D75,Tabela1[Data Corrigida],AC$3)/32,"")</f>
        <v>3.90625E-2</v>
      </c>
      <c r="AD75" s="34">
        <f ca="1">IFERROR(AVERAGEIFS(INDIRECT("Tabela1["&amp;$B75&amp;"]"),Tabela1[Turno],$D75,Tabela1[Data Corrigida],AD$3)/32,"")</f>
        <v>2.0833333333333332E-2</v>
      </c>
      <c r="AE75" s="34">
        <f ca="1">IFERROR(AVERAGEIFS(INDIRECT("Tabela1["&amp;$B75&amp;"]"),Tabela1[Turno],$D75,Tabela1[Data Corrigida],AE$3)/32,"")</f>
        <v>2.34375E-2</v>
      </c>
      <c r="AF75" s="34">
        <f ca="1">IFERROR(AVERAGEIFS(INDIRECT("Tabela1["&amp;$B75&amp;"]"),Tabela1[Turno],$D75,Tabela1[Data Corrigida],AF$3)/32,"")</f>
        <v>1.5625E-2</v>
      </c>
      <c r="AG75" s="34">
        <f ca="1">IFERROR(AVERAGEIFS(INDIRECT("Tabela1["&amp;$B75&amp;"]"),Tabela1[Turno],$D75,Tabela1[Data Corrigida],AG$3)/32,"")</f>
        <v>3.125E-2</v>
      </c>
      <c r="AH75" s="34">
        <f ca="1">IFERROR(AVERAGEIFS(INDIRECT("Tabela1["&amp;$B75&amp;"]"),Tabela1[Turno],$D75,Tabela1[Data Corrigida],AH$3)/32,"")</f>
        <v>1.5625E-2</v>
      </c>
      <c r="AI75" s="34">
        <f ca="1">IFERROR(AVERAGEIFS(INDIRECT("Tabela1["&amp;$B75&amp;"]"),Tabela1[Turno],$D75,Tabela1[Data Corrigida],AI$3)/32,"")</f>
        <v>2.34375E-2</v>
      </c>
      <c r="AJ75" s="34">
        <f ca="1">IFERROR(AVERAGEIFS(INDIRECT("Tabela1["&amp;$B75&amp;"]"),Tabela1[Turno],$D75,Tabela1[Data Corrigida],AJ$3)/32,"")</f>
        <v>2.34375E-2</v>
      </c>
      <c r="AK75" s="34">
        <f ca="1">IFERROR(AVERAGEIFS(INDIRECT("Tabela1["&amp;$B75&amp;"]"),Tabela1[Turno],$D75,Tabela1[Data Corrigida],AK$3)/32,"")</f>
        <v>2.34375E-2</v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59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62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>
        <f ca="1">IFERROR(AVERAGEIFS(INDIRECT("Tabela1["&amp;$B76&amp;"]"),Tabela1[Turno],$D76,Tabela1[Data Corrigida],AC$3)/32,"")</f>
        <v>0</v>
      </c>
      <c r="AD76" s="36">
        <f ca="1">IFERROR(AVERAGEIFS(INDIRECT("Tabela1["&amp;$B76&amp;"]"),Tabela1[Turno],$D76,Tabela1[Data Corrigida],AD$3)/32,"")</f>
        <v>0</v>
      </c>
      <c r="AE76" s="36">
        <f ca="1">IFERROR(AVERAGEIFS(INDIRECT("Tabela1["&amp;$B76&amp;"]"),Tabela1[Turno],$D76,Tabela1[Data Corrigida],AE$3)/32,"")</f>
        <v>0</v>
      </c>
      <c r="AF76" s="36">
        <f ca="1">IFERROR(AVERAGEIFS(INDIRECT("Tabela1["&amp;$B76&amp;"]"),Tabela1[Turno],$D76,Tabela1[Data Corrigida],AF$3)/32,"")</f>
        <v>0</v>
      </c>
      <c r="AG76" s="36">
        <f ca="1">IFERROR(AVERAGEIFS(INDIRECT("Tabela1["&amp;$B76&amp;"]"),Tabela1[Turno],$D76,Tabela1[Data Corrigida],AG$3)/32,"")</f>
        <v>0</v>
      </c>
      <c r="AH76" s="36">
        <f ca="1">IFERROR(AVERAGEIFS(INDIRECT("Tabela1["&amp;$B76&amp;"]"),Tabela1[Turno],$D76,Tabela1[Data Corrigida],AH$3)/32,"")</f>
        <v>0</v>
      </c>
      <c r="AI76" s="36">
        <f ca="1">IFERROR(AVERAGEIFS(INDIRECT("Tabela1["&amp;$B76&amp;"]"),Tabela1[Turno],$D76,Tabela1[Data Corrigida],AI$3)/32,"")</f>
        <v>0</v>
      </c>
      <c r="AJ76" s="36">
        <f ca="1">IFERROR(AVERAGEIFS(INDIRECT("Tabela1["&amp;$B76&amp;"]"),Tabela1[Turno],$D76,Tabela1[Data Corrigida],AJ$3)/32,"")</f>
        <v>0</v>
      </c>
      <c r="AK76" s="36">
        <f ca="1">IFERROR(AVERAGEIFS(INDIRECT("Tabela1["&amp;$B76&amp;"]"),Tabela1[Turno],$D76,Tabela1[Data Corrigida],AK$3)/32,"")</f>
        <v>0</v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0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1.608455882352941E-2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3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>
        <f ca="1">IFERROR(AVERAGEIFS(INDIRECT("Tabela1["&amp;$B77&amp;"]"),Tabela1[Data Corrigida],AC$3)/32,"")</f>
        <v>2.2321428571428572E-2</v>
      </c>
      <c r="AD77" s="38">
        <f ca="1">IFERROR(AVERAGEIFS(INDIRECT("Tabela1["&amp;$B77&amp;"]"),Tabela1[Data Corrigida],AD$3)/32,"")</f>
        <v>1.0416666666666666E-2</v>
      </c>
      <c r="AE77" s="38">
        <f ca="1">IFERROR(AVERAGEIFS(INDIRECT("Tabela1["&amp;$B77&amp;"]"),Tabela1[Data Corrigida],AE$3)/32,"")</f>
        <v>1.3392857142857142E-2</v>
      </c>
      <c r="AF77" s="38">
        <f ca="1">IFERROR(AVERAGEIFS(INDIRECT("Tabela1["&amp;$B77&amp;"]"),Tabela1[Data Corrigida],AF$3)/32,"")</f>
        <v>8.9285714285714281E-3</v>
      </c>
      <c r="AG77" s="38">
        <f ca="1">IFERROR(AVERAGEIFS(INDIRECT("Tabela1["&amp;$B77&amp;"]"),Tabela1[Data Corrigida],AG$3)/32,"")</f>
        <v>1.7857142857142856E-2</v>
      </c>
      <c r="AH77" s="38">
        <f ca="1">IFERROR(AVERAGEIFS(INDIRECT("Tabela1["&amp;$B77&amp;"]"),Tabela1[Data Corrigida],AH$3)/32,"")</f>
        <v>8.9285714285714281E-3</v>
      </c>
      <c r="AI77" s="38">
        <f ca="1">IFERROR(AVERAGEIFS(INDIRECT("Tabela1["&amp;$B77&amp;"]"),Tabela1[Data Corrigida],AI$3)/32,"")</f>
        <v>1.3392857142857142E-2</v>
      </c>
      <c r="AJ77" s="38">
        <f ca="1">IFERROR(AVERAGEIFS(INDIRECT("Tabela1["&amp;$B77&amp;"]"),Tabela1[Data Corrigida],AJ$3)/32,"")</f>
        <v>1.3392857142857142E-2</v>
      </c>
      <c r="AK77" s="38">
        <f ca="1">IFERROR(AVERAGEIFS(INDIRECT("Tabela1["&amp;$B77&amp;"]"),Tabela1[Data Corrigida],AK$3)/32,"")</f>
        <v>1.3392857142857142E-2</v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58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4.7889743116718252E-3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61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>
        <f ca="1">IFERROR(AVERAGEIFS(INDIRECT("Tabela1["&amp;$B78&amp;"]"),Tabela1[Turno],$D78,Tabela1[Data Corrigida],AC$3)/100,"")</f>
        <v>0</v>
      </c>
      <c r="AD78" s="34">
        <f ca="1">IFERROR(AVERAGEIFS(INDIRECT("Tabela1["&amp;$B78&amp;"]"),Tabela1[Turno],$D78,Tabela1[Data Corrigida],AD$3)/100,"")</f>
        <v>8.611111111111111E-3</v>
      </c>
      <c r="AE78" s="34">
        <f ca="1">IFERROR(AVERAGEIFS(INDIRECT("Tabela1["&amp;$B78&amp;"]"),Tabela1[Turno],$D78,Tabela1[Data Corrigida],AE$3)/100,"")</f>
        <v>1.5527950310559005E-3</v>
      </c>
      <c r="AF78" s="34">
        <f ca="1">IFERROR(AVERAGEIFS(INDIRECT("Tabela1["&amp;$B78&amp;"]"),Tabela1[Turno],$D78,Tabela1[Data Corrigida],AF$3)/100,"")</f>
        <v>7.0033635963963458E-3</v>
      </c>
      <c r="AG78" s="34">
        <f ca="1">IFERROR(AVERAGEIFS(INDIRECT("Tabela1["&amp;$B78&amp;"]"),Tabela1[Turno],$D78,Tabela1[Data Corrigida],AG$3)/100,"")</f>
        <v>0</v>
      </c>
      <c r="AH78" s="34">
        <f ca="1">IFERROR(AVERAGEIFS(INDIRECT("Tabela1["&amp;$B78&amp;"]"),Tabela1[Turno],$D78,Tabela1[Data Corrigida],AH$3)/100,"")</f>
        <v>1.6556291390728479E-3</v>
      </c>
      <c r="AI78" s="34">
        <f ca="1">IFERROR(AVERAGEIFS(INDIRECT("Tabela1["&amp;$B78&amp;"]"),Tabela1[Turno],$D78,Tabela1[Data Corrigida],AI$3)/100,"")</f>
        <v>0</v>
      </c>
      <c r="AJ78" s="34">
        <f ca="1">IFERROR(AVERAGEIFS(INDIRECT("Tabela1["&amp;$B78&amp;"]"),Tabela1[Turno],$D78,Tabela1[Data Corrigida],AJ$3)/100,"")</f>
        <v>2.0833333333333333E-3</v>
      </c>
      <c r="AK78" s="34">
        <f ca="1">IFERROR(AVERAGEIFS(INDIRECT("Tabela1["&amp;$B78&amp;"]"),Tabela1[Turno],$D78,Tabela1[Data Corrigida],AK$3)/100,"")</f>
        <v>3.3333333333333335E-3</v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59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2.2341561819143106E-3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62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>
        <f ca="1">IFERROR(AVERAGEIFS(INDIRECT("Tabela1["&amp;$B79&amp;"]"),Tabela1[Turno],$D79,Tabela1[Data Corrigida],AC$3)/100,"")</f>
        <v>0</v>
      </c>
      <c r="AD79" s="36">
        <f ca="1">IFERROR(AVERAGEIFS(INDIRECT("Tabela1["&amp;$B79&amp;"]"),Tabela1[Turno],$D79,Tabela1[Data Corrigida],AD$3)/100,"")</f>
        <v>0</v>
      </c>
      <c r="AE79" s="36">
        <f ca="1">IFERROR(AVERAGEIFS(INDIRECT("Tabela1["&amp;$B79&amp;"]"),Tabela1[Turno],$D79,Tabela1[Data Corrigida],AE$3)/100,"")</f>
        <v>2.5641025641025645E-3</v>
      </c>
      <c r="AF79" s="36">
        <f ca="1">IFERROR(AVERAGEIFS(INDIRECT("Tabela1["&amp;$B79&amp;"]"),Tabela1[Turno],$D79,Tabela1[Data Corrigida],AF$3)/100,"")</f>
        <v>8.8300220750551876E-3</v>
      </c>
      <c r="AG79" s="36">
        <f ca="1">IFERROR(AVERAGEIFS(INDIRECT("Tabela1["&amp;$B79&amp;"]"),Tabela1[Turno],$D79,Tabela1[Data Corrigida],AG$3)/100,"")</f>
        <v>2.2988505747126441E-3</v>
      </c>
      <c r="AH79" s="36">
        <f ca="1">IFERROR(AVERAGEIFS(INDIRECT("Tabela1["&amp;$B79&amp;"]"),Tabela1[Turno],$D79,Tabela1[Data Corrigida],AH$3)/100,"")</f>
        <v>2.5641025641025645E-3</v>
      </c>
      <c r="AI79" s="36">
        <f ca="1">IFERROR(AVERAGEIFS(INDIRECT("Tabela1["&amp;$B79&amp;"]"),Tabela1[Turno],$D79,Tabela1[Data Corrigida],AI$3)/100,"")</f>
        <v>5.1282051282051291E-3</v>
      </c>
      <c r="AJ79" s="36">
        <f ca="1">IFERROR(AVERAGEIFS(INDIRECT("Tabela1["&amp;$B79&amp;"]"),Tabela1[Turno],$D79,Tabela1[Data Corrigida],AJ$3)/100,"")</f>
        <v>0</v>
      </c>
      <c r="AK79" s="36">
        <f ca="1">IFERROR(AVERAGEIFS(INDIRECT("Tabela1["&amp;$B79&amp;"]"),Tabela1[Turno],$D79,Tabela1[Data Corrigida],AK$3)/100,"")</f>
        <v>2.0703933747412005E-3</v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0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3.6861751189707385E-3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3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>
        <f ca="1">IFERROR(AVERAGEIFS(INDIRECT("Tabela1["&amp;$B80&amp;"]"),Tabela1[Data Corrigida],AC$3)/100,"")</f>
        <v>0</v>
      </c>
      <c r="AD80" s="38">
        <f ca="1">IFERROR(AVERAGEIFS(INDIRECT("Tabela1["&amp;$B80&amp;"]"),Tabela1[Data Corrigida],AD$3)/100,"")</f>
        <v>4.3055555555555555E-3</v>
      </c>
      <c r="AE80" s="38">
        <f ca="1">IFERROR(AVERAGEIFS(INDIRECT("Tabela1["&amp;$B80&amp;"]"),Tabela1[Data Corrigida],AE$3)/100,"")</f>
        <v>1.9862125452187566E-3</v>
      </c>
      <c r="AF80" s="38">
        <f ca="1">IFERROR(AVERAGEIFS(INDIRECT("Tabela1["&amp;$B80&amp;"]"),Tabela1[Data Corrigida],AF$3)/100,"")</f>
        <v>7.7862172301072785E-3</v>
      </c>
      <c r="AG80" s="38">
        <f ca="1">IFERROR(AVERAGEIFS(INDIRECT("Tabela1["&amp;$B80&amp;"]"),Tabela1[Data Corrigida],AG$3)/100,"")</f>
        <v>9.8522167487684743E-4</v>
      </c>
      <c r="AH80" s="38">
        <f ca="1">IFERROR(AVERAGEIFS(INDIRECT("Tabela1["&amp;$B80&amp;"]"),Tabela1[Data Corrigida],AH$3)/100,"")</f>
        <v>2.0449748926570123E-3</v>
      </c>
      <c r="AI80" s="38">
        <f ca="1">IFERROR(AVERAGEIFS(INDIRECT("Tabela1["&amp;$B80&amp;"]"),Tabela1[Data Corrigida],AI$3)/100,"")</f>
        <v>2.1978021978021982E-3</v>
      </c>
      <c r="AJ80" s="38">
        <f ca="1">IFERROR(AVERAGEIFS(INDIRECT("Tabela1["&amp;$B80&amp;"]"),Tabela1[Data Corrigida],AJ$3)/100,"")</f>
        <v>1.1904761904761906E-3</v>
      </c>
      <c r="AK80" s="38">
        <f ca="1">IFERROR(AVERAGEIFS(INDIRECT("Tabela1["&amp;$B80&amp;"]"),Tabela1[Data Corrigida],AK$3)/100,"")</f>
        <v>2.7920733510795621E-3</v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58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2.0634733048297618E-2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61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>
        <f ca="1">IFERROR(AVERAGEIFS(INDIRECT("Tabela1["&amp;$B81&amp;"]"),Tabela1[Turno],$D81,Tabela1[Data Corrigida],AC$3)/100,"")</f>
        <v>2.9758712552076433E-2</v>
      </c>
      <c r="AD81" s="34">
        <f ca="1">IFERROR(AVERAGEIFS(INDIRECT("Tabela1["&amp;$B81&amp;"]"),Tabela1[Turno],$D81,Tabela1[Data Corrigida],AD$3)/100,"")</f>
        <v>3.5992063492063499E-2</v>
      </c>
      <c r="AE81" s="34">
        <f ca="1">IFERROR(AVERAGEIFS(INDIRECT("Tabela1["&amp;$B81&amp;"]"),Tabela1[Turno],$D81,Tabela1[Data Corrigida],AE$3)/100,"")</f>
        <v>3.0328077719382066E-2</v>
      </c>
      <c r="AF81" s="34">
        <f ca="1">IFERROR(AVERAGEIFS(INDIRECT("Tabela1["&amp;$B81&amp;"]"),Tabela1[Turno],$D81,Tabela1[Data Corrigida],AF$3)/100,"")</f>
        <v>2.38271027711289E-2</v>
      </c>
      <c r="AG81" s="34">
        <f ca="1">IFERROR(AVERAGEIFS(INDIRECT("Tabela1["&amp;$B81&amp;"]"),Tabela1[Turno],$D81,Tabela1[Data Corrigida],AG$3)/100,"")</f>
        <v>2.3749158249158252E-2</v>
      </c>
      <c r="AH81" s="34">
        <f ca="1">IFERROR(AVERAGEIFS(INDIRECT("Tabela1["&amp;$B81&amp;"]"),Tabela1[Turno],$D81,Tabela1[Data Corrigida],AH$3)/100,"")</f>
        <v>1.9279659927604789E-2</v>
      </c>
      <c r="AI81" s="34">
        <f ca="1">IFERROR(AVERAGEIFS(INDIRECT("Tabela1["&amp;$B81&amp;"]"),Tabela1[Turno],$D81,Tabela1[Data Corrigida],AI$3)/100,"")</f>
        <v>1.405062396986108E-2</v>
      </c>
      <c r="AJ81" s="34">
        <f ca="1">IFERROR(AVERAGEIFS(INDIRECT("Tabela1["&amp;$B81&amp;"]"),Tabela1[Turno],$D81,Tabela1[Data Corrigida],AJ$3)/100,"")</f>
        <v>1.0593219975868262E-2</v>
      </c>
      <c r="AK81" s="34">
        <f ca="1">IFERROR(AVERAGEIFS(INDIRECT("Tabela1["&amp;$B81&amp;"]"),Tabela1[Turno],$D81,Tabela1[Data Corrigida],AK$3)/100,"")</f>
        <v>1.1191495433789955E-2</v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59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3.2740308520745248E-2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62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>
        <f ca="1">IFERROR(AVERAGEIFS(INDIRECT("Tabela1["&amp;$B82&amp;"]"),Tabela1[Turno],$D82,Tabela1[Data Corrigida],AC$3)/100,"")</f>
        <v>2.4623221934434749E-2</v>
      </c>
      <c r="AD82" s="36">
        <f ca="1">IFERROR(AVERAGEIFS(INDIRECT("Tabela1["&amp;$B82&amp;"]"),Tabela1[Turno],$D82,Tabela1[Data Corrigida],AD$3)/100,"")</f>
        <v>1.9107832806462943E-2</v>
      </c>
      <c r="AE82" s="36">
        <f ca="1">IFERROR(AVERAGEIFS(INDIRECT("Tabela1["&amp;$B82&amp;"]"),Tabela1[Turno],$D82,Tabela1[Data Corrigida],AE$3)/100,"")</f>
        <v>5.7146389492154566E-2</v>
      </c>
      <c r="AF82" s="36">
        <f ca="1">IFERROR(AVERAGEIFS(INDIRECT("Tabela1["&amp;$B82&amp;"]"),Tabela1[Turno],$D82,Tabela1[Data Corrigida],AF$3)/100,"")</f>
        <v>2.6490066225165566E-2</v>
      </c>
      <c r="AG82" s="36">
        <f ca="1">IFERROR(AVERAGEIFS(INDIRECT("Tabela1["&amp;$B82&amp;"]"),Tabela1[Turno],$D82,Tabela1[Data Corrigida],AG$3)/100,"")</f>
        <v>2.0507010163111281E-2</v>
      </c>
      <c r="AH82" s="36">
        <f ca="1">IFERROR(AVERAGEIFS(INDIRECT("Tabela1["&amp;$B82&amp;"]"),Tabela1[Turno],$D82,Tabela1[Data Corrigida],AH$3)/100,"")</f>
        <v>4.9569819437369107E-2</v>
      </c>
      <c r="AI82" s="36">
        <f ca="1">IFERROR(AVERAGEIFS(INDIRECT("Tabela1["&amp;$B82&amp;"]"),Tabela1[Turno],$D82,Tabela1[Data Corrigida],AI$3)/100,"")</f>
        <v>4.1714614499424624E-2</v>
      </c>
      <c r="AJ82" s="36">
        <f ca="1">IFERROR(AVERAGEIFS(INDIRECT("Tabela1["&amp;$B82&amp;"]"),Tabela1[Turno],$D82,Tabela1[Data Corrigida],AJ$3)/100,"")</f>
        <v>4.2199132732979733E-2</v>
      </c>
      <c r="AK82" s="36">
        <f ca="1">IFERROR(AVERAGEIFS(INDIRECT("Tabela1["&amp;$B82&amp;"]"),Tabela1[Turno],$D82,Tabela1[Data Corrigida],AK$3)/100,"")</f>
        <v>4.6284133822562475E-2</v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0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2.5980052088079672E-2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3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>
        <f ca="1">IFERROR(AVERAGEIFS(INDIRECT("Tabela1["&amp;$B83&amp;"]"),Tabela1[Data Corrigida],AC$3)/100,"")</f>
        <v>2.7557788001658565E-2</v>
      </c>
      <c r="AD83" s="38">
        <f ca="1">IFERROR(AVERAGEIFS(INDIRECT("Tabela1["&amp;$B83&amp;"]"),Tabela1[Data Corrigida],AD$3)/100,"")</f>
        <v>2.7549948149263218E-2</v>
      </c>
      <c r="AE83" s="38">
        <f ca="1">IFERROR(AVERAGEIFS(INDIRECT("Tabela1["&amp;$B83&amp;"]"),Tabela1[Data Corrigida],AE$3)/100,"")</f>
        <v>4.1821639907713141E-2</v>
      </c>
      <c r="AF83" s="38">
        <f ca="1">IFERROR(AVERAGEIFS(INDIRECT("Tabela1["&amp;$B83&amp;"]"),Tabela1[Data Corrigida],AF$3)/100,"")</f>
        <v>2.4714757255807789E-2</v>
      </c>
      <c r="AG83" s="38">
        <f ca="1">IFERROR(AVERAGEIFS(INDIRECT("Tabela1["&amp;$B83&amp;"]"),Tabela1[Data Corrigida],AG$3)/100,"")</f>
        <v>2.2359666212280978E-2</v>
      </c>
      <c r="AH83" s="38">
        <f ca="1">IFERROR(AVERAGEIFS(INDIRECT("Tabela1["&amp;$B83&amp;"]"),Tabela1[Data Corrigida],AH$3)/100,"")</f>
        <v>3.2261156860360928E-2</v>
      </c>
      <c r="AI83" s="38">
        <f ca="1">IFERROR(AVERAGEIFS(INDIRECT("Tabela1["&amp;$B83&amp;"]"),Tabela1[Data Corrigida],AI$3)/100,"")</f>
        <v>2.3271954146382261E-2</v>
      </c>
      <c r="AJ83" s="38">
        <f ca="1">IFERROR(AVERAGEIFS(INDIRECT("Tabela1["&amp;$B83&amp;"]"),Tabela1[Data Corrigida],AJ$3)/100,"")</f>
        <v>2.4138611157487468E-2</v>
      </c>
      <c r="AK83" s="38">
        <f ca="1">IFERROR(AVERAGEIFS(INDIRECT("Tabela1["&amp;$B83&amp;"]"),Tabela1[Data Corrigida],AK$3)/100,"")</f>
        <v>2.6231197600406743E-2</v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37" x14ac:dyDescent="0.25">
      <c r="B113" s="9"/>
      <c r="R113" s="7" t="s">
        <v>134</v>
      </c>
    </row>
    <row r="114" spans="2:37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  <c r="AC114" s="5">
        <v>46282</v>
      </c>
      <c r="AD114" s="5">
        <v>46283</v>
      </c>
      <c r="AE114" s="5">
        <v>46286</v>
      </c>
      <c r="AF114" s="5">
        <v>46287</v>
      </c>
      <c r="AG114" s="5">
        <v>46288</v>
      </c>
      <c r="AH114" s="5">
        <v>46289</v>
      </c>
      <c r="AI114" s="5">
        <v>46290</v>
      </c>
      <c r="AJ114" s="5">
        <v>46293</v>
      </c>
      <c r="AK114" s="5">
        <v>46294</v>
      </c>
    </row>
    <row r="115" spans="2:37" x14ac:dyDescent="0.25">
      <c r="B115" s="9"/>
    </row>
    <row r="116" spans="2:37" x14ac:dyDescent="0.25">
      <c r="B116" s="9"/>
    </row>
    <row r="117" spans="2:37" x14ac:dyDescent="0.25">
      <c r="B117" s="9"/>
    </row>
    <row r="118" spans="2:37" x14ac:dyDescent="0.25">
      <c r="B118" s="9"/>
    </row>
    <row r="119" spans="2:37" x14ac:dyDescent="0.25">
      <c r="B119" s="9"/>
    </row>
    <row r="120" spans="2:37" x14ac:dyDescent="0.25">
      <c r="B120" s="9"/>
    </row>
    <row r="121" spans="2:37" x14ac:dyDescent="0.25">
      <c r="B121" s="9"/>
    </row>
    <row r="122" spans="2:37" x14ac:dyDescent="0.25">
      <c r="B122" s="9"/>
    </row>
    <row r="123" spans="2:37" x14ac:dyDescent="0.25">
      <c r="B123" s="9"/>
    </row>
    <row r="124" spans="2:37" x14ac:dyDescent="0.25">
      <c r="B124" s="9"/>
    </row>
    <row r="125" spans="2:37" x14ac:dyDescent="0.25">
      <c r="B125" s="9"/>
    </row>
    <row r="126" spans="2:37" x14ac:dyDescent="0.25">
      <c r="B126" s="9"/>
    </row>
    <row r="127" spans="2:37" x14ac:dyDescent="0.25">
      <c r="B127" s="9"/>
    </row>
    <row r="128" spans="2:37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Q66:Q68"/>
    <mergeCell ref="Q69:Q71"/>
    <mergeCell ref="Q72:Q74"/>
    <mergeCell ref="C72:C74"/>
    <mergeCell ref="C63:C65"/>
    <mergeCell ref="Q21:Q23"/>
    <mergeCell ref="Q24:Q26"/>
    <mergeCell ref="Q27:Q29"/>
    <mergeCell ref="Q30:Q32"/>
    <mergeCell ref="Q33:Q35"/>
    <mergeCell ref="Q6:Q8"/>
    <mergeCell ref="Q9:Q11"/>
    <mergeCell ref="Q12:Q14"/>
    <mergeCell ref="Q15:Q17"/>
    <mergeCell ref="Q18:Q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C6:C8"/>
    <mergeCell ref="C9:C11"/>
    <mergeCell ref="C12:C14"/>
    <mergeCell ref="C15:C17"/>
    <mergeCell ref="C18:C20"/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15"/>
  <sheetViews>
    <sheetView topLeftCell="C281" workbookViewId="0">
      <selection activeCell="L315" sqref="L315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25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25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25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25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25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25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25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  <row r="309" spans="1:67" x14ac:dyDescent="0.25">
      <c r="A309" s="4">
        <f>INT(Tabela1[[#This Row],[Data e Hora]])</f>
        <v>46294</v>
      </c>
      <c r="B309" s="4" t="str">
        <f>UPPER(TEXT(Tabela1[[#This Row],[Data Corrigida]],"MMM"))</f>
        <v>SET</v>
      </c>
      <c r="C309" s="57" t="s">
        <v>906</v>
      </c>
      <c r="D309" t="s">
        <v>907</v>
      </c>
      <c r="E309" t="s">
        <v>908</v>
      </c>
      <c r="F309" t="s">
        <v>19</v>
      </c>
      <c r="G309" s="5" t="s">
        <v>909</v>
      </c>
      <c r="H309" t="s">
        <v>20</v>
      </c>
      <c r="I309" t="s">
        <v>33</v>
      </c>
      <c r="J309" s="1">
        <v>157</v>
      </c>
      <c r="K309" s="1">
        <v>2965</v>
      </c>
      <c r="L309" t="s">
        <v>34</v>
      </c>
      <c r="M309" s="1">
        <v>20</v>
      </c>
      <c r="N309" s="48">
        <v>20</v>
      </c>
      <c r="O309" s="1">
        <v>5</v>
      </c>
      <c r="P309" s="48">
        <v>5</v>
      </c>
      <c r="Q309" s="1">
        <v>8</v>
      </c>
      <c r="R309" s="1">
        <v>80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4</v>
      </c>
      <c r="Z309" s="3">
        <v>1.2738853503184715</v>
      </c>
      <c r="AA309" s="1">
        <v>4</v>
      </c>
      <c r="AB309" s="3">
        <v>2.547770700636943</v>
      </c>
      <c r="AC309" s="1">
        <v>0</v>
      </c>
      <c r="AD309" s="3">
        <v>0</v>
      </c>
      <c r="AE309" s="1">
        <v>1</v>
      </c>
      <c r="AF309" s="3">
        <v>0.63694267515923575</v>
      </c>
      <c r="AG309" s="1">
        <v>2</v>
      </c>
      <c r="AH309" s="3">
        <v>1.2738853503184715</v>
      </c>
      <c r="AI309" s="1" t="s">
        <v>22</v>
      </c>
      <c r="AJ309" s="1">
        <v>0</v>
      </c>
      <c r="AK309" s="3">
        <v>0</v>
      </c>
      <c r="AL309" s="1">
        <v>0</v>
      </c>
      <c r="AM309" s="3">
        <v>0</v>
      </c>
      <c r="AN309" s="1" t="s">
        <v>22</v>
      </c>
      <c r="AO309" s="1">
        <v>5</v>
      </c>
      <c r="AP309" s="3">
        <v>3.1847133757961785</v>
      </c>
      <c r="AQ309" s="3">
        <v>5</v>
      </c>
      <c r="AR309" s="3">
        <v>3.1847133757961785</v>
      </c>
      <c r="AS309" s="1">
        <v>6</v>
      </c>
      <c r="AT309" s="3">
        <v>3.8216560509554141</v>
      </c>
      <c r="AU309" s="1">
        <v>1</v>
      </c>
      <c r="AV309" s="3">
        <v>0.63694267515923575</v>
      </c>
      <c r="AW309" s="1" t="s">
        <v>22</v>
      </c>
      <c r="AX309" s="1">
        <v>19</v>
      </c>
      <c r="AY309" s="1">
        <v>0</v>
      </c>
      <c r="AZ309" s="1">
        <v>0</v>
      </c>
      <c r="BA309" s="1">
        <v>38</v>
      </c>
      <c r="BB309" s="1">
        <v>0</v>
      </c>
      <c r="BC309" s="1">
        <v>0</v>
      </c>
      <c r="BD309" s="1">
        <v>0</v>
      </c>
      <c r="BE309" s="54">
        <v>0</v>
      </c>
      <c r="BF309" s="6">
        <v>20</v>
      </c>
      <c r="BG309" s="6">
        <v>17</v>
      </c>
      <c r="BH309" s="1">
        <v>0</v>
      </c>
      <c r="BI309" s="6">
        <v>0</v>
      </c>
      <c r="BJ309" s="1" t="s">
        <v>22</v>
      </c>
      <c r="BK309" s="6">
        <v>2</v>
      </c>
      <c r="BL309" s="6">
        <v>0</v>
      </c>
      <c r="BM309" s="1">
        <v>0</v>
      </c>
      <c r="BN309" t="s">
        <v>24</v>
      </c>
      <c r="BO309">
        <v>214</v>
      </c>
    </row>
    <row r="310" spans="1:67" x14ac:dyDescent="0.25">
      <c r="A310" s="4">
        <f>INT(Tabela1[[#This Row],[Data e Hora]])</f>
        <v>46294</v>
      </c>
      <c r="B310" s="4" t="str">
        <f>UPPER(TEXT(Tabela1[[#This Row],[Data Corrigida]],"MMM"))</f>
        <v>SET</v>
      </c>
      <c r="C310" t="s">
        <v>910</v>
      </c>
      <c r="D310" t="s">
        <v>911</v>
      </c>
      <c r="E310" t="s">
        <v>908</v>
      </c>
      <c r="F310" t="s">
        <v>19</v>
      </c>
      <c r="G310" s="5" t="s">
        <v>909</v>
      </c>
      <c r="H310" t="s">
        <v>20</v>
      </c>
      <c r="I310" t="s">
        <v>33</v>
      </c>
      <c r="J310" s="1">
        <v>79</v>
      </c>
      <c r="K310" s="1">
        <v>2821</v>
      </c>
      <c r="L310" t="s">
        <v>34</v>
      </c>
      <c r="M310" s="1">
        <v>20</v>
      </c>
      <c r="N310" s="48">
        <v>20</v>
      </c>
      <c r="O310" s="1">
        <v>5</v>
      </c>
      <c r="P310" s="48">
        <v>5</v>
      </c>
      <c r="Q310" s="1">
        <v>0</v>
      </c>
      <c r="R310" s="1">
        <v>0</v>
      </c>
      <c r="S310" s="1">
        <v>1</v>
      </c>
      <c r="T310" s="1">
        <v>1</v>
      </c>
      <c r="U310" s="1">
        <v>0</v>
      </c>
      <c r="V310" s="1">
        <v>0</v>
      </c>
      <c r="W310" s="1">
        <v>0</v>
      </c>
      <c r="X310" s="1">
        <v>0</v>
      </c>
      <c r="Y310" s="1">
        <v>6</v>
      </c>
      <c r="Z310" s="3">
        <v>3.79746835443038</v>
      </c>
      <c r="AA310" s="1">
        <v>5</v>
      </c>
      <c r="AB310" s="3">
        <v>6.3291139240506329</v>
      </c>
      <c r="AC310" s="1">
        <v>0</v>
      </c>
      <c r="AD310" s="3">
        <v>0</v>
      </c>
      <c r="AE310" s="1">
        <v>1</v>
      </c>
      <c r="AF310" s="3">
        <v>1.2658227848101267</v>
      </c>
      <c r="AG310" s="1">
        <v>2</v>
      </c>
      <c r="AH310" s="3">
        <v>2.5316455696202533</v>
      </c>
      <c r="AI310" s="1" t="s">
        <v>22</v>
      </c>
      <c r="AJ310" s="1">
        <v>0</v>
      </c>
      <c r="AK310" s="3">
        <v>0</v>
      </c>
      <c r="AL310" s="1">
        <v>0</v>
      </c>
      <c r="AM310" s="3">
        <v>0</v>
      </c>
      <c r="AN310" s="1" t="s">
        <v>22</v>
      </c>
      <c r="AO310" s="1">
        <v>3</v>
      </c>
      <c r="AP310" s="3">
        <v>3.79746835443038</v>
      </c>
      <c r="AQ310" s="3">
        <v>6</v>
      </c>
      <c r="AR310" s="3">
        <v>7.59493670886076</v>
      </c>
      <c r="AS310" s="1">
        <v>5</v>
      </c>
      <c r="AT310" s="3">
        <v>6.3291139240506329</v>
      </c>
      <c r="AU310" s="1">
        <v>0</v>
      </c>
      <c r="AV310" s="3">
        <v>0</v>
      </c>
      <c r="AW310" s="1" t="s">
        <v>22</v>
      </c>
      <c r="AX310" s="1">
        <v>18</v>
      </c>
      <c r="AY310" s="1">
        <v>0</v>
      </c>
      <c r="AZ310" s="1">
        <v>0</v>
      </c>
      <c r="BA310" s="1">
        <v>36</v>
      </c>
      <c r="BB310" s="1">
        <v>0</v>
      </c>
      <c r="BC310" s="1">
        <v>0</v>
      </c>
      <c r="BD310" s="1">
        <v>0</v>
      </c>
      <c r="BE310" s="54">
        <v>0</v>
      </c>
      <c r="BF310" s="6">
        <v>20</v>
      </c>
      <c r="BG310" s="6">
        <v>17</v>
      </c>
      <c r="BH310" s="1">
        <v>0</v>
      </c>
      <c r="BI310" s="6">
        <v>0</v>
      </c>
      <c r="BJ310" s="1" t="s">
        <v>22</v>
      </c>
      <c r="BK310" s="6">
        <v>4</v>
      </c>
      <c r="BL310" s="6">
        <v>0</v>
      </c>
      <c r="BM310" s="1">
        <v>0</v>
      </c>
      <c r="BN310" t="s">
        <v>24</v>
      </c>
      <c r="BO310">
        <v>10836</v>
      </c>
    </row>
    <row r="311" spans="1:67" x14ac:dyDescent="0.25">
      <c r="A311" s="4">
        <f>INT(Tabela1[[#This Row],[Data e Hora]])</f>
        <v>46294</v>
      </c>
      <c r="B311" s="4" t="str">
        <f>UPPER(TEXT(Tabela1[[#This Row],[Data Corrigida]],"MMM"))</f>
        <v>SET</v>
      </c>
      <c r="C311" t="s">
        <v>912</v>
      </c>
      <c r="D311" t="s">
        <v>913</v>
      </c>
      <c r="E311" t="s">
        <v>914</v>
      </c>
      <c r="F311" t="s">
        <v>19</v>
      </c>
      <c r="G311" s="5" t="s">
        <v>909</v>
      </c>
      <c r="H311" t="s">
        <v>20</v>
      </c>
      <c r="I311" t="s">
        <v>33</v>
      </c>
      <c r="J311" s="1">
        <v>161</v>
      </c>
      <c r="K311" s="1">
        <v>3025</v>
      </c>
      <c r="L311" t="s">
        <v>34</v>
      </c>
      <c r="M311" s="1">
        <v>22</v>
      </c>
      <c r="N311" s="48">
        <v>22</v>
      </c>
      <c r="O311" s="1">
        <v>6</v>
      </c>
      <c r="P311" s="48">
        <v>6</v>
      </c>
      <c r="Q311" s="1">
        <v>0</v>
      </c>
      <c r="R311" s="1">
        <v>0</v>
      </c>
      <c r="S311" s="1">
        <v>1</v>
      </c>
      <c r="T311" s="1">
        <v>1</v>
      </c>
      <c r="U311" s="1">
        <v>0</v>
      </c>
      <c r="V311" s="1">
        <v>0</v>
      </c>
      <c r="W311" s="1">
        <v>0</v>
      </c>
      <c r="X311" s="1">
        <v>0</v>
      </c>
      <c r="Y311" s="1" t="s">
        <v>22</v>
      </c>
      <c r="Z311" s="3" t="s">
        <v>22</v>
      </c>
      <c r="AA311" s="1">
        <v>5</v>
      </c>
      <c r="AB311" s="3">
        <v>3.1055900621118013</v>
      </c>
      <c r="AC311" s="1">
        <v>0</v>
      </c>
      <c r="AD311" s="3">
        <v>0</v>
      </c>
      <c r="AE311" s="1">
        <v>3</v>
      </c>
      <c r="AF311" s="3">
        <v>1.8633540372670807</v>
      </c>
      <c r="AG311" s="1">
        <v>2</v>
      </c>
      <c r="AH311" s="3">
        <v>1.2422360248447204</v>
      </c>
      <c r="AI311" s="1" t="s">
        <v>22</v>
      </c>
      <c r="AJ311" s="1">
        <v>0</v>
      </c>
      <c r="AK311" s="3">
        <v>0</v>
      </c>
      <c r="AL311" s="1">
        <v>0</v>
      </c>
      <c r="AM311" s="3">
        <v>0</v>
      </c>
      <c r="AN311" s="1" t="s">
        <v>22</v>
      </c>
      <c r="AO311" s="1">
        <v>7</v>
      </c>
      <c r="AP311" s="3">
        <v>4.3478260869565215</v>
      </c>
      <c r="AQ311" s="3">
        <v>5</v>
      </c>
      <c r="AR311" s="3">
        <v>3.1055900621118013</v>
      </c>
      <c r="AS311" s="1">
        <v>5</v>
      </c>
      <c r="AT311" s="3">
        <v>3.1055900621118013</v>
      </c>
      <c r="AU311" s="1">
        <v>0</v>
      </c>
      <c r="AV311" s="3">
        <v>0</v>
      </c>
      <c r="AW311" s="1" t="s">
        <v>22</v>
      </c>
      <c r="AX311" s="1">
        <v>19</v>
      </c>
      <c r="AY311" s="1">
        <v>0</v>
      </c>
      <c r="AZ311" s="1">
        <v>0</v>
      </c>
      <c r="BA311" s="1">
        <v>38</v>
      </c>
      <c r="BB311" s="1">
        <v>0</v>
      </c>
      <c r="BC311" s="1">
        <v>0</v>
      </c>
      <c r="BD311" s="1">
        <v>1</v>
      </c>
      <c r="BE311" s="54">
        <v>0.6211180124223602</v>
      </c>
      <c r="BF311" s="6">
        <v>19</v>
      </c>
      <c r="BG311" s="6">
        <v>16</v>
      </c>
      <c r="BH311" s="1">
        <v>0</v>
      </c>
      <c r="BI311" s="6">
        <v>0</v>
      </c>
      <c r="BJ311" s="1" t="s">
        <v>22</v>
      </c>
      <c r="BK311" s="6">
        <v>1</v>
      </c>
      <c r="BL311" s="6">
        <v>0</v>
      </c>
      <c r="BM311" s="1">
        <v>0</v>
      </c>
      <c r="BN311" t="s">
        <v>24</v>
      </c>
      <c r="BO311">
        <v>20734</v>
      </c>
    </row>
    <row r="312" spans="1:67" x14ac:dyDescent="0.25">
      <c r="A312" s="4">
        <f>INT(Tabela1[[#This Row],[Data e Hora]])</f>
        <v>46294</v>
      </c>
      <c r="B312" s="4" t="str">
        <f>UPPER(TEXT(Tabela1[[#This Row],[Data Corrigida]],"MMM"))</f>
        <v>SET</v>
      </c>
      <c r="C312" t="s">
        <v>915</v>
      </c>
      <c r="D312" t="s">
        <v>916</v>
      </c>
      <c r="E312" t="s">
        <v>917</v>
      </c>
      <c r="F312" t="s">
        <v>19</v>
      </c>
      <c r="G312" s="5" t="s">
        <v>909</v>
      </c>
      <c r="H312" t="s">
        <v>20</v>
      </c>
      <c r="I312" t="s">
        <v>21</v>
      </c>
      <c r="J312" s="1">
        <v>150</v>
      </c>
      <c r="K312" s="1">
        <v>3094</v>
      </c>
      <c r="L312" t="s">
        <v>23</v>
      </c>
      <c r="M312" s="1">
        <v>41</v>
      </c>
      <c r="N312" s="48">
        <v>41</v>
      </c>
      <c r="O312" s="1">
        <v>23</v>
      </c>
      <c r="P312" s="48">
        <v>23</v>
      </c>
      <c r="Q312" s="1">
        <v>0</v>
      </c>
      <c r="R312" s="1">
        <v>0</v>
      </c>
      <c r="S312" s="1">
        <v>1</v>
      </c>
      <c r="T312" s="1">
        <v>1</v>
      </c>
      <c r="U312" s="1">
        <v>1</v>
      </c>
      <c r="V312" s="1">
        <v>1</v>
      </c>
      <c r="W312" s="1">
        <v>0</v>
      </c>
      <c r="X312" s="1">
        <v>0</v>
      </c>
      <c r="Y312" s="1">
        <v>2</v>
      </c>
      <c r="Z312" s="3">
        <v>0.66666666666666674</v>
      </c>
      <c r="AA312" s="1">
        <v>2</v>
      </c>
      <c r="AB312" s="3">
        <v>1.3333333333333335</v>
      </c>
      <c r="AC312" s="1">
        <v>0</v>
      </c>
      <c r="AD312" s="3">
        <v>0</v>
      </c>
      <c r="AE312" s="1">
        <v>1</v>
      </c>
      <c r="AF312" s="3">
        <v>0.66666666666666674</v>
      </c>
      <c r="AG312" s="1">
        <v>5</v>
      </c>
      <c r="AH312" s="3">
        <v>3.3333333333333335</v>
      </c>
      <c r="AI312" s="1" t="s">
        <v>22</v>
      </c>
      <c r="AJ312" s="1">
        <v>5</v>
      </c>
      <c r="AK312" s="3">
        <v>3.3333333333333335</v>
      </c>
      <c r="AL312" s="1">
        <v>2</v>
      </c>
      <c r="AM312" s="3">
        <v>1.3333333333333335</v>
      </c>
      <c r="AN312" s="1" t="s">
        <v>22</v>
      </c>
      <c r="AO312" s="1">
        <v>9</v>
      </c>
      <c r="AP312" s="3">
        <v>6</v>
      </c>
      <c r="AQ312" s="3">
        <v>1</v>
      </c>
      <c r="AR312" s="3">
        <v>0.66666666666666674</v>
      </c>
      <c r="AS312" s="1">
        <v>7</v>
      </c>
      <c r="AT312" s="3">
        <v>4.666666666666667</v>
      </c>
      <c r="AU312" s="1">
        <v>1</v>
      </c>
      <c r="AV312" s="3">
        <v>0.66666666666666674</v>
      </c>
      <c r="AW312" s="1" t="s">
        <v>22</v>
      </c>
      <c r="AX312" s="1">
        <v>19</v>
      </c>
      <c r="AY312" s="1">
        <v>0</v>
      </c>
      <c r="AZ312" s="1">
        <v>0</v>
      </c>
      <c r="BA312" s="1">
        <v>38</v>
      </c>
      <c r="BB312" s="1">
        <v>0</v>
      </c>
      <c r="BC312" s="1">
        <v>0</v>
      </c>
      <c r="BD312" s="1">
        <v>2</v>
      </c>
      <c r="BE312" s="54">
        <v>1.3333333333333335</v>
      </c>
      <c r="BF312" s="6">
        <v>25</v>
      </c>
      <c r="BG312" s="6">
        <v>20</v>
      </c>
      <c r="BH312" s="1">
        <v>1</v>
      </c>
      <c r="BI312" s="6">
        <v>10</v>
      </c>
      <c r="BJ312" s="1" t="s">
        <v>22</v>
      </c>
      <c r="BK312" s="1" t="s">
        <v>22</v>
      </c>
      <c r="BL312" s="1" t="s">
        <v>22</v>
      </c>
      <c r="BM312" s="1" t="s">
        <v>22</v>
      </c>
      <c r="BN312" t="s">
        <v>24</v>
      </c>
      <c r="BO312">
        <v>1475</v>
      </c>
    </row>
    <row r="313" spans="1:67" x14ac:dyDescent="0.25">
      <c r="A313" s="4">
        <f>INT(Tabela1[[#This Row],[Data e Hora]])</f>
        <v>46294</v>
      </c>
      <c r="B313" s="4" t="str">
        <f>UPPER(TEXT(Tabela1[[#This Row],[Data Corrigida]],"MMM"))</f>
        <v>SET</v>
      </c>
      <c r="C313" t="s">
        <v>918</v>
      </c>
      <c r="D313" t="s">
        <v>919</v>
      </c>
      <c r="E313" t="s">
        <v>917</v>
      </c>
      <c r="F313" t="s">
        <v>19</v>
      </c>
      <c r="G313" s="5" t="s">
        <v>909</v>
      </c>
      <c r="H313" t="s">
        <v>20</v>
      </c>
      <c r="I313" t="s">
        <v>21</v>
      </c>
      <c r="J313" s="1">
        <v>160</v>
      </c>
      <c r="K313" s="1">
        <v>3321</v>
      </c>
      <c r="L313" t="s">
        <v>23</v>
      </c>
      <c r="M313" s="1">
        <v>35</v>
      </c>
      <c r="N313" s="48">
        <v>35</v>
      </c>
      <c r="O313" s="1">
        <v>23</v>
      </c>
      <c r="P313" s="48">
        <v>23</v>
      </c>
      <c r="Q313" s="1">
        <v>0</v>
      </c>
      <c r="R313" s="1">
        <v>0</v>
      </c>
      <c r="S313" s="1">
        <v>3</v>
      </c>
      <c r="T313" s="1">
        <v>3</v>
      </c>
      <c r="U313" s="1">
        <v>1</v>
      </c>
      <c r="V313" s="1">
        <v>1</v>
      </c>
      <c r="W313" s="1">
        <v>2</v>
      </c>
      <c r="X313" s="1">
        <v>10</v>
      </c>
      <c r="Y313" s="1">
        <v>2</v>
      </c>
      <c r="Z313" s="3">
        <v>0.625</v>
      </c>
      <c r="AA313" s="1">
        <v>2</v>
      </c>
      <c r="AB313" s="3">
        <v>1.25</v>
      </c>
      <c r="AC313" s="1">
        <v>0</v>
      </c>
      <c r="AD313" s="3">
        <v>0</v>
      </c>
      <c r="AE313" s="1">
        <v>2</v>
      </c>
      <c r="AF313" s="3">
        <v>1.25</v>
      </c>
      <c r="AG313" s="1">
        <v>6</v>
      </c>
      <c r="AH313" s="3">
        <v>3.75</v>
      </c>
      <c r="AI313" s="1" t="s">
        <v>22</v>
      </c>
      <c r="AJ313" s="1">
        <v>7</v>
      </c>
      <c r="AK313" s="3">
        <v>4.375</v>
      </c>
      <c r="AL313" s="1">
        <v>3</v>
      </c>
      <c r="AM313" s="3">
        <v>1.875</v>
      </c>
      <c r="AN313" s="1" t="s">
        <v>22</v>
      </c>
      <c r="AO313" s="1">
        <v>11</v>
      </c>
      <c r="AP313" s="3">
        <v>6.8750000000000009</v>
      </c>
      <c r="AQ313" s="3">
        <v>1</v>
      </c>
      <c r="AR313" s="3">
        <v>0.625</v>
      </c>
      <c r="AS313" s="1">
        <v>6</v>
      </c>
      <c r="AT313" s="3">
        <v>3.75</v>
      </c>
      <c r="AU313" s="1">
        <v>1</v>
      </c>
      <c r="AV313" s="3">
        <v>0.625</v>
      </c>
      <c r="AW313" s="1" t="s">
        <v>22</v>
      </c>
      <c r="AX313" s="1">
        <v>17</v>
      </c>
      <c r="AY313" s="1">
        <v>0</v>
      </c>
      <c r="AZ313" s="1">
        <v>0</v>
      </c>
      <c r="BA313" s="1">
        <v>34</v>
      </c>
      <c r="BB313" s="1">
        <v>0</v>
      </c>
      <c r="BC313" s="1">
        <v>0</v>
      </c>
      <c r="BD313" s="1">
        <v>0</v>
      </c>
      <c r="BE313" s="54">
        <v>0</v>
      </c>
      <c r="BF313" s="6">
        <v>22</v>
      </c>
      <c r="BG313" s="6">
        <v>19</v>
      </c>
      <c r="BH313" s="1">
        <v>0</v>
      </c>
      <c r="BI313" s="6">
        <v>0</v>
      </c>
      <c r="BJ313" s="1" t="s">
        <v>22</v>
      </c>
      <c r="BK313" s="6">
        <v>0</v>
      </c>
      <c r="BL313" s="6">
        <v>0</v>
      </c>
      <c r="BM313" s="1">
        <v>1</v>
      </c>
      <c r="BN313" t="s">
        <v>22</v>
      </c>
      <c r="BO313">
        <v>1851</v>
      </c>
    </row>
    <row r="314" spans="1:67" x14ac:dyDescent="0.25">
      <c r="A314" s="4">
        <f>INT(Tabela1[[#This Row],[Data e Hora]])</f>
        <v>46294</v>
      </c>
      <c r="B314" s="4" t="str">
        <f>UPPER(TEXT(Tabela1[[#This Row],[Data Corrigida]],"MMM"))</f>
        <v>SET</v>
      </c>
      <c r="C314" t="s">
        <v>920</v>
      </c>
      <c r="D314" t="s">
        <v>921</v>
      </c>
      <c r="E314" t="s">
        <v>917</v>
      </c>
      <c r="F314" t="s">
        <v>19</v>
      </c>
      <c r="G314" s="5" t="s">
        <v>909</v>
      </c>
      <c r="H314" t="s">
        <v>20</v>
      </c>
      <c r="I314" t="s">
        <v>21</v>
      </c>
      <c r="J314" s="1">
        <v>80</v>
      </c>
      <c r="K314" s="1">
        <v>3018</v>
      </c>
      <c r="L314" t="s">
        <v>23</v>
      </c>
      <c r="M314" s="1">
        <v>33</v>
      </c>
      <c r="N314" s="48">
        <v>33</v>
      </c>
      <c r="O314" s="1">
        <v>20</v>
      </c>
      <c r="P314" s="48">
        <v>20</v>
      </c>
      <c r="Q314" s="1">
        <v>0</v>
      </c>
      <c r="R314" s="1">
        <v>0</v>
      </c>
      <c r="S314" s="1">
        <v>1</v>
      </c>
      <c r="T314" s="1">
        <v>1</v>
      </c>
      <c r="U314" s="1">
        <v>1</v>
      </c>
      <c r="V314" s="1">
        <v>1</v>
      </c>
      <c r="W314" s="1">
        <v>3</v>
      </c>
      <c r="X314" s="1">
        <v>15</v>
      </c>
      <c r="Y314" s="1">
        <v>2</v>
      </c>
      <c r="Z314" s="3">
        <v>1.25</v>
      </c>
      <c r="AA314" s="1">
        <v>2</v>
      </c>
      <c r="AB314" s="3">
        <v>2.5</v>
      </c>
      <c r="AC314" s="1">
        <v>0</v>
      </c>
      <c r="AD314" s="3">
        <v>0</v>
      </c>
      <c r="AE314" s="1">
        <v>2</v>
      </c>
      <c r="AF314" s="3">
        <v>2.5</v>
      </c>
      <c r="AG314" s="1">
        <v>4</v>
      </c>
      <c r="AH314" s="3">
        <v>5</v>
      </c>
      <c r="AI314" s="1" t="s">
        <v>22</v>
      </c>
      <c r="AJ314" s="1">
        <v>5</v>
      </c>
      <c r="AK314" s="3">
        <v>6.25</v>
      </c>
      <c r="AL314" s="1">
        <v>2</v>
      </c>
      <c r="AM314" s="3">
        <v>2.5</v>
      </c>
      <c r="AN314" s="1" t="s">
        <v>22</v>
      </c>
      <c r="AO314" s="1">
        <v>10</v>
      </c>
      <c r="AP314" s="3">
        <v>12.5</v>
      </c>
      <c r="AQ314" s="3">
        <v>2</v>
      </c>
      <c r="AR314" s="3">
        <v>2.5</v>
      </c>
      <c r="AS314" s="1">
        <v>6</v>
      </c>
      <c r="AT314" s="3">
        <v>7.5</v>
      </c>
      <c r="AU314" s="1">
        <v>2</v>
      </c>
      <c r="AV314" s="3">
        <v>2.5</v>
      </c>
      <c r="AW314" s="1" t="s">
        <v>22</v>
      </c>
      <c r="AX314" s="1">
        <v>14</v>
      </c>
      <c r="AY314" s="1">
        <v>0</v>
      </c>
      <c r="AZ314" s="1">
        <v>0</v>
      </c>
      <c r="BA314" s="1">
        <v>28</v>
      </c>
      <c r="BB314" s="1">
        <v>0</v>
      </c>
      <c r="BC314" s="1">
        <v>0</v>
      </c>
      <c r="BD314" s="1">
        <v>0</v>
      </c>
      <c r="BE314" s="54">
        <v>0</v>
      </c>
      <c r="BF314" s="6">
        <v>25</v>
      </c>
      <c r="BG314" s="6">
        <v>18</v>
      </c>
      <c r="BH314" s="1">
        <v>1</v>
      </c>
      <c r="BI314" s="6">
        <v>10</v>
      </c>
      <c r="BJ314" s="1" t="s">
        <v>22</v>
      </c>
      <c r="BK314" s="6">
        <v>0</v>
      </c>
      <c r="BL314" s="6">
        <v>0</v>
      </c>
      <c r="BM314" s="1">
        <v>1</v>
      </c>
      <c r="BN314" t="s">
        <v>24</v>
      </c>
      <c r="BO314">
        <v>1968</v>
      </c>
    </row>
    <row r="315" spans="1:67" x14ac:dyDescent="0.25">
      <c r="A315" s="4">
        <f>INT(Tabela1[[#This Row],[Data e Hora]])</f>
        <v>46294</v>
      </c>
      <c r="B315" s="4" t="str">
        <f>UPPER(TEXT(Tabela1[[#This Row],[Data Corrigida]],"MMM"))</f>
        <v>SET</v>
      </c>
      <c r="C315" t="s">
        <v>922</v>
      </c>
      <c r="D315" t="s">
        <v>923</v>
      </c>
      <c r="E315" t="s">
        <v>917</v>
      </c>
      <c r="F315" t="s">
        <v>19</v>
      </c>
      <c r="G315" s="5" t="s">
        <v>909</v>
      </c>
      <c r="H315" t="s">
        <v>20</v>
      </c>
      <c r="I315" t="s">
        <v>21</v>
      </c>
      <c r="J315" s="1">
        <v>146</v>
      </c>
      <c r="K315" s="1">
        <v>3019</v>
      </c>
      <c r="L315" t="s">
        <v>23</v>
      </c>
      <c r="M315" s="1">
        <v>30</v>
      </c>
      <c r="N315" s="48">
        <v>30</v>
      </c>
      <c r="O315" s="1">
        <v>11</v>
      </c>
      <c r="P315" s="48">
        <v>11</v>
      </c>
      <c r="Q315" s="1">
        <v>0</v>
      </c>
      <c r="R315" s="1">
        <v>0</v>
      </c>
      <c r="S315" s="1">
        <v>4</v>
      </c>
      <c r="T315" s="1">
        <v>4</v>
      </c>
      <c r="U315" s="1">
        <v>1</v>
      </c>
      <c r="V315" s="1">
        <v>1</v>
      </c>
      <c r="W315" s="1">
        <v>0</v>
      </c>
      <c r="X315" s="1">
        <v>0</v>
      </c>
      <c r="Y315" s="1">
        <v>2</v>
      </c>
      <c r="Z315" s="3">
        <v>0.68493150684931503</v>
      </c>
      <c r="AA315" s="1">
        <v>4</v>
      </c>
      <c r="AB315" s="3">
        <v>2.7397260273972601</v>
      </c>
      <c r="AC315" s="1">
        <v>0</v>
      </c>
      <c r="AD315" s="3">
        <v>0</v>
      </c>
      <c r="AE315" s="1">
        <v>3</v>
      </c>
      <c r="AF315" s="3">
        <v>2.054794520547945</v>
      </c>
      <c r="AG315" s="1">
        <v>6</v>
      </c>
      <c r="AH315" s="3">
        <v>4.10958904109589</v>
      </c>
      <c r="AI315" s="1" t="s">
        <v>22</v>
      </c>
      <c r="AJ315" s="1">
        <v>8</v>
      </c>
      <c r="AK315" s="3">
        <v>5.4794520547945202</v>
      </c>
      <c r="AL315" s="1">
        <v>2</v>
      </c>
      <c r="AM315" s="3">
        <v>1.3698630136986301</v>
      </c>
      <c r="AN315" s="1" t="s">
        <v>22</v>
      </c>
      <c r="AO315" s="1">
        <v>11</v>
      </c>
      <c r="AP315" s="3">
        <v>7.5342465753424657</v>
      </c>
      <c r="AQ315" s="3">
        <v>1</v>
      </c>
      <c r="AR315" s="3">
        <v>0.68493150684931503</v>
      </c>
      <c r="AS315" s="1">
        <v>6</v>
      </c>
      <c r="AT315" s="3">
        <v>4.10958904109589</v>
      </c>
      <c r="AU315" s="1">
        <v>2</v>
      </c>
      <c r="AV315" s="3">
        <v>1.3698630136986301</v>
      </c>
      <c r="AW315" s="1" t="s">
        <v>22</v>
      </c>
      <c r="AX315" s="1">
        <v>19</v>
      </c>
      <c r="AY315" s="1">
        <v>0</v>
      </c>
      <c r="AZ315" s="1">
        <v>0</v>
      </c>
      <c r="BA315" s="1">
        <v>38</v>
      </c>
      <c r="BB315" s="1">
        <v>0</v>
      </c>
      <c r="BC315" s="1">
        <v>0</v>
      </c>
      <c r="BD315" s="1">
        <v>0</v>
      </c>
      <c r="BE315" s="54">
        <v>0</v>
      </c>
      <c r="BF315" s="6">
        <v>20</v>
      </c>
      <c r="BG315" s="6">
        <v>18</v>
      </c>
      <c r="BH315" s="1">
        <v>1</v>
      </c>
      <c r="BI315" s="6">
        <v>10</v>
      </c>
      <c r="BJ315" s="1" t="s">
        <v>22</v>
      </c>
      <c r="BK315" s="1" t="s">
        <v>22</v>
      </c>
      <c r="BL315" s="1" t="s">
        <v>22</v>
      </c>
      <c r="BM315" s="1" t="s">
        <v>22</v>
      </c>
      <c r="BN315" t="s">
        <v>24</v>
      </c>
      <c r="BO315">
        <v>3447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2026-09-30T13:16:43Z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