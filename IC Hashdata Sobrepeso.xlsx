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19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362" i="1" l="1"/>
  <c r="A1363" i="1"/>
  <c r="A1364" i="1"/>
  <c r="A1365" i="1"/>
  <c r="A1366" i="1"/>
  <c r="A1367" i="1"/>
  <c r="A1368" i="1"/>
  <c r="A1369" i="1"/>
  <c r="A1370" i="1"/>
  <c r="B1370" i="1" s="1"/>
  <c r="A1371" i="1"/>
  <c r="A1372" i="1"/>
  <c r="B1372" i="1" s="1"/>
  <c r="A1373" i="1"/>
  <c r="B1373" i="1" s="1"/>
  <c r="A1374" i="1"/>
  <c r="A1375" i="1"/>
  <c r="A1376" i="1"/>
  <c r="A1377" i="1"/>
  <c r="A1378" i="1"/>
  <c r="A1379" i="1"/>
  <c r="A1380" i="1"/>
  <c r="A1381" i="1"/>
  <c r="A1382" i="1"/>
  <c r="B1382" i="1" s="1"/>
  <c r="A1383" i="1"/>
  <c r="A1384" i="1"/>
  <c r="B1384" i="1" s="1"/>
  <c r="A1385" i="1"/>
  <c r="B1385" i="1" s="1"/>
  <c r="A1386" i="1"/>
  <c r="A1387" i="1"/>
  <c r="A1388" i="1"/>
  <c r="A1389" i="1"/>
  <c r="A1390" i="1"/>
  <c r="A1391" i="1"/>
  <c r="A1392" i="1"/>
  <c r="A1393" i="1"/>
  <c r="A1394" i="1"/>
  <c r="B1394" i="1" s="1"/>
  <c r="A1395" i="1"/>
  <c r="A1396" i="1"/>
  <c r="B1396" i="1" s="1"/>
  <c r="A1397" i="1"/>
  <c r="B1397" i="1" s="1"/>
  <c r="A1398" i="1"/>
  <c r="A1399" i="1"/>
  <c r="A1400" i="1"/>
  <c r="A1401" i="1"/>
  <c r="A1402" i="1"/>
  <c r="A1403" i="1"/>
  <c r="A1404" i="1"/>
  <c r="A1405" i="1"/>
  <c r="A1406" i="1"/>
  <c r="B1406" i="1" s="1"/>
  <c r="A1407" i="1"/>
  <c r="B1407" i="1" s="1"/>
  <c r="A1408" i="1"/>
  <c r="B1408" i="1" s="1"/>
  <c r="A1409" i="1"/>
  <c r="B1409" i="1" s="1"/>
  <c r="A1410" i="1"/>
  <c r="A1411" i="1"/>
  <c r="A1412" i="1"/>
  <c r="A1413" i="1"/>
  <c r="A1414" i="1"/>
  <c r="A1415" i="1"/>
  <c r="A1416" i="1"/>
  <c r="A1417" i="1"/>
  <c r="A1418" i="1"/>
  <c r="B1418" i="1" s="1"/>
  <c r="A1419" i="1"/>
  <c r="B1419" i="1" s="1"/>
  <c r="A1420" i="1"/>
  <c r="B1420" i="1" s="1"/>
  <c r="A1421" i="1"/>
  <c r="B1421" i="1" s="1"/>
  <c r="A1422" i="1"/>
  <c r="A1423" i="1"/>
  <c r="A1424" i="1"/>
  <c r="B1362" i="1"/>
  <c r="B1363" i="1"/>
  <c r="B1364" i="1"/>
  <c r="B1365" i="1"/>
  <c r="B1366" i="1"/>
  <c r="B1367" i="1"/>
  <c r="B1368" i="1"/>
  <c r="B1369" i="1"/>
  <c r="B1371" i="1"/>
  <c r="B1374" i="1"/>
  <c r="B1375" i="1"/>
  <c r="B1376" i="1"/>
  <c r="B1377" i="1"/>
  <c r="B1378" i="1"/>
  <c r="B1379" i="1"/>
  <c r="B1380" i="1"/>
  <c r="B1381" i="1"/>
  <c r="B1383" i="1"/>
  <c r="B1386" i="1"/>
  <c r="B1387" i="1"/>
  <c r="B1388" i="1"/>
  <c r="B1389" i="1"/>
  <c r="B1390" i="1"/>
  <c r="B1391" i="1"/>
  <c r="B1392" i="1"/>
  <c r="B1393" i="1"/>
  <c r="B1395" i="1"/>
  <c r="B1398" i="1"/>
  <c r="B1399" i="1"/>
  <c r="B1400" i="1"/>
  <c r="B1401" i="1"/>
  <c r="B1402" i="1"/>
  <c r="B1403" i="1"/>
  <c r="B1404" i="1"/>
  <c r="B1405" i="1"/>
  <c r="B1410" i="1"/>
  <c r="B1411" i="1"/>
  <c r="B1412" i="1"/>
  <c r="B1413" i="1"/>
  <c r="B1414" i="1"/>
  <c r="B1415" i="1"/>
  <c r="B1416" i="1"/>
  <c r="B1417" i="1"/>
  <c r="B1422" i="1"/>
  <c r="B1423" i="1"/>
  <c r="B1424" i="1"/>
  <c r="Y1362" i="1"/>
  <c r="Z1362" i="1" s="1"/>
  <c r="Y1363" i="1"/>
  <c r="AA1363" i="1" s="1"/>
  <c r="Y1364" i="1"/>
  <c r="AA1364" i="1" s="1"/>
  <c r="Y1365" i="1"/>
  <c r="Z1365" i="1" s="1"/>
  <c r="Y1366" i="1"/>
  <c r="Z1366" i="1" s="1"/>
  <c r="Y1367" i="1"/>
  <c r="Z1367" i="1" s="1"/>
  <c r="Y1368" i="1"/>
  <c r="Y1369" i="1"/>
  <c r="Z1369" i="1" s="1"/>
  <c r="Y1370" i="1"/>
  <c r="Y1371" i="1"/>
  <c r="Z1371" i="1" s="1"/>
  <c r="Y1372" i="1"/>
  <c r="Y1373" i="1"/>
  <c r="AA1373" i="1" s="1"/>
  <c r="Y1374" i="1"/>
  <c r="Y1375" i="1"/>
  <c r="AA1375" i="1" s="1"/>
  <c r="Y1376" i="1"/>
  <c r="AA1376" i="1" s="1"/>
  <c r="Y1377" i="1"/>
  <c r="Z1377" i="1" s="1"/>
  <c r="Y1378" i="1"/>
  <c r="Z1378" i="1" s="1"/>
  <c r="Y1379" i="1"/>
  <c r="Z1379" i="1" s="1"/>
  <c r="Y1380" i="1"/>
  <c r="Y1381" i="1"/>
  <c r="Z1381" i="1" s="1"/>
  <c r="Y1382" i="1"/>
  <c r="Y1383" i="1"/>
  <c r="AA1383" i="1" s="1"/>
  <c r="Y1384" i="1"/>
  <c r="AA1384" i="1" s="1"/>
  <c r="Y1385" i="1"/>
  <c r="AA1385" i="1" s="1"/>
  <c r="Y1386" i="1"/>
  <c r="Z1386" i="1" s="1"/>
  <c r="Y1387" i="1"/>
  <c r="AA1387" i="1" s="1"/>
  <c r="Y1388" i="1"/>
  <c r="AA1388" i="1" s="1"/>
  <c r="Y1389" i="1"/>
  <c r="Z1389" i="1" s="1"/>
  <c r="Y1390" i="1"/>
  <c r="AA1390" i="1" s="1"/>
  <c r="Y1391" i="1"/>
  <c r="Z1391" i="1" s="1"/>
  <c r="Y1392" i="1"/>
  <c r="Z1392" i="1" s="1"/>
  <c r="Y1393" i="1"/>
  <c r="Y1394" i="1"/>
  <c r="AA1394" i="1" s="1"/>
  <c r="Y1395" i="1"/>
  <c r="Y1396" i="1"/>
  <c r="Z1396" i="1" s="1"/>
  <c r="Y1397" i="1"/>
  <c r="AA1397" i="1" s="1"/>
  <c r="Y1398" i="1"/>
  <c r="Y1399" i="1"/>
  <c r="AA1399" i="1" s="1"/>
  <c r="Y1400" i="1"/>
  <c r="AA1400" i="1" s="1"/>
  <c r="Y1401" i="1"/>
  <c r="Z1401" i="1" s="1"/>
  <c r="Y1402" i="1"/>
  <c r="Z1402" i="1" s="1"/>
  <c r="Y1403" i="1"/>
  <c r="Z1403" i="1" s="1"/>
  <c r="Y1404" i="1"/>
  <c r="Z1404" i="1" s="1"/>
  <c r="Y1405" i="1"/>
  <c r="Y1406" i="1"/>
  <c r="Z1406" i="1" s="1"/>
  <c r="Y1407" i="1"/>
  <c r="Z1407" i="1" s="1"/>
  <c r="Y1408" i="1"/>
  <c r="Y1409" i="1"/>
  <c r="AA1409" i="1" s="1"/>
  <c r="Y1410" i="1"/>
  <c r="Y1411" i="1"/>
  <c r="AA1411" i="1" s="1"/>
  <c r="Y1412" i="1"/>
  <c r="AA1412" i="1" s="1"/>
  <c r="Y1413" i="1"/>
  <c r="Z1413" i="1" s="1"/>
  <c r="Y1414" i="1"/>
  <c r="Z1414" i="1" s="1"/>
  <c r="Y1415" i="1"/>
  <c r="Z1415" i="1" s="1"/>
  <c r="Y1416" i="1"/>
  <c r="Z1416" i="1" s="1"/>
  <c r="Y1417" i="1"/>
  <c r="Y1418" i="1"/>
  <c r="AA1418" i="1" s="1"/>
  <c r="Y1419" i="1"/>
  <c r="Z1419" i="1" s="1"/>
  <c r="Y1420" i="1"/>
  <c r="Y1421" i="1"/>
  <c r="AA1421" i="1" s="1"/>
  <c r="Y1422" i="1"/>
  <c r="Z1422" i="1" s="1"/>
  <c r="Y1423" i="1"/>
  <c r="AA1423" i="1" s="1"/>
  <c r="Y1424" i="1"/>
  <c r="AA1424" i="1" s="1"/>
  <c r="Z1368" i="1"/>
  <c r="Z1370" i="1"/>
  <c r="Z1372" i="1"/>
  <c r="Z1373" i="1"/>
  <c r="Z1374" i="1"/>
  <c r="Z1380" i="1"/>
  <c r="Z1382" i="1"/>
  <c r="Z1384" i="1"/>
  <c r="Z1385" i="1"/>
  <c r="Z1387" i="1"/>
  <c r="Z1393" i="1"/>
  <c r="Z1395" i="1"/>
  <c r="Z1397" i="1"/>
  <c r="Z1398" i="1"/>
  <c r="Z1399" i="1"/>
  <c r="Z1405" i="1"/>
  <c r="Z1408" i="1"/>
  <c r="Z1409" i="1"/>
  <c r="Z1410" i="1"/>
  <c r="Z1411" i="1"/>
  <c r="Z1417" i="1"/>
  <c r="Z1420" i="1"/>
  <c r="Z1423" i="1"/>
  <c r="AA1368" i="1"/>
  <c r="AA1370" i="1"/>
  <c r="AA1372" i="1"/>
  <c r="AA1374" i="1"/>
  <c r="AA1380" i="1"/>
  <c r="AA1382" i="1"/>
  <c r="AA1386" i="1"/>
  <c r="AA1391" i="1"/>
  <c r="AA1393" i="1"/>
  <c r="AA1395" i="1"/>
  <c r="AA1398" i="1"/>
  <c r="AA1403" i="1"/>
  <c r="AA1405" i="1"/>
  <c r="AA1407" i="1"/>
  <c r="AA1408" i="1"/>
  <c r="AA1410" i="1"/>
  <c r="AA1417" i="1"/>
  <c r="AA1420" i="1"/>
  <c r="AA1422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Z1421" i="1" l="1"/>
  <c r="AA1419" i="1"/>
  <c r="Z1418" i="1"/>
  <c r="AA1416" i="1"/>
  <c r="AA1415" i="1"/>
  <c r="AA1406" i="1"/>
  <c r="AA1404" i="1"/>
  <c r="AA1396" i="1"/>
  <c r="Z1394" i="1"/>
  <c r="AA1392" i="1"/>
  <c r="Z1383" i="1"/>
  <c r="AA1381" i="1"/>
  <c r="AA1379" i="1"/>
  <c r="Z1375" i="1"/>
  <c r="AA1371" i="1"/>
  <c r="AA1369" i="1"/>
  <c r="AA1367" i="1"/>
  <c r="Z1363" i="1"/>
  <c r="AA1362" i="1"/>
  <c r="Z1424" i="1"/>
  <c r="Z1412" i="1"/>
  <c r="Z1400" i="1"/>
  <c r="Z1388" i="1"/>
  <c r="Z1376" i="1"/>
  <c r="Z1364" i="1"/>
  <c r="AA1402" i="1"/>
  <c r="AA1378" i="1"/>
  <c r="AA1366" i="1"/>
  <c r="AA1413" i="1"/>
  <c r="AA1401" i="1"/>
  <c r="AA1377" i="1"/>
  <c r="AA1365" i="1"/>
  <c r="AA1389" i="1"/>
  <c r="AA1414" i="1"/>
  <c r="Z1390" i="1"/>
  <c r="A1297" i="1"/>
  <c r="A1298" i="1"/>
  <c r="A1299" i="1"/>
  <c r="A1300" i="1"/>
  <c r="B1300" i="1" s="1"/>
  <c r="A1301" i="1"/>
  <c r="B1301" i="1" s="1"/>
  <c r="A1302" i="1"/>
  <c r="B1302" i="1" s="1"/>
  <c r="A1303" i="1"/>
  <c r="B1303" i="1" s="1"/>
  <c r="A1304" i="1"/>
  <c r="B1304" i="1" s="1"/>
  <c r="A1305" i="1"/>
  <c r="A1306" i="1"/>
  <c r="B1306" i="1" s="1"/>
  <c r="A1307" i="1"/>
  <c r="B1307" i="1" s="1"/>
  <c r="A1308" i="1"/>
  <c r="B1308" i="1" s="1"/>
  <c r="A1309" i="1"/>
  <c r="A1310" i="1"/>
  <c r="A1311" i="1"/>
  <c r="A1312" i="1"/>
  <c r="A1313" i="1"/>
  <c r="A1314" i="1"/>
  <c r="A1315" i="1"/>
  <c r="A1316" i="1"/>
  <c r="B1316" i="1" s="1"/>
  <c r="A1317" i="1"/>
  <c r="A1318" i="1"/>
  <c r="B1318" i="1" s="1"/>
  <c r="A1319" i="1"/>
  <c r="B1319" i="1" s="1"/>
  <c r="A1320" i="1"/>
  <c r="B1320" i="1" s="1"/>
  <c r="A1321" i="1"/>
  <c r="A1322" i="1"/>
  <c r="B1322" i="1" s="1"/>
  <c r="A1323" i="1"/>
  <c r="B1323" i="1" s="1"/>
  <c r="A1324" i="1"/>
  <c r="B1324" i="1" s="1"/>
  <c r="A1325" i="1"/>
  <c r="B1325" i="1" s="1"/>
  <c r="A1326" i="1"/>
  <c r="B1326" i="1" s="1"/>
  <c r="A1327" i="1"/>
  <c r="B1327" i="1" s="1"/>
  <c r="A1328" i="1"/>
  <c r="B1328" i="1" s="1"/>
  <c r="A1329" i="1"/>
  <c r="A1330" i="1"/>
  <c r="B1330" i="1" s="1"/>
  <c r="A1331" i="1"/>
  <c r="B1331" i="1" s="1"/>
  <c r="A1332" i="1"/>
  <c r="B1332" i="1" s="1"/>
  <c r="A1333" i="1"/>
  <c r="A1334" i="1"/>
  <c r="A1335" i="1"/>
  <c r="A1336" i="1"/>
  <c r="B1336" i="1" s="1"/>
  <c r="A1337" i="1"/>
  <c r="B1337" i="1" s="1"/>
  <c r="A1338" i="1"/>
  <c r="B1338" i="1" s="1"/>
  <c r="A1339" i="1"/>
  <c r="B1339" i="1" s="1"/>
  <c r="A1340" i="1"/>
  <c r="B1340" i="1" s="1"/>
  <c r="A1341" i="1"/>
  <c r="A1342" i="1"/>
  <c r="B1342" i="1" s="1"/>
  <c r="A1343" i="1"/>
  <c r="B1343" i="1" s="1"/>
  <c r="A1344" i="1"/>
  <c r="B1344" i="1" s="1"/>
  <c r="A1345" i="1"/>
  <c r="A1346" i="1"/>
  <c r="A1347" i="1"/>
  <c r="A1348" i="1"/>
  <c r="A1349" i="1"/>
  <c r="A1350" i="1"/>
  <c r="A1351" i="1"/>
  <c r="A1352" i="1"/>
  <c r="B1352" i="1" s="1"/>
  <c r="A1353" i="1"/>
  <c r="A1354" i="1"/>
  <c r="B1354" i="1" s="1"/>
  <c r="A1355" i="1"/>
  <c r="B1355" i="1" s="1"/>
  <c r="A1356" i="1"/>
  <c r="B1356" i="1" s="1"/>
  <c r="A1357" i="1"/>
  <c r="A1358" i="1"/>
  <c r="B1358" i="1" s="1"/>
  <c r="A1359" i="1"/>
  <c r="B1359" i="1" s="1"/>
  <c r="A1360" i="1"/>
  <c r="B1360" i="1" s="1"/>
  <c r="A1361" i="1"/>
  <c r="B1361" i="1" s="1"/>
  <c r="B1297" i="1"/>
  <c r="B1298" i="1"/>
  <c r="B1299" i="1"/>
  <c r="B1305" i="1"/>
  <c r="B1309" i="1"/>
  <c r="B1310" i="1"/>
  <c r="B1311" i="1"/>
  <c r="B1312" i="1"/>
  <c r="B1313" i="1"/>
  <c r="B1314" i="1"/>
  <c r="B1315" i="1"/>
  <c r="B1317" i="1"/>
  <c r="B1321" i="1"/>
  <c r="B1329" i="1"/>
  <c r="B1333" i="1"/>
  <c r="B1334" i="1"/>
  <c r="B1335" i="1"/>
  <c r="B1341" i="1"/>
  <c r="B1345" i="1"/>
  <c r="B1346" i="1"/>
  <c r="B1347" i="1"/>
  <c r="B1348" i="1"/>
  <c r="B1349" i="1"/>
  <c r="B1350" i="1"/>
  <c r="B1351" i="1"/>
  <c r="B1353" i="1"/>
  <c r="B1357" i="1"/>
  <c r="Y1297" i="1"/>
  <c r="Z1297" i="1" s="1"/>
  <c r="Y1298" i="1"/>
  <c r="Z1298" i="1" s="1"/>
  <c r="Y1299" i="1"/>
  <c r="AA1299" i="1" s="1"/>
  <c r="Y1300" i="1"/>
  <c r="Z1300" i="1" s="1"/>
  <c r="Y1301" i="1"/>
  <c r="AA1301" i="1" s="1"/>
  <c r="Y1302" i="1"/>
  <c r="AA1302" i="1" s="1"/>
  <c r="Y1303" i="1"/>
  <c r="Z1303" i="1" s="1"/>
  <c r="Y1304" i="1"/>
  <c r="AA1304" i="1" s="1"/>
  <c r="Y1305" i="1"/>
  <c r="AA1305" i="1" s="1"/>
  <c r="Y1306" i="1"/>
  <c r="Z1306" i="1" s="1"/>
  <c r="Y1307" i="1"/>
  <c r="Y1308" i="1"/>
  <c r="Z1308" i="1" s="1"/>
  <c r="Y1309" i="1"/>
  <c r="Z1309" i="1" s="1"/>
  <c r="Y1310" i="1"/>
  <c r="AA1310" i="1" s="1"/>
  <c r="Y1311" i="1"/>
  <c r="AA1311" i="1" s="1"/>
  <c r="Y1312" i="1"/>
  <c r="Z1312" i="1" s="1"/>
  <c r="Y1313" i="1"/>
  <c r="AA1313" i="1" s="1"/>
  <c r="Y1314" i="1"/>
  <c r="AA1314" i="1" s="1"/>
  <c r="Y1315" i="1"/>
  <c r="Z1315" i="1" s="1"/>
  <c r="Y1316" i="1"/>
  <c r="AA1316" i="1" s="1"/>
  <c r="Y1317" i="1"/>
  <c r="AA1317" i="1" s="1"/>
  <c r="Y1318" i="1"/>
  <c r="Z1318" i="1" s="1"/>
  <c r="Y1319" i="1"/>
  <c r="Y1320" i="1"/>
  <c r="Z1320" i="1" s="1"/>
  <c r="Y1321" i="1"/>
  <c r="Z1321" i="1" s="1"/>
  <c r="Y1322" i="1"/>
  <c r="Z1322" i="1" s="1"/>
  <c r="Y1323" i="1"/>
  <c r="Z1323" i="1" s="1"/>
  <c r="Y1324" i="1"/>
  <c r="Z1324" i="1" s="1"/>
  <c r="Y1325" i="1"/>
  <c r="Z1325" i="1" s="1"/>
  <c r="Y1326" i="1"/>
  <c r="Z1326" i="1" s="1"/>
  <c r="Y1327" i="1"/>
  <c r="Z1327" i="1" s="1"/>
  <c r="Y1328" i="1"/>
  <c r="AA1328" i="1" s="1"/>
  <c r="Y1329" i="1"/>
  <c r="AA1329" i="1" s="1"/>
  <c r="Y1330" i="1"/>
  <c r="Z1330" i="1" s="1"/>
  <c r="Y1331" i="1"/>
  <c r="Z1331" i="1" s="1"/>
  <c r="Y1332" i="1"/>
  <c r="Z1332" i="1" s="1"/>
  <c r="Y1333" i="1"/>
  <c r="Z1333" i="1" s="1"/>
  <c r="Y1334" i="1"/>
  <c r="Z1334" i="1" s="1"/>
  <c r="Y1335" i="1"/>
  <c r="AA1335" i="1" s="1"/>
  <c r="Y1336" i="1"/>
  <c r="Z1336" i="1" s="1"/>
  <c r="Y1337" i="1"/>
  <c r="AA1337" i="1" s="1"/>
  <c r="Y1338" i="1"/>
  <c r="Z1338" i="1" s="1"/>
  <c r="Y1339" i="1"/>
  <c r="AA1339" i="1" s="1"/>
  <c r="Y1340" i="1"/>
  <c r="AA1340" i="1" s="1"/>
  <c r="Y1341" i="1"/>
  <c r="AA1341" i="1" s="1"/>
  <c r="Y1342" i="1"/>
  <c r="Z1342" i="1" s="1"/>
  <c r="Y1343" i="1"/>
  <c r="Z1343" i="1" s="1"/>
  <c r="Y1344" i="1"/>
  <c r="AA1344" i="1" s="1"/>
  <c r="Y1345" i="1"/>
  <c r="Z1345" i="1" s="1"/>
  <c r="Y1346" i="1"/>
  <c r="AA1346" i="1" s="1"/>
  <c r="Y1347" i="1"/>
  <c r="Z1347" i="1" s="1"/>
  <c r="Y1348" i="1"/>
  <c r="Z1348" i="1" s="1"/>
  <c r="Y1349" i="1"/>
  <c r="AA1349" i="1" s="1"/>
  <c r="Y1350" i="1"/>
  <c r="Z1350" i="1" s="1"/>
  <c r="Y1351" i="1"/>
  <c r="Z1351" i="1" s="1"/>
  <c r="Y1352" i="1"/>
  <c r="AA1352" i="1" s="1"/>
  <c r="Y1353" i="1"/>
  <c r="AA1353" i="1" s="1"/>
  <c r="Y1354" i="1"/>
  <c r="Z1354" i="1" s="1"/>
  <c r="Y1355" i="1"/>
  <c r="Y1356" i="1"/>
  <c r="Z1356" i="1" s="1"/>
  <c r="Y1357" i="1"/>
  <c r="Z1357" i="1" s="1"/>
  <c r="Y1358" i="1"/>
  <c r="AA1358" i="1" s="1"/>
  <c r="Y1359" i="1"/>
  <c r="AA1359" i="1" s="1"/>
  <c r="Y1360" i="1"/>
  <c r="Z1360" i="1" s="1"/>
  <c r="Y1361" i="1"/>
  <c r="Z1361" i="1" s="1"/>
  <c r="Z1299" i="1"/>
  <c r="Z1307" i="1"/>
  <c r="Z1319" i="1"/>
  <c r="Z1355" i="1"/>
  <c r="AA1307" i="1"/>
  <c r="AA1319" i="1"/>
  <c r="AA1336" i="1"/>
  <c r="AA1355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Z1314" i="1" l="1"/>
  <c r="AA1312" i="1"/>
  <c r="AA1338" i="1"/>
  <c r="AA1361" i="1"/>
  <c r="Z1311" i="1"/>
  <c r="AA1360" i="1"/>
  <c r="Z1359" i="1"/>
  <c r="Z1353" i="1"/>
  <c r="Z1352" i="1"/>
  <c r="AA1351" i="1"/>
  <c r="AA1350" i="1"/>
  <c r="Z1349" i="1"/>
  <c r="AA1348" i="1"/>
  <c r="AA1347" i="1"/>
  <c r="AA1343" i="1"/>
  <c r="Z1341" i="1"/>
  <c r="Z1340" i="1"/>
  <c r="Z1339" i="1"/>
  <c r="Z1337" i="1"/>
  <c r="Z1335" i="1"/>
  <c r="AA1331" i="1"/>
  <c r="Z1329" i="1"/>
  <c r="Z1328" i="1"/>
  <c r="AA1327" i="1"/>
  <c r="AA1326" i="1"/>
  <c r="AA1325" i="1"/>
  <c r="AA1324" i="1"/>
  <c r="AA1323" i="1"/>
  <c r="Z1317" i="1"/>
  <c r="Z1316" i="1"/>
  <c r="AA1315" i="1"/>
  <c r="Z1313" i="1"/>
  <c r="Z1305" i="1"/>
  <c r="Z1304" i="1"/>
  <c r="AA1303" i="1"/>
  <c r="Z1302" i="1"/>
  <c r="Z1301" i="1"/>
  <c r="AA1300" i="1"/>
  <c r="AA1334" i="1"/>
  <c r="AA1298" i="1"/>
  <c r="AA1357" i="1"/>
  <c r="AA1345" i="1"/>
  <c r="AA1333" i="1"/>
  <c r="AA1321" i="1"/>
  <c r="AA1309" i="1"/>
  <c r="AA1297" i="1"/>
  <c r="AA1308" i="1"/>
  <c r="AA1322" i="1"/>
  <c r="AA1332" i="1"/>
  <c r="AA1330" i="1"/>
  <c r="Z1358" i="1"/>
  <c r="Z1346" i="1"/>
  <c r="Z1310" i="1"/>
  <c r="AA1354" i="1"/>
  <c r="AA1318" i="1"/>
  <c r="AA1356" i="1"/>
  <c r="AA1320" i="1"/>
  <c r="AA1342" i="1"/>
  <c r="AA1306" i="1"/>
  <c r="Z1344" i="1"/>
  <c r="A1268" i="1"/>
  <c r="B1268" i="1" s="1"/>
  <c r="A1269" i="1"/>
  <c r="B1269" i="1" s="1"/>
  <c r="A1270" i="1"/>
  <c r="A1271" i="1"/>
  <c r="A1272" i="1"/>
  <c r="B1272" i="1" s="1"/>
  <c r="A1273" i="1"/>
  <c r="B1273" i="1" s="1"/>
  <c r="A1274" i="1"/>
  <c r="B1274" i="1" s="1"/>
  <c r="A1275" i="1"/>
  <c r="B1275" i="1" s="1"/>
  <c r="A1276" i="1"/>
  <c r="B1276" i="1" s="1"/>
  <c r="A1277" i="1"/>
  <c r="B1277" i="1" s="1"/>
  <c r="A1278" i="1"/>
  <c r="B1278" i="1" s="1"/>
  <c r="A1279" i="1"/>
  <c r="B1279" i="1" s="1"/>
  <c r="A1280" i="1"/>
  <c r="A1281" i="1"/>
  <c r="B1281" i="1" s="1"/>
  <c r="A1282" i="1"/>
  <c r="A1283" i="1"/>
  <c r="B1283" i="1" s="1"/>
  <c r="A1284" i="1"/>
  <c r="B1284" i="1" s="1"/>
  <c r="A1285" i="1"/>
  <c r="B1285" i="1" s="1"/>
  <c r="A1286" i="1"/>
  <c r="B1286" i="1" s="1"/>
  <c r="A1287" i="1"/>
  <c r="B1287" i="1" s="1"/>
  <c r="A1288" i="1"/>
  <c r="B1288" i="1" s="1"/>
  <c r="A1289" i="1"/>
  <c r="B1289" i="1" s="1"/>
  <c r="A1290" i="1"/>
  <c r="B1290" i="1" s="1"/>
  <c r="A1291" i="1"/>
  <c r="B1291" i="1" s="1"/>
  <c r="A1292" i="1"/>
  <c r="B1292" i="1" s="1"/>
  <c r="A1293" i="1"/>
  <c r="B1293" i="1" s="1"/>
  <c r="A1294" i="1"/>
  <c r="A1295" i="1"/>
  <c r="A1296" i="1"/>
  <c r="B1296" i="1" s="1"/>
  <c r="B1270" i="1"/>
  <c r="B1271" i="1"/>
  <c r="B1280" i="1"/>
  <c r="B1282" i="1"/>
  <c r="B1294" i="1"/>
  <c r="B1295" i="1"/>
  <c r="Y1268" i="1"/>
  <c r="AA1268" i="1" s="1"/>
  <c r="Y1269" i="1"/>
  <c r="Z1269" i="1" s="1"/>
  <c r="Y1270" i="1"/>
  <c r="Z1270" i="1" s="1"/>
  <c r="Y1271" i="1"/>
  <c r="Z1271" i="1" s="1"/>
  <c r="Y1272" i="1"/>
  <c r="AA1272" i="1" s="1"/>
  <c r="Y1273" i="1"/>
  <c r="AA1273" i="1" s="1"/>
  <c r="Y1274" i="1"/>
  <c r="AA1274" i="1" s="1"/>
  <c r="Y1275" i="1"/>
  <c r="Z1275" i="1" s="1"/>
  <c r="Y1276" i="1"/>
  <c r="Z1276" i="1" s="1"/>
  <c r="Y1277" i="1"/>
  <c r="Z1277" i="1" s="1"/>
  <c r="Y1278" i="1"/>
  <c r="Z1278" i="1" s="1"/>
  <c r="Y1279" i="1"/>
  <c r="Z1279" i="1" s="1"/>
  <c r="Y1280" i="1"/>
  <c r="Z1280" i="1" s="1"/>
  <c r="Y1281" i="1"/>
  <c r="Z1281" i="1" s="1"/>
  <c r="Y1282" i="1"/>
  <c r="Z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Z1289" i="1" s="1"/>
  <c r="Y1290" i="1"/>
  <c r="Z1290" i="1" s="1"/>
  <c r="Y1291" i="1"/>
  <c r="AA1291" i="1" s="1"/>
  <c r="Y1292" i="1"/>
  <c r="Z1292" i="1" s="1"/>
  <c r="Y1293" i="1"/>
  <c r="Z1293" i="1" s="1"/>
  <c r="Y1294" i="1"/>
  <c r="Z1294" i="1" s="1"/>
  <c r="Y1295" i="1"/>
  <c r="Z1295" i="1" s="1"/>
  <c r="Y1296" i="1"/>
  <c r="AA1296" i="1" s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Z1272" i="1" l="1"/>
  <c r="AA1271" i="1"/>
  <c r="AA1294" i="1"/>
  <c r="AA1282" i="1"/>
  <c r="AA1270" i="1"/>
  <c r="Z1283" i="1"/>
  <c r="AA1279" i="1"/>
  <c r="Z1285" i="1"/>
  <c r="AA1295" i="1"/>
  <c r="Z1291" i="1"/>
  <c r="AA1292" i="1"/>
  <c r="Z1273" i="1"/>
  <c r="Z1296" i="1"/>
  <c r="Z1288" i="1"/>
  <c r="Z1287" i="1"/>
  <c r="Z1284" i="1"/>
  <c r="AA1280" i="1"/>
  <c r="AA1276" i="1"/>
  <c r="AA1275" i="1"/>
  <c r="Z1268" i="1"/>
  <c r="AA1293" i="1"/>
  <c r="AA1281" i="1"/>
  <c r="AA1269" i="1"/>
  <c r="Z1286" i="1"/>
  <c r="Z1274" i="1"/>
  <c r="AA1290" i="1"/>
  <c r="AA1278" i="1"/>
  <c r="AA1289" i="1"/>
  <c r="AA1277" i="1"/>
  <c r="A1227" i="1"/>
  <c r="B1227" i="1" s="1"/>
  <c r="A1228" i="1"/>
  <c r="B1228" i="1" s="1"/>
  <c r="A1229" i="1"/>
  <c r="B1229" i="1" s="1"/>
  <c r="A1230" i="1"/>
  <c r="B1230" i="1" s="1"/>
  <c r="A1231" i="1"/>
  <c r="A1232" i="1"/>
  <c r="B1232" i="1" s="1"/>
  <c r="A1233" i="1"/>
  <c r="B1233" i="1" s="1"/>
  <c r="A1234" i="1"/>
  <c r="B1234" i="1" s="1"/>
  <c r="A1235" i="1"/>
  <c r="B1235" i="1" s="1"/>
  <c r="A1236" i="1"/>
  <c r="B1236" i="1" s="1"/>
  <c r="A1237" i="1"/>
  <c r="B1237" i="1" s="1"/>
  <c r="A1238" i="1"/>
  <c r="B1238" i="1" s="1"/>
  <c r="A1239" i="1"/>
  <c r="B1239" i="1" s="1"/>
  <c r="A1240" i="1"/>
  <c r="B1240" i="1" s="1"/>
  <c r="A1241" i="1"/>
  <c r="B1241" i="1" s="1"/>
  <c r="A1242" i="1"/>
  <c r="B1242" i="1" s="1"/>
  <c r="A1243" i="1"/>
  <c r="A1244" i="1"/>
  <c r="B1244" i="1" s="1"/>
  <c r="A1245" i="1"/>
  <c r="B1245" i="1" s="1"/>
  <c r="A1246" i="1"/>
  <c r="B1246" i="1" s="1"/>
  <c r="A1247" i="1"/>
  <c r="B1247" i="1" s="1"/>
  <c r="A1248" i="1"/>
  <c r="B1248" i="1" s="1"/>
  <c r="A1249" i="1"/>
  <c r="B1249" i="1" s="1"/>
  <c r="A1250" i="1"/>
  <c r="B1250" i="1" s="1"/>
  <c r="A1251" i="1"/>
  <c r="B1251" i="1" s="1"/>
  <c r="A1252" i="1"/>
  <c r="B1252" i="1" s="1"/>
  <c r="A1253" i="1"/>
  <c r="B1253" i="1" s="1"/>
  <c r="A1254" i="1"/>
  <c r="B1254" i="1" s="1"/>
  <c r="A1255" i="1"/>
  <c r="B1255" i="1" s="1"/>
  <c r="A1256" i="1"/>
  <c r="B1256" i="1" s="1"/>
  <c r="A1257" i="1"/>
  <c r="B1257" i="1" s="1"/>
  <c r="A1258" i="1"/>
  <c r="B1258" i="1" s="1"/>
  <c r="A1259" i="1"/>
  <c r="B1259" i="1" s="1"/>
  <c r="A1260" i="1"/>
  <c r="B1260" i="1" s="1"/>
  <c r="A1261" i="1"/>
  <c r="B1261" i="1" s="1"/>
  <c r="A1262" i="1"/>
  <c r="B1262" i="1" s="1"/>
  <c r="A1263" i="1"/>
  <c r="B1263" i="1" s="1"/>
  <c r="A1264" i="1"/>
  <c r="B1264" i="1" s="1"/>
  <c r="A1265" i="1"/>
  <c r="B1265" i="1" s="1"/>
  <c r="A1266" i="1"/>
  <c r="B1266" i="1" s="1"/>
  <c r="A1267" i="1"/>
  <c r="B1231" i="1"/>
  <c r="B1243" i="1"/>
  <c r="B1267" i="1"/>
  <c r="Y1227" i="1"/>
  <c r="Z1227" i="1" s="1"/>
  <c r="Y1228" i="1"/>
  <c r="Z1228" i="1" s="1"/>
  <c r="Y1229" i="1"/>
  <c r="AA1229" i="1" s="1"/>
  <c r="Y1230" i="1"/>
  <c r="Z1230" i="1" s="1"/>
  <c r="Y1231" i="1"/>
  <c r="Z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Z1237" i="1" s="1"/>
  <c r="Y1238" i="1"/>
  <c r="Z1238" i="1" s="1"/>
  <c r="Y1239" i="1"/>
  <c r="Z1239" i="1" s="1"/>
  <c r="Y1240" i="1"/>
  <c r="Z1240" i="1" s="1"/>
  <c r="Y1241" i="1"/>
  <c r="AA1241" i="1" s="1"/>
  <c r="Y1242" i="1"/>
  <c r="Z1242" i="1" s="1"/>
  <c r="Y1243" i="1"/>
  <c r="Z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Z1249" i="1" s="1"/>
  <c r="Y1250" i="1"/>
  <c r="AA1250" i="1" s="1"/>
  <c r="Y1251" i="1"/>
  <c r="Z1251" i="1" s="1"/>
  <c r="Y1252" i="1"/>
  <c r="Z1252" i="1" s="1"/>
  <c r="Y1253" i="1"/>
  <c r="AA1253" i="1" s="1"/>
  <c r="Y1254" i="1"/>
  <c r="AA1254" i="1" s="1"/>
  <c r="Y1255" i="1"/>
  <c r="Z1255" i="1" s="1"/>
  <c r="Y1256" i="1"/>
  <c r="AA1256" i="1" s="1"/>
  <c r="Y1257" i="1"/>
  <c r="AA1257" i="1" s="1"/>
  <c r="Y1258" i="1"/>
  <c r="AA1258" i="1" s="1"/>
  <c r="Y1259" i="1"/>
  <c r="AA1259" i="1" s="1"/>
  <c r="Y1260" i="1"/>
  <c r="Z1260" i="1" s="1"/>
  <c r="Y1261" i="1"/>
  <c r="Z1261" i="1" s="1"/>
  <c r="Y1262" i="1"/>
  <c r="Z1262" i="1" s="1"/>
  <c r="Y1263" i="1"/>
  <c r="AA1263" i="1" s="1"/>
  <c r="Y1264" i="1"/>
  <c r="Z1264" i="1" s="1"/>
  <c r="Y1265" i="1"/>
  <c r="AA1265" i="1" s="1"/>
  <c r="Y1266" i="1"/>
  <c r="AA1266" i="1" s="1"/>
  <c r="Y1267" i="1"/>
  <c r="AA1267" i="1" s="1"/>
  <c r="Z1232" i="1"/>
  <c r="Z1233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A1242" i="1" l="1"/>
  <c r="AA1239" i="1"/>
  <c r="AA1264" i="1"/>
  <c r="AA1252" i="1"/>
  <c r="Z1257" i="1"/>
  <c r="AA1230" i="1"/>
  <c r="Z1265" i="1"/>
  <c r="Z1256" i="1"/>
  <c r="Z1267" i="1"/>
  <c r="Z1266" i="1"/>
  <c r="Z1263" i="1"/>
  <c r="AA1255" i="1"/>
  <c r="Z1254" i="1"/>
  <c r="Z1253" i="1"/>
  <c r="AA1251" i="1"/>
  <c r="Z1245" i="1"/>
  <c r="Z1244" i="1"/>
  <c r="AA1243" i="1"/>
  <c r="Z1241" i="1"/>
  <c r="AA1240" i="1"/>
  <c r="AA1231" i="1"/>
  <c r="Z1229" i="1"/>
  <c r="AA1228" i="1"/>
  <c r="AA1227" i="1"/>
  <c r="AA1249" i="1"/>
  <c r="AA1260" i="1"/>
  <c r="Z1248" i="1"/>
  <c r="Z1236" i="1"/>
  <c r="Z1259" i="1"/>
  <c r="Z1247" i="1"/>
  <c r="Z1235" i="1"/>
  <c r="Z1258" i="1"/>
  <c r="Z1246" i="1"/>
  <c r="Z1234" i="1"/>
  <c r="AA1238" i="1"/>
  <c r="AA1261" i="1"/>
  <c r="AA1262" i="1"/>
  <c r="AA1237" i="1"/>
  <c r="Z1250" i="1"/>
  <c r="A1179" i="1"/>
  <c r="B1179" i="1" s="1"/>
  <c r="A1180" i="1"/>
  <c r="A1181" i="1"/>
  <c r="B1181" i="1" s="1"/>
  <c r="A1182" i="1"/>
  <c r="B1182" i="1" s="1"/>
  <c r="A1183" i="1"/>
  <c r="B1183" i="1" s="1"/>
  <c r="A1184" i="1"/>
  <c r="B1184" i="1" s="1"/>
  <c r="A1185" i="1"/>
  <c r="B1185" i="1" s="1"/>
  <c r="A1186" i="1"/>
  <c r="B1186" i="1" s="1"/>
  <c r="A1187" i="1"/>
  <c r="B1187" i="1" s="1"/>
  <c r="A1188" i="1"/>
  <c r="B1188" i="1" s="1"/>
  <c r="A1189" i="1"/>
  <c r="B1189" i="1" s="1"/>
  <c r="A1190" i="1"/>
  <c r="B1190" i="1" s="1"/>
  <c r="A1191" i="1"/>
  <c r="B1191" i="1" s="1"/>
  <c r="A1192" i="1"/>
  <c r="A1193" i="1"/>
  <c r="B1193" i="1" s="1"/>
  <c r="A1194" i="1"/>
  <c r="A1195" i="1"/>
  <c r="B1195" i="1" s="1"/>
  <c r="A1196" i="1"/>
  <c r="B1196" i="1" s="1"/>
  <c r="A1197" i="1"/>
  <c r="B1197" i="1" s="1"/>
  <c r="A1198" i="1"/>
  <c r="B1198" i="1" s="1"/>
  <c r="A1199" i="1"/>
  <c r="B1199" i="1" s="1"/>
  <c r="A1200" i="1"/>
  <c r="B1200" i="1" s="1"/>
  <c r="A1201" i="1"/>
  <c r="B1201" i="1" s="1"/>
  <c r="A1202" i="1"/>
  <c r="B1202" i="1" s="1"/>
  <c r="A1203" i="1"/>
  <c r="B1203" i="1" s="1"/>
  <c r="A1204" i="1"/>
  <c r="A1205" i="1"/>
  <c r="A1206" i="1"/>
  <c r="A1207" i="1"/>
  <c r="B1207" i="1" s="1"/>
  <c r="A1208" i="1"/>
  <c r="B1208" i="1" s="1"/>
  <c r="A1209" i="1"/>
  <c r="B1209" i="1" s="1"/>
  <c r="A1210" i="1"/>
  <c r="B1210" i="1" s="1"/>
  <c r="A1211" i="1"/>
  <c r="B1211" i="1" s="1"/>
  <c r="A1212" i="1"/>
  <c r="B1212" i="1" s="1"/>
  <c r="A1213" i="1"/>
  <c r="B1213" i="1" s="1"/>
  <c r="A1214" i="1"/>
  <c r="B1214" i="1" s="1"/>
  <c r="A1215" i="1"/>
  <c r="B1215" i="1" s="1"/>
  <c r="A1216" i="1"/>
  <c r="A1217" i="1"/>
  <c r="B1217" i="1" s="1"/>
  <c r="A1218" i="1"/>
  <c r="B1218" i="1" s="1"/>
  <c r="A1219" i="1"/>
  <c r="B1219" i="1" s="1"/>
  <c r="A1220" i="1"/>
  <c r="B1220" i="1" s="1"/>
  <c r="A1221" i="1"/>
  <c r="B1221" i="1" s="1"/>
  <c r="A1222" i="1"/>
  <c r="B1222" i="1" s="1"/>
  <c r="A1223" i="1"/>
  <c r="B1223" i="1" s="1"/>
  <c r="A1224" i="1"/>
  <c r="B1224" i="1" s="1"/>
  <c r="A1225" i="1"/>
  <c r="B1225" i="1" s="1"/>
  <c r="A1226" i="1"/>
  <c r="B1226" i="1" s="1"/>
  <c r="B1180" i="1"/>
  <c r="B1192" i="1"/>
  <c r="B1194" i="1"/>
  <c r="B1204" i="1"/>
  <c r="B1205" i="1"/>
  <c r="B1206" i="1"/>
  <c r="B1216" i="1"/>
  <c r="Y1179" i="1"/>
  <c r="AA1179" i="1" s="1"/>
  <c r="Y1180" i="1"/>
  <c r="Z1180" i="1" s="1"/>
  <c r="Y1181" i="1"/>
  <c r="Z1181" i="1" s="1"/>
  <c r="Y1182" i="1"/>
  <c r="Z1182" i="1" s="1"/>
  <c r="Y1183" i="1"/>
  <c r="Z1183" i="1" s="1"/>
  <c r="Y1184" i="1"/>
  <c r="Z1184" i="1" s="1"/>
  <c r="Y1185" i="1"/>
  <c r="Z1185" i="1" s="1"/>
  <c r="Y1186" i="1"/>
  <c r="Z1186" i="1" s="1"/>
  <c r="Y1187" i="1"/>
  <c r="Z1187" i="1" s="1"/>
  <c r="Y1188" i="1"/>
  <c r="AA1188" i="1" s="1"/>
  <c r="Y1189" i="1"/>
  <c r="Z1189" i="1" s="1"/>
  <c r="Y1190" i="1"/>
  <c r="Z1190" i="1" s="1"/>
  <c r="Y1191" i="1"/>
  <c r="AA1191" i="1" s="1"/>
  <c r="Y1192" i="1"/>
  <c r="Z1192" i="1" s="1"/>
  <c r="Y1193" i="1"/>
  <c r="Z1193" i="1" s="1"/>
  <c r="Y1194" i="1"/>
  <c r="Z1194" i="1" s="1"/>
  <c r="Y1195" i="1"/>
  <c r="AA1195" i="1" s="1"/>
  <c r="Y1196" i="1"/>
  <c r="Z1196" i="1" s="1"/>
  <c r="Y1197" i="1"/>
  <c r="Z1197" i="1" s="1"/>
  <c r="Y1198" i="1"/>
  <c r="Z1198" i="1" s="1"/>
  <c r="Y1199" i="1"/>
  <c r="AA1199" i="1" s="1"/>
  <c r="Y1200" i="1"/>
  <c r="AA1200" i="1" s="1"/>
  <c r="Y1201" i="1"/>
  <c r="AA1201" i="1" s="1"/>
  <c r="Y1202" i="1"/>
  <c r="Z1202" i="1" s="1"/>
  <c r="Y1203" i="1"/>
  <c r="AA1203" i="1" s="1"/>
  <c r="Y1204" i="1"/>
  <c r="AA1204" i="1" s="1"/>
  <c r="Y1205" i="1"/>
  <c r="AA1205" i="1" s="1"/>
  <c r="Y1206" i="1"/>
  <c r="AA1206" i="1" s="1"/>
  <c r="Y1207" i="1"/>
  <c r="Z1207" i="1" s="1"/>
  <c r="Y1208" i="1"/>
  <c r="AA1208" i="1" s="1"/>
  <c r="Y1209" i="1"/>
  <c r="AA1209" i="1" s="1"/>
  <c r="Y1210" i="1"/>
  <c r="AA1210" i="1" s="1"/>
  <c r="Y1211" i="1"/>
  <c r="Z1211" i="1" s="1"/>
  <c r="Y1212" i="1"/>
  <c r="Z1212" i="1" s="1"/>
  <c r="Y1213" i="1"/>
  <c r="Z1213" i="1" s="1"/>
  <c r="Y1214" i="1"/>
  <c r="AA1214" i="1" s="1"/>
  <c r="Y1215" i="1"/>
  <c r="Z1215" i="1" s="1"/>
  <c r="Y1216" i="1"/>
  <c r="Z1216" i="1" s="1"/>
  <c r="Y1217" i="1"/>
  <c r="Z1217" i="1" s="1"/>
  <c r="Y1218" i="1"/>
  <c r="AA1218" i="1" s="1"/>
  <c r="Y1219" i="1"/>
  <c r="Z1219" i="1" s="1"/>
  <c r="Y1220" i="1"/>
  <c r="Z1220" i="1" s="1"/>
  <c r="Y1221" i="1"/>
  <c r="Z1221" i="1" s="1"/>
  <c r="Y1222" i="1"/>
  <c r="Z1222" i="1" s="1"/>
  <c r="Y1223" i="1"/>
  <c r="Z1223" i="1" s="1"/>
  <c r="Y1224" i="1"/>
  <c r="AA1224" i="1" s="1"/>
  <c r="Y1225" i="1"/>
  <c r="Z1225" i="1" s="1"/>
  <c r="Y1226" i="1"/>
  <c r="AA1226" i="1" s="1"/>
  <c r="Z1179" i="1"/>
  <c r="Z1203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Z1226" i="1" l="1"/>
  <c r="Z1214" i="1"/>
  <c r="Z1191" i="1"/>
  <c r="Z1204" i="1"/>
  <c r="AA1211" i="1"/>
  <c r="AA1221" i="1"/>
  <c r="AA1217" i="1"/>
  <c r="AA1216" i="1"/>
  <c r="AA1215" i="1"/>
  <c r="AA1181" i="1"/>
  <c r="AA1180" i="1"/>
  <c r="Z1224" i="1"/>
  <c r="Z1195" i="1"/>
  <c r="AA1202" i="1"/>
  <c r="AA1198" i="1"/>
  <c r="AA1185" i="1"/>
  <c r="Z1205" i="1"/>
  <c r="AA1207" i="1"/>
  <c r="Z1206" i="1"/>
  <c r="AA1225" i="1"/>
  <c r="AA1223" i="1"/>
  <c r="AA1222" i="1"/>
  <c r="AA1220" i="1"/>
  <c r="AA1219" i="1"/>
  <c r="Z1218" i="1"/>
  <c r="AA1213" i="1"/>
  <c r="AA1212" i="1"/>
  <c r="Z1210" i="1"/>
  <c r="Z1209" i="1"/>
  <c r="Z1208" i="1"/>
  <c r="Z1201" i="1"/>
  <c r="Z1200" i="1"/>
  <c r="Z1199" i="1"/>
  <c r="AA1197" i="1"/>
  <c r="AA1196" i="1"/>
  <c r="AA1194" i="1"/>
  <c r="AA1193" i="1"/>
  <c r="AA1192" i="1"/>
  <c r="AA1190" i="1"/>
  <c r="AA1189" i="1"/>
  <c r="Z1188" i="1"/>
  <c r="AA1187" i="1"/>
  <c r="AA1186" i="1"/>
  <c r="AA1184" i="1"/>
  <c r="AA1183" i="1"/>
  <c r="AA1182" i="1"/>
  <c r="A1154" i="1"/>
  <c r="B1154" i="1" s="1"/>
  <c r="A1155" i="1"/>
  <c r="A1156" i="1"/>
  <c r="B1156" i="1" s="1"/>
  <c r="A1157" i="1"/>
  <c r="B1157" i="1" s="1"/>
  <c r="A1158" i="1"/>
  <c r="B1158" i="1" s="1"/>
  <c r="A1159" i="1"/>
  <c r="B1159" i="1" s="1"/>
  <c r="A1160" i="1"/>
  <c r="B1160" i="1" s="1"/>
  <c r="A1161" i="1"/>
  <c r="B1161" i="1" s="1"/>
  <c r="A1162" i="1"/>
  <c r="B1162" i="1" s="1"/>
  <c r="A1163" i="1"/>
  <c r="B1163" i="1" s="1"/>
  <c r="A1164" i="1"/>
  <c r="B1164" i="1" s="1"/>
  <c r="A1165" i="1"/>
  <c r="B1165" i="1" s="1"/>
  <c r="A1166" i="1"/>
  <c r="B1166" i="1" s="1"/>
  <c r="A1167" i="1"/>
  <c r="A1168" i="1"/>
  <c r="B1168" i="1" s="1"/>
  <c r="A1169" i="1"/>
  <c r="B1169" i="1" s="1"/>
  <c r="A1170" i="1"/>
  <c r="B1170" i="1" s="1"/>
  <c r="A1171" i="1"/>
  <c r="B1171" i="1" s="1"/>
  <c r="A1172" i="1"/>
  <c r="B1172" i="1" s="1"/>
  <c r="A1173" i="1"/>
  <c r="B1173" i="1" s="1"/>
  <c r="A1174" i="1"/>
  <c r="B1174" i="1" s="1"/>
  <c r="A1175" i="1"/>
  <c r="B1175" i="1" s="1"/>
  <c r="A1176" i="1"/>
  <c r="B1176" i="1" s="1"/>
  <c r="A1177" i="1"/>
  <c r="B1177" i="1" s="1"/>
  <c r="A1178" i="1"/>
  <c r="B1178" i="1" s="1"/>
  <c r="B1155" i="1"/>
  <c r="B1167" i="1"/>
  <c r="Y1154" i="1"/>
  <c r="Z1154" i="1" s="1"/>
  <c r="Y1155" i="1"/>
  <c r="AA1155" i="1" s="1"/>
  <c r="Y1156" i="1"/>
  <c r="Z1156" i="1" s="1"/>
  <c r="Y1157" i="1"/>
  <c r="Z1157" i="1" s="1"/>
  <c r="Y1158" i="1"/>
  <c r="AA1158" i="1" s="1"/>
  <c r="Y1159" i="1"/>
  <c r="Z1159" i="1" s="1"/>
  <c r="Y1160" i="1"/>
  <c r="Z1160" i="1" s="1"/>
  <c r="Y1161" i="1"/>
  <c r="AA1161" i="1" s="1"/>
  <c r="Y1162" i="1"/>
  <c r="AA1162" i="1" s="1"/>
  <c r="Y1163" i="1"/>
  <c r="Z1163" i="1" s="1"/>
  <c r="Y1164" i="1"/>
  <c r="Z1164" i="1" s="1"/>
  <c r="Y1165" i="1"/>
  <c r="Z1165" i="1" s="1"/>
  <c r="Y1166" i="1"/>
  <c r="Z1166" i="1" s="1"/>
  <c r="Y1167" i="1"/>
  <c r="AA1167" i="1" s="1"/>
  <c r="Y1168" i="1"/>
  <c r="Z1168" i="1" s="1"/>
  <c r="Y1169" i="1"/>
  <c r="Z1169" i="1" s="1"/>
  <c r="Y1170" i="1"/>
  <c r="AA1170" i="1" s="1"/>
  <c r="Y1171" i="1"/>
  <c r="Z1171" i="1" s="1"/>
  <c r="Y1172" i="1"/>
  <c r="Z1172" i="1" s="1"/>
  <c r="Y1173" i="1"/>
  <c r="Z1173" i="1" s="1"/>
  <c r="Y1174" i="1"/>
  <c r="AA1174" i="1" s="1"/>
  <c r="Y1175" i="1"/>
  <c r="Z1175" i="1" s="1"/>
  <c r="Y1176" i="1"/>
  <c r="Z1176" i="1" s="1"/>
  <c r="Y1177" i="1"/>
  <c r="Z1177" i="1" s="1"/>
  <c r="Y1178" i="1"/>
  <c r="Z1178" i="1" s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Z1167" i="1" l="1"/>
  <c r="AA1173" i="1"/>
  <c r="Z1161" i="1"/>
  <c r="Z1162" i="1"/>
  <c r="AA1177" i="1"/>
  <c r="AA1166" i="1"/>
  <c r="AA1178" i="1"/>
  <c r="AA1176" i="1"/>
  <c r="AA1156" i="1"/>
  <c r="AA1157" i="1"/>
  <c r="Z1155" i="1"/>
  <c r="Z1174" i="1"/>
  <c r="AA1160" i="1"/>
  <c r="AA1172" i="1"/>
  <c r="AA1169" i="1"/>
  <c r="Z1158" i="1"/>
  <c r="AA1168" i="1"/>
  <c r="AA1165" i="1"/>
  <c r="AA1164" i="1"/>
  <c r="Z1170" i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B1104" i="1" s="1"/>
  <c r="A1105" i="1"/>
  <c r="B1105" i="1" s="1"/>
  <c r="A1106" i="1"/>
  <c r="B1106" i="1" s="1"/>
  <c r="A1107" i="1"/>
  <c r="B1107" i="1" s="1"/>
  <c r="A1108" i="1"/>
  <c r="A1109" i="1"/>
  <c r="B1109" i="1" s="1"/>
  <c r="A1110" i="1"/>
  <c r="B1110" i="1" s="1"/>
  <c r="A1111" i="1"/>
  <c r="B1111" i="1" s="1"/>
  <c r="A1112" i="1"/>
  <c r="B1112" i="1" s="1"/>
  <c r="A1113" i="1"/>
  <c r="B1113" i="1" s="1"/>
  <c r="A1114" i="1"/>
  <c r="B1114" i="1" s="1"/>
  <c r="A1115" i="1"/>
  <c r="B1115" i="1" s="1"/>
  <c r="A1116" i="1"/>
  <c r="B1116" i="1" s="1"/>
  <c r="A1117" i="1"/>
  <c r="B1117" i="1" s="1"/>
  <c r="A1118" i="1"/>
  <c r="B1118" i="1" s="1"/>
  <c r="A1119" i="1"/>
  <c r="B1119" i="1" s="1"/>
  <c r="A1120" i="1"/>
  <c r="B1120" i="1" s="1"/>
  <c r="A1121" i="1"/>
  <c r="B1121" i="1" s="1"/>
  <c r="A1122" i="1"/>
  <c r="B1122" i="1" s="1"/>
  <c r="A1123" i="1"/>
  <c r="B1123" i="1" s="1"/>
  <c r="A1124" i="1"/>
  <c r="B1124" i="1" s="1"/>
  <c r="A1125" i="1"/>
  <c r="B1125" i="1" s="1"/>
  <c r="A1126" i="1"/>
  <c r="B1126" i="1" s="1"/>
  <c r="A1127" i="1"/>
  <c r="B1127" i="1" s="1"/>
  <c r="A1128" i="1"/>
  <c r="B1128" i="1" s="1"/>
  <c r="A1129" i="1"/>
  <c r="B1129" i="1" s="1"/>
  <c r="A1130" i="1"/>
  <c r="B1130" i="1" s="1"/>
  <c r="A1131" i="1"/>
  <c r="B1131" i="1" s="1"/>
  <c r="A1132" i="1"/>
  <c r="B1132" i="1" s="1"/>
  <c r="A1133" i="1"/>
  <c r="B1133" i="1" s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B1140" i="1" s="1"/>
  <c r="A1141" i="1"/>
  <c r="B1141" i="1" s="1"/>
  <c r="A1142" i="1"/>
  <c r="B1142" i="1" s="1"/>
  <c r="A1143" i="1"/>
  <c r="B1143" i="1" s="1"/>
  <c r="A1144" i="1"/>
  <c r="B1144" i="1" s="1"/>
  <c r="A1145" i="1"/>
  <c r="B1145" i="1" s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B1152" i="1" s="1"/>
  <c r="A1153" i="1"/>
  <c r="B1153" i="1" s="1"/>
  <c r="A2" i="1"/>
  <c r="B1108" i="1"/>
  <c r="Y1104" i="1"/>
  <c r="AA1104" i="1" s="1"/>
  <c r="Y1105" i="1"/>
  <c r="AA1105" i="1" s="1"/>
  <c r="Y1106" i="1"/>
  <c r="AA1106" i="1" s="1"/>
  <c r="Y1107" i="1"/>
  <c r="Z1107" i="1" s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Z1114" i="1" s="1"/>
  <c r="Y1115" i="1"/>
  <c r="Z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Z1127" i="1" s="1"/>
  <c r="Y1128" i="1"/>
  <c r="Z1128" i="1" s="1"/>
  <c r="Y1129" i="1"/>
  <c r="Z1129" i="1" s="1"/>
  <c r="Y1130" i="1"/>
  <c r="Z1130" i="1" s="1"/>
  <c r="Y1131" i="1"/>
  <c r="AA1131" i="1" s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Z1138" i="1" s="1"/>
  <c r="Y1139" i="1"/>
  <c r="Z1139" i="1" s="1"/>
  <c r="Y1140" i="1"/>
  <c r="AA1140" i="1" s="1"/>
  <c r="Y1141" i="1"/>
  <c r="AA1141" i="1" s="1"/>
  <c r="Y1142" i="1"/>
  <c r="Z1142" i="1" s="1"/>
  <c r="Y1143" i="1"/>
  <c r="Z1143" i="1" s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AA1150" i="1" s="1"/>
  <c r="Y1151" i="1"/>
  <c r="Z1151" i="1" s="1"/>
  <c r="Y1152" i="1"/>
  <c r="Z1152" i="1" s="1"/>
  <c r="Y1153" i="1"/>
  <c r="Z1153" i="1" s="1"/>
  <c r="Z1106" i="1"/>
  <c r="Z1150" i="1"/>
  <c r="AA1114" i="1"/>
  <c r="AA1115" i="1"/>
  <c r="AA1127" i="1"/>
  <c r="AA1138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Z1126" i="1" l="1"/>
  <c r="AA1151" i="1"/>
  <c r="AA1139" i="1"/>
  <c r="Z1105" i="1"/>
  <c r="Z1109" i="1"/>
  <c r="Z1104" i="1"/>
  <c r="AA1152" i="1"/>
  <c r="Z1112" i="1"/>
  <c r="AA1124" i="1"/>
  <c r="Z1121" i="1"/>
  <c r="Z1117" i="1"/>
  <c r="Z1116" i="1"/>
  <c r="Z1118" i="1"/>
  <c r="Z1119" i="1"/>
  <c r="AA1153" i="1"/>
  <c r="Z1113" i="1"/>
  <c r="AA1143" i="1"/>
  <c r="Z1140" i="1"/>
  <c r="Z1120" i="1"/>
  <c r="AA1132" i="1"/>
  <c r="AA1107" i="1"/>
  <c r="Z1131" i="1"/>
  <c r="Z1108" i="1"/>
  <c r="Z1141" i="1"/>
  <c r="AA1129" i="1"/>
  <c r="AA1136" i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Z1067" i="1" l="1"/>
  <c r="Z1091" i="1"/>
  <c r="Z1068" i="1"/>
  <c r="Z1080" i="1"/>
  <c r="AA1053" i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Z1041" i="1" l="1"/>
  <c r="AA963" i="1"/>
  <c r="AA939" i="1"/>
  <c r="Z973" i="1"/>
  <c r="AA968" i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Z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32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Z844" i="1" l="1"/>
  <c r="Z833" i="1"/>
  <c r="AA891" i="1"/>
  <c r="Z855" i="1"/>
  <c r="Z850" i="1"/>
  <c r="Z827" i="1"/>
  <c r="AA913" i="1"/>
  <c r="Z839" i="1"/>
  <c r="AA837" i="1"/>
  <c r="Z887" i="1"/>
  <c r="AA909" i="1"/>
  <c r="Z826" i="1"/>
  <c r="Z874" i="1"/>
  <c r="AA865" i="1"/>
  <c r="Z861" i="1"/>
  <c r="AA825" i="1"/>
  <c r="Z862" i="1"/>
  <c r="Z903" i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<sst xmlns="http://schemas.openxmlformats.org/spreadsheetml/2006/main" count="13113" uniqueCount="3186">
  <si>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</si>
  <si>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</si>
  <si>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</si>
  <si>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</si>
  <si>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</si>
  <si>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</si>
  <si>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</si>
  <si>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</si>
  <si>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</si>
  <si>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</si>
  <si>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</si>
  <si>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</si>
  <si>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</si>
  <si>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</si>
  <si>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</si>
  <si>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</si>
  <si>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</si>
  <si>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</si>
  <si>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</si>
  <si>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</si>
  <si>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</si>
  <si>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</si>
  <si>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</si>
  <si>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</si>
  <si>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</si>
  <si>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</si>
  <si>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</si>
  <si>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</si>
  <si>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</si>
  <si>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</si>
  <si>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</si>
  <si>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</si>
  <si>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</si>
  <si>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</si>
  <si>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</si>
  <si>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</si>
  <si>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</si>
  <si>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</si>
  <si>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</si>
  <si>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</si>
  <si>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</si>
  <si>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</si>
  <si>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</si>
  <si>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</si>
  <si>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</si>
  <si>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</si>
  <si>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</si>
  <si>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</si>
  <si>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</si>
  <si>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</si>
  <si>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</si>
  <si>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</si>
  <si>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</si>
  <si>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</si>
  <si>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</si>
  <si>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</si>
  <si>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</si>
  <si>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</si>
  <si>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</si>
  <si>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</si>
  <si>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</si>
  <si>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</si>
  <si>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</si>
  <si>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</si>
  <si>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</si>
  <si>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</si>
  <si>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</si>
  <si>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</si>
  <si>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</si>
  <si>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</si>
  <si>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</si>
  <si>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</si>
  <si>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</si>
  <si>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</si>
  <si>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</si>
  <si>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</si>
  <si>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</si>
  <si>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</si>
  <si>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</si>
  <si>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</si>
  <si>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</si>
  <si>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</si>
  <si>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</si>
  <si>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</si>
  <si>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</si>
  <si>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</si>
  <si>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</si>
  <si>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</si>
  <si>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</si>
  <si>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</si>
  <si>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</si>
  <si>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</si>
  <si>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</si>
  <si>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</si>
  <si>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</si>
  <si>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</si>
  <si>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</si>
  <si>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</si>
  <si>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</si>
  <si>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</si>
  <si>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</si>
  <si>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</si>
  <si>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</si>
  <si>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</si>
  <si>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</si>
  <si>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</si>
  <si>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</si>
  <si>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</si>
  <si>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</si>
  <si>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</si>
  <si>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</si>
  <si>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</si>
  <si>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</si>
  <si>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</si>
  <si>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</si>
  <si>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</si>
  <si>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</si>
  <si>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</si>
  <si>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</si>
  <si>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</si>
  <si>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</si>
  <si>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</si>
  <si>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</si>
  <si>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</si>
  <si>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</si>
  <si>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</si>
  <si>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</si>
  <si>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</si>
  <si>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</si>
  <si>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</si>
  <si>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</si>
  <si>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</si>
  <si>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</si>
  <si>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</si>
  <si>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</si>
  <si>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</si>
  <si>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</si>
  <si>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</si>
  <si>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</si>
  <si>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</si>
  <si>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</si>
  <si>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</si>
  <si>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</si>
  <si>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</si>
  <si>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</si>
  <si>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</si>
  <si>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</si>
  <si>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</si>
  <si>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</si>
  <si>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</si>
  <si>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</si>
  <si>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</si>
  <si>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</si>
  <si>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</si>
  <si>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</si>
  <si>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</si>
  <si>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</si>
  <si>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</si>
  <si>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</si>
  <si>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</si>
  <si>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</si>
  <si>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</si>
  <si>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</si>
  <si>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</si>
  <si>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</si>
  <si>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</si>
  <si>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</si>
  <si>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</si>
  <si>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</si>
  <si>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</si>
  <si>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</si>
  <si>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</si>
  <si>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</si>
  <si>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</si>
  <si>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</si>
  <si>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</si>
  <si>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</si>
  <si>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</si>
  <si>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</si>
  <si>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</si>
  <si>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</si>
  <si>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</si>
  <si>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</si>
  <si>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</si>
  <si>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</si>
  <si>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</si>
  <si>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</si>
  <si>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</si>
  <si>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</si>
  <si>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</si>
  <si>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</si>
  <si>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</si>
  <si>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</si>
  <si>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</si>
  <si>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</si>
  <si>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</si>
  <si>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</si>
  <si>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</si>
  <si>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</si>
  <si>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</si>
  <si>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</si>
  <si>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</si>
  <si>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</si>
  <si>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</si>
  <si>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</si>
  <si>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</si>
  <si>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</si>
  <si>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</si>
  <si>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</si>
  <si>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</si>
  <si>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</si>
  <si>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</si>
  <si>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</si>
  <si>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</si>
  <si>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</si>
  <si>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</si>
  <si>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</si>
  <si>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</si>
  <si>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</si>
  <si>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</si>
  <si>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</si>
  <si>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</si>
  <si>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</si>
  <si>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</si>
  <si>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</si>
  <si>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</si>
  <si>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</si>
  <si>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</si>
  <si>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</si>
  <si>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</si>
  <si>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</si>
  <si>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</si>
  <si>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</si>
  <si>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</si>
  <si>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</si>
  <si>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</si>
  <si>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</si>
  <si>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</si>
  <si>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</si>
  <si>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</si>
  <si>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</si>
  <si>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</si>
  <si>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</si>
  <si>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</si>
  <si>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</si>
  <si>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</si>
  <si>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</si>
  <si>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</si>
  <si>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</si>
  <si>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</si>
  <si>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</si>
  <si>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</si>
  <si>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</si>
  <si>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</si>
  <si>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</si>
  <si>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</si>
  <si>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</si>
  <si>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</si>
  <si>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</si>
  <si>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</si>
  <si>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</si>
  <si>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</si>
  <si>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</si>
  <si>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</si>
  <si>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</si>
  <si>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</si>
  <si>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</si>
  <si>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</si>
  <si>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</si>
  <si>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</si>
  <si>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</si>
  <si>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</si>
  <si>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</si>
  <si>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</si>
  <si>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</si>
  <si>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</si>
  <si>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</si>
  <si>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</si>
  <si>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</si>
  <si>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</si>
  <si>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</si>
  <si>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</si>
  <si>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</si>
  <si>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</si>
  <si>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</si>
  <si>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</si>
  <si>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</si>
  <si>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</si>
  <si>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</si>
  <si>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</si>
  <si>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</si>
  <si>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</si>
  <si>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</si>
  <si>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</si>
  <si>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</si>
  <si>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</si>
  <si>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</si>
  <si>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</si>
  <si>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</si>
  <si>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</si>
  <si>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</si>
  <si>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</si>
  <si>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</si>
  <si>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</si>
  <si>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</si>
  <si>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</si>
  <si>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</si>
  <si>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</si>
  <si>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</si>
  <si>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</si>
  <si>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</si>
  <si>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</si>
  <si>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</si>
  <si>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</si>
  <si>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</si>
  <si>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</si>
  <si>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</si>
  <si>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</si>
  <si>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</si>
  <si>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</si>
  <si>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</si>
  <si>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</si>
  <si>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</si>
  <si>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</si>
  <si>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</si>
  <si>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</si>
  <si>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</si>
  <si>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</si>
  <si>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</si>
  <si>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</si>
  <si>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</si>
  <si>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</si>
  <si>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</si>
  <si>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</si>
  <si>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</si>
  <si>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</si>
  <si>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</si>
  <si>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</si>
  <si>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</si>
  <si>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</si>
  <si>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</si>
  <si>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</si>
  <si>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</si>
  <si>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</si>
  <si>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</si>
  <si>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</si>
  <si>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</si>
  <si>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</si>
  <si>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</si>
  <si>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</si>
  <si>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</si>
  <si>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</si>
  <si>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</si>
  <si>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</si>
  <si>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</si>
  <si>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</si>
  <si>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</si>
  <si>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</si>
  <si>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</si>
  <si>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</si>
  <si>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</si>
  <si>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</si>
  <si>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</si>
  <si>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</si>
  <si>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</si>
  <si>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</si>
  <si>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</si>
  <si>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</si>
  <si>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</si>
  <si>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</si>
  <si>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</si>
  <si>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</si>
  <si>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</si>
  <si>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</si>
  <si>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</si>
  <si>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</si>
  <si>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</si>
  <si>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</si>
  <si>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</si>
  <si>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</si>
  <si>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</si>
  <si>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</si>
  <si>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</si>
  <si>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</si>
  <si>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</si>
  <si>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</si>
  <si>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</si>
  <si>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</si>
  <si>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</si>
  <si>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</si>
  <si>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</si>
  <si>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</si>
  <si>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</si>
  <si>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</si>
  <si>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</si>
  <si>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</si>
  <si>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</si>
  <si>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</si>
  <si>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</si>
  <si>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</si>
  <si>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</si>
  <si>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</si>
  <si>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</si>
  <si>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</si>
  <si>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</si>
  <si>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</si>
  <si>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</si>
  <si>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</si>
  <si>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</si>
  <si>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</si>
  <si>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</si>
  <si>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</si>
  <si>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</si>
  <si>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</si>
  <si>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</si>
  <si>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</si>
  <si>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</si>
  <si>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</si>
  <si>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</si>
  <si>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</si>
  <si>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</si>
  <si>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</si>
  <si>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</si>
  <si>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</si>
  <si>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</si>
  <si>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</si>
  <si>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</si>
  <si>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</si>
  <si>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</si>
  <si>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</si>
  <si>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</si>
  <si>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</si>
  <si>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</si>
  <si>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</si>
  <si>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</si>
  <si>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</si>
  <si>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</si>
  <si>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</si>
  <si>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</si>
  <si>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</si>
  <si>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</si>
  <si>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</si>
  <si>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</si>
  <si>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</si>
  <si>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</si>
  <si>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</si>
  <si>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</si>
  <si>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</si>
  <si>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</si>
  <si>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</si>
  <si>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</si>
  <si>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</si>
  <si>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</si>
  <si>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</si>
  <si>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</si>
  <si>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</si>
  <si>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</si>
  <si>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</si>
  <si>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</si>
  <si>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</si>
  <si>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</si>
  <si>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</si>
  <si>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</si>
  <si>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</si>
  <si>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</si>
  <si>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</si>
  <si>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</si>
  <si>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</si>
  <si>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</si>
  <si>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</si>
  <si>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</si>
  <si>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</si>
  <si>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</si>
  <si>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</si>
  <si>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</si>
  <si>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</si>
  <si>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</si>
  <si>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</si>
  <si>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</si>
  <si>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</si>
  <si>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</si>
  <si>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</si>
  <si>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</si>
  <si>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</si>
  <si>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</si>
  <si>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</si>
  <si>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</si>
  <si>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</si>
  <si>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</si>
  <si>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</si>
  <si>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</si>
  <si>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</si>
  <si>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</si>
  <si>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</si>
  <si>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</si>
  <si>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</si>
  <si>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</si>
  <si>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</si>
  <si>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</si>
  <si>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</si>
  <si>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</si>
  <si>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</si>
  <si>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</si>
  <si>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</si>
  <si>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</si>
  <si>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</si>
  <si>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</si>
  <si>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</si>
  <si>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</si>
  <si>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</si>
  <si>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</si>
  <si>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</si>
  <si>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</si>
  <si>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</si>
  <si>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</si>
  <si>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</si>
  <si>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</si>
  <si>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</si>
  <si>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</si>
  <si>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</si>
  <si>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</si>
  <si>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</si>
  <si>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</si>
  <si>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</si>
  <si>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</si>
  <si>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</si>
  <si>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</si>
  <si>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</si>
  <si>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</si>
  <si>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</si>
  <si>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</si>
  <si>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</si>
  <si>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</si>
  <si>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</si>
  <si>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</si>
  <si>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</si>
  <si>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</si>
  <si>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</si>
  <si>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</si>
  <si>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</si>
  <si>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</si>
  <si>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</si>
  <si>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</si>
  <si>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</si>
  <si>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</si>
  <si>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</si>
  <si>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</si>
  <si>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</si>
  <si>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</si>
  <si>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</si>
  <si>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</si>
  <si>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</si>
  <si>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</si>
  <si>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</si>
  <si>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</si>
  <si>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</si>
  <si>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</si>
  <si>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</si>
  <si>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</si>
  <si>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</si>
  <si>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</si>
  <si>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</si>
  <si>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</si>
  <si>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</si>
  <si>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</si>
  <si>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</si>
  <si>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</si>
  <si>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</si>
  <si>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</si>
  <si>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</si>
  <si>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</si>
  <si>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</si>
  <si>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</si>
  <si>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</si>
  <si>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</si>
  <si>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</si>
  <si>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</si>
  <si>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</si>
  <si>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</si>
  <si>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</si>
  <si>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</si>
  <si>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</si>
  <si>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</si>
  <si>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</si>
  <si>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</si>
  <si>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</si>
  <si>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</si>
  <si>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</si>
  <si>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</si>
  <si>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</si>
  <si>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</si>
  <si>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</si>
  <si>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</si>
  <si>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</si>
  <si>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</si>
  <si>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</si>
  <si>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</si>
  <si>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</si>
  <si>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</si>
  <si>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</si>
  <si>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</si>
  <si>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</si>
  <si>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</si>
  <si>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</si>
  <si>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</si>
  <si>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</si>
  <si>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</si>
  <si>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</si>
  <si>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</si>
  <si>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</si>
  <si>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</si>
  <si>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</si>
  <si>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</si>
  <si>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</si>
  <si>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</si>
  <si>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</si>
  <si>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</si>
  <si>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</si>
  <si>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</si>
  <si>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</si>
  <si>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</si>
  <si>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</si>
  <si>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</si>
  <si>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</si>
  <si>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</si>
  <si>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</si>
  <si>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</si>
  <si>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</si>
  <si>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</si>
  <si>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</si>
  <si>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</si>
  <si>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</si>
  <si>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</si>
  <si>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</si>
  <si>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</si>
  <si>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</si>
  <si>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</si>
  <si>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</si>
  <si>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</si>
  <si>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</si>
  <si>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</si>
  <si>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</si>
  <si>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</si>
  <si>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</si>
  <si>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</si>
  <si>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</si>
  <si>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</si>
  <si>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</si>
  <si>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</si>
  <si>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</si>
  <si>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</si>
  <si>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</si>
  <si>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</si>
  <si>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</si>
  <si>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</si>
  <si>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</si>
  <si>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</si>
  <si>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</si>
  <si>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</si>
  <si>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</si>
  <si>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</si>
  <si>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</si>
  <si>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</si>
  <si>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</si>
  <si>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</si>
  <si>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</si>
  <si>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</si>
  <si>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</si>
  <si>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</si>
  <si>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</si>
  <si>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</si>
  <si>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</si>
  <si>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</si>
  <si>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</si>
  <si>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</si>
  <si>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</si>
  <si>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</si>
  <si>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</si>
  <si>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</si>
  <si>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</si>
  <si>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</si>
  <si>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</si>
  <si>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</si>
  <si>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</si>
  <si>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</si>
  <si>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</si>
  <si>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</si>
  <si>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</si>
  <si>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</si>
  <si>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</si>
  <si>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</si>
  <si>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</si>
  <si>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</si>
  <si>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</si>
  <si>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</si>
  <si>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</si>
  <si>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</si>
  <si>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</si>
  <si>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</si>
  <si>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</si>
  <si>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</si>
  <si>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</si>
  <si>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</si>
  <si>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</si>
  <si>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</si>
  <si>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</si>
  <si>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</si>
  <si>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</si>
  <si>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</si>
  <si>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</si>
  <si>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</si>
  <si>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</si>
  <si>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</si>
  <si>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</si>
  <si>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</si>
  <si>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</si>
  <si>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</si>
  <si>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</si>
  <si>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</si>
  <si>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</si>
  <si>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</si>
  <si>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</si>
  <si>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</si>
  <si>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</si>
  <si>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</si>
  <si>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</si>
  <si>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</si>
  <si>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</si>
  <si>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</si>
  <si>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</si>
  <si>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</si>
  <si>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</si>
  <si>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</si>
  <si>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</si>
  <si>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</si>
  <si>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</si>
  <si>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</si>
  <si>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</si>
  <si>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</si>
  <si>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</si>
  <si>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</si>
  <si>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</si>
  <si>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</si>
  <si>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</si>
  <si>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</si>
  <si>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</si>
  <si>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</si>
  <si>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</si>
  <si>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</si>
  <si>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</si>
  <si>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</si>
  <si>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</si>
  <si>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</si>
  <si>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</si>
  <si>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</si>
  <si>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</si>
  <si>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</si>
  <si>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</si>
  <si>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</si>
  <si>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</si>
  <si>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</si>
  <si>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</si>
  <si>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</si>
  <si>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</si>
  <si>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</si>
  <si>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</si>
  <si>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</si>
  <si>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</si>
  <si>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</si>
  <si>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</si>
  <si>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</si>
  <si>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</si>
  <si>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</si>
  <si>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</si>
  <si>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</si>
  <si>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</si>
  <si>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</si>
  <si>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</si>
  <si>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</si>
  <si>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</si>
  <si>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</si>
  <si>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</si>
  <si>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</si>
  <si>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</si>
  <si>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</si>
  <si>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</si>
  <si>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</si>
  <si>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</si>
  <si>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</si>
  <si>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</si>
  <si>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</si>
  <si>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</si>
  <si>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</si>
  <si>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</si>
  <si>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</si>
  <si>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</si>
  <si>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</si>
  <si>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</si>
  <si>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</si>
  <si>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</si>
  <si>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</si>
  <si>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</si>
  <si>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</si>
  <si>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</si>
  <si>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</si>
  <si>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</si>
  <si>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</si>
  <si>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</si>
  <si>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</si>
  <si>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</si>
  <si>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</si>
  <si>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</si>
  <si>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</si>
  <si>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</si>
  <si>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</si>
  <si>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</si>
  <si>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</si>
  <si>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</si>
  <si>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</si>
  <si>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</si>
  <si>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</si>
  <si>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</si>
  <si>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</si>
  <si>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</si>
  <si>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</si>
  <si>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</si>
  <si>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</si>
  <si>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</si>
  <si>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</si>
  <si>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</si>
  <si>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</si>
  <si>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</si>
  <si>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</si>
  <si>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</si>
  <si>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</si>
  <si>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</si>
  <si>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</si>
  <si>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</si>
  <si>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</si>
  <si>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</si>
  <si>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</si>
  <si>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</si>
  <si>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</si>
  <si>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</si>
  <si>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</si>
  <si>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</si>
  <si>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</si>
  <si>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</si>
  <si>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</si>
  <si>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</si>
  <si>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</si>
  <si>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</si>
  <si>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</si>
  <si>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</si>
  <si>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</si>
  <si>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</si>
  <si>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</si>
  <si>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</si>
  <si>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</si>
  <si>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</si>
  <si>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</si>
  <si>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</si>
  <si>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</si>
  <si>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</si>
  <si>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</si>
  <si>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</si>
  <si>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</si>
  <si>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</si>
  <si>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</si>
  <si>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</si>
  <si>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</si>
  <si>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</si>
  <si>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</si>
  <si>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</si>
  <si>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</si>
  <si>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</si>
  <si>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</si>
  <si>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</si>
  <si>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</si>
  <si>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</si>
  <si>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</si>
  <si>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</si>
  <si>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</si>
  <si>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</si>
  <si>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</si>
  <si>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</si>
  <si>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</si>
  <si>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</si>
  <si>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</si>
  <si>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</si>
  <si>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</si>
  <si>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</si>
  <si>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</si>
  <si>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</si>
  <si>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</si>
  <si>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</si>
  <si>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</si>
  <si>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</si>
  <si>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</si>
  <si>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</si>
  <si>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</si>
  <si>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</si>
  <si>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</si>
  <si>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</si>
  <si>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</si>
  <si>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</si>
  <si>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</si>
  <si>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</si>
  <si>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</si>
  <si>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</si>
  <si>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</si>
  <si>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</si>
  <si>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</si>
  <si>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</si>
  <si>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</si>
  <si>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</si>
  <si>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</si>
  <si>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</si>
  <si>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</si>
  <si>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</si>
  <si>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</si>
  <si>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</si>
  <si>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</si>
  <si>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</si>
  <si>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</si>
  <si>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</si>
  <si>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</si>
  <si>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</si>
  <si>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</si>
  <si>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</si>
  <si>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</si>
  <si>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</si>
  <si>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</si>
  <si>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</si>
  <si>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</si>
  <si>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</si>
  <si>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</si>
  <si>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</si>
  <si>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</si>
  <si>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</si>
  <si>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</si>
  <si>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</si>
  <si>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</si>
  <si>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</si>
  <si>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</si>
  <si>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</si>
  <si>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</si>
  <si>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</si>
  <si>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</si>
  <si>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</si>
  <si>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</si>
  <si>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</si>
  <si>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</si>
  <si>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</si>
  <si>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</si>
  <si>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</si>
  <si>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</si>
  <si>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</si>
  <si>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</si>
  <si>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</si>
  <si>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</si>
  <si>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</si>
  <si>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</si>
  <si>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</si>
  <si>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</si>
  <si>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</si>
  <si>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</si>
  <si>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</si>
  <si>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</si>
  <si>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</si>
  <si>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</si>
  <si>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</si>
  <si>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</si>
  <si>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</si>
  <si>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</si>
  <si>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</si>
  <si>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</si>
  <si>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</si>
  <si>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</si>
  <si>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</si>
  <si>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</si>
  <si>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</si>
  <si>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</si>
  <si>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</si>
  <si>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</si>
  <si>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</si>
  <si>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</si>
  <si>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</si>
  <si>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</si>
  <si>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</si>
  <si>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</si>
  <si>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</si>
  <si>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</si>
  <si>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</si>
  <si>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</si>
  <si>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</si>
  <si>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</si>
  <si>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</si>
  <si>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</si>
  <si>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</si>
  <si>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</si>
  <si>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</si>
  <si>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</si>
  <si>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</si>
  <si>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</si>
  <si>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</si>
  <si>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</si>
  <si>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</si>
  <si>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</si>
  <si>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</si>
  <si>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</si>
  <si>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</si>
  <si>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</si>
  <si>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</si>
  <si>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</si>
  <si>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</si>
  <si>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</si>
  <si>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</si>
  <si>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</si>
  <si>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</si>
  <si>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</si>
  <si>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</si>
  <si>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</si>
  <si>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</si>
  <si>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</si>
  <si>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</si>
  <si>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</si>
  <si>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</si>
  <si>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</si>
  <si>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</si>
  <si>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</si>
  <si>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</si>
  <si>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</si>
  <si>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</si>
  <si>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</si>
  <si>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</si>
  <si>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</si>
  <si>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</si>
  <si>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</si>
  <si>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</si>
  <si>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</si>
  <si>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</si>
  <si>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</si>
  <si>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</si>
  <si>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</si>
  <si>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</si>
  <si>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</si>
  <si>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</si>
  <si>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</si>
  <si>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</si>
  <si>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</si>
  <si>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</si>
  <si>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</si>
  <si>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</si>
  <si>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</si>
  <si>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</si>
  <si>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</si>
  <si>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</si>
  <si>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</si>
  <si>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</si>
  <si>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</si>
  <si>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</si>
  <si>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</si>
  <si>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</si>
  <si>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</si>
  <si>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</si>
  <si>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</si>
  <si>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</si>
  <si>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</si>
  <si>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</si>
  <si>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</si>
  <si>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</si>
  <si>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</si>
  <si>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</si>
  <si>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</si>
  <si>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</si>
  <si>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</si>
  <si>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</si>
  <si>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</si>
  <si>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</si>
  <si>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</si>
  <si>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</si>
  <si>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</si>
  <si>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</si>
  <si>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</si>
  <si>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</si>
  <si>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</si>
  <si>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</si>
  <si>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</si>
  <si>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</si>
  <si>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</si>
  <si>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</si>
  <si>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</si>
  <si>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</si>
  <si>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</si>
  <si>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</si>
  <si>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</si>
  <si>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</si>
  <si>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</si>
  <si>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</si>
  <si>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</si>
  <si>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</si>
  <si>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</si>
  <si>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</si>
  <si>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</si>
  <si>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</si>
  <si>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</si>
  <si>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</si>
  <si>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</si>
  <si>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</si>
  <si>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</si>
  <si>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</si>
  <si>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</si>
  <si>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</si>
  <si>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</si>
  <si>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</si>
  <si>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</si>
  <si>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</si>
  <si>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</si>
  <si>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</si>
  <si>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</si>
  <si>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</si>
  <si>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</si>
  <si>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</si>
  <si>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</si>
  <si>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</si>
  <si>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</si>
  <si>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</si>
  <si>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</si>
  <si>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</si>
  <si>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</si>
  <si>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</si>
  <si>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</si>
  <si>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</si>
  <si>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</si>
  <si>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</si>
  <si>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</si>
  <si>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</si>
  <si>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</si>
  <si>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</si>
  <si>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</si>
  <si>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</si>
  <si>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</si>
  <si>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</si>
  <si>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</si>
  <si>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</si>
  <si>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</si>
  <si>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</si>
  <si>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</si>
  <si>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</si>
  <si>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</si>
  <si>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</si>
  <si>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</si>
  <si>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</si>
  <si>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</si>
  <si>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</si>
  <si>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</si>
  <si>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</si>
  <si>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</si>
  <si>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</si>
  <si>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</si>
  <si>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</si>
  <si>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</si>
  <si>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</si>
  <si>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</si>
  <si>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</si>
  <si>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</si>
  <si>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</si>
  <si>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</si>
  <si>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</si>
  <si>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</si>
  <si>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</si>
  <si>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</si>
  <si>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</si>
  <si>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</si>
  <si>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</si>
  <si>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</si>
  <si>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</si>
  <si>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</si>
  <si>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</si>
  <si>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</si>
  <si>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</si>
  <si>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</si>
  <si>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</si>
  <si>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</si>
  <si>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</si>
  <si>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</si>
  <si>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</si>
  <si>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</si>
  <si>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</si>
  <si>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</si>
  <si>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</si>
  <si>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</si>
  <si>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</si>
  <si>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</si>
  <si>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</si>
  <si>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</si>
  <si>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</si>
  <si>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</si>
  <si>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</si>
  <si>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</si>
  <si>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</si>
  <si>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</si>
  <si>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</si>
  <si>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</si>
  <si>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</si>
  <si>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</si>
  <si>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</si>
  <si>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</si>
  <si>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</si>
  <si>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</si>
  <si>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</si>
  <si>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</si>
  <si>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</si>
  <si>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</si>
  <si>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</si>
  <si>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</si>
  <si>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</si>
  <si>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</si>
  <si>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</si>
  <si>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</si>
  <si>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</si>
  <si>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</si>
  <si>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</si>
  <si>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</si>
  <si>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</si>
  <si>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</si>
  <si>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</si>
  <si>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</si>
  <si>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</si>
  <si>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</si>
  <si>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</si>
  <si>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</si>
  <si>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</si>
  <si>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</si>
  <si>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</si>
  <si>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</si>
  <si>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</si>
  <si>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</si>
  <si>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</si>
  <si>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</si>
  <si>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</si>
  <si>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</si>
  <si>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</si>
  <si>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</si>
  <si>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</si>
  <si>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</si>
  <si>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</si>
  <si>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</si>
  <si>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</si>
  <si>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</si>
  <si>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</si>
  <si>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</si>
  <si>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</si>
  <si>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</si>
  <si>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</si>
  <si>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</si>
  <si>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</si>
  <si>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</si>
  <si>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</si>
  <si>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</si>
  <si>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</si>
  <si>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</si>
  <si>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</si>
  <si>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</si>
  <si>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</si>
  <si>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</si>
  <si>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</si>
  <si>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</si>
  <si>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</si>
  <si>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</si>
  <si>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</si>
  <si>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</si>
  <si>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</si>
  <si>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</si>
  <si>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</si>
  <si>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</si>
  <si>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</si>
  <si>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</si>
  <si>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</si>
  <si>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</si>
  <si>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</si>
  <si>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</si>
  <si>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</si>
  <si>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</si>
  <si>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</si>
  <si>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</si>
  <si>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</si>
  <si>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</si>
  <si>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</si>
  <si>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</si>
  <si>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</si>
  <si>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</si>
  <si>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</si>
  <si>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</si>
  <si>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</si>
  <si>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</si>
  <si>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</si>
  <si>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</si>
  <si>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</si>
  <si>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</si>
  <si>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</si>
  <si>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</si>
  <si>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</si>
  <si>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</si>
  <si>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</si>
  <si>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</si>
  <si>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</si>
  <si>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</si>
  <si>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</si>
  <si>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</si>
  <si>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</si>
  <si>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</si>
  <si>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</si>
  <si>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</si>
  <si>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</si>
  <si>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</si>
  <si>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</si>
  <si>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</si>
  <si>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</si>
  <si>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</si>
  <si>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</si>
  <si>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</si>
  <si>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</si>
  <si>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</si>
  <si>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</si>
  <si>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</si>
  <si>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</si>
  <si>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</si>
  <si>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</si>
  <si>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</si>
  <si>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</si>
  <si>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</si>
  <si>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</si>
  <si>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</si>
  <si>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</si>
  <si>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</si>
  <si>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</si>
  <si>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</si>
  <si>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</si>
  <si>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</si>
  <si>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</si>
  <si>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</si>
  <si>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</si>
  <si>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</si>
  <si>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</si>
  <si>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</si>
  <si>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</si>
  <si>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</si>
  <si>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</si>
  <si>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</si>
  <si>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</si>
  <si>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</si>
  <si>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</si>
  <si>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</si>
  <si>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</si>
  <si>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</si>
  <si>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</si>
  <si>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</si>
  <si>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</si>
  <si>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</si>
  <si>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</si>
  <si>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</si>
  <si>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</si>
  <si>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</si>
  <si>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</si>
  <si>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</si>
  <si>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</si>
  <si>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</si>
  <si>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</si>
  <si>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</si>
  <si>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</si>
  <si>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</si>
  <si>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</si>
  <si>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</si>
  <si>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</si>
  <si>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</si>
  <si>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</si>
  <si>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</si>
  <si>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</si>
  <si>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</si>
  <si>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</si>
  <si>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</si>
  <si>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</si>
  <si>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</si>
  <si>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</si>
  <si>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</si>
  <si>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</si>
  <si>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</si>
  <si>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</si>
  <si>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</si>
  <si>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</si>
  <si>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</si>
  <si>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</si>
  <si>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</si>
  <si>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</si>
  <si>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</si>
  <si>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</si>
  <si>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</si>
  <si>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</si>
  <si>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</si>
  <si>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</si>
  <si>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</si>
  <si>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</si>
  <si>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</si>
  <si>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</si>
  <si>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</si>
  <si>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</si>
  <si>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</si>
  <si>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</si>
  <si>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</si>
  <si>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</si>
  <si>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</si>
  <si>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</si>
  <si>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</si>
  <si>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</si>
  <si>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</si>
  <si>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</si>
  <si>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</si>
  <si>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</si>
  <si>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</si>
  <si>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</si>
  <si>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</si>
  <si>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</si>
  <si>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</si>
  <si>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</si>
  <si>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</si>
  <si>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</si>
  <si>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</si>
  <si>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</si>
  <si>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</si>
  <si>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</si>
  <si>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</si>
  <si>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</si>
  <si>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</si>
  <si>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</si>
  <si>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</si>
  <si>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</si>
  <si>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</si>
  <si>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</si>
  <si>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</si>
  <si>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</si>
  <si>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</si>
  <si>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</si>
  <si>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</si>
  <si>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</si>
  <si>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</si>
  <si>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</si>
  <si>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</si>
  <si>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</si>
  <si>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</si>
  <si>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</si>
  <si>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</si>
  <si>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</si>
  <si>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</si>
  <si>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</si>
  <si>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</si>
  <si>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</si>
  <si>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</si>
  <si>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</si>
  <si>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</si>
  <si>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</si>
  <si>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</si>
  <si>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</si>
  <si>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</si>
  <si>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</si>
  <si>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</si>
  <si>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</si>
  <si>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</si>
  <si>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</si>
  <si>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</si>
  <si>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</si>
  <si>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</si>
  <si>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</si>
  <si>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</si>
  <si>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</si>
  <si>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</si>
  <si>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</si>
  <si>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</si>
  <si>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</si>
  <si>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</si>
  <si>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</si>
  <si>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</si>
  <si>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</si>
  <si>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</si>
  <si>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</si>
  <si>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</si>
  <si>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</si>
  <si>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</si>
  <si>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</si>
  <si>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</si>
  <si>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</si>
  <si>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</si>
  <si>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</si>
  <si>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</si>
  <si>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</si>
  <si>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</si>
  <si>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</si>
  <si>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</si>
  <si>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</si>
  <si>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</si>
  <si>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</si>
  <si>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</si>
  <si>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</si>
  <si>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</si>
  <si>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</si>
  <si>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</si>
  <si>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</si>
  <si>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</si>
  <si>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</si>
  <si>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</si>
  <si>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</si>
  <si>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</si>
  <si>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</si>
  <si>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</si>
  <si>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</si>
  <si>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</si>
  <si>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</si>
  <si>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</si>
  <si>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</si>
  <si>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</si>
  <si>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</si>
  <si>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</si>
  <si>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</si>
  <si>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</si>
  <si>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</si>
  <si>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</si>
  <si>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</si>
  <si>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</si>
  <si>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</si>
  <si>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</si>
  <si>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</si>
  <si>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</si>
  <si>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</si>
  <si>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</si>
  <si>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</si>
  <si>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</si>
  <si>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</si>
  <si>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</si>
  <si>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</si>
  <si>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</si>
  <si>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</si>
  <si>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</si>
  <si>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</si>
  <si>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</si>
  <si>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</si>
  <si>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</si>
  <si>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</si>
  <si>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</si>
  <si>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</si>
  <si>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</si>
  <si>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</si>
  <si>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</si>
  <si>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</si>
  <si>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</si>
  <si>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</si>
  <si>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</si>
  <si>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</si>
  <si>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</si>
  <si>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</si>
  <si>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</si>
  <si>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</si>
  <si>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</si>
  <si>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</si>
  <si>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</si>
  <si>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</si>
  <si>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</si>
  <si>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</si>
  <si>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</si>
  <si>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</si>
  <si>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</si>
  <si>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</si>
  <si>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</si>
  <si>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</si>
  <si>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</si>
  <si>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</si>
  <si>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</si>
  <si>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</si>
  <si>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</si>
  <si>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</si>
  <si>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</si>
  <si>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</si>
  <si>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</si>
  <si>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</si>
  <si>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</si>
  <si>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</si>
  <si>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</si>
  <si>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</si>
  <si>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</si>
  <si>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</si>
  <si>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</si>
  <si>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</si>
  <si>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</si>
  <si>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</si>
  <si>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</si>
  <si>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</si>
  <si>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</si>
  <si>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</si>
  <si>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</si>
  <si>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</si>
  <si>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</si>
  <si>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</si>
  <si>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</si>
  <si>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</si>
  <si>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</si>
  <si>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</si>
  <si>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</si>
  <si>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</si>
  <si>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</si>
  <si>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</si>
  <si>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</si>
  <si>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</si>
  <si>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</si>
  <si>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</si>
  <si>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</si>
  <si>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</si>
  <si>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</si>
  <si>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</si>
  <si>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</si>
  <si>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</si>
  <si>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</si>
  <si>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</si>
  <si>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</si>
  <si>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</si>
  <si>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</si>
  <si>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</si>
  <si>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</si>
  <si>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</si>
  <si>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</si>
  <si>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</si>
  <si>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</si>
  <si>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</si>
  <si>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</si>
  <si>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</si>
  <si>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</si>
  <si>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</si>
  <si>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</si>
  <si>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</si>
  <si>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</si>
  <si>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</si>
  <si>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</si>
  <si>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</si>
  <si>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</si>
  <si>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</si>
  <si>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</si>
  <si>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</si>
  <si>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</si>
  <si>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</si>
  <si>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</si>
  <si>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</si>
  <si>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</si>
  <si>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</si>
  <si>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</si>
  <si>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</si>
  <si>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</si>
  <si>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</si>
  <si>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</si>
  <si>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</si>
  <si>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</si>
  <si>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</si>
  <si>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</si>
  <si>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</si>
  <si>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</si>
  <si>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</si>
  <si>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</si>
  <si>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</si>
  <si>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</si>
  <si>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</si>
  <si>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</si>
  <si>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</si>
  <si>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</si>
  <si>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</si>
  <si>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</si>
  <si>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</si>
  <si>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</si>
  <si>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</si>
  <si>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</si>
  <si>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</si>
  <si>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</si>
  <si>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</si>
  <si>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</si>
  <si>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</si>
  <si>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</si>
  <si>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</si>
  <si>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</si>
  <si>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</si>
  <si>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</si>
  <si>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</si>
  <si>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</si>
  <si>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</si>
  <si>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</si>
  <si>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</si>
  <si>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</si>
  <si>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</si>
  <si>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</si>
  <si>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</si>
  <si>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</si>
  <si>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</si>
  <si>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</si>
  <si>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</si>
  <si>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</si>
  <si>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</si>
  <si>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</si>
  <si>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</si>
  <si>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</si>
  <si>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</si>
  <si>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</si>
  <si>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</si>
  <si>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</si>
  <si>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</si>
  <si>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</si>
  <si>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</si>
  <si>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</si>
  <si>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</si>
  <si>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</si>
  <si>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</si>
  <si>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</si>
  <si>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</si>
  <si>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</si>
  <si>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</si>
  <si>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</si>
  <si>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</si>
  <si>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</si>
  <si>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</si>
  <si>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</si>
  <si>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</si>
  <si>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</si>
  <si>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</si>
  <si>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</si>
  <si>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</si>
  <si>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</si>
  <si>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</si>
  <si>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</si>
  <si>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</si>
  <si>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</si>
  <si>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</si>
  <si>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</si>
  <si>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</si>
  <si>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</si>
  <si>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</si>
  <si>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</si>
  <si>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</si>
  <si>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</si>
  <si>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</si>
  <si>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</si>
  <si>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</si>
  <si>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</si>
  <si>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</si>
  <si>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</si>
  <si>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</si>
  <si>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</si>
  <si>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</si>
  <si>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</si>
  <si>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</si>
  <si>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</si>
  <si>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</si>
  <si>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</si>
  <si>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</si>
  <si>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</si>
  <si>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</si>
  <si>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</si>
  <si>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</si>
  <si>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</si>
  <si>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</si>
  <si>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</si>
  <si>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</si>
  <si>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</si>
  <si>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</si>
  <si>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</si>
  <si>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</si>
  <si>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</si>
  <si>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</si>
  <si>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</si>
  <si>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</si>
  <si>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</si>
  <si>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</si>
  <si>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</si>
  <si>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</si>
  <si>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</si>
  <si>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</si>
  <si>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</si>
  <si>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</si>
  <si>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</si>
  <si>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</si>
  <si>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</si>
  <si>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</si>
  <si>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</si>
  <si>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</si>
  <si>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</si>
  <si>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</si>
  <si>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</si>
  <si>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</si>
  <si>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</si>
  <si>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</si>
  <si>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</si>
  <si>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</si>
  <si>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</si>
  <si>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</si>
  <si>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</si>
  <si>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</si>
  <si>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</si>
  <si>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</si>
  <si>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</si>
  <si>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</si>
  <si>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</si>
  <si>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</si>
  <si>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</si>
  <si>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</si>
  <si>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</si>
  <si>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</si>
  <si>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</si>
  <si>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</si>
  <si>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</si>
  <si>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</si>
  <si>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</si>
  <si>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</si>
  <si>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</si>
  <si>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</si>
  <si>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</si>
  <si>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</si>
  <si>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</si>
  <si>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</si>
  <si>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</si>
  <si>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</si>
  <si>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</si>
  <si>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</si>
  <si>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</si>
  <si>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</si>
  <si>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</si>
  <si>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</si>
  <si>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</si>
  <si>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</si>
  <si>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</si>
  <si>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</si>
  <si>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</si>
  <si>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</si>
  <si>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</si>
  <si>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</si>
  <si>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</si>
  <si>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</si>
  <si>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</si>
  <si>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</si>
  <si>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</si>
  <si>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</si>
  <si>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</si>
  <si>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</si>
  <si>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</si>
  <si>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</si>
  <si>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</si>
  <si>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</si>
  <si>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</si>
  <si>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</si>
  <si>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</si>
  <si>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</si>
  <si>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</si>
  <si>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</si>
  <si>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</si>
  <si>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</si>
  <si>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</si>
  <si>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</si>
  <si>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</si>
  <si>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</si>
  <si>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</si>
  <si>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</si>
  <si>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</si>
  <si>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</si>
  <si>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</si>
  <si>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</si>
  <si>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</si>
  <si>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</si>
  <si>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</si>
  <si>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</si>
  <si>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</si>
  <si>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</si>
  <si>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</si>
  <si>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</si>
  <si>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</si>
  <si>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</si>
  <si>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</si>
  <si>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</si>
  <si>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</si>
  <si>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</si>
  <si>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</si>
  <si>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</si>
  <si>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</si>
  <si>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</si>
  <si>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</si>
  <si>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</si>
  <si>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</si>
  <si>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</si>
  <si>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</si>
  <si>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</si>
  <si>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</si>
  <si>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</si>
  <si>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</si>
  <si>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</si>
  <si>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</si>
  <si>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</si>
  <si>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</si>
  <si>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</si>
  <si>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</si>
  <si>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</si>
  <si>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</si>
  <si>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</si>
  <si>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</si>
  <si>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</si>
  <si>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</si>
  <si>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</si>
  <si>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</si>
  <si>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</si>
  <si>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</si>
  <si>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</si>
  <si>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</si>
  <si>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</si>
  <si>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</si>
  <si>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</si>
  <si>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</si>
  <si>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</si>
  <si>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</si>
  <si>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</si>
  <si>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</si>
  <si>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</si>
  <si>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</si>
  <si>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</si>
  <si>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</si>
  <si>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</si>
  <si>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</si>
  <si>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</si>
  <si>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</si>
  <si>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</si>
  <si>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</si>
  <si>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</si>
  <si>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</si>
  <si>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</si>
  <si>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</si>
  <si>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</si>
  <si>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</si>
  <si>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</si>
  <si>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</si>
  <si>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</si>
  <si>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</si>
  <si>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</si>
  <si>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</si>
  <si>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</si>
  <si>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</si>
  <si>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</si>
  <si>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</si>
  <si>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</si>
  <si>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</si>
  <si>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</si>
  <si>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</si>
  <si>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</si>
  <si>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</si>
  <si>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</si>
  <si>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</si>
  <si>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</si>
  <si>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</si>
  <si>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</si>
  <si>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</si>
  <si>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</si>
  <si>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</si>
  <si>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</si>
  <si>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</si>
  <si>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</si>
  <si>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</si>
  <si>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</si>
  <si>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</si>
  <si>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</si>
  <si>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</si>
  <si>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</si>
  <si>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</si>
  <si>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</si>
  <si>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</si>
  <si>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</si>
  <si>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</si>
  <si>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</si>
  <si>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</si>
  <si>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</si>
  <si>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</si>
  <si>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</si>
  <si>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</si>
  <si>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</si>
  <si>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</si>
  <si>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</si>
  <si>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</si>
  <si>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</si>
  <si>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</si>
  <si>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</si>
  <si>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</si>
  <si>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</si>
  <si>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</si>
  <si>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</si>
  <si>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</si>
  <si>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</si>
  <si>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</si>
  <si>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</si>
  <si>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</si>
  <si>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</si>
  <si>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</si>
  <si>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</si>
  <si>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</si>
  <si>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</si>
  <si>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</si>
  <si>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</si>
  <si>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</si>
  <si>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</si>
  <si>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</si>
  <si>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</si>
  <si>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</si>
  <si>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</si>
  <si>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</si>
  <si>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</si>
  <si>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</si>
  <si>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</si>
  <si>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</si>
  <si>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</si>
  <si>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</si>
  <si>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</si>
  <si>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</si>
  <si>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</si>
  <si>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</si>
  <si>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</si>
  <si>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</si>
  <si>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</si>
  <si>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</si>
  <si>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</si>
  <si>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</si>
  <si>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</si>
  <si>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</si>
  <si>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</si>
  <si>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</si>
  <si>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</si>
  <si>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</si>
  <si>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</si>
  <si>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</si>
  <si>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</si>
  <si>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</si>
  <si>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</si>
  <si>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</si>
  <si>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</si>
  <si>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</si>
  <si>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</si>
  <si>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</si>
  <si>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</si>
  <si>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</si>
  <si>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</si>
  <si>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</si>
  <si>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</si>
  <si>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</si>
  <si>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</si>
  <si>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</si>
  <si>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</si>
  <si>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</si>
  <si>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</si>
  <si>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</si>
  <si>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</si>
  <si>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</si>
  <si>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</si>
  <si>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</si>
  <si>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</si>
  <si>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</si>
  <si>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</si>
  <si>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</si>
  <si>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</si>
  <si>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</si>
  <si>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</si>
  <si>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</si>
  <si>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</si>
  <si>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</si>
  <si>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</si>
  <si>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</si>
  <si>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</si>
  <si>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</si>
  <si>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</si>
  <si>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</si>
  <si>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</si>
  <si>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</si>
  <si>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</si>
  <si>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</si>
  <si>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</si>
  <si>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</si>
  <si>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</si>
  <si>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</si>
  <si>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</si>
  <si>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</si>
  <si>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</si>
  <si>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</si>
  <si>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</si>
  <si>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</si>
  <si>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</si>
  <si>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</si>
  <si>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</si>
  <si>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</si>
  <si>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</si>
  <si>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</si>
  <si>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</si>
  <si>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</si>
  <si>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</si>
  <si>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</si>
  <si>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</si>
  <si>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</si>
  <si>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</si>
  <si>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</si>
  <si>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</si>
  <si>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</si>
  <si>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</si>
  <si>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</si>
  <si>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</si>
  <si>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</si>
  <si>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</si>
  <si>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</si>
  <si>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</si>
  <si>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</si>
  <si>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</si>
  <si>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</si>
  <si>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</si>
  <si>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</si>
  <si>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</si>
  <si>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</si>
  <si>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</si>
  <si>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</si>
  <si>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</si>
  <si>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</si>
  <si>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</si>
  <si>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</si>
  <si>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</si>
  <si>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</si>
  <si>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</si>
  <si>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</si>
  <si>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</si>
  <si>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</si>
  <si>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</si>
  <si>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</si>
  <si>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</si>
  <si>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</si>
  <si>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</si>
  <si>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</si>
  <si>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</si>
  <si>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</si>
  <si>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</si>
  <si>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</si>
  <si>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</si>
  <si>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</si>
  <si>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</si>
  <si>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</si>
  <si>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</si>
  <si>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</si>
  <si>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</si>
  <si>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</si>
  <si>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</si>
  <si>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</si>
  <si>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</si>
  <si>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</si>
  <si>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</si>
  <si>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</si>
  <si>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</si>
  <si>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</si>
  <si>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</si>
  <si>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</si>
  <si>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</si>
  <si>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</si>
  <si>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</si>
  <si>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</si>
  <si>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</si>
  <si>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</si>
  <si>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</si>
  <si>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</si>
  <si>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</si>
  <si>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</si>
  <si>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</si>
  <si>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</si>
  <si>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</si>
  <si>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</si>
  <si>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</si>
  <si>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</si>
  <si>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</si>
  <si>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</si>
  <si>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</si>
  <si>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</si>
  <si>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</si>
  <si>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</si>
  <si>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</si>
  <si>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</si>
  <si>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</si>
  <si>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</si>
  <si>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</si>
  <si>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</si>
  <si>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</si>
  <si>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</si>
  <si>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</si>
  <si>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</si>
  <si>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</si>
  <si>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</si>
  <si>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</si>
  <si>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</si>
  <si>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</si>
  <si>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</si>
  <si>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</si>
  <si>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</si>
  <si>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</si>
  <si>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</si>
  <si>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</si>
  <si>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</si>
  <si>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</si>
  <si>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</si>
  <si>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</si>
  <si>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</si>
  <si>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</si>
  <si>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</si>
  <si>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</si>
  <si>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</si>
  <si>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</si>
  <si>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</si>
  <si>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</si>
  <si>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</si>
  <si>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</si>
  <si>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</si>
  <si>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</si>
  <si>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</si>
  <si>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</si>
  <si>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</si>
  <si>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</si>
  <si>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</si>
  <si>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</si>
  <si>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</si>
  <si>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</si>
  <si>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</si>
  <si>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</si>
  <si>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</si>
  <si>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</si>
  <si>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</si>
  <si>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</si>
  <si>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</si>
  <si>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</si>
  <si>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</si>
  <si>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</si>
  <si>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</si>
  <si>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</si>
  <si>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</si>
  <si>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</si>
  <si>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</si>
  <si>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</si>
  <si>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</si>
  <si>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</si>
  <si>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</si>
  <si>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</si>
  <si>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</si>
  <si>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</si>
  <si>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</si>
  <si>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</si>
  <si>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</si>
  <si>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</si>
  <si>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</si>
  <si>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</si>
  <si>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</si>
  <si>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</si>
  <si>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</si>
  <si>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</si>
  <si>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</si>
  <si>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</si>
  <si>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</si>
  <si>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</si>
  <si>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</si>
  <si>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</si>
  <si>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</si>
  <si>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</si>
  <si>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</si>
  <si>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</si>
  <si>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</si>
  <si>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</si>
  <si>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</si>
  <si>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</si>
  <si>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</si>
  <si>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</si>
  <si>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</si>
  <si>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</si>
  <si>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</si>
  <si>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</si>
  <si>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</si>
  <si>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</si>
  <si>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</si>
  <si>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</si>
  <si>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</si>
  <si>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</si>
  <si>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</si>
  <si>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</si>
  <si>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</si>
  <si>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</si>
  <si>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</si>
  <si>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</si>
  <si>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</si>
  <si>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</si>
  <si>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</si>
  <si>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</si>
  <si>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</si>
  <si>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</si>
  <si>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</si>
  <si>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</si>
  <si>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</si>
  <si>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</si>
  <si>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</si>
  <si>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</si>
  <si>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</si>
  <si>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</si>
  <si>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</si>
  <si>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</si>
  <si>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</si>
  <si>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</si>
  <si>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</si>
  <si>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</si>
  <si>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</si>
  <si>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</si>
  <si>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</si>
  <si>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</si>
  <si>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</si>
  <si>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</si>
  <si>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</si>
  <si>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</si>
  <si>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</si>
  <si>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</si>
  <si>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</si>
  <si>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</si>
  <si>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</si>
  <si>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</si>
  <si>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</si>
  <si>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</si>
  <si>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</si>
  <si>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</si>
  <si>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</si>
  <si>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</si>
  <si>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</si>
  <si>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</si>
  <si>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</si>
  <si>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</si>
  <si>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</si>
  <si>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</si>
  <si>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</si>
  <si>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</si>
  <si>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</si>
  <si>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</si>
  <si>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</si>
  <si>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</si>
  <si>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</si>
  <si>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</si>
  <si>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</si>
  <si>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</si>
  <si>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</si>
  <si>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</si>
  <si>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</si>
  <si>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</si>
  <si>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</si>
  <si>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</si>
  <si>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</si>
  <si>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</si>
  <si>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</si>
  <si>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</si>
  <si>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</si>
  <si>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</si>
  <si>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</si>
  <si>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</si>
  <si>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</si>
  <si>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</si>
  <si>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</si>
  <si>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</si>
  <si>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</si>
  <si>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</si>
  <si>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</si>
  <si>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</si>
  <si>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</si>
  <si>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</si>
  <si>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</si>
  <si>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</si>
  <si>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</si>
  <si>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</si>
  <si>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</si>
  <si>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</si>
  <si>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</si>
  <si>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</si>
  <si>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</si>
  <si>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</si>
  <si>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</si>
  <si>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</si>
  <si>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</si>
  <si>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</si>
  <si>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</si>
  <si>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</si>
  <si>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</si>
  <si>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</si>
  <si>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</si>
  <si>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</si>
  <si>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</si>
  <si>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</si>
  <si>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</si>
  <si>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</si>
  <si>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</si>
  <si>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</si>
  <si>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</si>
  <si>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</si>
  <si>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</si>
  <si>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</si>
  <si>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</si>
  <si>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</si>
  <si>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</si>
  <si>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</si>
  <si>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</si>
  <si>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</si>
  <si>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</si>
  <si>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</si>
  <si>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</si>
  <si>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</si>
  <si>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</si>
  <si>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</si>
  <si>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</si>
  <si>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</si>
  <si>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</si>
  <si>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</si>
  <si>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</si>
  <si>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</si>
  <si>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</si>
  <si>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</si>
  <si>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</si>
  <si>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</si>
  <si>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</si>
  <si>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</si>
  <si>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</si>
  <si>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</si>
  <si>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</si>
  <si>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</si>
  <si>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</si>
  <si>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</si>
  <si>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</si>
  <si>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</si>
  <si>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</si>
  <si>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</si>
  <si>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</si>
  <si>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</si>
  <si>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</si>
  <si>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</si>
  <si>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</si>
  <si>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</si>
  <si>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</si>
  <si>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</si>
  <si>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</si>
  <si>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</si>
  <si>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</si>
  <si>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</si>
  <si>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</si>
  <si>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</si>
  <si>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</si>
  <si>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</si>
  <si>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</si>
  <si>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</si>
  <si>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</si>
  <si>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</si>
  <si>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</si>
  <si>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</si>
  <si>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</si>
  <si>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</si>
  <si>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</si>
  <si>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</si>
  <si>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</si>
  <si>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</si>
  <si>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</si>
  <si>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</si>
  <si>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</si>
  <si>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</si>
  <si>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</si>
  <si>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</si>
  <si>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</si>
  <si>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</si>
  <si>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</si>
  <si>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</si>
  <si>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</si>
  <si>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</si>
  <si>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</si>
  <si>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</si>
  <si>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</si>
  <si>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</si>
  <si>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</si>
  <si>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</si>
  <si>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</si>
  <si>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</si>
  <si>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</si>
  <si>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</si>
  <si>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</si>
  <si>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</si>
  <si>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</si>
  <si>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</si>
  <si>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</si>
  <si>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</si>
  <si>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</si>
  <si>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</si>
  <si>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</si>
  <si>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</si>
  <si>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</si>
  <si>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</si>
  <si>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</si>
  <si>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</si>
  <si>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</si>
  <si>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</si>
  <si>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</si>
  <si>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</si>
  <si>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</si>
  <si>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</si>
  <si>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</si>
  <si>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</si>
  <si>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</si>
  <si>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</si>
  <si>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</si>
  <si>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</si>
  <si>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</si>
  <si>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</si>
  <si>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</si>
  <si>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</si>
  <si>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</si>
  <si>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</si>
  <si>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</si>
  <si>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</si>
  <si>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</si>
  <si>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</si>
  <si>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</si>
  <si>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</si>
  <si>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</si>
  <si>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</si>
  <si>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</si>
  <si>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</si>
  <si>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</si>
  <si>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</si>
  <si>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</si>
  <si>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</si>
  <si>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</si>
  <si>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</si>
  <si>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</si>
  <si>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</si>
  <si>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</si>
  <si>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</si>
  <si>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</si>
  <si>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</si>
  <si>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</si>
  <si>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</si>
  <si>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</si>
  <si>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</si>
  <si>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</si>
  <si>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</si>
  <si>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</si>
  <si>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</si>
  <si>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</si>
  <si>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</si>
  <si>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</si>
  <si>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</si>
  <si>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</si>
  <si>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</si>
  <si>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</si>
  <si>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</si>
  <si>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</si>
  <si>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</si>
  <si>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</si>
  <si>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</si>
  <si>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</si>
  <si>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</si>
  <si>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</si>
  <si>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</si>
  <si>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</si>
  <si>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</si>
  <si>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</si>
  <si>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</si>
  <si>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</si>
  <si>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</si>
  <si>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</si>
  <si>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</si>
  <si>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</si>
  <si>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</si>
  <si>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</si>
  <si>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</si>
  <si>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</si>
  <si>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</si>
  <si>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</si>
  <si>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</si>
  <si>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</si>
  <si>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</si>
  <si>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</si>
  <si>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</si>
  <si>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</si>
  <si>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</si>
  <si>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</si>
  <si>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</si>
  <si>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</si>
  <si>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</si>
  <si>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</si>
  <si>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</si>
  <si>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</si>
  <si>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</si>
  <si>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</si>
  <si>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</si>
  <si>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</si>
  <si>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</si>
  <si>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</si>
  <si>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</si>
  <si>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</si>
  <si>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</si>
  <si>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</si>
  <si>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</si>
  <si>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</si>
  <si>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</si>
  <si>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</si>
  <si>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</si>
  <si>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</si>
  <si>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</si>
  <si>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</si>
  <si>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</si>
  <si>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</si>
  <si>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</si>
  <si>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</si>
  <si>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</si>
  <si>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</si>
  <si>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</si>
  <si>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</si>
  <si>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</si>
  <si>
    <t>6abd08af43ce2b65efec1a4e</t>
  </si>
  <si>
    <t>30/09/2026 10:00:22</t>
  </si>
  <si>
    <t>30/09/2026 10:03:43</t>
  </si>
  <si>
    <t>30/09/2026</t>
  </si>
  <si>
    <t>6abd08af43ce2b65efec1a48</t>
  </si>
  <si>
    <t>30/09/2026 09:41:36</t>
  </si>
  <si>
    <t>6abd08af43ce2b65efec1a42</t>
  </si>
  <si>
    <t>30/09/2026 08:28:19</t>
  </si>
  <si>
    <t>6abd08af43ce2b65efec1a3c</t>
  </si>
  <si>
    <t>30/09/2026 08:23:18</t>
  </si>
  <si>
    <t>6abd08af43ce2b65efec1a36</t>
  </si>
  <si>
    <t>30/09/2026 08:18:39</t>
  </si>
  <si>
    <t>6abd08af43ce2b65efec1a30</t>
  </si>
  <si>
    <t>30/09/2026 08:14:07</t>
  </si>
  <si>
    <t>6abd08af43ce2b65efec1a2a</t>
  </si>
  <si>
    <t>30/09/2026 08:08:38</t>
  </si>
  <si>
    <t>6abd08af43ce2b65efec1a24</t>
  </si>
  <si>
    <t>30/09/2026 08:04:01</t>
  </si>
  <si>
    <t>6abc9cb898694d34bda8ddf3</t>
  </si>
  <si>
    <t>30/09/2026 01:08:15</t>
  </si>
  <si>
    <t>30/09/2026 02:23:04</t>
  </si>
  <si>
    <t>29/09/2026</t>
  </si>
  <si>
    <t>6abc9cb898694d34bda8dded</t>
  </si>
  <si>
    <t>29/09/2026 23:48:38</t>
  </si>
  <si>
    <t>6abc9cb798694d34bda8dde1</t>
  </si>
  <si>
    <t>29/09/2026 22:35:25</t>
  </si>
  <si>
    <t>30/09/2026 02:23:03</t>
  </si>
  <si>
    <t>6abc9cb798694d34bda8dddb</t>
  </si>
  <si>
    <t>29/09/2026 22:32:36</t>
  </si>
  <si>
    <t>6abc9cb798694d34bda8ddd3</t>
  </si>
  <si>
    <t>29/09/2026 22:29:15</t>
  </si>
  <si>
    <t>6abc9cb798694d34bda8ddcd</t>
  </si>
  <si>
    <t>29/09/2026 22:19:49</t>
  </si>
  <si>
    <t>6abc9cb798694d34bda8ddc1</t>
  </si>
  <si>
    <t>29/09/2026 19:24:55</t>
  </si>
  <si>
    <t>6abc9cb798694d34bda8ddbb</t>
  </si>
  <si>
    <t>29/09/2026 19:16:37</t>
  </si>
  <si>
    <t>6abc9cb798694d34bda8ddb5</t>
  </si>
  <si>
    <t>29/09/2026 19:15:05</t>
  </si>
  <si>
    <t>6abc9cb798694d34bda8ddaf</t>
  </si>
  <si>
    <t>29/09/2026 19:12:09</t>
  </si>
  <si>
    <t>6abc9cb798694d34bda8dda9</t>
  </si>
  <si>
    <t>29/09/2026 19:06:07</t>
  </si>
  <si>
    <t>6abc9cb698694d34bda8dd9d</t>
  </si>
  <si>
    <t>29/09/2026 18:21:38</t>
  </si>
  <si>
    <t>30/09/2026 02:23:02</t>
  </si>
  <si>
    <t>6abc9cb698694d34bda8dd97</t>
  </si>
  <si>
    <t>29/09/2026 18:15:22</t>
  </si>
  <si>
    <t>6abc9cb698694d34bda8dd91</t>
  </si>
  <si>
    <t>29/09/2026 18:06:13</t>
  </si>
  <si>
    <t>6abc9cb698694d34bda8dd8b</t>
  </si>
  <si>
    <t>29/09/2026 18:01:35</t>
  </si>
  <si>
    <t>6abc9cb698694d34bda8dd85</t>
  </si>
  <si>
    <t>29/09/2026 17:57:31</t>
  </si>
  <si>
    <t>6abc9cb698694d34bda8dd7f</t>
  </si>
  <si>
    <t>29/09/2026 17:32:56</t>
  </si>
  <si>
    <t>6abc9cb698694d34bda8dd79</t>
  </si>
  <si>
    <t>29/09/2026 17:28:53</t>
  </si>
  <si>
    <t>6abc6975200cee3d5facd542</t>
  </si>
  <si>
    <t>29/09/2026 22:22:29</t>
  </si>
  <si>
    <t>29/09/2026 22:44:21</t>
  </si>
  <si>
    <t>6abc6975200cee3d5facd53c</t>
  </si>
  <si>
    <t>29/09/2026 22:17:03</t>
  </si>
  <si>
    <t>6abc6975200cee3d5facd536</t>
  </si>
  <si>
    <t>29/09/2026 22:14:57</t>
  </si>
  <si>
    <t>6abc61827f3e0285f259bf65</t>
  </si>
  <si>
    <t>29/09/2026 22:03:16</t>
  </si>
  <si>
    <t>29/09/2026 22:10:26</t>
  </si>
  <si>
    <t>6abc61827f3e0285f259bf5f</t>
  </si>
  <si>
    <t>29/09/2026 21:59:55</t>
  </si>
  <si>
    <t>6abc61827f3e0285f259bf59</t>
  </si>
  <si>
    <t>29/09/2026 21:54:51</t>
  </si>
  <si>
    <t>6abc61827f3e0285f259bf53</t>
  </si>
  <si>
    <t>29/09/2026 21:51:45</t>
  </si>
  <si>
    <t>6abc61827f3e0285f259bf4d</t>
  </si>
  <si>
    <t>29/09/2026 21:47:24</t>
  </si>
  <si>
    <t>6abc61827f3e0285f259bf47</t>
  </si>
  <si>
    <t>29/09/2026 21:42:02</t>
  </si>
  <si>
    <t>6abc61827f3e0285f259bf41</t>
  </si>
  <si>
    <t>29/09/2026 21:36:32</t>
  </si>
  <si>
    <t>6abc61827f3e0285f259bf39</t>
  </si>
  <si>
    <t>29/09/2026 21:33:05</t>
  </si>
  <si>
    <t>6abc34c94535e34def6bcad5</t>
  </si>
  <si>
    <t>29/09/2026 18:20:41</t>
  </si>
  <si>
    <t>29/09/2026 18:59:37</t>
  </si>
  <si>
    <t>6abc2427fde5ec03d7606fe7</t>
  </si>
  <si>
    <t>29/09/2026 17:40:00</t>
  </si>
  <si>
    <t>29/09/2026 17:48:39</t>
  </si>
  <si>
    <t>6abc2427fde5ec03d7606fe1</t>
  </si>
  <si>
    <t>29/09/2026 17:38:56</t>
  </si>
  <si>
    <t>6abc2427fde5ec03d7606fdb</t>
  </si>
  <si>
    <t>29/09/2026 16:52:31</t>
  </si>
  <si>
    <t>6abc162be92aaaa972d589fd</t>
  </si>
  <si>
    <t>29/09/2026 16:45:34</t>
  </si>
  <si>
    <t>29/09/2026 16:48:59</t>
  </si>
  <si>
    <t>6abc05ee5255bb2a51052595</t>
  </si>
  <si>
    <t>29/09/2026 09:20:00</t>
  </si>
  <si>
    <t>29/09/2026 15:39:42</t>
  </si>
  <si>
    <t>6abc05ee5255bb2a5105258f</t>
  </si>
  <si>
    <t>29/09/2026 09:02:47</t>
  </si>
  <si>
    <t>6abc05ee5255bb2a51052589</t>
  </si>
  <si>
    <t>29/09/2026 08:53:01</t>
  </si>
  <si>
    <t>6abc05ee5255bb2a51052583</t>
  </si>
  <si>
    <t>28/09/2026 11:34:36</t>
  </si>
  <si>
    <t>6abc05ee5255bb2a5105257d</t>
  </si>
  <si>
    <t>25/09/2026 15:04:23</t>
  </si>
  <si>
    <t>6abc05ee5255bb2a51052577</t>
  </si>
  <si>
    <t>25/09/2026 14:10:06</t>
  </si>
  <si>
    <t>6abdeedbfa7807c931a7e3d4</t>
  </si>
  <si>
    <t>30/09/2026 22:46:05</t>
  </si>
  <si>
    <t>01/10/2026 02:25:47</t>
  </si>
  <si>
    <t>6abdeedbfa7807c931a7e3ce</t>
  </si>
  <si>
    <t>30/09/2026 22:36:11</t>
  </si>
  <si>
    <t>6abdeedbfa7807c931a7e3c8</t>
  </si>
  <si>
    <t>30/09/2026 22:29:52</t>
  </si>
  <si>
    <t>6abdeedbfa7807c931a7e3c2</t>
  </si>
  <si>
    <t>30/09/2026 22:27:22</t>
  </si>
  <si>
    <t>6abdeedbfa7807c931a7e3bc</t>
  </si>
  <si>
    <t>30/09/2026 22:23:25</t>
  </si>
  <si>
    <t>6abdeedbfa7807c931a7e3b0</t>
  </si>
  <si>
    <t>30/09/2026 21:27:36</t>
  </si>
  <si>
    <t>6abdeedbfa7807c931a7e3aa</t>
  </si>
  <si>
    <t>30/09/2026 19:21:28</t>
  </si>
  <si>
    <t>6abdeedafa7807c931a7e3a4</t>
  </si>
  <si>
    <t>30/09/2026 19:17:43</t>
  </si>
  <si>
    <t>01/10/2026 02:25:46</t>
  </si>
  <si>
    <t>6abdeedafa7807c931a7e39c</t>
  </si>
  <si>
    <t>30/09/2026 19:16:22</t>
  </si>
  <si>
    <t>6abdeedafa7807c931a7e396</t>
  </si>
  <si>
    <t>30/09/2026 19:12:45</t>
  </si>
  <si>
    <t>6abdeedafa7807c931a7e390</t>
  </si>
  <si>
    <t>30/09/2026 19:11:05</t>
  </si>
  <si>
    <t>6abdeedafa7807c931a7e38a</t>
  </si>
  <si>
    <t>30/09/2026 19:02:33</t>
  </si>
  <si>
    <t>6abdeedafa7807c931a7e37e</t>
  </si>
  <si>
    <t>30/09/2026 17:39:33</t>
  </si>
  <si>
    <t>6abdeedafa7807c931a7e378</t>
  </si>
  <si>
    <t>30/09/2026 17:28:38</t>
  </si>
  <si>
    <t>6abdeedafa7807c931a7e372</t>
  </si>
  <si>
    <t>30/09/2026 17:25:03</t>
  </si>
  <si>
    <t>6abdeedafa7807c931a7e36c</t>
  </si>
  <si>
    <t>30/09/2026 17:21:07</t>
  </si>
  <si>
    <t>6abdeedafa7807c931a7e366</t>
  </si>
  <si>
    <t>30/09/2026 17:11:45</t>
  </si>
  <si>
    <t>6abdc4b67b027318e0208b27</t>
  </si>
  <si>
    <t>30/09/2026 22:26:17</t>
  </si>
  <si>
    <t>30/09/2026 23:25:58</t>
  </si>
  <si>
    <t>6abdc4b67b027318e0208b21</t>
  </si>
  <si>
    <t>30/09/2026 22:13:36</t>
  </si>
  <si>
    <t>6abdc4b67b027318e0208b19</t>
  </si>
  <si>
    <t>30/09/2026 22:06:29</t>
  </si>
  <si>
    <t>6abdbe8e7b027318e02088e3</t>
  </si>
  <si>
    <t>30/09/2026 22:18:52</t>
  </si>
  <si>
    <t>30/09/2026 22:59:42</t>
  </si>
  <si>
    <t>6abdbe8e7b027318e02088dd</t>
  </si>
  <si>
    <t>30/09/2026 22:16:02</t>
  </si>
  <si>
    <t>6abdbe8e7b027318e02088d7</t>
  </si>
  <si>
    <t>30/09/2026 22:04:42</t>
  </si>
  <si>
    <t>6abd7ef01dccde3e7e103406</t>
  </si>
  <si>
    <t>30/09/2026 18:10:27</t>
  </si>
  <si>
    <t>30/09/2026 18:28:16</t>
  </si>
  <si>
    <t>6abd7ef01dccde3e7e103400</t>
  </si>
  <si>
    <t>30/09/2026 18:08:00</t>
  </si>
  <si>
    <t>6abd7ef01dccde3e7e1033fa</t>
  </si>
  <si>
    <t>30/09/2026 18:03:19</t>
  </si>
  <si>
    <t>6abd7ef01dccde3e7e1033f4</t>
  </si>
  <si>
    <t>30/09/2026 18:01:29</t>
  </si>
  <si>
    <t>6abd7ef01dccde3e7e1033ee</t>
  </si>
  <si>
    <t>30/09/2026 17:58:53</t>
  </si>
  <si>
    <t>6abd7ef01dccde3e7e1033e8</t>
  </si>
  <si>
    <t>30/09/2026 17:09:59</t>
  </si>
  <si>
    <t>6abd7eef1dccde3e7e1033e2</t>
  </si>
  <si>
    <t>30/09/2026 16:58:25</t>
  </si>
  <si>
    <t>30/09/2026 18:28:15</t>
  </si>
  <si>
    <t>6abd4fcdff6ac25cf5259064</t>
  </si>
  <si>
    <t>30/09/2026 13:46:39</t>
  </si>
  <si>
    <t>30/09/2026 15:07:09</t>
  </si>
  <si>
    <t>6abd4253f9405e4814028384</t>
  </si>
  <si>
    <t>30/09/2026 13:59:38</t>
  </si>
  <si>
    <t>30/09/2026 14:09:39</t>
  </si>
  <si>
    <t>6abd4253f9405e481402837e</t>
  </si>
  <si>
    <t>30/09/2026 13:52:46</t>
  </si>
  <si>
    <t>6abd4253f9405e4814028378</t>
  </si>
  <si>
    <t>30/09/2026 13:48:55</t>
  </si>
  <si>
    <t>6abd4253f9405e4814028372</t>
  </si>
  <si>
    <t>30/09/2026 13:42:54</t>
  </si>
  <si>
    <t>6abd4253f9405e481402836c</t>
  </si>
  <si>
    <t>30/09/2026 13:37:20</t>
  </si>
  <si>
    <t>6abd255e7b027318e01fc90a</t>
  </si>
  <si>
    <t>30/09/2026 12:01:23</t>
  </si>
  <si>
    <t>30/09/2026 12:06:06</t>
  </si>
  <si>
    <t>6abd255e7b027318e01fc904</t>
  </si>
  <si>
    <t>30/09/2026 11:53:02</t>
  </si>
  <si>
    <t>6abd255e7b027318e01fc8fe</t>
  </si>
  <si>
    <t>30/09/2026 11:47:41</t>
  </si>
  <si>
    <t>6abd255e7b027318e01fc8f8</t>
  </si>
  <si>
    <t>30/09/2026 11:42:50</t>
  </si>
  <si>
    <t>6abd255e7b027318e01fc8f2</t>
  </si>
  <si>
    <t>30/09/2026 11:40:12</t>
  </si>
  <si>
    <t>6abf3b742a994604e4a010c2</t>
  </si>
  <si>
    <t>01/10/2026 22:41:45</t>
  </si>
  <si>
    <t>02/10/2026 02:04:52</t>
  </si>
  <si>
    <t>01/10/2026</t>
  </si>
  <si>
    <t>6abf3ad13cf16866fa66609d</t>
  </si>
  <si>
    <t>01/10/2026 17:37:11</t>
  </si>
  <si>
    <t>02/10/2026 02:02:09</t>
  </si>
  <si>
    <t>6abf3abcfeff8ad157fab5a3</t>
  </si>
  <si>
    <t>01/10/2026 22:36:06</t>
  </si>
  <si>
    <t>02/10/2026 02:01:48</t>
  </si>
  <si>
    <t>6abf3abcfeff8ad157fab59d</t>
  </si>
  <si>
    <t>01/10/2026 22:22:08</t>
  </si>
  <si>
    <t>6abf3abcfeff8ad157fab597</t>
  </si>
  <si>
    <t>01/10/2026 22:19:50</t>
  </si>
  <si>
    <t>6abf3abcfeff8ad157fab591</t>
  </si>
  <si>
    <t>01/10/2026 22:17:38</t>
  </si>
  <si>
    <t>6abf3abcfeff8ad157fab58b</t>
  </si>
  <si>
    <t>01/10/2026 22:15:29</t>
  </si>
  <si>
    <t>6abf3abcfeff8ad157fab585</t>
  </si>
  <si>
    <t>01/10/2026 22:06:30</t>
  </si>
  <si>
    <t>6abf3abbfeff8ad157fab579</t>
  </si>
  <si>
    <t>01/10/2026 19:13:46</t>
  </si>
  <si>
    <t>02/10/2026 02:01:47</t>
  </si>
  <si>
    <t>6abf3abbfeff8ad157fab573</t>
  </si>
  <si>
    <t>01/10/2026 19:06:44</t>
  </si>
  <si>
    <t>6abf3abbfeff8ad157fab56d</t>
  </si>
  <si>
    <t>01/10/2026 19:00:32</t>
  </si>
  <si>
    <t>6abf3abbfeff8ad157fab565</t>
  </si>
  <si>
    <t>01/10/2026 18:57:49</t>
  </si>
  <si>
    <t>6abf3abbfeff8ad157fab55f</t>
  </si>
  <si>
    <t>01/10/2026 17:41:14</t>
  </si>
  <si>
    <t>6abf3abbfeff8ad157fab559</t>
  </si>
  <si>
    <t>01/10/2026 17:35:05</t>
  </si>
  <si>
    <t>6abf3abbfeff8ad157fab553</t>
  </si>
  <si>
    <t>01/10/2026 17:29:50</t>
  </si>
  <si>
    <t>6abf3abbfeff8ad157fab54d</t>
  </si>
  <si>
    <t>01/10/2026 17:26:01</t>
  </si>
  <si>
    <t>6abf3abbfeff8ad157fab547</t>
  </si>
  <si>
    <t>01/10/2026 17:22:16</t>
  </si>
  <si>
    <t>6abf1c7676e463e032f56571</t>
  </si>
  <si>
    <t>01/10/2026 23:38:12</t>
  </si>
  <si>
    <t>01/10/2026 23:52:38</t>
  </si>
  <si>
    <t>6abf1c7676e463e032f5656b</t>
  </si>
  <si>
    <t>01/10/2026 23:30:30</t>
  </si>
  <si>
    <t>6abf1c7676e463e032f56565</t>
  </si>
  <si>
    <t>01/10/2026 23:23:23</t>
  </si>
  <si>
    <t>6abf1c7676e463e032f5655f</t>
  </si>
  <si>
    <t>01/10/2026 23:19:41</t>
  </si>
  <si>
    <t>6abf1c7676e463e032f56559</t>
  </si>
  <si>
    <t>01/10/2026 23:16:29</t>
  </si>
  <si>
    <t>6abf0b369b405ad761b0c713</t>
  </si>
  <si>
    <t>01/10/2026 22:06:37</t>
  </si>
  <si>
    <t>01/10/2026 22:39:02</t>
  </si>
  <si>
    <t>6abeef192a994604e49ff4e5</t>
  </si>
  <si>
    <t>01/10/2026 18:20:27</t>
  </si>
  <si>
    <t>01/10/2026 20:39:05</t>
  </si>
  <si>
    <t>6abeeef8bd86e569124905b8</t>
  </si>
  <si>
    <t>01/10/2026 19:05:48</t>
  </si>
  <si>
    <t>01/10/2026 20:38:32</t>
  </si>
  <si>
    <t>6abeeef8bd86e569124905b0</t>
  </si>
  <si>
    <t>30/09/2026 22:46:57</t>
  </si>
  <si>
    <t>6abe86154535e34def6f29fc</t>
  </si>
  <si>
    <t>01/10/2026 08:56:55</t>
  </si>
  <si>
    <t>01/10/2026 13:11:01</t>
  </si>
  <si>
    <t>6abe86154535e34def6f29f6</t>
  </si>
  <si>
    <t>01/10/2026 08:53:43</t>
  </si>
  <si>
    <t>6abe86154535e34def6f29f0</t>
  </si>
  <si>
    <t>01/10/2026 08:48:56</t>
  </si>
  <si>
    <t>OUT</t>
  </si>
  <si>
    <t>6ac486f64854db7e48d93b4a</t>
  </si>
  <si>
    <t>05/10/2026 22:57:12</t>
  </si>
  <si>
    <t>06/10/2026 02:28:22</t>
  </si>
  <si>
    <t>05/10/2026</t>
  </si>
  <si>
    <t>6ac486f64854db7e48d93b44</t>
  </si>
  <si>
    <t>05/10/2026 22:51:45</t>
  </si>
  <si>
    <t>6ac486f64854db7e48d93b3e</t>
  </si>
  <si>
    <t>05/10/2026 22:39:21</t>
  </si>
  <si>
    <t>6ac486f64854db7e48d93b38</t>
  </si>
  <si>
    <t>05/10/2026 22:34:37</t>
  </si>
  <si>
    <t>6ac486f64854db7e48d93b32</t>
  </si>
  <si>
    <t>05/10/2026 22:32:25</t>
  </si>
  <si>
    <t>6ac486f54854db7e48d93b20</t>
  </si>
  <si>
    <t>05/10/2026 19:35:40</t>
  </si>
  <si>
    <t>06/10/2026 02:28:21</t>
  </si>
  <si>
    <t>6ac486f54854db7e48d93b1a</t>
  </si>
  <si>
    <t>05/10/2026 18:58:19</t>
  </si>
  <si>
    <t>6ac486f54854db7e48d93b14</t>
  </si>
  <si>
    <t>05/10/2026 18:54:58</t>
  </si>
  <si>
    <t>6ac486f54854db7e48d93b0e</t>
  </si>
  <si>
    <t>05/10/2026 18:50:26</t>
  </si>
  <si>
    <t>6ac486f54854db7e48d93b08</t>
  </si>
  <si>
    <t>05/10/2026 18:43:05</t>
  </si>
  <si>
    <t>6ac486f54854db7e48d93b02</t>
  </si>
  <si>
    <t>05/10/2026 18:41:18</t>
  </si>
  <si>
    <t>6ac486f54854db7e48d93afc</t>
  </si>
  <si>
    <t>05/10/2026 18:36:21</t>
  </si>
  <si>
    <t>6ac486f54854db7e48d93af6</t>
  </si>
  <si>
    <t>05/10/2026 18:34:15</t>
  </si>
  <si>
    <t>6ac486f54854db7e48d93af0</t>
  </si>
  <si>
    <t>05/10/2026 18:27:02</t>
  </si>
  <si>
    <t>6ac486f54854db7e48d93aea</t>
  </si>
  <si>
    <t>05/10/2026 17:57:27</t>
  </si>
  <si>
    <t>6ac486f54854db7e48d93ae2</t>
  </si>
  <si>
    <t>05/10/2026 17:55:18</t>
  </si>
  <si>
    <t>6ac486f54854db7e48d93adc</t>
  </si>
  <si>
    <t>05/10/2026 17:51:49</t>
  </si>
  <si>
    <t>6ac459469b7db2ba7646aa77</t>
  </si>
  <si>
    <t>05/10/2026 22:37:12</t>
  </si>
  <si>
    <t>05/10/2026 23:13:26</t>
  </si>
  <si>
    <t>6ac44fa7826700b8f0e72f45</t>
  </si>
  <si>
    <t>05/10/2026 22:21:15</t>
  </si>
  <si>
    <t>05/10/2026 22:32:23</t>
  </si>
  <si>
    <t>6ac44fa7826700b8f0e72f3f</t>
  </si>
  <si>
    <t>05/10/2026 22:16:22</t>
  </si>
  <si>
    <t>6ac44fa7826700b8f0e72f39</t>
  </si>
  <si>
    <t>05/10/2026 22:07:04</t>
  </si>
  <si>
    <t>6ac44fa7826700b8f0e72f33</t>
  </si>
  <si>
    <t>05/10/2026 22:03:40</t>
  </si>
  <si>
    <t>6ac44fa7826700b8f0e72f2d</t>
  </si>
  <si>
    <t>05/10/2026 21:58:02</t>
  </si>
  <si>
    <t>6ac44fa7826700b8f0e72f27</t>
  </si>
  <si>
    <t>05/10/2026 21:54:17</t>
  </si>
  <si>
    <t>6ac443e3826700b8f0e72ad0</t>
  </si>
  <si>
    <t>05/10/2026 21:33:37</t>
  </si>
  <si>
    <t>05/10/2026 21:42:11</t>
  </si>
  <si>
    <t>6ac093abdb68f2f72a0ff095</t>
  </si>
  <si>
    <t>02/10/2026 23:33:02</t>
  </si>
  <si>
    <t>03/10/2026 02:33:31</t>
  </si>
  <si>
    <t>02/10/2026</t>
  </si>
  <si>
    <t>6ac093abdb68f2f72a0ff08f</t>
  </si>
  <si>
    <t>02/10/2026 23:16:04</t>
  </si>
  <si>
    <t>6ac093aadb68f2f72a0ff089</t>
  </si>
  <si>
    <t>02/10/2026 23:11:23</t>
  </si>
  <si>
    <t>03/10/2026 02:33:30</t>
  </si>
  <si>
    <t>6ac093aadb68f2f72a0ff07d</t>
  </si>
  <si>
    <t>02/10/2026 21:47:32</t>
  </si>
  <si>
    <t>6ac093aadb68f2f72a0ff077</t>
  </si>
  <si>
    <t>02/10/2026 21:44:58</t>
  </si>
  <si>
    <t>6ac093aadb68f2f72a0ff071</t>
  </si>
  <si>
    <t>02/10/2026 21:43:54</t>
  </si>
  <si>
    <t>6ac093aadb68f2f72a0ff06b</t>
  </si>
  <si>
    <t>02/10/2026 21:42:40</t>
  </si>
  <si>
    <t>6ac093aadb68f2f72a0ff065</t>
  </si>
  <si>
    <t>02/10/2026 21:34:46</t>
  </si>
  <si>
    <t>6ac093aadb68f2f72a0ff05f</t>
  </si>
  <si>
    <t>02/10/2026 21:31:49</t>
  </si>
  <si>
    <t>6ac093aadb68f2f72a0ff059</t>
  </si>
  <si>
    <t>02/10/2026 21:28:42</t>
  </si>
  <si>
    <t>6ac093aadb68f2f72a0ff04d</t>
  </si>
  <si>
    <t>02/10/2026 20:44:27</t>
  </si>
  <si>
    <t>6ac093a9db68f2f72a0ff041</t>
  </si>
  <si>
    <t>02/10/2026 17:43:03</t>
  </si>
  <si>
    <t>03/10/2026 02:33:29</t>
  </si>
  <si>
    <t>6ac093a9db68f2f72a0ff03b</t>
  </si>
  <si>
    <t>02/10/2026 17:37:32</t>
  </si>
  <si>
    <t>6ac093a9db68f2f72a0ff035</t>
  </si>
  <si>
    <t>02/10/2026 17:34:21</t>
  </si>
  <si>
    <t>6ac093a9db68f2f72a0ff02f</t>
  </si>
  <si>
    <t>02/10/2026 17:19:17</t>
  </si>
  <si>
    <t>6ac093a9db68f2f72a0ff029</t>
  </si>
  <si>
    <t>02/10/2026 17:15:03</t>
  </si>
  <si>
    <t>6ac062bedb68f2f72a0fe1ca</t>
  </si>
  <si>
    <t>02/10/2026 22:44:23</t>
  </si>
  <si>
    <t>02/10/2026 23:04:46</t>
  </si>
  <si>
    <t>6ac062bedb68f2f72a0fe1c4</t>
  </si>
  <si>
    <t>02/10/2026 22:42:34</t>
  </si>
  <si>
    <t>6ac062bddb68f2f72a0fe1be</t>
  </si>
  <si>
    <t>02/10/2026 22:37:58</t>
  </si>
  <si>
    <t>02/10/2026 23:04:45</t>
  </si>
  <si>
    <t>6ac04e47486c261c1ca08e9a</t>
  </si>
  <si>
    <t>02/10/2026 20:58:50</t>
  </si>
  <si>
    <t>02/10/2026 21:37:27</t>
  </si>
  <si>
    <t>6ac04e37feff8ad157fd67e5</t>
  </si>
  <si>
    <t>02/10/2026 21:16:28</t>
  </si>
  <si>
    <t>02/10/2026 21:37:11</t>
  </si>
  <si>
    <t>6ac04e37feff8ad157fd67df</t>
  </si>
  <si>
    <t>02/10/2026 21:13:27</t>
  </si>
  <si>
    <t>6ac04e37feff8ad157fd67d9</t>
  </si>
  <si>
    <t>02/10/2026 21:09:28</t>
  </si>
  <si>
    <t>6ac04e37feff8ad157fd67d3</t>
  </si>
  <si>
    <t>02/10/2026 21:06:07</t>
  </si>
  <si>
    <t>6ac04e37feff8ad157fd67cd</t>
  </si>
  <si>
    <t>02/10/2026 21:03:53</t>
  </si>
  <si>
    <t>6ac04e37feff8ad157fd67c7</t>
  </si>
  <si>
    <t>02/10/2026 20:53:22</t>
  </si>
  <si>
    <t>6ac043b81363200b808a2986</t>
  </si>
  <si>
    <t>02/10/2026 18:49:18</t>
  </si>
  <si>
    <t>02/10/2026 20:52:24</t>
  </si>
  <si>
    <t>6ac043b81363200b808a2980</t>
  </si>
  <si>
    <t>02/10/2026 18:38:29</t>
  </si>
  <si>
    <t>6ac043b81363200b808a297a</t>
  </si>
  <si>
    <t>02/10/2026 17:34:02</t>
  </si>
  <si>
    <t>6ac02b992a994604e4a14824</t>
  </si>
  <si>
    <t>02/10/2026 14:56:41</t>
  </si>
  <si>
    <t>02/10/2026 19:09:29</t>
  </si>
  <si>
    <t>6abff25b4854db7e48d4c58b</t>
  </si>
  <si>
    <t>02/10/2026 15:02:41</t>
  </si>
  <si>
    <t>02/10/2026 15:05:15</t>
  </si>
  <si>
    <t>6abff1be78034b104e18e60e</t>
  </si>
  <si>
    <t>02/10/2026 10:27:07</t>
  </si>
  <si>
    <t>02/10/2026 15:02:38</t>
  </si>
  <si>
    <t>6abff1be78034b104e18e608</t>
  </si>
  <si>
    <t>02/10/2026 10:21:44</t>
  </si>
  <si>
    <t>6abff1be78034b104e18e602</t>
  </si>
  <si>
    <t>01/10/2026 12:14:22</t>
  </si>
  <si>
    <t>6abff1be78034b104e18e5fc</t>
  </si>
  <si>
    <t>01/10/2026 12:10:33</t>
  </si>
  <si>
    <t>6abfdcdd36d49b922976381c</t>
  </si>
  <si>
    <t>02/10/2026 09:00:20</t>
  </si>
  <si>
    <t>02/10/2026 13:33:33</t>
  </si>
  <si>
    <t>6abfdcdd36d49b9229763816</t>
  </si>
  <si>
    <t>02/10/2026 08:55:32</t>
  </si>
  <si>
    <t>6abfdcdd36d49b9229763810</t>
  </si>
  <si>
    <t>02/10/2026 08:50:40</t>
  </si>
  <si>
    <t>6abfdcdd36d49b922976380a</t>
  </si>
  <si>
    <t>02/10/2026 08:48:05</t>
  </si>
  <si>
    <t>6abfdcdd36d49b9229763804</t>
  </si>
  <si>
    <t>01/10/2026 16:58:10</t>
  </si>
  <si>
    <t>6ac7dc6978034b104e266dd2</t>
  </si>
  <si>
    <t>08/10/2026 14:59:11</t>
  </si>
  <si>
    <t>08/10/2026 15:09:45</t>
  </si>
  <si>
    <t>08/10/2026</t>
  </si>
  <si>
    <t>6ac7dc6978034b104e266dcc</t>
  </si>
  <si>
    <t>08/10/2026 14:55:39</t>
  </si>
  <si>
    <t>6ac7dc6978034b104e266dc6</t>
  </si>
  <si>
    <t>08/10/2026 14:50:50</t>
  </si>
  <si>
    <t>6ac7dc6978034b104e266dc0</t>
  </si>
  <si>
    <t>08/10/2026 14:45:55</t>
  </si>
  <si>
    <t>6ac7dc6978034b104e266dba</t>
  </si>
  <si>
    <t>08/10/2026 14:39:24</t>
  </si>
  <si>
    <t>6ac7dc6978034b104e266db4</t>
  </si>
  <si>
    <t>08/10/2026 14:36:45</t>
  </si>
  <si>
    <t>6ac7dc6878034b104e266da2</t>
  </si>
  <si>
    <t>08/10/2026 11:55:49</t>
  </si>
  <si>
    <t>08/10/2026 15:09:44</t>
  </si>
  <si>
    <t>6ac7dc6878034b104e266d9c</t>
  </si>
  <si>
    <t>08/10/2026 11:53:51</t>
  </si>
  <si>
    <t>6ac7ac879b7db2ba764ec897</t>
  </si>
  <si>
    <t>08/10/2026 11:42:01</t>
  </si>
  <si>
    <t>08/10/2026 11:45:27</t>
  </si>
  <si>
    <t>6ac781b69b405ad761bd268b</t>
  </si>
  <si>
    <t>07/10/2026 11:40:51</t>
  </si>
  <si>
    <t>08/10/2026 08:42:46</t>
  </si>
  <si>
    <t>07/10/2026</t>
  </si>
  <si>
    <t>6ac7819f5981b750ab218432</t>
  </si>
  <si>
    <t>07/10/2026 11:43:48</t>
  </si>
  <si>
    <t>08/10/2026 08:42:23</t>
  </si>
  <si>
    <t>6ac78171898c48a2f44843d8</t>
  </si>
  <si>
    <t>08/10/2026 08:35:52</t>
  </si>
  <si>
    <t>08/10/2026 08:41:37</t>
  </si>
  <si>
    <t>6ac78171898c48a2f44843d2</t>
  </si>
  <si>
    <t>07/10/2026 17:19:07</t>
  </si>
  <si>
    <t>6ac77862486c261c1cacc92e</t>
  </si>
  <si>
    <t>08/10/2026 00:53:41</t>
  </si>
  <si>
    <t>08/10/2026 08:02:58</t>
  </si>
  <si>
    <t>6ac77861486c261c1cacc922</t>
  </si>
  <si>
    <t>07/10/2026 17:28:14</t>
  </si>
  <si>
    <t>08/10/2026 08:02:57</t>
  </si>
  <si>
    <t>6ac777aa1255169047e834d4</t>
  </si>
  <si>
    <t>08/10/2026 00:59:19</t>
  </si>
  <si>
    <t>08/10/2026 07:59:54</t>
  </si>
  <si>
    <t>6ac777aa1255169047e834ce</t>
  </si>
  <si>
    <t>08/10/2026 00:45:28</t>
  </si>
  <si>
    <t>6ac777aa1255169047e834c8</t>
  </si>
  <si>
    <t>07/10/2026 21:56:23</t>
  </si>
  <si>
    <t>6ac777aa1255169047e834c2</t>
  </si>
  <si>
    <t>07/10/2026 21:40:29</t>
  </si>
  <si>
    <t>6ac777aa1255169047e834bc</t>
  </si>
  <si>
    <t>07/10/2026 21:36:21</t>
  </si>
  <si>
    <t>6ac777aa1255169047e834b6</t>
  </si>
  <si>
    <t>07/10/2026 21:32:11</t>
  </si>
  <si>
    <t>6ac777aa1255169047e834b0</t>
  </si>
  <si>
    <t>07/10/2026 21:28:19</t>
  </si>
  <si>
    <t>6ac777aa1255169047e834a8</t>
  </si>
  <si>
    <t>07/10/2026 21:23:14</t>
  </si>
  <si>
    <t>6ac777aa1255169047e834a2</t>
  </si>
  <si>
    <t>07/10/2026 20:35:47</t>
  </si>
  <si>
    <t>6ac777aa1255169047e8349c</t>
  </si>
  <si>
    <t>07/10/2026 20:33:22</t>
  </si>
  <si>
    <t>6ac777a91255169047e83496</t>
  </si>
  <si>
    <t>07/10/2026 20:30:56</t>
  </si>
  <si>
    <t>08/10/2026 07:59:53</t>
  </si>
  <si>
    <t>6ac777a91255169047e83490</t>
  </si>
  <si>
    <t>07/10/2026 20:28:49</t>
  </si>
  <si>
    <t>6ac777a91255169047e8348a</t>
  </si>
  <si>
    <t>07/10/2026 20:26:50</t>
  </si>
  <si>
    <t>6ac777a91255169047e83484</t>
  </si>
  <si>
    <t>07/10/2026 17:25:17</t>
  </si>
  <si>
    <t>6ac6a64b9b405ad761bc76bd</t>
  </si>
  <si>
    <t>07/10/2026 17:02:46</t>
  </si>
  <si>
    <t>07/10/2026 17:06:35</t>
  </si>
  <si>
    <t>6ac65e0d36d49b92297ff332</t>
  </si>
  <si>
    <t>07/10/2026 11:36:49</t>
  </si>
  <si>
    <t>07/10/2026 11:58:21</t>
  </si>
  <si>
    <t>6ac658f776e463e032ff4e35</t>
  </si>
  <si>
    <t>07/10/2026 08:53:16</t>
  </si>
  <si>
    <t>07/10/2026 11:36:39</t>
  </si>
  <si>
    <t>6ac631a23cf16866fa6da237</t>
  </si>
  <si>
    <t>07/10/2026 08:37:15</t>
  </si>
  <si>
    <t>07/10/2026 08:48:50</t>
  </si>
  <si>
    <t>6ac6318c1255169047e2370f</t>
  </si>
  <si>
    <t>07/10/2026 08:41:39</t>
  </si>
  <si>
    <t>07/10/2026 08:48:28</t>
  </si>
  <si>
    <t>6ac5da4a636e383ab3c2e99e</t>
  </si>
  <si>
    <t>06/10/2026 23:34:39</t>
  </si>
  <si>
    <t>07/10/2026 02:36:10</t>
  </si>
  <si>
    <t>06/10/2026</t>
  </si>
  <si>
    <t>6ac5da4a636e383ab3c2e998</t>
  </si>
  <si>
    <t>06/10/2026 22:34:46</t>
  </si>
  <si>
    <t>6ac5da4a636e383ab3c2e992</t>
  </si>
  <si>
    <t>06/10/2026 22:23:22</t>
  </si>
  <si>
    <t>6ac5da4a636e383ab3c2e98c</t>
  </si>
  <si>
    <t>06/10/2026 22:19:49</t>
  </si>
  <si>
    <t>6ac5da4a636e383ab3c2e984</t>
  </si>
  <si>
    <t>06/10/2026 22:17:31</t>
  </si>
  <si>
    <t>6ac5da49636e383ab3c2e972</t>
  </si>
  <si>
    <t>06/10/2026 19:21:23</t>
  </si>
  <si>
    <t>07/10/2026 02:36:09</t>
  </si>
  <si>
    <t>6ac5da49636e383ab3c2e96c</t>
  </si>
  <si>
    <t>06/10/2026 19:10:51</t>
  </si>
  <si>
    <t>6ac5da49636e383ab3c2e966</t>
  </si>
  <si>
    <t>06/10/2026 19:06:55</t>
  </si>
  <si>
    <t>6ac5da49636e383ab3c2e960</t>
  </si>
  <si>
    <t>06/10/2026 19:04:55</t>
  </si>
  <si>
    <t>6ac5da49636e383ab3c2e95a</t>
  </si>
  <si>
    <t>06/10/2026 19:02:40</t>
  </si>
  <si>
    <t>6ac5da49636e383ab3c2e954</t>
  </si>
  <si>
    <t>06/10/2026 19:00:59</t>
  </si>
  <si>
    <t>6ac5da49636e383ab3c2e94e</t>
  </si>
  <si>
    <t>06/10/2026 18:58:49</t>
  </si>
  <si>
    <t>6ac5da48636e383ab3c2e942</t>
  </si>
  <si>
    <t>06/10/2026 17:26:14</t>
  </si>
  <si>
    <t>07/10/2026 02:36:08</t>
  </si>
  <si>
    <t>6ac5da48636e383ab3c2e93c</t>
  </si>
  <si>
    <t>06/10/2026 17:18:01</t>
  </si>
  <si>
    <t>6ac5da48636e383ab3c2e936</t>
  </si>
  <si>
    <t>06/10/2026 17:13:27</t>
  </si>
  <si>
    <t>6ac5bc7a6bcca7f96f5042df</t>
  </si>
  <si>
    <t>07/10/2026 00:20:10</t>
  </si>
  <si>
    <t>07/10/2026 00:28:58</t>
  </si>
  <si>
    <t>6ac5bc7a6bcca7f96f5042d9</t>
  </si>
  <si>
    <t>07/10/2026 00:18:30</t>
  </si>
  <si>
    <t>6ac5bc7a6bcca7f96f5042d3</t>
  </si>
  <si>
    <t>07/10/2026 00:15:35</t>
  </si>
  <si>
    <t>6ac5bc7a6bcca7f96f5042cd</t>
  </si>
  <si>
    <t>07/10/2026 00:12:25</t>
  </si>
  <si>
    <t>6ac5bc796bcca7f96f5042c7</t>
  </si>
  <si>
    <t>07/10/2026 00:06:44</t>
  </si>
  <si>
    <t>07/10/2026 00:28:57</t>
  </si>
  <si>
    <t>6ac5bc796bcca7f96f5042af</t>
  </si>
  <si>
    <t>06/10/2026 23:52:30</t>
  </si>
  <si>
    <t>6ac53b984854db7e48dab89e</t>
  </si>
  <si>
    <t>06/10/2026 11:48:10</t>
  </si>
  <si>
    <t>06/10/2026 15:19:04</t>
  </si>
  <si>
    <t>6ac53b984854db7e48dab898</t>
  </si>
  <si>
    <t>06/10/2026 11:41:36</t>
  </si>
  <si>
    <t>6ac53b984854db7e48dab892</t>
  </si>
  <si>
    <t>06/10/2026 11:30:24</t>
  </si>
  <si>
    <t>6ac53b984854db7e48dab88c</t>
  </si>
  <si>
    <t>06/10/2026 08:46:46</t>
  </si>
  <si>
    <t>6ac50accfeff8ad15700bb18</t>
  </si>
  <si>
    <t>06/10/2026 08:25:14</t>
  </si>
  <si>
    <t>06/10/2026 11:50:52</t>
  </si>
  <si>
    <t>6ac50accfeff8ad15700bb12</t>
  </si>
  <si>
    <t>06/10/2026 08:20:42</t>
  </si>
  <si>
    <t>6ac50accfeff8ad15700bb0c</t>
  </si>
  <si>
    <t>06/10/2026 08:16:28</t>
  </si>
  <si>
    <t>6ac50accfeff8ad15700bb06</t>
  </si>
  <si>
    <t>05/10/2026 08:43:51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</si>
</sst>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79"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font>
        <b/>
        <i val="0"/>
        <u/>
        <color rgb="FFC00000"/>
      </font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303.643852546295" createdVersion="5" refreshedVersion="5" minRefreshableVersion="3" recordCount="1423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10-09T00:00:00" count="55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9-30T00:00:00"/>
        <d v="2026-09-29T00:00:00"/>
        <d v="2026-10-01T00:00:00"/>
        <d v="2026-10-05T00:00:00"/>
        <d v="2026-10-02T00:00:00"/>
        <d v="2026-10-08T00:00:00"/>
        <d v="2026-10-07T00:00:00"/>
        <d v="2026-10-06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4">
        <s v="JUL"/>
        <s v="AGO"/>
        <s v="SET"/>
        <s v="OU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69" maxValue="18250"/>
    </cacheField>
    <cacheField name="Peso  2" numFmtId="3">
      <sharedItems containsMixedTypes="1" containsNumber="1" containsInteger="1" minValue="668" maxValue="18330"/>
    </cacheField>
    <cacheField name="Peso  3" numFmtId="3">
      <sharedItems containsSemiMixedTypes="0" containsString="0" containsNumber="1" containsInteger="1" minValue="678" maxValue="18440"/>
    </cacheField>
    <cacheField name="Peso  4" numFmtId="3">
      <sharedItems containsSemiMixedTypes="0" containsString="0" containsNumber="1" containsInteger="1" minValue="665" maxValue="18570"/>
    </cacheField>
    <cacheField name="Peso  5" numFmtId="3">
      <sharedItems containsSemiMixedTypes="0" containsString="0" containsNumber="1" containsInteger="1" minValue="669" maxValue="18400"/>
    </cacheField>
    <cacheField name="Peso  6" numFmtId="3">
      <sharedItems containsSemiMixedTypes="0" containsString="0" containsNumber="1" containsInteger="1" minValue="668" maxValue="18315"/>
    </cacheField>
    <cacheField name="Peso  7" numFmtId="3">
      <sharedItems containsMixedTypes="1" containsNumber="1" containsInteger="1" minValue="686" maxValue="18450"/>
    </cacheField>
    <cacheField name="Peso  8" numFmtId="3">
      <sharedItems containsMixedTypes="1" containsNumber="1" containsInteger="1" minValue="663" maxValue="18360"/>
    </cacheField>
    <cacheField name="Peso  9" numFmtId="3">
      <sharedItems containsSemiMixedTypes="0" containsString="0" containsNumber="1" containsInteger="1" minValue="668" maxValue="18470"/>
    </cacheField>
    <cacheField name="Peso  10" numFmtId="3">
      <sharedItems containsString="0" containsBlank="1" containsNumber="1" containsInteger="1" minValue="669" maxValue="18445"/>
    </cacheField>
    <cacheField name="Média" numFmtId="3">
      <sharedItems containsSemiMixedTypes="0" containsString="0" containsNumber="1" minValue="673.9" maxValue="18260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6.2050000000000001E-2" maxValue="8.1400000000000097E-2"/>
    </cacheField>
    <cacheField name="Desvio" numFmtId="166">
      <sharedItems containsSemiMixedTypes="0" containsString="0" containsNumber="1" minValue="-620.5" maxValue="260.5"/>
    </cacheField>
    <cacheField name="Item" numFmtId="0">
      <sharedItems count="41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s v="FILEZINHO FRANGO IQF ALM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23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  <r>
    <x v="42"/>
    <x v="2"/>
    <s v="6abd08af43ce2b65efec1a4e"/>
    <s v="30/09/2026 10:00:22"/>
    <s v="30/09/2026 10:03:43"/>
    <s v="Ranieli"/>
    <s v="30/09/2026"/>
    <x v="1"/>
    <s v="ALANA DA SILVA MARTINS"/>
    <n v="792306"/>
    <n v="1015"/>
    <n v="1017"/>
    <n v="1022"/>
    <n v="1005"/>
    <n v="1016"/>
    <n v="1077"/>
    <n v="1011"/>
    <n v="1026"/>
    <n v="1017"/>
    <n v="1002"/>
    <n v="1020.8"/>
    <s v=""/>
    <s v="assinatura"/>
    <n v="127"/>
    <n v="1000"/>
    <n v="2.0799999999999954E-2"/>
    <n v="20.799999999999955"/>
    <x v="24"/>
    <x v="0"/>
  </r>
  <r>
    <x v="42"/>
    <x v="2"/>
    <s v="6abd08af43ce2b65efec1a48"/>
    <s v="30/09/2026 09:41:36"/>
    <s v="30/09/2026 10:03:43"/>
    <s v="Ranieli"/>
    <s v="30/09/2026"/>
    <x v="1"/>
    <s v="ALANA DA SILVA MARTINS"/>
    <n v="15105"/>
    <n v="998"/>
    <n v="1053"/>
    <n v="1012"/>
    <n v="1043"/>
    <n v="988"/>
    <n v="1006"/>
    <n v="1020"/>
    <n v="1000"/>
    <n v="1011"/>
    <n v="995"/>
    <n v="1012.6"/>
    <s v=""/>
    <s v="assinatura"/>
    <n v="311"/>
    <n v="1000"/>
    <n v="1.2600000000000023E-2"/>
    <n v="12.600000000000023"/>
    <x v="0"/>
    <x v="0"/>
  </r>
  <r>
    <x v="42"/>
    <x v="2"/>
    <s v="6abd08af43ce2b65efec1a42"/>
    <s v="30/09/2026 08:28:19"/>
    <s v="30/09/2026 10:03:43"/>
    <s v="Ranieli"/>
    <s v="30/09/2026"/>
    <x v="1"/>
    <s v="ALANA DA SILVA MARTINS"/>
    <n v="963925"/>
    <n v="17960"/>
    <n v="18282"/>
    <n v="18050"/>
    <n v="18055"/>
    <n v="18050"/>
    <n v="18125"/>
    <n v="18280"/>
    <n v="18300"/>
    <n v="18380"/>
    <n v="18005"/>
    <n v="18148.7"/>
    <s v=""/>
    <s v="assinatura"/>
    <n v="4747"/>
    <n v="18000"/>
    <n v="8.2611111111111513E-3"/>
    <n v="148.70000000000073"/>
    <x v="15"/>
    <x v="3"/>
  </r>
  <r>
    <x v="42"/>
    <x v="2"/>
    <s v="6abd08af43ce2b65efec1a3c"/>
    <s v="30/09/2026 08:23:18"/>
    <s v="30/09/2026 10:03:43"/>
    <s v="Ranieli"/>
    <s v="30/09/2026"/>
    <x v="1"/>
    <s v="ALANA DA SILVA MARTINS"/>
    <n v="40762"/>
    <n v="10005"/>
    <n v="10055"/>
    <n v="10120"/>
    <n v="10145"/>
    <n v="10100"/>
    <n v="10150"/>
    <n v="10075"/>
    <n v="10058"/>
    <n v="10145"/>
    <n v="10035"/>
    <n v="10088.799999999999"/>
    <s v=""/>
    <s v="assinatura"/>
    <n v="2247"/>
    <n v="10000"/>
    <n v="8.8799999999999279E-3"/>
    <n v="88.799999999999272"/>
    <x v="3"/>
    <x v="1"/>
  </r>
  <r>
    <x v="42"/>
    <x v="2"/>
    <s v="6abd08af43ce2b65efec1a36"/>
    <s v="30/09/2026 08:18:39"/>
    <s v="30/09/2026 10:03:43"/>
    <s v="Ranieli"/>
    <s v="30/09/2026"/>
    <x v="1"/>
    <s v="ALANA DA SILVA MARTINS"/>
    <n v="42838"/>
    <n v="2066"/>
    <n v="1991"/>
    <n v="2061"/>
    <n v="2054"/>
    <n v="2048"/>
    <n v="2061"/>
    <n v="2046"/>
    <n v="2057"/>
    <n v="2055"/>
    <n v="2063"/>
    <n v="2050.1999999999998"/>
    <s v=""/>
    <s v="assinatura"/>
    <n v="2559"/>
    <n v="2000"/>
    <n v="2.5099999999999911E-2"/>
    <n v="50.199999999999818"/>
    <x v="7"/>
    <x v="1"/>
  </r>
  <r>
    <x v="42"/>
    <x v="2"/>
    <s v="6abd08af43ce2b65efec1a30"/>
    <s v="30/09/2026 08:14:07"/>
    <s v="30/09/2026 10:03:43"/>
    <s v="Ranieli"/>
    <s v="30/09/2026"/>
    <x v="1"/>
    <s v="ALANA DA SILVA MARTINS"/>
    <n v="42846"/>
    <n v="1996"/>
    <n v="2012"/>
    <n v="2007"/>
    <n v="2006"/>
    <n v="2011"/>
    <n v="2001"/>
    <n v="2005"/>
    <n v="2004"/>
    <n v="2003"/>
    <n v="2012"/>
    <n v="2005.7"/>
    <s v=""/>
    <s v="assinatura"/>
    <n v="2854"/>
    <n v="2000"/>
    <n v="2.8500000000000227E-3"/>
    <n v="5.7000000000000455"/>
    <x v="6"/>
    <x v="1"/>
  </r>
  <r>
    <x v="42"/>
    <x v="2"/>
    <s v="6abd08af43ce2b65efec1a2a"/>
    <s v="30/09/2026 08:08:38"/>
    <s v="30/09/2026 10:03:43"/>
    <s v="Ranieli"/>
    <s v="30/09/2026"/>
    <x v="1"/>
    <s v="ALANA DA SILVA MARTINS"/>
    <n v="42854"/>
    <n v="2156"/>
    <n v="2160"/>
    <n v="2174"/>
    <n v="2122"/>
    <n v="2165"/>
    <n v="2147"/>
    <n v="2155"/>
    <n v="2148"/>
    <n v="2174"/>
    <n v="2151"/>
    <n v="2155.1999999999998"/>
    <s v=""/>
    <s v="assinatura"/>
    <n v="3209"/>
    <n v="2080"/>
    <n v="3.6153846153846064E-2"/>
    <n v="75.199999999999818"/>
    <x v="4"/>
    <x v="1"/>
  </r>
  <r>
    <x v="42"/>
    <x v="2"/>
    <s v="6abd08af43ce2b65efec1a24"/>
    <s v="30/09/2026 08:04:01"/>
    <s v="30/09/2026 10:03:43"/>
    <s v="Ranieli"/>
    <s v="30/09/2026"/>
    <x v="1"/>
    <s v="ALANA DA SILVA MARTINS"/>
    <n v="54632"/>
    <n v="1003"/>
    <n v="1010"/>
    <n v="990"/>
    <n v="1009"/>
    <n v="1037"/>
    <n v="1042"/>
    <n v="996"/>
    <n v="1005"/>
    <n v="1037"/>
    <n v="1058"/>
    <n v="1018.7"/>
    <s v=""/>
    <s v="assinatura"/>
    <n v="3501"/>
    <n v="1000"/>
    <n v="1.8700000000000046E-2"/>
    <n v="18.700000000000045"/>
    <x v="11"/>
    <x v="1"/>
  </r>
  <r>
    <x v="43"/>
    <x v="2"/>
    <s v="6abc9cb898694d34bda8ddf3"/>
    <s v="30/09/2026 01:08:15"/>
    <s v="30/09/2026 02:23:04"/>
    <s v="Ranieli"/>
    <s v="29/09/2026"/>
    <x v="0"/>
    <s v="JOSEFA KELY NUNES DE SOUSA"/>
    <n v="197734"/>
    <n v="991"/>
    <n v="992"/>
    <n v="988"/>
    <n v="990"/>
    <n v="1000"/>
    <n v="1016"/>
    <n v="976"/>
    <n v="994"/>
    <n v="1011"/>
    <n v="1023"/>
    <n v="998.1"/>
    <s v=""/>
    <s v="assinatura"/>
    <n v="1181"/>
    <n v="1000"/>
    <n v="-1.8999999999999772E-3"/>
    <n v="-1.8999999999999773"/>
    <x v="2"/>
    <x v="2"/>
  </r>
  <r>
    <x v="43"/>
    <x v="2"/>
    <s v="6abc9cb898694d34bda8dded"/>
    <s v="29/09/2026 23:48:38"/>
    <s v="30/09/2026 02:23:04"/>
    <s v="Ranieli"/>
    <s v="29/09/2026"/>
    <x v="0"/>
    <s v="JOSEFA KELY NUNES DE SOUSA"/>
    <n v="40762"/>
    <n v="10020"/>
    <n v="10065"/>
    <n v="10050"/>
    <n v="10050"/>
    <n v="10040"/>
    <n v="10015"/>
    <n v="10075"/>
    <n v="9990"/>
    <n v="9980"/>
    <n v="10015"/>
    <n v="10030"/>
    <s v=""/>
    <s v="assinatura"/>
    <n v="5945"/>
    <n v="10000"/>
    <n v="3.0000000000000001E-3"/>
    <n v="30"/>
    <x v="3"/>
    <x v="1"/>
  </r>
  <r>
    <x v="43"/>
    <x v="2"/>
    <s v="6abc9cb798694d34bda8dde1"/>
    <s v="29/09/2026 22:35:25"/>
    <s v="30/09/2026 02:23:03"/>
    <s v="Ranieli"/>
    <s v="29/09/2026"/>
    <x v="0"/>
    <s v="JOSEFA KELY NUNES DE SOUSA"/>
    <n v="13188"/>
    <n v="1007"/>
    <n v="1007"/>
    <n v="1008"/>
    <n v="1011"/>
    <n v="1003"/>
    <n v="998"/>
    <n v="1016"/>
    <n v="1008"/>
    <n v="997"/>
    <n v="996"/>
    <n v="1005.1"/>
    <s v=""/>
    <s v=""/>
    <n v="10222"/>
    <n v="1000"/>
    <n v="5.1000000000000229E-3"/>
    <n v="5.1000000000000227"/>
    <x v="8"/>
    <x v="1"/>
  </r>
  <r>
    <x v="43"/>
    <x v="2"/>
    <s v="6abc9cb798694d34bda8dddb"/>
    <s v="29/09/2026 22:32:36"/>
    <s v="30/09/2026 02:23:03"/>
    <s v="Ranieli"/>
    <s v="29/09/2026"/>
    <x v="0"/>
    <s v="JOSEFA KELY NUNES DE SOUSA"/>
    <n v="15229"/>
    <n v="996"/>
    <n v="1036"/>
    <n v="998"/>
    <n v="1007"/>
    <n v="1001"/>
    <n v="1013"/>
    <n v="1007"/>
    <n v="1017"/>
    <n v="1011"/>
    <n v="1014"/>
    <n v="1010"/>
    <s v=""/>
    <s v="assinatura"/>
    <n v="10376"/>
    <n v="1000"/>
    <n v="0.01"/>
    <n v="10"/>
    <x v="9"/>
    <x v="1"/>
  </r>
  <r>
    <x v="43"/>
    <x v="2"/>
    <s v="6abc9cb798694d34bda8ddd3"/>
    <s v="29/09/2026 22:29:15"/>
    <s v="30/09/2026 02:23:03"/>
    <s v="Ranieli"/>
    <s v="29/09/2026"/>
    <x v="0"/>
    <s v="JOSEFA KELY NUNES DE SOUSA"/>
    <n v="992014"/>
    <n v="719"/>
    <n v="710"/>
    <n v="712"/>
    <n v="712"/>
    <n v="716"/>
    <n v="725"/>
    <n v="715"/>
    <n v="707"/>
    <n v="713"/>
    <n v="715"/>
    <n v="714.4"/>
    <s v=""/>
    <s v="assinatura"/>
    <n v="10547"/>
    <n v="700"/>
    <n v="2.0571428571428539E-2"/>
    <n v="14.399999999999977"/>
    <x v="14"/>
    <x v="1"/>
  </r>
  <r>
    <x v="43"/>
    <x v="2"/>
    <s v="6abc9cb798694d34bda8ddcd"/>
    <s v="29/09/2026 22:19:49"/>
    <s v="30/09/2026 02:23:03"/>
    <s v="Ranieli"/>
    <s v="29/09/2026"/>
    <x v="0"/>
    <s v="JOSEFA KELY NUNES DE SOUSA"/>
    <n v="15105"/>
    <n v="1019"/>
    <n v="1046"/>
    <n v="995"/>
    <n v="1019"/>
    <n v="1031"/>
    <n v="1012"/>
    <n v="1015"/>
    <n v="1003"/>
    <n v="1000"/>
    <n v="1012"/>
    <n v="1015.2"/>
    <s v=""/>
    <s v="assinatura"/>
    <n v="10945"/>
    <n v="1000"/>
    <n v="1.5200000000000045E-2"/>
    <n v="15.200000000000045"/>
    <x v="0"/>
    <x v="0"/>
  </r>
  <r>
    <x v="43"/>
    <x v="2"/>
    <s v="6abc9cb798694d34bda8ddc1"/>
    <s v="29/09/2026 19:24:55"/>
    <s v="30/09/2026 02:23:03"/>
    <s v="Ranieli"/>
    <s v="29/09/2026"/>
    <x v="0"/>
    <s v="JOSEFA KELY NUNES DE SOUSA"/>
    <n v="197734"/>
    <n v="1016"/>
    <n v="1007"/>
    <n v="1003"/>
    <n v="998"/>
    <n v="1012"/>
    <n v="1011"/>
    <n v="999"/>
    <n v="1010"/>
    <n v="1005"/>
    <n v="1000"/>
    <n v="1006.1"/>
    <s v=""/>
    <s v="assinatura"/>
    <n v="21421"/>
    <n v="1000"/>
    <n v="6.1000000000000229E-3"/>
    <n v="6.1000000000000227"/>
    <x v="2"/>
    <x v="2"/>
  </r>
  <r>
    <x v="43"/>
    <x v="2"/>
    <s v="6abc9cb798694d34bda8ddbb"/>
    <s v="29/09/2026 19:16:37"/>
    <s v="30/09/2026 02:23:03"/>
    <s v="Ranieli"/>
    <s v="29/09/2026"/>
    <x v="0"/>
    <s v="JOSEFA KELY NUNES DE SOUSA"/>
    <n v="995638"/>
    <n v="15005"/>
    <n v="15030"/>
    <n v="15005"/>
    <n v="15025"/>
    <n v="15040"/>
    <n v="15070"/>
    <n v="15040"/>
    <n v="15005"/>
    <n v="15005"/>
    <n v="15038"/>
    <n v="15026.3"/>
    <s v=""/>
    <s v="assinatura"/>
    <n v="21886"/>
    <n v="15000"/>
    <n v="1.7533333333332847E-3"/>
    <n v="26.299999999999272"/>
    <x v="21"/>
    <x v="3"/>
  </r>
  <r>
    <x v="43"/>
    <x v="2"/>
    <s v="6abc9cb798694d34bda8ddb5"/>
    <s v="29/09/2026 19:15:05"/>
    <s v="30/09/2026 02:23:03"/>
    <s v="Ranieli"/>
    <s v="29/09/2026"/>
    <x v="0"/>
    <s v="JOSEFA KELY NUNES DE SOUSA"/>
    <n v="13188"/>
    <n v="1016"/>
    <n v="1009"/>
    <n v="1002"/>
    <n v="1015"/>
    <n v="1006"/>
    <n v="1005"/>
    <n v="999"/>
    <n v="1010"/>
    <n v="1003"/>
    <n v="1004"/>
    <n v="1006.9"/>
    <s v=""/>
    <s v="assinatura"/>
    <n v="21955"/>
    <n v="1000"/>
    <n v="6.8999999999999773E-3"/>
    <n v="6.8999999999999773"/>
    <x v="8"/>
    <x v="1"/>
  </r>
  <r>
    <x v="43"/>
    <x v="2"/>
    <s v="6abc9cb798694d34bda8ddaf"/>
    <s v="29/09/2026 19:12:09"/>
    <s v="30/09/2026 02:23:03"/>
    <s v="Ranieli"/>
    <s v="29/09/2026"/>
    <x v="0"/>
    <s v="JOSEFA KELY NUNES DE SOUSA"/>
    <n v="15229"/>
    <n v="1010"/>
    <n v="1013"/>
    <n v="1008"/>
    <n v="1001"/>
    <n v="1000"/>
    <n v="1013"/>
    <n v="1015"/>
    <n v="1003"/>
    <n v="1001"/>
    <n v="1004"/>
    <n v="1006.8"/>
    <s v=""/>
    <s v="assinatura"/>
    <n v="22110"/>
    <n v="1000"/>
    <n v="6.7999999999999545E-3"/>
    <n v="6.7999999999999545"/>
    <x v="9"/>
    <x v="1"/>
  </r>
  <r>
    <x v="43"/>
    <x v="2"/>
    <s v="6abc9cb798694d34bda8dda9"/>
    <s v="29/09/2026 19:06:07"/>
    <s v="30/09/2026 02:23:03"/>
    <s v="Ranieli"/>
    <s v="29/09/2026"/>
    <x v="0"/>
    <s v="JOSEFA KELY NUNES DE SOUSA"/>
    <n v="40762"/>
    <n v="10120"/>
    <n v="10000"/>
    <n v="9960"/>
    <n v="10020"/>
    <n v="9970"/>
    <n v="10005"/>
    <n v="10020"/>
    <n v="10105"/>
    <n v="10065"/>
    <n v="9985"/>
    <n v="10025"/>
    <s v=""/>
    <s v="assinatura"/>
    <n v="22451"/>
    <n v="10000"/>
    <n v="2.5000000000000001E-3"/>
    <n v="25"/>
    <x v="3"/>
    <x v="1"/>
  </r>
  <r>
    <x v="43"/>
    <x v="2"/>
    <s v="6abc9cb698694d34bda8dd9d"/>
    <s v="29/09/2026 18:21:38"/>
    <s v="30/09/2026 02:23:02"/>
    <s v="Ranieli"/>
    <s v="29/09/2026"/>
    <x v="0"/>
    <s v="JOSEFA KELY NUNES DE SOUSA"/>
    <n v="42820"/>
    <n v="2067"/>
    <n v="2005"/>
    <n v="2034"/>
    <n v="2066"/>
    <n v="2038"/>
    <n v="2009"/>
    <n v="1997"/>
    <n v="2058"/>
    <n v="2033"/>
    <n v="2016"/>
    <n v="2032.3"/>
    <s v=""/>
    <s v="assinatura"/>
    <n v="25011"/>
    <n v="2000"/>
    <n v="1.6149999999999977E-2"/>
    <n v="32.299999999999955"/>
    <x v="10"/>
    <x v="1"/>
  </r>
  <r>
    <x v="43"/>
    <x v="2"/>
    <s v="6abc9cb698694d34bda8dd97"/>
    <s v="29/09/2026 18:15:22"/>
    <s v="30/09/2026 02:23:02"/>
    <s v="Ranieli"/>
    <s v="29/09/2026"/>
    <x v="0"/>
    <s v="JOSEFA KELY NUNES DE SOUSA"/>
    <n v="42838"/>
    <n v="2020"/>
    <n v="2038"/>
    <n v="2270"/>
    <n v="2034"/>
    <n v="2011"/>
    <n v="2017"/>
    <n v="2019"/>
    <n v="2017"/>
    <n v="2041"/>
    <n v="2033"/>
    <n v="2050"/>
    <s v=""/>
    <s v=""/>
    <n v="25357"/>
    <n v="2000"/>
    <n v="2.5000000000000001E-2"/>
    <n v="50"/>
    <x v="7"/>
    <x v="1"/>
  </r>
  <r>
    <x v="43"/>
    <x v="2"/>
    <s v="6abc9cb698694d34bda8dd91"/>
    <s v="29/09/2026 18:06:13"/>
    <s v="30/09/2026 02:23:02"/>
    <s v="Ranieli"/>
    <s v="29/09/2026"/>
    <x v="0"/>
    <s v="JOSEFA KELY NUNES DE SOUSA"/>
    <n v="50580"/>
    <n v="2043"/>
    <n v="2006"/>
    <n v="2012"/>
    <n v="2012"/>
    <n v="2035"/>
    <n v="2023"/>
    <n v="2011"/>
    <n v="2034"/>
    <n v="2017"/>
    <n v="2063"/>
    <n v="2025.6"/>
    <s v=""/>
    <s v="assinatura"/>
    <n v="25888"/>
    <n v="2000"/>
    <n v="1.2799999999999954E-2"/>
    <n v="25.599999999999909"/>
    <x v="36"/>
    <x v="1"/>
  </r>
  <r>
    <x v="43"/>
    <x v="2"/>
    <s v="6abc9cb698694d34bda8dd8b"/>
    <s v="29/09/2026 18:01:35"/>
    <s v="30/09/2026 02:23:02"/>
    <s v="Ranieli"/>
    <s v="29/09/2026"/>
    <x v="0"/>
    <s v="JOSEFA KELY NUNES DE SOUSA"/>
    <n v="42846"/>
    <n v="2036"/>
    <n v="2024"/>
    <n v="1998"/>
    <n v="2015"/>
    <n v="2015"/>
    <n v="2018"/>
    <n v="2000"/>
    <n v="2016"/>
    <n v="2010"/>
    <n v="1999"/>
    <n v="2013.1"/>
    <s v=""/>
    <s v="assinatura"/>
    <n v="217"/>
    <n v="2000"/>
    <n v="6.5499999999999543E-3"/>
    <n v="13.099999999999909"/>
    <x v="6"/>
    <x v="1"/>
  </r>
  <r>
    <x v="43"/>
    <x v="2"/>
    <s v="6abc9cb698694d34bda8dd85"/>
    <s v="29/09/2026 17:57:31"/>
    <s v="30/09/2026 02:23:02"/>
    <s v="Ranieli"/>
    <s v="29/09/2026"/>
    <x v="0"/>
    <s v="JOSEFA KELY NUNES DE SOUSA"/>
    <n v="42854"/>
    <n v="2103"/>
    <n v="2099"/>
    <n v="2103"/>
    <n v="2105"/>
    <n v="2091"/>
    <n v="2098"/>
    <n v="2015"/>
    <n v="2099"/>
    <n v="2083"/>
    <n v="2095"/>
    <n v="2089.1"/>
    <s v=""/>
    <s v=""/>
    <n v="26377"/>
    <n v="2080"/>
    <n v="4.3749999999999562E-3"/>
    <n v="9.0999999999999091"/>
    <x v="4"/>
    <x v="1"/>
  </r>
  <r>
    <x v="43"/>
    <x v="2"/>
    <s v="6abc9cb698694d34bda8dd7f"/>
    <s v="29/09/2026 17:32:56"/>
    <s v="30/09/2026 02:23:02"/>
    <s v="Ranieli"/>
    <s v="29/09/2026"/>
    <x v="0"/>
    <s v="JOSEFA KELY NUNES DE SOUSA"/>
    <n v="42862"/>
    <n v="2003"/>
    <n v="2003"/>
    <n v="2026"/>
    <n v="2013"/>
    <n v="2006"/>
    <n v="2030"/>
    <n v="2005"/>
    <n v="2006"/>
    <n v="2023"/>
    <n v="2021"/>
    <n v="2013.6"/>
    <s v=""/>
    <s v="assinatura"/>
    <n v="27781"/>
    <n v="2000"/>
    <n v="6.7999999999999545E-3"/>
    <n v="13.599999999999909"/>
    <x v="5"/>
    <x v="1"/>
  </r>
  <r>
    <x v="43"/>
    <x v="2"/>
    <s v="6abc9cb698694d34bda8dd79"/>
    <s v="29/09/2026 17:28:53"/>
    <s v="30/09/2026 02:23:02"/>
    <s v="Ranieli"/>
    <s v="29/09/2026"/>
    <x v="0"/>
    <s v="JOSEFA KELY NUNES DE SOUSA"/>
    <n v="15105"/>
    <n v="1043"/>
    <n v="1027"/>
    <n v="1018"/>
    <n v="1033"/>
    <n v="1006"/>
    <n v="988"/>
    <n v="1003"/>
    <n v="1034"/>
    <n v="1029"/>
    <n v="1002"/>
    <n v="1018.3"/>
    <s v=""/>
    <s v="assinatura"/>
    <n v="28006"/>
    <n v="1000"/>
    <n v="1.8299999999999955E-2"/>
    <n v="18.299999999999955"/>
    <x v="0"/>
    <x v="0"/>
  </r>
  <r>
    <x v="43"/>
    <x v="2"/>
    <s v="6abc6975200cee3d5facd542"/>
    <s v="29/09/2026 22:22:29"/>
    <s v="29/09/2026 22:44:21"/>
    <s v="Ranieli"/>
    <s v="29/09/2026"/>
    <x v="0"/>
    <s v="JULIANE GOMES NOVAIS"/>
    <n v="50580"/>
    <n v="2025"/>
    <n v="2012"/>
    <n v="2048"/>
    <n v="2021"/>
    <n v="2030"/>
    <n v="2011"/>
    <n v="2012"/>
    <n v="2013"/>
    <n v="2006"/>
    <n v="1998"/>
    <n v="2017.6"/>
    <s v=""/>
    <s v=""/>
    <n v="134"/>
    <n v="2000"/>
    <n v="8.7999999999999537E-3"/>
    <n v="17.599999999999909"/>
    <x v="36"/>
    <x v="1"/>
  </r>
  <r>
    <x v="43"/>
    <x v="2"/>
    <s v="6abc6975200cee3d5facd53c"/>
    <s v="29/09/2026 22:17:03"/>
    <s v="29/09/2026 22:44:21"/>
    <s v="Ranieli"/>
    <s v="29/09/2026"/>
    <x v="0"/>
    <s v="JULIANE GOMES NOVAIS"/>
    <n v="42854"/>
    <n v="2111"/>
    <n v="2019"/>
    <n v="2090"/>
    <n v="2086"/>
    <n v="2088"/>
    <n v="2093"/>
    <n v="2115"/>
    <n v="2082"/>
    <n v="2017"/>
    <n v="2107"/>
    <n v="2080.8000000000002"/>
    <s v=""/>
    <s v=""/>
    <n v="101"/>
    <n v="2080"/>
    <n v="3.8461538461547206E-4"/>
    <n v="0.8000000000001819"/>
    <x v="4"/>
    <x v="1"/>
  </r>
  <r>
    <x v="43"/>
    <x v="2"/>
    <s v="6abc6975200cee3d5facd536"/>
    <s v="29/09/2026 22:14:57"/>
    <s v="29/09/2026 22:44:21"/>
    <s v="Ranieli"/>
    <s v="29/09/2026"/>
    <x v="0"/>
    <s v="JULIANE GOMES NOVAIS"/>
    <n v="42862"/>
    <n v="2003"/>
    <n v="2019"/>
    <n v="2018"/>
    <n v="2026"/>
    <n v="2000"/>
    <n v="1993"/>
    <n v="2007"/>
    <n v="2029"/>
    <n v="2008"/>
    <n v="2028"/>
    <n v="2013.1"/>
    <s v=""/>
    <s v=""/>
    <n v="246"/>
    <n v="2000"/>
    <n v="6.5499999999999543E-3"/>
    <n v="13.099999999999909"/>
    <x v="5"/>
    <x v="1"/>
  </r>
  <r>
    <x v="43"/>
    <x v="2"/>
    <s v="6abc61827f3e0285f259bf65"/>
    <s v="29/09/2026 22:03:16"/>
    <s v="29/09/2026 22:10:26"/>
    <s v="Ranieli"/>
    <s v="29/09/2026"/>
    <x v="0"/>
    <s v="JULIANE GOMES NOVAIS"/>
    <n v="42846"/>
    <n v="2026"/>
    <n v="1997"/>
    <n v="2007"/>
    <n v="2008"/>
    <n v="1788"/>
    <n v="2008"/>
    <n v="2010"/>
    <n v="2010"/>
    <n v="2000"/>
    <n v="1995"/>
    <n v="1984.9"/>
    <s v=""/>
    <s v="assinatura"/>
    <n v="288"/>
    <n v="2000"/>
    <n v="-7.5499999999999543E-3"/>
    <n v="-15.099999999999909"/>
    <x v="6"/>
    <x v="1"/>
  </r>
  <r>
    <x v="43"/>
    <x v="2"/>
    <s v="6abc61827f3e0285f259bf5f"/>
    <s v="29/09/2026 21:59:55"/>
    <s v="29/09/2026 22:10:26"/>
    <s v="Ranieli"/>
    <s v="29/09/2026"/>
    <x v="0"/>
    <s v="JULIANE GOMES NOVAIS"/>
    <n v="42838"/>
    <n v="2020"/>
    <n v="2022"/>
    <n v="2027"/>
    <n v="2025"/>
    <n v="2038"/>
    <n v="2044"/>
    <n v="2020"/>
    <n v="2000"/>
    <n v="2069"/>
    <n v="2013"/>
    <n v="2027.8"/>
    <s v=""/>
    <s v="assinatura"/>
    <n v="515"/>
    <n v="2000"/>
    <n v="1.3899999999999977E-2"/>
    <n v="27.799999999999955"/>
    <x v="7"/>
    <x v="1"/>
  </r>
  <r>
    <x v="43"/>
    <x v="2"/>
    <s v="6abc61827f3e0285f259bf59"/>
    <s v="29/09/2026 21:54:51"/>
    <s v="29/09/2026 22:10:26"/>
    <s v="Ranieli"/>
    <s v="29/09/2026"/>
    <x v="0"/>
    <s v="JULIANE GOMES NOVAIS"/>
    <n v="42820"/>
    <n v="2044"/>
    <n v="2034"/>
    <n v="2080"/>
    <n v="2081"/>
    <n v="2019"/>
    <n v="2042"/>
    <n v="2041"/>
    <n v="2015"/>
    <n v="2033"/>
    <n v="2010"/>
    <n v="2039.9"/>
    <s v=""/>
    <s v="assinatura"/>
    <n v="830"/>
    <n v="2000"/>
    <n v="1.9950000000000044E-2"/>
    <n v="39.900000000000091"/>
    <x v="10"/>
    <x v="1"/>
  </r>
  <r>
    <x v="43"/>
    <x v="2"/>
    <s v="6abc61827f3e0285f259bf53"/>
    <s v="29/09/2026 21:51:45"/>
    <s v="29/09/2026 22:10:26"/>
    <s v="Ranieli"/>
    <s v="29/09/2026"/>
    <x v="0"/>
    <s v="JULIANE GOMES NOVAIS"/>
    <n v="42811"/>
    <n v="2037"/>
    <n v="2055"/>
    <n v="2029"/>
    <n v="2038"/>
    <n v="2036"/>
    <n v="2017"/>
    <n v="2038"/>
    <n v="2035"/>
    <n v="2041"/>
    <n v="2010"/>
    <n v="2033.6"/>
    <s v=""/>
    <s v="assinatura"/>
    <n v="1029"/>
    <n v="2000"/>
    <n v="1.6799999999999954E-2"/>
    <n v="33.599999999999909"/>
    <x v="32"/>
    <x v="1"/>
  </r>
  <r>
    <x v="43"/>
    <x v="2"/>
    <s v="6abc61827f3e0285f259bf4d"/>
    <s v="29/09/2026 21:47:24"/>
    <s v="29/09/2026 22:10:26"/>
    <s v="Ranieli"/>
    <s v="29/09/2026"/>
    <x v="0"/>
    <s v="JULIANE GOMES NOVAIS"/>
    <n v="15229"/>
    <n v="1017"/>
    <n v="1004"/>
    <n v="1012"/>
    <n v="1016"/>
    <n v="1010"/>
    <n v="1017"/>
    <n v="1015"/>
    <n v="1008"/>
    <n v="1016"/>
    <n v="1018"/>
    <n v="1013.3"/>
    <s v=""/>
    <s v="assinatura"/>
    <n v="1304"/>
    <n v="1000"/>
    <n v="1.3299999999999954E-2"/>
    <n v="13.299999999999955"/>
    <x v="9"/>
    <x v="1"/>
  </r>
  <r>
    <x v="43"/>
    <x v="2"/>
    <s v="6abc61827f3e0285f259bf47"/>
    <s v="29/09/2026 21:42:02"/>
    <s v="29/09/2026 22:10:26"/>
    <s v="Ranieli"/>
    <s v="29/09/2026"/>
    <x v="0"/>
    <s v="JULIANE GOMES NOVAIS"/>
    <n v="15105"/>
    <n v="1011"/>
    <n v="1074"/>
    <n v="1002"/>
    <n v="1022"/>
    <n v="1060"/>
    <n v="1031"/>
    <n v="1045"/>
    <n v="985"/>
    <n v="1018"/>
    <n v="1028"/>
    <n v="1027.5999999999999"/>
    <s v=""/>
    <s v="assinatura"/>
    <n v="255"/>
    <n v="1000"/>
    <n v="2.7599999999999909E-2"/>
    <n v="27.599999999999909"/>
    <x v="0"/>
    <x v="0"/>
  </r>
  <r>
    <x v="43"/>
    <x v="2"/>
    <s v="6abc61827f3e0285f259bf41"/>
    <s v="29/09/2026 21:36:32"/>
    <s v="29/09/2026 22:10:26"/>
    <s v="Ranieli"/>
    <s v="29/09/2026"/>
    <x v="0"/>
    <s v="JULIANE GOMES NOVAIS"/>
    <n v="15105"/>
    <n v="1029"/>
    <n v="1017"/>
    <n v="1092"/>
    <n v="1096"/>
    <n v="1030"/>
    <n v="1008"/>
    <n v="1095"/>
    <n v="1025"/>
    <n v="1017"/>
    <n v="1031"/>
    <n v="1044"/>
    <s v=""/>
    <s v="assinatura"/>
    <n v="316"/>
    <n v="1000"/>
    <n v="4.3999999999999997E-2"/>
    <n v="44"/>
    <x v="0"/>
    <x v="0"/>
  </r>
  <r>
    <x v="43"/>
    <x v="2"/>
    <s v="6abc61827f3e0285f259bf39"/>
    <s v="29/09/2026 21:33:05"/>
    <s v="29/09/2026 22:10:26"/>
    <s v="Ranieli"/>
    <s v="29/09/2026"/>
    <x v="0"/>
    <s v="JULIANE GOMES NOVAIS"/>
    <n v="15105"/>
    <n v="1004"/>
    <n v="1001"/>
    <n v="1028"/>
    <n v="1108"/>
    <n v="1040"/>
    <n v="1026"/>
    <n v="1052"/>
    <n v="1021"/>
    <n v="1005"/>
    <n v="1037"/>
    <n v="1032.2"/>
    <s v=""/>
    <s v="assinatura"/>
    <n v="206"/>
    <n v="1000"/>
    <n v="3.2200000000000048E-2"/>
    <n v="32.200000000000045"/>
    <x v="0"/>
    <x v="0"/>
  </r>
  <r>
    <x v="43"/>
    <x v="2"/>
    <s v="6abc34c94535e34def6bcad5"/>
    <s v="29/09/2026 18:20:41"/>
    <s v="29/09/2026 18:59:37"/>
    <s v="Ranieli"/>
    <s v="29/09/2026"/>
    <x v="0"/>
    <s v="JULIANE GOMES NOVAIS"/>
    <n v="15229"/>
    <n v="1004"/>
    <n v="1003"/>
    <n v="1012"/>
    <n v="1004"/>
    <n v="1002"/>
    <n v="1000"/>
    <n v="1020"/>
    <n v="1011"/>
    <n v="1018"/>
    <n v="1007"/>
    <n v="1008.1"/>
    <s v=""/>
    <s v="assinatura"/>
    <n v="156"/>
    <n v="1000"/>
    <n v="8.1000000000000221E-3"/>
    <n v="8.1000000000000227"/>
    <x v="9"/>
    <x v="1"/>
  </r>
  <r>
    <x v="43"/>
    <x v="2"/>
    <s v="6abc2427fde5ec03d7606fe7"/>
    <s v="29/09/2026 17:40:00"/>
    <s v="29/09/2026 17:48:39"/>
    <s v="Ranieli"/>
    <s v="29/09/2026"/>
    <x v="0"/>
    <s v="JULIANE GOMES NOVAIS"/>
    <n v="40762"/>
    <n v="10065"/>
    <n v="9995"/>
    <n v="9990"/>
    <n v="10045"/>
    <n v="10000"/>
    <n v="9955"/>
    <n v="10085"/>
    <n v="10050"/>
    <n v="10010"/>
    <n v="10000"/>
    <n v="10019.5"/>
    <s v=""/>
    <s v="assinatura"/>
    <n v="403"/>
    <n v="10000"/>
    <n v="1.9499999999999999E-3"/>
    <n v="19.5"/>
    <x v="3"/>
    <x v="1"/>
  </r>
  <r>
    <x v="43"/>
    <x v="2"/>
    <s v="6abc2427fde5ec03d7606fe1"/>
    <s v="29/09/2026 17:38:56"/>
    <s v="29/09/2026 17:48:39"/>
    <s v="Ranieli"/>
    <s v="29/09/2026"/>
    <x v="0"/>
    <s v="JULIANE GOMES NOVAIS"/>
    <n v="963925"/>
    <n v="18045"/>
    <n v="18055"/>
    <n v="18200"/>
    <n v="18350"/>
    <n v="18400"/>
    <n v="18005"/>
    <n v="18240"/>
    <n v="18080"/>
    <n v="18055"/>
    <n v="18075"/>
    <n v="18150.5"/>
    <s v=""/>
    <s v="assinatura"/>
    <n v="532"/>
    <n v="18000"/>
    <n v="8.3611111111111108E-3"/>
    <n v="150.5"/>
    <x v="15"/>
    <x v="3"/>
  </r>
  <r>
    <x v="43"/>
    <x v="2"/>
    <s v="6abc2427fde5ec03d7606fdb"/>
    <s v="29/09/2026 16:52:31"/>
    <s v="29/09/2026 17:48:39"/>
    <s v="Ranieli"/>
    <s v="29/09/2026"/>
    <x v="0"/>
    <s v="JULIANE GOMES NOVAIS"/>
    <n v="15105"/>
    <n v="1029"/>
    <n v="1014"/>
    <n v="1044"/>
    <n v="998"/>
    <n v="1000"/>
    <n v="1042"/>
    <n v="1017"/>
    <n v="1031"/>
    <n v="1004"/>
    <n v="994"/>
    <n v="1017.3"/>
    <s v=""/>
    <s v="assinatura"/>
    <n v="163"/>
    <n v="1000"/>
    <n v="1.7299999999999954E-2"/>
    <n v="17.299999999999955"/>
    <x v="0"/>
    <x v="0"/>
  </r>
  <r>
    <x v="43"/>
    <x v="2"/>
    <s v="6abc162be92aaaa972d589fd"/>
    <s v="29/09/2026 16:45:34"/>
    <s v="29/09/2026 16:48:59"/>
    <s v="Ranieli"/>
    <s v="29/09/2026"/>
    <x v="1"/>
    <s v="ALANA DA SILVA MARTINS"/>
    <n v="197742"/>
    <n v="999"/>
    <n v="995"/>
    <n v="1015"/>
    <n v="988"/>
    <n v="1003"/>
    <n v="994"/>
    <n v="992"/>
    <n v="996"/>
    <n v="1026"/>
    <n v="1012"/>
    <n v="1002"/>
    <s v=""/>
    <s v="assinatura"/>
    <n v="183"/>
    <n v="1000"/>
    <n v="2E-3"/>
    <n v="2"/>
    <x v="23"/>
    <x v="3"/>
  </r>
  <r>
    <x v="43"/>
    <x v="2"/>
    <s v="6abc05ee5255bb2a51052595"/>
    <s v="29/09/2026 09:20:00"/>
    <s v="29/09/2026 15:39:42"/>
    <s v="Ranieli"/>
    <s v="29/09/2026"/>
    <x v="1"/>
    <s v="ALANA DA SILVA MARTINS"/>
    <n v="42854"/>
    <n v="2147"/>
    <n v="2181"/>
    <n v="2155"/>
    <n v="2115"/>
    <n v="2151"/>
    <n v="2108"/>
    <n v="2150"/>
    <n v="2143"/>
    <n v="2164"/>
    <n v="2209"/>
    <n v="2152.3000000000002"/>
    <s v=""/>
    <s v="assinatura"/>
    <n v="256"/>
    <n v="2080"/>
    <n v="3.4759615384615472E-2"/>
    <n v="72.300000000000182"/>
    <x v="4"/>
    <x v="1"/>
  </r>
  <r>
    <x v="43"/>
    <x v="2"/>
    <s v="6abc05ee5255bb2a5105258f"/>
    <s v="29/09/2026 09:02:47"/>
    <s v="29/09/2026 15:39:42"/>
    <s v="Ranieli"/>
    <s v="29/09/2026"/>
    <x v="1"/>
    <s v="ALANA DA SILVA MARTINS"/>
    <n v="42862"/>
    <n v="2018"/>
    <n v="2062"/>
    <n v="2008"/>
    <n v="1982"/>
    <n v="2042"/>
    <n v="2081"/>
    <n v="2052"/>
    <n v="1997"/>
    <n v="2058"/>
    <n v="2054"/>
    <n v="2035.4"/>
    <s v=""/>
    <s v="assinatura"/>
    <n v="297"/>
    <n v="2000"/>
    <n v="1.7700000000000046E-2"/>
    <n v="35.400000000000091"/>
    <x v="5"/>
    <x v="1"/>
  </r>
  <r>
    <x v="43"/>
    <x v="2"/>
    <s v="6abc05ee5255bb2a51052589"/>
    <s v="29/09/2026 08:53:01"/>
    <s v="29/09/2026 15:39:42"/>
    <s v="Ranieli"/>
    <s v="29/09/2026"/>
    <x v="1"/>
    <s v="ALANA DA SILVA MARTINS"/>
    <n v="15105"/>
    <n v="1032"/>
    <n v="1032"/>
    <n v="1029"/>
    <n v="1029"/>
    <n v="1005"/>
    <n v="1026"/>
    <n v="1018"/>
    <n v="1013"/>
    <n v="1041"/>
    <n v="1104"/>
    <n v="1032.9000000000001"/>
    <s v=""/>
    <s v="assinatura"/>
    <n v="365"/>
    <n v="1000"/>
    <n v="3.2900000000000089E-2"/>
    <n v="32.900000000000091"/>
    <x v="0"/>
    <x v="0"/>
  </r>
  <r>
    <x v="41"/>
    <x v="2"/>
    <s v="6abc05ee5255bb2a51052583"/>
    <s v="28/09/2026 11:34:36"/>
    <s v="29/09/2026 15:39:42"/>
    <s v="Ranieli"/>
    <s v="28/09/2026"/>
    <x v="1"/>
    <s v="ALANA DA SILVA MARTINS"/>
    <n v="50580"/>
    <n v="1989"/>
    <n v="2047"/>
    <n v="2186"/>
    <n v="2027"/>
    <n v="1994"/>
    <n v="1974"/>
    <n v="2034"/>
    <n v="2027"/>
    <n v="2083"/>
    <n v="2217"/>
    <n v="2057.8000000000002"/>
    <s v=""/>
    <s v="assinatura"/>
    <n v="77644"/>
    <n v="2000"/>
    <n v="2.8900000000000092E-2"/>
    <n v="57.800000000000182"/>
    <x v="36"/>
    <x v="1"/>
  </r>
  <r>
    <x v="39"/>
    <x v="2"/>
    <s v="6abc05ee5255bb2a5105257d"/>
    <s v="25/09/2026 15:04:23"/>
    <s v="29/09/2026 15:39:42"/>
    <s v="Ranieli"/>
    <s v="25/09/2026"/>
    <x v="1"/>
    <s v="ALANA DA SILVA MARTINS"/>
    <n v="992014"/>
    <n v="700"/>
    <n v="668"/>
    <n v="678"/>
    <n v="694"/>
    <n v="698"/>
    <n v="700"/>
    <n v="699"/>
    <n v="696"/>
    <n v="698"/>
    <n v="700"/>
    <n v="693.1"/>
    <s v=""/>
    <s v="assinatura"/>
    <n v="324318"/>
    <n v="700"/>
    <n v="-9.8571428571428248E-3"/>
    <n v="-6.8999999999999773"/>
    <x v="14"/>
    <x v="1"/>
  </r>
  <r>
    <x v="39"/>
    <x v="2"/>
    <s v="6abc05ee5255bb2a51052577"/>
    <s v="25/09/2026 14:10:06"/>
    <s v="29/09/2026 15:39:42"/>
    <s v="Ranieli"/>
    <s v="25/09/2026"/>
    <x v="1"/>
    <s v="ALANA DA SILVA MARTINS"/>
    <n v="15849"/>
    <n v="1009"/>
    <n v="1004"/>
    <n v="1014"/>
    <n v="1001"/>
    <n v="1015"/>
    <n v="999"/>
    <n v="997"/>
    <n v="1025"/>
    <n v="993"/>
    <n v="1026"/>
    <n v="1008.3"/>
    <s v=""/>
    <s v="assinatura"/>
    <n v="327536"/>
    <n v="1000"/>
    <n v="8.299999999999955E-3"/>
    <n v="8.2999999999999545"/>
    <x v="29"/>
    <x v="2"/>
  </r>
  <r>
    <x v="42"/>
    <x v="2"/>
    <s v="6abdeedbfa7807c931a7e3d4"/>
    <s v="30/09/2026 22:46:05"/>
    <s v="01/10/2026 02:25:47"/>
    <s v="Ranieli"/>
    <s v="30/09/2026"/>
    <x v="0"/>
    <s v="JOSEFA KELY NUNES DE SOUSA"/>
    <n v="15229"/>
    <n v="1019"/>
    <n v="1021"/>
    <n v="1013"/>
    <n v="1020"/>
    <n v="1019"/>
    <n v="1012"/>
    <n v="1009"/>
    <n v="1004"/>
    <n v="1017"/>
    <n v="1007"/>
    <n v="1014.1"/>
    <s v=""/>
    <s v="assinatura"/>
    <n v="9055"/>
    <n v="1000"/>
    <n v="1.4100000000000022E-2"/>
    <n v="14.100000000000023"/>
    <x v="9"/>
    <x v="1"/>
  </r>
  <r>
    <x v="42"/>
    <x v="2"/>
    <s v="6abdeedbfa7807c931a7e3ce"/>
    <s v="30/09/2026 22:36:11"/>
    <s v="01/10/2026 02:25:47"/>
    <s v="Ranieli"/>
    <s v="30/09/2026"/>
    <x v="0"/>
    <s v="JOSEFA KELY NUNES DE SOUSA"/>
    <n v="40762"/>
    <n v="9980"/>
    <n v="10055"/>
    <n v="9990"/>
    <n v="10035"/>
    <n v="10065"/>
    <n v="10000"/>
    <n v="10065"/>
    <n v="10000"/>
    <n v="9950"/>
    <n v="10085"/>
    <n v="10022.5"/>
    <s v=""/>
    <s v="assinatura"/>
    <n v="9628"/>
    <n v="10000"/>
    <n v="2.2499999999999998E-3"/>
    <n v="22.5"/>
    <x v="3"/>
    <x v="1"/>
  </r>
  <r>
    <x v="42"/>
    <x v="2"/>
    <s v="6abdeedbfa7807c931a7e3c8"/>
    <s v="30/09/2026 22:29:52"/>
    <s v="01/10/2026 02:25:47"/>
    <s v="Ranieli"/>
    <s v="30/09/2026"/>
    <x v="0"/>
    <s v="JOSEFA KELY NUNES DE SOUSA"/>
    <n v="13188"/>
    <n v="1014"/>
    <n v="1011"/>
    <n v="1006"/>
    <n v="1008"/>
    <n v="1003"/>
    <n v="1016"/>
    <n v="1011"/>
    <n v="1012"/>
    <n v="1023"/>
    <n v="1018"/>
    <n v="1012.2"/>
    <s v=""/>
    <s v="assinatura"/>
    <n v="10018"/>
    <n v="1000"/>
    <n v="1.2200000000000046E-2"/>
    <n v="12.200000000000045"/>
    <x v="8"/>
    <x v="1"/>
  </r>
  <r>
    <x v="42"/>
    <x v="2"/>
    <s v="6abdeedbfa7807c931a7e3c2"/>
    <s v="30/09/2026 22:27:22"/>
    <s v="01/10/2026 02:25:47"/>
    <s v="Ranieli"/>
    <s v="30/09/2026"/>
    <x v="0"/>
    <s v="JOSEFA KELY NUNES DE SOUSA"/>
    <n v="15849"/>
    <n v="1008"/>
    <n v="1007"/>
    <n v="1014"/>
    <n v="1006"/>
    <n v="998"/>
    <n v="1013"/>
    <n v="1018"/>
    <n v="1014"/>
    <n v="1008"/>
    <n v="1012"/>
    <n v="1009.8"/>
    <s v=""/>
    <s v=""/>
    <n v="10103"/>
    <n v="1000"/>
    <n v="9.7999999999999546E-3"/>
    <n v="9.7999999999999545"/>
    <x v="29"/>
    <x v="2"/>
  </r>
  <r>
    <x v="42"/>
    <x v="2"/>
    <s v="6abdeedbfa7807c931a7e3bc"/>
    <s v="30/09/2026 22:23:25"/>
    <s v="01/10/2026 02:25:47"/>
    <s v="Ranieli"/>
    <s v="30/09/2026"/>
    <x v="0"/>
    <s v="JOSEFA KELY NUNES DE SOUSA"/>
    <n v="15105"/>
    <n v="1047"/>
    <n v="1010"/>
    <n v="1023"/>
    <n v="1039"/>
    <n v="1001"/>
    <n v="998"/>
    <n v="1030"/>
    <n v="1062"/>
    <n v="1061"/>
    <n v="1031"/>
    <n v="1030.2"/>
    <s v=""/>
    <s v="assinatura"/>
    <n v="10330"/>
    <n v="1000"/>
    <n v="3.0200000000000046E-2"/>
    <n v="30.200000000000045"/>
    <x v="0"/>
    <x v="0"/>
  </r>
  <r>
    <x v="42"/>
    <x v="2"/>
    <s v="6abdeedbfa7807c931a7e3b0"/>
    <s v="30/09/2026 21:27:36"/>
    <s v="01/10/2026 02:25:47"/>
    <s v="Ranieli"/>
    <s v="30/09/2026"/>
    <x v="0"/>
    <s v="JOSEFA KELY NUNES DE SOUSA"/>
    <n v="209319"/>
    <n v="1009"/>
    <n v="1042"/>
    <n v="1058"/>
    <n v="1077"/>
    <n v="1050"/>
    <n v="1007"/>
    <n v="1010"/>
    <n v="1009"/>
    <n v="1077"/>
    <n v="1043"/>
    <n v="1038.2"/>
    <s v=""/>
    <s v="assinatura"/>
    <n v="13610"/>
    <n v="1000"/>
    <n v="3.8200000000000046E-2"/>
    <n v="38.200000000000045"/>
    <x v="34"/>
    <x v="1"/>
  </r>
  <r>
    <x v="42"/>
    <x v="2"/>
    <s v="6abdeedbfa7807c931a7e3aa"/>
    <s v="30/09/2026 19:21:28"/>
    <s v="01/10/2026 02:25:47"/>
    <s v="Ranieli"/>
    <s v="30/09/2026"/>
    <x v="0"/>
    <s v="JOSEFA KELY NUNES DE SOUSA"/>
    <n v="42854"/>
    <n v="2088"/>
    <n v="2095"/>
    <n v="2092"/>
    <n v="2116"/>
    <n v="2086"/>
    <n v="2100"/>
    <n v="2070"/>
    <n v="2091"/>
    <n v="2037"/>
    <n v="2115"/>
    <n v="2089"/>
    <s v=""/>
    <s v="assinatura"/>
    <n v="12258"/>
    <n v="2080"/>
    <n v="4.3269230769230772E-3"/>
    <n v="9"/>
    <x v="4"/>
    <x v="1"/>
  </r>
  <r>
    <x v="42"/>
    <x v="2"/>
    <s v="6abdeedafa7807c931a7e3a4"/>
    <s v="30/09/2026 19:17:43"/>
    <s v="01/10/2026 02:25:46"/>
    <s v="Ranieli"/>
    <s v="30/09/2026"/>
    <x v="0"/>
    <s v="JOSEFA KELY NUNES DE SOUSA"/>
    <n v="42862"/>
    <n v="1989"/>
    <n v="1999"/>
    <n v="2020"/>
    <n v="1997"/>
    <n v="2020"/>
    <n v="2007"/>
    <n v="2018"/>
    <n v="2015"/>
    <n v="2012"/>
    <n v="2002"/>
    <n v="2007.9"/>
    <s v=""/>
    <s v="assinatura"/>
    <n v="21377"/>
    <n v="2000"/>
    <n v="3.9500000000000455E-3"/>
    <n v="7.9000000000000909"/>
    <x v="5"/>
    <x v="1"/>
  </r>
  <r>
    <x v="42"/>
    <x v="2"/>
    <s v="6abdeedafa7807c931a7e39c"/>
    <s v="30/09/2026 19:16:22"/>
    <s v="01/10/2026 02:25:46"/>
    <s v="Ranieli"/>
    <s v="30/09/2026"/>
    <x v="0"/>
    <s v="JOSEFA KELY NUNES DE SOUSA"/>
    <n v="42820"/>
    <n v="2066"/>
    <n v="2031"/>
    <n v="2030"/>
    <n v="2042"/>
    <n v="2020"/>
    <n v="2078"/>
    <n v="2021"/>
    <n v="2050"/>
    <n v="2045"/>
    <n v="2066"/>
    <n v="2044.9"/>
    <s v=""/>
    <s v="assinatura"/>
    <n v="12495"/>
    <n v="2000"/>
    <n v="2.2450000000000046E-2"/>
    <n v="44.900000000000091"/>
    <x v="10"/>
    <x v="1"/>
  </r>
  <r>
    <x v="42"/>
    <x v="2"/>
    <s v="6abdeedafa7807c931a7e396"/>
    <s v="30/09/2026 19:12:45"/>
    <s v="01/10/2026 02:25:46"/>
    <s v="Ranieli"/>
    <s v="30/09/2026"/>
    <x v="0"/>
    <s v="JOSEFA KELY NUNES DE SOUSA"/>
    <n v="42838"/>
    <n v="2020"/>
    <n v="1956"/>
    <n v="2013"/>
    <n v="2027"/>
    <n v="2016"/>
    <n v="2041"/>
    <n v="1992"/>
    <n v="2009"/>
    <n v="2029"/>
    <n v="2032"/>
    <n v="2013.5"/>
    <s v=""/>
    <s v="assinatura"/>
    <n v="21662"/>
    <n v="2000"/>
    <n v="6.7499999999999999E-3"/>
    <n v="13.5"/>
    <x v="7"/>
    <x v="1"/>
  </r>
  <r>
    <x v="42"/>
    <x v="2"/>
    <s v="6abdeedafa7807c931a7e390"/>
    <s v="30/09/2026 19:11:05"/>
    <s v="01/10/2026 02:25:46"/>
    <s v="Ranieli"/>
    <s v="30/09/2026"/>
    <x v="0"/>
    <s v="JOSEFA KELY NUNES DE SOUSA"/>
    <n v="50580"/>
    <n v="2014"/>
    <n v="2009"/>
    <n v="2000"/>
    <n v="2047"/>
    <n v="2021"/>
    <n v="2019"/>
    <n v="2039"/>
    <n v="2044"/>
    <n v="2126"/>
    <n v="2025"/>
    <n v="2034.4"/>
    <s v=""/>
    <s v="assinatura"/>
    <n v="21737"/>
    <n v="2000"/>
    <n v="1.7200000000000045E-2"/>
    <n v="34.400000000000091"/>
    <x v="36"/>
    <x v="1"/>
  </r>
  <r>
    <x v="42"/>
    <x v="2"/>
    <s v="6abdeedafa7807c931a7e38a"/>
    <s v="30/09/2026 19:02:33"/>
    <s v="01/10/2026 02:25:46"/>
    <s v="Ranieli"/>
    <s v="30/09/2026"/>
    <x v="0"/>
    <s v="JOSEFA KELY NUNES DE SOUSA"/>
    <n v="42846"/>
    <n v="2005"/>
    <n v="2009"/>
    <n v="2029"/>
    <n v="2002"/>
    <n v="2023"/>
    <n v="2008"/>
    <n v="2006"/>
    <n v="2016"/>
    <n v="2009"/>
    <n v="2011"/>
    <n v="2011.8"/>
    <s v=""/>
    <s v="assinatura"/>
    <n v="22233"/>
    <n v="2000"/>
    <n v="5.8999999999999773E-3"/>
    <n v="11.799999999999955"/>
    <x v="6"/>
    <x v="1"/>
  </r>
  <r>
    <x v="42"/>
    <x v="2"/>
    <s v="6abdeedafa7807c931a7e37e"/>
    <s v="30/09/2026 17:39:33"/>
    <s v="01/10/2026 02:25:46"/>
    <s v="Ranieli"/>
    <s v="30/09/2026"/>
    <x v="0"/>
    <s v="JOSEFA KELY NUNES DE SOUSA"/>
    <n v="15229"/>
    <n v="995"/>
    <n v="995"/>
    <n v="1017"/>
    <n v="1015"/>
    <n v="1017"/>
    <n v="917"/>
    <n v="1014"/>
    <n v="1006"/>
    <n v="1009"/>
    <n v="1005"/>
    <n v="999"/>
    <s v=""/>
    <s v="assinatura"/>
    <n v="27121"/>
    <n v="1000"/>
    <n v="-1E-3"/>
    <n v="-1"/>
    <x v="9"/>
    <x v="1"/>
  </r>
  <r>
    <x v="42"/>
    <x v="2"/>
    <s v="6abdeedafa7807c931a7e378"/>
    <s v="30/09/2026 17:28:38"/>
    <s v="01/10/2026 02:25:46"/>
    <s v="Ranieli"/>
    <s v="30/09/2026"/>
    <x v="0"/>
    <s v="JOSEFA KELY NUNES DE SOUSA"/>
    <n v="40762"/>
    <n v="10010"/>
    <n v="8975"/>
    <n v="8890"/>
    <n v="9050"/>
    <n v="8945"/>
    <n v="10090"/>
    <n v="10060"/>
    <n v="9950"/>
    <n v="8895"/>
    <n v="8930"/>
    <n v="9379.5"/>
    <s v=""/>
    <s v="assinatura"/>
    <n v="1103"/>
    <n v="10000"/>
    <n v="-6.2050000000000001E-2"/>
    <n v="-620.5"/>
    <x v="3"/>
    <x v="1"/>
  </r>
  <r>
    <x v="42"/>
    <x v="2"/>
    <s v="6abdeedafa7807c931a7e372"/>
    <s v="30/09/2026 17:25:03"/>
    <s v="01/10/2026 02:25:46"/>
    <s v="Ranieli"/>
    <s v="30/09/2026"/>
    <x v="0"/>
    <s v="JOSEFA KELY NUNES DE SOUSA"/>
    <n v="15849"/>
    <n v="1010"/>
    <n v="1016"/>
    <n v="1014"/>
    <n v="1008"/>
    <n v="1005"/>
    <n v="1005"/>
    <n v="1014"/>
    <n v="1008"/>
    <n v="1007"/>
    <n v="1001"/>
    <n v="1008.8"/>
    <s v=""/>
    <s v=""/>
    <n v="27973"/>
    <n v="1000"/>
    <n v="8.7999999999999537E-3"/>
    <n v="8.7999999999999545"/>
    <x v="29"/>
    <x v="2"/>
  </r>
  <r>
    <x v="42"/>
    <x v="2"/>
    <s v="6abdeedafa7807c931a7e36c"/>
    <s v="30/09/2026 17:21:07"/>
    <s v="01/10/2026 02:25:46"/>
    <s v="Ranieli"/>
    <s v="30/09/2026"/>
    <x v="0"/>
    <s v="JOSEFA KELY NUNES DE SOUSA"/>
    <n v="15105"/>
    <n v="1029"/>
    <n v="991"/>
    <n v="995"/>
    <n v="992"/>
    <n v="1002"/>
    <n v="1032"/>
    <n v="1001"/>
    <n v="995"/>
    <n v="999"/>
    <n v="1011"/>
    <n v="1004.7"/>
    <s v=""/>
    <s v="assinatura"/>
    <n v="28194"/>
    <n v="1000"/>
    <n v="4.7000000000000453E-3"/>
    <n v="4.7000000000000455"/>
    <x v="0"/>
    <x v="0"/>
  </r>
  <r>
    <x v="42"/>
    <x v="2"/>
    <s v="6abdeedafa7807c931a7e366"/>
    <s v="30/09/2026 17:11:45"/>
    <s v="01/10/2026 02:25:46"/>
    <s v="Ranieli"/>
    <s v="30/09/2026"/>
    <x v="0"/>
    <s v="JOSEFA KELY NUNES DE SOUSA"/>
    <n v="995638"/>
    <n v="15005"/>
    <n v="15035"/>
    <n v="15025"/>
    <n v="15040"/>
    <n v="15005"/>
    <n v="15050"/>
    <n v="15070"/>
    <n v="15045"/>
    <n v="15005"/>
    <n v="15050"/>
    <n v="15033"/>
    <s v=""/>
    <s v="assinatura"/>
    <n v="28649"/>
    <n v="15000"/>
    <n v="2.2000000000000001E-3"/>
    <n v="33"/>
    <x v="21"/>
    <x v="3"/>
  </r>
  <r>
    <x v="42"/>
    <x v="2"/>
    <s v="6abdc4b67b027318e0208b27"/>
    <s v="30/09/2026 22:26:17"/>
    <s v="30/09/2026 23:25:58"/>
    <s v="Ranieli"/>
    <s v="30/09/2026"/>
    <x v="0"/>
    <s v="JULIANE GOMES NOVAIS"/>
    <n v="13188"/>
    <n v="1037"/>
    <n v="1017"/>
    <n v="1035"/>
    <n v="1015"/>
    <n v="1035"/>
    <n v="1034"/>
    <n v="1042"/>
    <n v="1027"/>
    <n v="1009"/>
    <n v="1033"/>
    <n v="1028.4000000000001"/>
    <s v=""/>
    <s v="assinatura"/>
    <n v="410"/>
    <n v="1000"/>
    <n v="2.8400000000000092E-2"/>
    <n v="28.400000000000091"/>
    <x v="8"/>
    <x v="1"/>
  </r>
  <r>
    <x v="42"/>
    <x v="2"/>
    <s v="6abdc4b67b027318e0208b21"/>
    <s v="30/09/2026 22:13:36"/>
    <s v="30/09/2026 23:25:58"/>
    <s v="Ranieli"/>
    <s v="30/09/2026"/>
    <x v="0"/>
    <s v="JULIANE GOMES NOVAIS"/>
    <n v="42846"/>
    <n v="2014"/>
    <n v="2002"/>
    <n v="2009"/>
    <n v="2092"/>
    <n v="2014"/>
    <n v="2008"/>
    <n v="2004"/>
    <n v="2008"/>
    <n v="2011"/>
    <n v="2000"/>
    <n v="2016.2"/>
    <s v=""/>
    <s v="assinatura"/>
    <n v="701"/>
    <n v="2000"/>
    <n v="8.1000000000000221E-3"/>
    <n v="16.200000000000045"/>
    <x v="6"/>
    <x v="1"/>
  </r>
  <r>
    <x v="42"/>
    <x v="2"/>
    <s v="6abdc4b67b027318e0208b19"/>
    <s v="30/09/2026 22:06:29"/>
    <s v="30/09/2026 23:25:58"/>
    <s v="Ranieli"/>
    <s v="30/09/2026"/>
    <x v="0"/>
    <s v="JULIANE GOMES NOVAIS"/>
    <n v="42838"/>
    <n v="2020"/>
    <n v="2010"/>
    <n v="2029"/>
    <n v="2000"/>
    <n v="2010"/>
    <n v="2030"/>
    <n v="2030"/>
    <n v="2040"/>
    <n v="2018"/>
    <n v="2034"/>
    <n v="2022.1"/>
    <s v=""/>
    <s v="assinatura"/>
    <n v="1108"/>
    <n v="2000"/>
    <n v="1.1049999999999954E-2"/>
    <n v="22.099999999999909"/>
    <x v="7"/>
    <x v="1"/>
  </r>
  <r>
    <x v="42"/>
    <x v="2"/>
    <s v="6abdbe8e7b027318e02088e3"/>
    <s v="30/09/2026 22:18:52"/>
    <s v="30/09/2026 22:59:42"/>
    <s v="Ranieli"/>
    <s v="30/09/2026"/>
    <x v="0"/>
    <s v="JULIANE GOMES NOVAIS"/>
    <n v="42862"/>
    <n v="2026"/>
    <n v="2026"/>
    <n v="2015"/>
    <n v="2035"/>
    <n v="2008"/>
    <n v="2064"/>
    <n v="2012"/>
    <n v="2066"/>
    <n v="2030"/>
    <n v="2015"/>
    <n v="2029.7"/>
    <s v=""/>
    <s v="assinatura"/>
    <n v="426"/>
    <n v="2000"/>
    <n v="1.4850000000000023E-2"/>
    <n v="29.700000000000045"/>
    <x v="5"/>
    <x v="1"/>
  </r>
  <r>
    <x v="42"/>
    <x v="2"/>
    <s v="6abdbe8e7b027318e02088dd"/>
    <s v="30/09/2026 22:16:02"/>
    <s v="30/09/2026 22:59:42"/>
    <s v="Ranieli"/>
    <s v="30/09/2026"/>
    <x v="0"/>
    <s v="JULIANE GOMES NOVAIS"/>
    <n v="42854"/>
    <n v="2105"/>
    <n v="2085"/>
    <n v="2065"/>
    <n v="2050"/>
    <n v="2048"/>
    <n v="2066"/>
    <n v="2113"/>
    <n v="2052"/>
    <n v="2121"/>
    <n v="2089"/>
    <n v="2079.4"/>
    <s v=""/>
    <s v="assinatura"/>
    <n v="570"/>
    <n v="2080"/>
    <n v="-2.8846153846149474E-4"/>
    <n v="-0.59999999999990905"/>
    <x v="4"/>
    <x v="1"/>
  </r>
  <r>
    <x v="42"/>
    <x v="2"/>
    <s v="6abdbe8e7b027318e02088d7"/>
    <s v="30/09/2026 22:04:42"/>
    <s v="30/09/2026 22:59:42"/>
    <s v="Ranieli"/>
    <s v="30/09/2026"/>
    <x v="0"/>
    <s v="JULIANE GOMES NOVAIS"/>
    <n v="42820"/>
    <n v="2010"/>
    <n v="2059"/>
    <n v="2057"/>
    <n v="2024"/>
    <n v="2020"/>
    <n v="2043"/>
    <n v="2011"/>
    <n v="2016"/>
    <n v="2020"/>
    <n v="2013"/>
    <n v="2027.3"/>
    <s v=""/>
    <s v="assinatura"/>
    <n v="1197"/>
    <n v="2000"/>
    <n v="1.3649999999999978E-2"/>
    <n v="27.299999999999955"/>
    <x v="10"/>
    <x v="1"/>
  </r>
  <r>
    <x v="42"/>
    <x v="2"/>
    <s v="6abd7ef01dccde3e7e103406"/>
    <s v="30/09/2026 18:10:27"/>
    <s v="30/09/2026 18:28:16"/>
    <s v="Ranieli"/>
    <s v="30/09/2026"/>
    <x v="0"/>
    <s v="JULIANE GOMES NOVAIS"/>
    <n v="42862"/>
    <n v="2030"/>
    <n v="2020"/>
    <n v="2036"/>
    <n v="2010"/>
    <n v="2021"/>
    <n v="2010"/>
    <n v="2012"/>
    <n v="2032"/>
    <n v="2003"/>
    <n v="2032"/>
    <n v="2020.6"/>
    <s v=""/>
    <s v="assinatura"/>
    <n v="1028"/>
    <n v="2000"/>
    <n v="1.0299999999999955E-2"/>
    <n v="20.599999999999909"/>
    <x v="5"/>
    <x v="1"/>
  </r>
  <r>
    <x v="42"/>
    <x v="2"/>
    <s v="6abd7ef01dccde3e7e103400"/>
    <s v="30/09/2026 18:08:00"/>
    <s v="30/09/2026 18:28:16"/>
    <s v="Ranieli"/>
    <s v="30/09/2026"/>
    <x v="0"/>
    <s v="JULIANE GOMES NOVAIS"/>
    <n v="42854"/>
    <n v="2057"/>
    <n v="2098"/>
    <n v="2072"/>
    <n v="2114"/>
    <n v="2082"/>
    <n v="2128"/>
    <n v="2007"/>
    <n v="2040"/>
    <n v="2100"/>
    <n v="2082"/>
    <n v="2078"/>
    <s v=""/>
    <s v="assinatura"/>
    <n v="1153"/>
    <n v="2080"/>
    <n v="-9.6153846153846159E-4"/>
    <n v="-2"/>
    <x v="4"/>
    <x v="1"/>
  </r>
  <r>
    <x v="42"/>
    <x v="2"/>
    <s v="6abd7ef01dccde3e7e1033fa"/>
    <s v="30/09/2026 18:03:19"/>
    <s v="30/09/2026 18:28:16"/>
    <s v="Ranieli"/>
    <s v="30/09/2026"/>
    <x v="0"/>
    <s v="JULIANE GOMES NOVAIS"/>
    <n v="42846"/>
    <n v="2003"/>
    <n v="2002"/>
    <n v="2069"/>
    <n v="2010"/>
    <n v="1998"/>
    <n v="2011"/>
    <n v="2013"/>
    <n v="2003"/>
    <n v="2015"/>
    <n v="2005"/>
    <n v="2012.9"/>
    <s v=""/>
    <s v="assinatura"/>
    <n v="1412"/>
    <n v="2000"/>
    <n v="6.4500000000000451E-3"/>
    <n v="12.900000000000091"/>
    <x v="6"/>
    <x v="1"/>
  </r>
  <r>
    <x v="42"/>
    <x v="2"/>
    <s v="6abd7ef01dccde3e7e1033f4"/>
    <s v="30/09/2026 18:01:29"/>
    <s v="30/09/2026 18:28:16"/>
    <s v="Ranieli"/>
    <s v="30/09/2026"/>
    <x v="0"/>
    <s v="JULIANE GOMES NOVAIS"/>
    <n v="42838"/>
    <n v="2021"/>
    <n v="2027"/>
    <n v="2008"/>
    <n v="2028"/>
    <n v="2004"/>
    <n v="2003"/>
    <n v="2006"/>
    <n v="2014"/>
    <n v="2047"/>
    <n v="2013"/>
    <n v="2017.1"/>
    <s v=""/>
    <s v="assinatura"/>
    <n v="1507"/>
    <n v="2000"/>
    <n v="8.5499999999999552E-3"/>
    <n v="17.099999999999909"/>
    <x v="7"/>
    <x v="1"/>
  </r>
  <r>
    <x v="42"/>
    <x v="2"/>
    <s v="6abd7ef01dccde3e7e1033ee"/>
    <s v="30/09/2026 17:58:53"/>
    <s v="30/09/2026 18:28:16"/>
    <s v="Ranieli"/>
    <s v="30/09/2026"/>
    <x v="0"/>
    <s v="JULIANE GOMES NOVAIS"/>
    <n v="42820"/>
    <n v="2059"/>
    <n v="2035"/>
    <n v="2024"/>
    <n v="2027"/>
    <n v="2011"/>
    <n v="2027"/>
    <n v="2000"/>
    <n v="2010"/>
    <n v="2035"/>
    <n v="2038"/>
    <n v="2026.6"/>
    <s v=""/>
    <s v="assinatura"/>
    <n v="1649"/>
    <n v="2000"/>
    <n v="1.3299999999999954E-2"/>
    <n v="26.599999999999909"/>
    <x v="10"/>
    <x v="1"/>
  </r>
  <r>
    <x v="42"/>
    <x v="2"/>
    <s v="6abd7ef01dccde3e7e1033e8"/>
    <s v="30/09/2026 17:09:59"/>
    <s v="30/09/2026 18:28:16"/>
    <s v="Ranieli"/>
    <s v="30/09/2026"/>
    <x v="0"/>
    <s v="JULIANE GOMES NOVAIS"/>
    <n v="15105"/>
    <n v="1003"/>
    <n v="1004"/>
    <n v="996"/>
    <n v="1007"/>
    <n v="995"/>
    <n v="1030"/>
    <n v="1000"/>
    <n v="1038"/>
    <n v="994"/>
    <n v="1000"/>
    <n v="1006.7"/>
    <s v=""/>
    <s v="assinatura"/>
    <n v="169"/>
    <n v="1000"/>
    <n v="6.7000000000000453E-3"/>
    <n v="6.7000000000000455"/>
    <x v="0"/>
    <x v="0"/>
  </r>
  <r>
    <x v="42"/>
    <x v="2"/>
    <s v="6abd7eef1dccde3e7e1033e2"/>
    <s v="30/09/2026 16:58:25"/>
    <s v="30/09/2026 18:28:15"/>
    <s v="Ranieli"/>
    <s v="30/09/2026"/>
    <x v="0"/>
    <s v="JULIANE GOMES NOVAIS"/>
    <n v="40762"/>
    <n v="10085"/>
    <n v="10005"/>
    <n v="10000"/>
    <n v="10000"/>
    <n v="9970"/>
    <n v="10050"/>
    <n v="10040"/>
    <n v="10000"/>
    <n v="10055"/>
    <n v="10055"/>
    <n v="10026"/>
    <s v=""/>
    <s v="assinatura"/>
    <n v="633"/>
    <n v="10000"/>
    <n v="2.5999999999999999E-3"/>
    <n v="26"/>
    <x v="3"/>
    <x v="1"/>
  </r>
  <r>
    <x v="42"/>
    <x v="2"/>
    <s v="6abd4fcdff6ac25cf5259064"/>
    <s v="30/09/2026 13:46:39"/>
    <s v="30/09/2026 15:07:09"/>
    <s v="Ranieli"/>
    <s v="30/09/2026"/>
    <x v="1"/>
    <s v="ALANA DA SILVA MARTINS"/>
    <n v="50580"/>
    <n v="1997"/>
    <n v="1985"/>
    <n v="2008"/>
    <n v="1998"/>
    <n v="2024"/>
    <n v="2018"/>
    <n v="2040"/>
    <n v="2000"/>
    <n v="2123"/>
    <n v="2022"/>
    <n v="2021.5"/>
    <s v=""/>
    <s v="assinatura"/>
    <n v="297"/>
    <n v="2000"/>
    <n v="1.0749999999999999E-2"/>
    <n v="21.5"/>
    <x v="36"/>
    <x v="1"/>
  </r>
  <r>
    <x v="42"/>
    <x v="2"/>
    <s v="6abd4253f9405e4814028384"/>
    <s v="30/09/2026 13:59:38"/>
    <s v="30/09/2026 14:09:39"/>
    <s v="Ranieli"/>
    <s v="30/09/2026"/>
    <x v="1"/>
    <s v="RANIELI MARIA MASQUIETI DOURADO"/>
    <n v="18228"/>
    <n v="1003"/>
    <n v="961"/>
    <n v="1004"/>
    <n v="1002"/>
    <n v="1008"/>
    <n v="998"/>
    <n v="1017"/>
    <n v="1010"/>
    <n v="1015"/>
    <n v="996"/>
    <n v="1001.4"/>
    <s v=""/>
    <s v="assinatura"/>
    <n v="268"/>
    <n v="1000"/>
    <n v="1.3999999999999772E-3"/>
    <n v="1.3999999999999773"/>
    <x v="16"/>
    <x v="4"/>
  </r>
  <r>
    <x v="42"/>
    <x v="2"/>
    <s v="6abd4253f9405e481402837e"/>
    <s v="30/09/2026 13:52:46"/>
    <s v="30/09/2026 14:09:39"/>
    <s v="Ranieli"/>
    <s v="30/09/2026"/>
    <x v="1"/>
    <s v="RANIELI MARIA MASQUIETI DOURADO"/>
    <n v="31454"/>
    <n v="2540"/>
    <n v="2511"/>
    <n v="2493"/>
    <n v="2558"/>
    <n v="2511"/>
    <n v="2559"/>
    <n v="2556"/>
    <n v="2548"/>
    <n v="2563"/>
    <n v="2564"/>
    <n v="2540.3000000000002"/>
    <s v=""/>
    <s v="assinatura"/>
    <n v="156"/>
    <n v="2500"/>
    <n v="1.6120000000000072E-2"/>
    <n v="40.300000000000182"/>
    <x v="20"/>
    <x v="3"/>
  </r>
  <r>
    <x v="42"/>
    <x v="2"/>
    <s v="6abd4253f9405e4814028378"/>
    <s v="30/09/2026 13:48:55"/>
    <s v="30/09/2026 14:09:39"/>
    <s v="Ranieli"/>
    <s v="30/09/2026"/>
    <x v="1"/>
    <s v="RANIELI MARIA MASQUIETI DOURADO"/>
    <n v="54632"/>
    <n v="993"/>
    <n v="1002"/>
    <n v="1008"/>
    <n v="993"/>
    <n v="993"/>
    <n v="1008"/>
    <n v="1005"/>
    <n v="1000"/>
    <n v="1016"/>
    <n v="1025"/>
    <n v="1004.3"/>
    <s v=""/>
    <s v="assinatura"/>
    <n v="156"/>
    <n v="1000"/>
    <n v="4.2999999999999549E-3"/>
    <n v="4.2999999999999545"/>
    <x v="11"/>
    <x v="1"/>
  </r>
  <r>
    <x v="42"/>
    <x v="2"/>
    <s v="6abd4253f9405e4814028372"/>
    <s v="30/09/2026 13:42:54"/>
    <s v="30/09/2026 14:09:39"/>
    <s v="Ranieli"/>
    <s v="30/09/2026"/>
    <x v="1"/>
    <s v="RANIELI MARIA MASQUIETI DOURADO"/>
    <n v="15105"/>
    <n v="996"/>
    <n v="995"/>
    <n v="994"/>
    <n v="1006"/>
    <n v="998"/>
    <n v="1007"/>
    <n v="1003"/>
    <n v="987"/>
    <n v="1001"/>
    <n v="1036"/>
    <n v="1002.3"/>
    <s v=""/>
    <s v="assinatura"/>
    <n v="197"/>
    <n v="1000"/>
    <n v="2.2999999999999544E-3"/>
    <n v="2.2999999999999545"/>
    <x v="0"/>
    <x v="0"/>
  </r>
  <r>
    <x v="42"/>
    <x v="2"/>
    <s v="6abd4253f9405e481402836c"/>
    <s v="30/09/2026 13:37:20"/>
    <s v="30/09/2026 14:09:39"/>
    <s v="Ranieli"/>
    <s v="30/09/2026"/>
    <x v="1"/>
    <s v="RANIELI MARIA MASQUIETI DOURADO"/>
    <n v="50580"/>
    <n v="2021"/>
    <n v="2028"/>
    <n v="2105"/>
    <n v="1994"/>
    <n v="2021"/>
    <n v="2055"/>
    <n v="1997"/>
    <n v="2017"/>
    <n v="2033"/>
    <n v="1980"/>
    <n v="2025.1"/>
    <s v=""/>
    <s v="assinatura"/>
    <n v="176"/>
    <n v="2000"/>
    <n v="1.2549999999999955E-2"/>
    <n v="25.099999999999909"/>
    <x v="36"/>
    <x v="1"/>
  </r>
  <r>
    <x v="42"/>
    <x v="2"/>
    <s v="6abd255e7b027318e01fc90a"/>
    <s v="30/09/2026 12:01:23"/>
    <s v="30/09/2026 12:06:06"/>
    <s v="Ranieli"/>
    <s v="30/09/2026"/>
    <x v="1"/>
    <s v="ALANA DA SILVA MARTINS"/>
    <n v="197734"/>
    <n v="1009"/>
    <n v="1007"/>
    <n v="1007"/>
    <n v="1005"/>
    <n v="1008"/>
    <n v="1007"/>
    <n v="1025"/>
    <n v="1005"/>
    <n v="1011"/>
    <n v="1010"/>
    <n v="1009.4"/>
    <s v=""/>
    <s v="assinatura"/>
    <n v="151"/>
    <n v="1000"/>
    <n v="9.3999999999999778E-3"/>
    <n v="9.3999999999999773"/>
    <x v="2"/>
    <x v="2"/>
  </r>
  <r>
    <x v="42"/>
    <x v="2"/>
    <s v="6abd255e7b027318e01fc904"/>
    <s v="30/09/2026 11:53:02"/>
    <s v="30/09/2026 12:06:06"/>
    <s v="Ranieli"/>
    <s v="30/09/2026"/>
    <x v="1"/>
    <s v="ALANA DA SILVA MARTINS"/>
    <n v="18163"/>
    <n v="1007"/>
    <n v="999"/>
    <n v="1000"/>
    <n v="1003"/>
    <n v="1008"/>
    <n v="994"/>
    <n v="1005"/>
    <n v="998"/>
    <n v="1000"/>
    <n v="1002"/>
    <n v="1001.6"/>
    <s v=""/>
    <s v="assinatura"/>
    <n v="219"/>
    <n v="1000"/>
    <n v="1.6000000000000228E-3"/>
    <n v="1.6000000000000227"/>
    <x v="27"/>
    <x v="6"/>
  </r>
  <r>
    <x v="42"/>
    <x v="2"/>
    <s v="6abd255e7b027318e01fc8fe"/>
    <s v="30/09/2026 11:47:41"/>
    <s v="30/09/2026 12:06:06"/>
    <s v="Ranieli"/>
    <s v="30/09/2026"/>
    <x v="1"/>
    <s v="ALANA DA SILVA MARTINS"/>
    <n v="40762"/>
    <n v="10155"/>
    <n v="10015"/>
    <n v="9965"/>
    <n v="9610"/>
    <n v="10120"/>
    <n v="10075"/>
    <n v="9970"/>
    <n v="10090"/>
    <n v="9950"/>
    <n v="10050"/>
    <n v="10000"/>
    <s v=""/>
    <s v="assinatura"/>
    <n v="699"/>
    <n v="10000"/>
    <n v="0"/>
    <n v="0"/>
    <x v="3"/>
    <x v="1"/>
  </r>
  <r>
    <x v="42"/>
    <x v="2"/>
    <s v="6abd255e7b027318e01fc8f8"/>
    <s v="30/09/2026 11:42:50"/>
    <s v="30/09/2026 12:06:06"/>
    <s v="Ranieli"/>
    <s v="30/09/2026"/>
    <x v="1"/>
    <s v="ALANA DA SILVA MARTINS"/>
    <n v="54632"/>
    <n v="1001"/>
    <n v="995"/>
    <n v="993"/>
    <n v="998"/>
    <n v="1006"/>
    <n v="1001"/>
    <n v="1002"/>
    <n v="1006"/>
    <n v="1007"/>
    <n v="1004"/>
    <n v="1001.3"/>
    <s v=""/>
    <s v="assinatura"/>
    <n v="968"/>
    <n v="1000"/>
    <n v="1.2999999999999546E-3"/>
    <n v="1.2999999999999545"/>
    <x v="11"/>
    <x v="1"/>
  </r>
  <r>
    <x v="42"/>
    <x v="2"/>
    <s v="6abd255e7b027318e01fc8f2"/>
    <s v="30/09/2026 11:40:12"/>
    <s v="30/09/2026 12:06:06"/>
    <s v="Ranieli"/>
    <s v="30/09/2026"/>
    <x v="1"/>
    <s v="ALANA DA SILVA MARTINS"/>
    <n v="18228"/>
    <n v="999"/>
    <n v="1008"/>
    <n v="1006"/>
    <n v="994"/>
    <n v="998"/>
    <n v="1003"/>
    <n v="1007"/>
    <n v="1000"/>
    <n v="1006"/>
    <n v="999"/>
    <n v="1002"/>
    <s v=""/>
    <s v="assinatura"/>
    <n v="1014"/>
    <n v="1000"/>
    <n v="2E-3"/>
    <n v="2"/>
    <x v="16"/>
    <x v="4"/>
  </r>
  <r>
    <x v="44"/>
    <x v="3"/>
    <s v="6abf3b742a994604e4a010c2"/>
    <s v="01/10/2026 22:41:45"/>
    <s v="02/10/2026 02:04:52"/>
    <s v="Ranieli"/>
    <s v="01/10/2026"/>
    <x v="0"/>
    <s v="JOSEFA KELY NUNES DE SOUSA"/>
    <n v="992093"/>
    <n v="5001"/>
    <n v="5003"/>
    <n v="5007"/>
    <n v="5007"/>
    <n v="5004"/>
    <n v="5010"/>
    <n v="5001"/>
    <n v="5012"/>
    <n v="5003"/>
    <n v="5008"/>
    <n v="5005.6000000000004"/>
    <s v=""/>
    <s v="assinatura"/>
    <n v="12185"/>
    <n v="5000"/>
    <n v="1.1200000000000728E-3"/>
    <n v="5.6000000000003638"/>
    <x v="13"/>
    <x v="3"/>
  </r>
  <r>
    <x v="44"/>
    <x v="3"/>
    <s v="6abf3ad13cf16866fa66609d"/>
    <s v="01/10/2026 17:37:11"/>
    <s v="02/10/2026 02:02:09"/>
    <s v="Ranieli"/>
    <s v="01/10/2026"/>
    <x v="0"/>
    <s v="JOSEFA KELY NUNES DE SOUSA"/>
    <n v="13188"/>
    <n v="998"/>
    <n v="997"/>
    <n v="1004"/>
    <n v="997"/>
    <n v="1001"/>
    <n v="1012"/>
    <n v="999"/>
    <n v="1012"/>
    <n v="1005"/>
    <n v="1006"/>
    <n v="1003.1"/>
    <s v=""/>
    <s v="assinatura"/>
    <n v="30263"/>
    <n v="1000"/>
    <n v="3.1000000000000229E-3"/>
    <n v="3.1000000000000227"/>
    <x v="8"/>
    <x v="1"/>
  </r>
  <r>
    <x v="44"/>
    <x v="3"/>
    <s v="6abf3abcfeff8ad157fab5a3"/>
    <s v="01/10/2026 22:36:06"/>
    <s v="02/10/2026 02:01:48"/>
    <s v="Ranieli"/>
    <s v="01/10/2026"/>
    <x v="0"/>
    <s v="JOSEFA KELY NUNES DE SOUSA"/>
    <n v="15105"/>
    <n v="1002"/>
    <n v="1006"/>
    <n v="1012"/>
    <n v="980"/>
    <n v="1014"/>
    <n v="1015"/>
    <n v="1005"/>
    <n v="1005"/>
    <n v="1007"/>
    <n v="990"/>
    <n v="1003.6"/>
    <s v=""/>
    <s v="assinatura"/>
    <n v="239"/>
    <n v="1000"/>
    <n v="3.6000000000000229E-3"/>
    <n v="3.6000000000000227"/>
    <x v="0"/>
    <x v="0"/>
  </r>
  <r>
    <x v="44"/>
    <x v="3"/>
    <s v="6abf3abcfeff8ad157fab59d"/>
    <s v="01/10/2026 22:22:08"/>
    <s v="02/10/2026 02:01:48"/>
    <s v="Ranieli"/>
    <s v="01/10/2026"/>
    <x v="0"/>
    <s v="JOSEFA KELY NUNES DE SOUSA"/>
    <n v="42862"/>
    <n v="2025"/>
    <n v="2017"/>
    <n v="2029"/>
    <n v="1994"/>
    <n v="2026"/>
    <n v="2016"/>
    <n v="2013"/>
    <n v="1999"/>
    <n v="1996"/>
    <n v="2008"/>
    <n v="2012.3"/>
    <s v=""/>
    <s v="assinatura"/>
    <n v="132"/>
    <n v="2000"/>
    <n v="6.1499999999999775E-3"/>
    <n v="12.299999999999955"/>
    <x v="5"/>
    <x v="1"/>
  </r>
  <r>
    <x v="44"/>
    <x v="3"/>
    <s v="6abf3abcfeff8ad157fab597"/>
    <s v="01/10/2026 22:19:50"/>
    <s v="02/10/2026 02:01:48"/>
    <s v="Ranieli"/>
    <s v="01/10/2026"/>
    <x v="0"/>
    <s v="JOSEFA KELY NUNES DE SOUSA"/>
    <n v="42854"/>
    <n v="2093"/>
    <n v="2013"/>
    <n v="2084"/>
    <n v="2115"/>
    <n v="2109"/>
    <n v="2104"/>
    <n v="2082"/>
    <n v="2099"/>
    <n v="2020"/>
    <n v="2078"/>
    <n v="2079.6999999999998"/>
    <s v=""/>
    <s v=""/>
    <n v="123"/>
    <n v="2080"/>
    <n v="-1.4423076923085669E-4"/>
    <n v="-0.3000000000001819"/>
    <x v="4"/>
    <x v="1"/>
  </r>
  <r>
    <x v="44"/>
    <x v="3"/>
    <s v="6abf3abcfeff8ad157fab591"/>
    <s v="01/10/2026 22:17:38"/>
    <s v="02/10/2026 02:01:48"/>
    <s v="Ranieli"/>
    <s v="01/10/2026"/>
    <x v="0"/>
    <s v="JOSEFA KELY NUNES DE SOUSA"/>
    <n v="42820"/>
    <n v="2029"/>
    <n v="2006"/>
    <n v="2050"/>
    <n v="2042"/>
    <n v="2066"/>
    <n v="2051"/>
    <n v="2080"/>
    <n v="2020"/>
    <n v="2061"/>
    <n v="2058"/>
    <n v="2046.3"/>
    <s v=""/>
    <s v="assinatura"/>
    <n v="130"/>
    <n v="2000"/>
    <n v="2.3149999999999976E-2"/>
    <n v="46.299999999999955"/>
    <x v="10"/>
    <x v="1"/>
  </r>
  <r>
    <x v="44"/>
    <x v="3"/>
    <s v="6abf3abcfeff8ad157fab58b"/>
    <s v="01/10/2026 22:15:29"/>
    <s v="02/10/2026 02:01:48"/>
    <s v="Ranieli"/>
    <s v="01/10/2026"/>
    <x v="0"/>
    <s v="JOSEFA KELY NUNES DE SOUSA"/>
    <n v="42838"/>
    <n v="2019"/>
    <n v="1975"/>
    <n v="2013"/>
    <n v="1999"/>
    <n v="2023"/>
    <n v="2034"/>
    <n v="2022"/>
    <n v="2037"/>
    <n v="2024"/>
    <n v="2036"/>
    <n v="2018.2"/>
    <s v=""/>
    <s v=""/>
    <n v="128"/>
    <n v="2000"/>
    <n v="9.100000000000023E-3"/>
    <n v="18.200000000000045"/>
    <x v="7"/>
    <x v="1"/>
  </r>
  <r>
    <x v="44"/>
    <x v="3"/>
    <s v="6abf3abcfeff8ad157fab585"/>
    <s v="01/10/2026 22:06:30"/>
    <s v="02/10/2026 02:01:48"/>
    <s v="Ranieli"/>
    <s v="01/10/2026"/>
    <x v="0"/>
    <s v="JOSEFA KELY NUNES DE SOUSA"/>
    <n v="42846"/>
    <n v="2013"/>
    <n v="1995"/>
    <n v="2007"/>
    <n v="2023"/>
    <n v="2008"/>
    <n v="2006"/>
    <n v="2012"/>
    <n v="2015"/>
    <n v="1940"/>
    <n v="2016"/>
    <n v="2003.5"/>
    <s v=""/>
    <s v="assinatura"/>
    <n v="537"/>
    <n v="2000"/>
    <n v="1.75E-3"/>
    <n v="3.5"/>
    <x v="6"/>
    <x v="1"/>
  </r>
  <r>
    <x v="44"/>
    <x v="3"/>
    <s v="6abf3abbfeff8ad157fab579"/>
    <s v="01/10/2026 19:13:46"/>
    <s v="02/10/2026 02:01:47"/>
    <s v="Ranieli"/>
    <s v="01/10/2026"/>
    <x v="0"/>
    <s v="JOSEFA KELY NUNES DE SOUSA"/>
    <n v="209069"/>
    <n v="998"/>
    <n v="1028"/>
    <n v="1006"/>
    <n v="1009"/>
    <n v="1029"/>
    <n v="1013"/>
    <n v="1002"/>
    <n v="1019"/>
    <n v="1008"/>
    <n v="1009"/>
    <n v="1012.1"/>
    <s v=""/>
    <s v="assinatura"/>
    <n v="7327"/>
    <n v="1000"/>
    <n v="1.2100000000000022E-2"/>
    <n v="12.100000000000023"/>
    <x v="28"/>
    <x v="0"/>
  </r>
  <r>
    <x v="44"/>
    <x v="3"/>
    <s v="6abf3abbfeff8ad157fab573"/>
    <s v="01/10/2026 19:06:44"/>
    <s v="02/10/2026 02:01:47"/>
    <s v="Ranieli"/>
    <s v="01/10/2026"/>
    <x v="0"/>
    <s v="JOSEFA KELY NUNES DE SOUSA"/>
    <n v="995638"/>
    <n v="15020"/>
    <n v="15020"/>
    <n v="15035"/>
    <n v="15015"/>
    <n v="15035"/>
    <n v="15015"/>
    <n v="15045"/>
    <n v="15045"/>
    <n v="15035"/>
    <n v="15015"/>
    <n v="15028"/>
    <s v=""/>
    <s v="assinatura"/>
    <n v="353"/>
    <n v="15000"/>
    <n v="1.8666666666666666E-3"/>
    <n v="28"/>
    <x v="21"/>
    <x v="3"/>
  </r>
  <r>
    <x v="44"/>
    <x v="3"/>
    <s v="6abf3abbfeff8ad157fab56d"/>
    <s v="01/10/2026 19:00:32"/>
    <s v="02/10/2026 02:01:47"/>
    <s v="Ranieli"/>
    <s v="01/10/2026"/>
    <x v="0"/>
    <s v="JOSEFA KELY NUNES DE SOUSA"/>
    <n v="40762"/>
    <n v="10060"/>
    <n v="10055"/>
    <n v="10010"/>
    <n v="9915"/>
    <n v="9995"/>
    <n v="9970"/>
    <n v="9975"/>
    <n v="9955"/>
    <n v="10000"/>
    <n v="9985"/>
    <n v="9992"/>
    <s v=""/>
    <s v="assinatura"/>
    <n v="345"/>
    <n v="10000"/>
    <n v="-8.0000000000000004E-4"/>
    <n v="-8"/>
    <x v="3"/>
    <x v="1"/>
  </r>
  <r>
    <x v="44"/>
    <x v="3"/>
    <s v="6abf3abbfeff8ad157fab565"/>
    <s v="01/10/2026 18:57:49"/>
    <s v="02/10/2026 02:01:47"/>
    <s v="Ranieli"/>
    <s v="01/10/2026"/>
    <x v="0"/>
    <s v="JOSEFA KELY NUNES DE SOUSA"/>
    <n v="15849"/>
    <n v="1017"/>
    <n v="1016"/>
    <n v="1009"/>
    <n v="1007"/>
    <n v="998"/>
    <n v="1024"/>
    <n v="999"/>
    <n v="1013"/>
    <n v="996"/>
    <n v="997"/>
    <n v="1007.6"/>
    <s v=""/>
    <s v="assinatura"/>
    <n v="157"/>
    <n v="1000"/>
    <n v="7.6000000000000225E-3"/>
    <n v="7.6000000000000227"/>
    <x v="29"/>
    <x v="2"/>
  </r>
  <r>
    <x v="44"/>
    <x v="3"/>
    <s v="6abf3abbfeff8ad157fab55f"/>
    <s v="01/10/2026 17:41:14"/>
    <s v="02/10/2026 02:01:47"/>
    <s v="Ranieli"/>
    <s v="01/10/2026"/>
    <x v="0"/>
    <s v="JOSEFA KELY NUNES DE SOUSA"/>
    <n v="40762"/>
    <n v="9985"/>
    <n v="10050"/>
    <n v="10025"/>
    <n v="10075"/>
    <n v="9965"/>
    <n v="9930"/>
    <n v="10010"/>
    <n v="10035"/>
    <n v="10050"/>
    <n v="10050"/>
    <n v="10017.5"/>
    <s v=""/>
    <s v="assinatura"/>
    <n v="30001"/>
    <n v="10000"/>
    <n v="1.75E-3"/>
    <n v="17.5"/>
    <x v="3"/>
    <x v="1"/>
  </r>
  <r>
    <x v="44"/>
    <x v="3"/>
    <s v="6abf3abbfeff8ad157fab559"/>
    <s v="01/10/2026 17:35:05"/>
    <s v="02/10/2026 02:01:47"/>
    <s v="Ranieli"/>
    <s v="01/10/2026"/>
    <x v="0"/>
    <s v="JOSEFA KELY NUNES DE SOUSA"/>
    <n v="15229"/>
    <n v="1001"/>
    <n v="1010"/>
    <n v="1009"/>
    <n v="1004"/>
    <n v="1000"/>
    <n v="1004"/>
    <n v="1008"/>
    <n v="996"/>
    <n v="1003"/>
    <n v="1004"/>
    <n v="1003.9"/>
    <s v=""/>
    <s v="assinatura"/>
    <n v="125"/>
    <n v="1000"/>
    <n v="3.8999999999999773E-3"/>
    <n v="3.8999999999999773"/>
    <x v="9"/>
    <x v="1"/>
  </r>
  <r>
    <x v="44"/>
    <x v="3"/>
    <s v="6abf3abbfeff8ad157fab553"/>
    <s v="01/10/2026 17:29:50"/>
    <s v="02/10/2026 02:01:47"/>
    <s v="Ranieli"/>
    <s v="01/10/2026"/>
    <x v="0"/>
    <s v="JOSEFA KELY NUNES DE SOUSA"/>
    <n v="42641"/>
    <n v="15070"/>
    <n v="15120"/>
    <n v="15115"/>
    <n v="15105"/>
    <n v="15080"/>
    <n v="15095"/>
    <n v="15085"/>
    <n v="15060"/>
    <n v="15050"/>
    <n v="15090"/>
    <n v="15087"/>
    <s v=""/>
    <s v="assinatura"/>
    <n v="30646"/>
    <n v="15000"/>
    <n v="5.7999999999999996E-3"/>
    <n v="87"/>
    <x v="12"/>
    <x v="3"/>
  </r>
  <r>
    <x v="44"/>
    <x v="3"/>
    <s v="6abf3abbfeff8ad157fab54d"/>
    <s v="01/10/2026 17:26:01"/>
    <s v="02/10/2026 02:01:47"/>
    <s v="Ranieli"/>
    <s v="01/10/2026"/>
    <x v="0"/>
    <s v="JOSEFA KELY NUNES DE SOUSA"/>
    <n v="15849"/>
    <n v="1009"/>
    <n v="1010"/>
    <n v="1008"/>
    <n v="1016"/>
    <n v="992"/>
    <n v="1008"/>
    <n v="1013"/>
    <n v="1003"/>
    <n v="1003"/>
    <n v="1003"/>
    <n v="1006.5"/>
    <s v=""/>
    <s v="assinatura"/>
    <n v="30821"/>
    <n v="1000"/>
    <n v="6.4999999999999997E-3"/>
    <n v="6.5"/>
    <x v="29"/>
    <x v="2"/>
  </r>
  <r>
    <x v="44"/>
    <x v="3"/>
    <s v="6abf3abbfeff8ad157fab547"/>
    <s v="01/10/2026 17:22:16"/>
    <s v="02/10/2026 02:01:47"/>
    <s v="Ranieli"/>
    <s v="01/10/2026"/>
    <x v="0"/>
    <s v="JOSEFA KELY NUNES DE SOUSA"/>
    <n v="15105"/>
    <n v="1011"/>
    <n v="1047"/>
    <n v="1025"/>
    <n v="1057"/>
    <n v="1021"/>
    <n v="1048"/>
    <n v="1012"/>
    <n v="1063"/>
    <n v="998"/>
    <n v="1008"/>
    <n v="1029"/>
    <s v=""/>
    <s v="assinatura"/>
    <n v="31036"/>
    <n v="1000"/>
    <n v="2.9000000000000001E-2"/>
    <n v="29"/>
    <x v="0"/>
    <x v="0"/>
  </r>
  <r>
    <x v="44"/>
    <x v="3"/>
    <s v="6abf1c7676e463e032f56571"/>
    <s v="01/10/2026 23:38:12"/>
    <s v="01/10/2026 23:52:38"/>
    <s v="Ranieli"/>
    <s v="01/10/2026"/>
    <x v="0"/>
    <s v="JULIANE GOMES NOVAIS"/>
    <n v="42854"/>
    <n v="2092"/>
    <n v="2086"/>
    <n v="2072"/>
    <n v="2108"/>
    <n v="2012"/>
    <n v="2091"/>
    <n v="2102"/>
    <n v="2010"/>
    <n v="2022"/>
    <n v="2090"/>
    <n v="2068.5"/>
    <s v=""/>
    <s v="assinatura"/>
    <n v="225"/>
    <n v="2080"/>
    <n v="-5.5288461538461542E-3"/>
    <n v="-11.5"/>
    <x v="4"/>
    <x v="1"/>
  </r>
  <r>
    <x v="44"/>
    <x v="3"/>
    <s v="6abf1c7676e463e032f5656b"/>
    <s v="01/10/2026 23:30:30"/>
    <s v="01/10/2026 23:52:38"/>
    <s v="Ranieli"/>
    <s v="01/10/2026"/>
    <x v="0"/>
    <s v="JULIANE GOMES NOVAIS"/>
    <n v="42862"/>
    <n v="2006"/>
    <n v="2004"/>
    <n v="2027"/>
    <n v="2016"/>
    <n v="2020"/>
    <n v="2057"/>
    <n v="2048"/>
    <n v="2042"/>
    <n v="1995"/>
    <n v="2021"/>
    <n v="2023.6"/>
    <s v=""/>
    <s v="assinatura"/>
    <n v="414"/>
    <n v="2000"/>
    <n v="1.1799999999999955E-2"/>
    <n v="23.599999999999909"/>
    <x v="5"/>
    <x v="1"/>
  </r>
  <r>
    <x v="44"/>
    <x v="3"/>
    <s v="6abf1c7676e463e032f56565"/>
    <s v="01/10/2026 23:23:23"/>
    <s v="01/10/2026 23:52:38"/>
    <s v="Ranieli"/>
    <s v="01/10/2026"/>
    <x v="0"/>
    <s v="JULIANE GOMES NOVAIS"/>
    <n v="42846"/>
    <n v="2007"/>
    <n v="2025"/>
    <n v="2010"/>
    <n v="2009"/>
    <n v="2011"/>
    <n v="2021"/>
    <n v="2007"/>
    <n v="2000"/>
    <n v="2015"/>
    <n v="2011"/>
    <n v="2011.6"/>
    <s v=""/>
    <s v="assinatura"/>
    <n v="808"/>
    <n v="2000"/>
    <n v="5.7999999999999545E-3"/>
    <n v="11.599999999999909"/>
    <x v="6"/>
    <x v="1"/>
  </r>
  <r>
    <x v="44"/>
    <x v="3"/>
    <s v="6abf1c7676e463e032f5655f"/>
    <s v="01/10/2026 23:19:41"/>
    <s v="01/10/2026 23:52:38"/>
    <s v="Ranieli"/>
    <s v="01/10/2026"/>
    <x v="0"/>
    <s v="JULIANE GOMES NOVAIS"/>
    <n v="42838"/>
    <n v="2070"/>
    <n v="2020"/>
    <n v="2015"/>
    <n v="2055"/>
    <n v="2021"/>
    <n v="2033"/>
    <n v="2031"/>
    <n v="2019"/>
    <n v="2037"/>
    <n v="2059"/>
    <n v="2036"/>
    <s v=""/>
    <s v="assinatura"/>
    <n v="995"/>
    <n v="2000"/>
    <n v="1.7999999999999999E-2"/>
    <n v="36"/>
    <x v="7"/>
    <x v="1"/>
  </r>
  <r>
    <x v="44"/>
    <x v="3"/>
    <s v="6abf1c7676e463e032f56559"/>
    <s v="01/10/2026 23:16:29"/>
    <s v="01/10/2026 23:52:38"/>
    <s v="Ranieli"/>
    <s v="01/10/2026"/>
    <x v="0"/>
    <s v="JULIANE GOMES NOVAIS"/>
    <n v="42820"/>
    <n v="2062"/>
    <n v="2024"/>
    <n v="2050"/>
    <n v="2066"/>
    <n v="2048"/>
    <n v="2035"/>
    <n v="2040"/>
    <n v="2008"/>
    <n v="2050"/>
    <n v="2010"/>
    <n v="2039.3"/>
    <s v=""/>
    <s v="assinatura"/>
    <n v="1171"/>
    <n v="2000"/>
    <n v="1.9649999999999977E-2"/>
    <n v="39.299999999999955"/>
    <x v="10"/>
    <x v="1"/>
  </r>
  <r>
    <x v="44"/>
    <x v="3"/>
    <s v="6abf0b369b405ad761b0c713"/>
    <s v="01/10/2026 22:06:37"/>
    <s v="01/10/2026 22:39:02"/>
    <s v="Ranieli"/>
    <s v="01/10/2026"/>
    <x v="0"/>
    <s v="JULIANE GOMES NOVAIS"/>
    <n v="15105"/>
    <n v="1046"/>
    <n v="1045"/>
    <n v="1038"/>
    <n v="1014"/>
    <n v="1015"/>
    <n v="998"/>
    <n v="1006"/>
    <n v="1010"/>
    <n v="1000"/>
    <n v="1042"/>
    <n v="1021.4"/>
    <s v=""/>
    <s v="assinatura"/>
    <n v="226"/>
    <n v="1000"/>
    <n v="2.1399999999999978E-2"/>
    <n v="21.399999999999977"/>
    <x v="0"/>
    <x v="0"/>
  </r>
  <r>
    <x v="44"/>
    <x v="3"/>
    <s v="6abeef192a994604e49ff4e5"/>
    <s v="01/10/2026 18:20:27"/>
    <s v="01/10/2026 20:39:05"/>
    <s v="Ranieli"/>
    <s v="01/10/2026"/>
    <x v="0"/>
    <s v="JULIANE GOMES NOVAIS"/>
    <n v="13188"/>
    <n v="994"/>
    <n v="1003"/>
    <n v="1011"/>
    <n v="995"/>
    <n v="1004"/>
    <n v="993"/>
    <n v="1010"/>
    <n v="995"/>
    <n v="997"/>
    <n v="999"/>
    <n v="1000.1"/>
    <s v=""/>
    <s v="assinatura"/>
    <n v="8318"/>
    <n v="1000"/>
    <n v="1.0000000000002273E-4"/>
    <n v="0.10000000000002274"/>
    <x v="8"/>
    <x v="1"/>
  </r>
  <r>
    <x v="44"/>
    <x v="3"/>
    <s v="6abeeef8bd86e569124905b8"/>
    <s v="01/10/2026 19:05:48"/>
    <s v="01/10/2026 20:38:32"/>
    <s v="Ranieli"/>
    <s v="01/10/2026"/>
    <x v="0"/>
    <s v="JULIANE GOMES NOVAIS"/>
    <n v="15105"/>
    <n v="1028"/>
    <n v="1026"/>
    <n v="1010"/>
    <n v="1025"/>
    <n v="988"/>
    <n v="1037"/>
    <n v="1002"/>
    <n v="1013"/>
    <n v="1009"/>
    <n v="1014"/>
    <n v="1015.2"/>
    <s v=""/>
    <s v="assinatura"/>
    <n v="145"/>
    <n v="1000"/>
    <n v="1.5200000000000045E-2"/>
    <n v="15.200000000000045"/>
    <x v="0"/>
    <x v="0"/>
  </r>
  <r>
    <x v="22"/>
    <x v="2"/>
    <s v="6abeeef8bd86e569124905b0"/>
    <s v="30/09/2026 22:46:57"/>
    <s v="01/10/2026 20:38:32"/>
    <s v="Ranieli"/>
    <s v="01/09/2026"/>
    <x v="0"/>
    <s v="JULIANE GOMES NOVAIS"/>
    <n v="18163"/>
    <n v="973"/>
    <n v="934"/>
    <n v="995"/>
    <n v="985"/>
    <n v="948"/>
    <n v="971"/>
    <n v="974"/>
    <n v="970"/>
    <n v="968"/>
    <n v="1000"/>
    <n v="971.8"/>
    <s v=""/>
    <s v="assinatura"/>
    <n v="72864"/>
    <n v="1000"/>
    <n v="-2.8200000000000044E-2"/>
    <n v="-28.200000000000045"/>
    <x v="27"/>
    <x v="6"/>
  </r>
  <r>
    <x v="44"/>
    <x v="3"/>
    <s v="6abe86154535e34def6f29fc"/>
    <s v="01/10/2026 08:56:55"/>
    <s v="01/10/2026 13:11:01"/>
    <s v="Ranieli"/>
    <s v="01/10/2026"/>
    <x v="1"/>
    <s v="ALANA DA SILVA MARTINS"/>
    <n v="15229"/>
    <n v="1098"/>
    <n v="1105"/>
    <n v="1074"/>
    <n v="1026"/>
    <n v="1030"/>
    <n v="1085"/>
    <n v="1078"/>
    <n v="1061"/>
    <n v="1024"/>
    <n v="1073"/>
    <n v="1065.4000000000001"/>
    <s v=""/>
    <s v="assinatura"/>
    <n v="343"/>
    <n v="1000"/>
    <n v="6.5400000000000097E-2"/>
    <n v="65.400000000000091"/>
    <x v="9"/>
    <x v="1"/>
  </r>
  <r>
    <x v="44"/>
    <x v="3"/>
    <s v="6abe86154535e34def6f29f6"/>
    <s v="01/10/2026 08:53:43"/>
    <s v="01/10/2026 13:11:01"/>
    <s v="Ranieli"/>
    <s v="01/10/2026"/>
    <x v="1"/>
    <s v="ALANA DA SILVA MARTINS"/>
    <n v="54632"/>
    <n v="1036"/>
    <n v="999"/>
    <n v="987"/>
    <n v="1024"/>
    <n v="1010"/>
    <n v="1020"/>
    <n v="1027"/>
    <n v="998"/>
    <n v="1004"/>
    <n v="990"/>
    <n v="1009.5"/>
    <s v=""/>
    <s v="assinatura"/>
    <n v="555"/>
    <n v="1000"/>
    <n v="9.4999999999999998E-3"/>
    <n v="9.5"/>
    <x v="11"/>
    <x v="1"/>
  </r>
  <r>
    <x v="44"/>
    <x v="3"/>
    <s v="6abe86154535e34def6f29f0"/>
    <s v="01/10/2026 08:48:56"/>
    <s v="01/10/2026 13:11:01"/>
    <s v="Ranieli"/>
    <s v="01/10/2026"/>
    <x v="1"/>
    <s v="ALANA DA SILVA MARTINS"/>
    <n v="13188"/>
    <n v="1026"/>
    <n v="1050"/>
    <n v="1059"/>
    <n v="1094"/>
    <n v="1044"/>
    <n v="1096"/>
    <n v="1045"/>
    <n v="1083"/>
    <n v="1084"/>
    <n v="1101"/>
    <n v="1068.2"/>
    <s v=""/>
    <s v="assinatura"/>
    <n v="877"/>
    <n v="1000"/>
    <n v="6.8200000000000052E-2"/>
    <n v="68.200000000000045"/>
    <x v="8"/>
    <x v="1"/>
  </r>
  <r>
    <x v="45"/>
    <x v="3"/>
    <s v="6ac486f64854db7e48d93b4a"/>
    <s v="05/10/2026 22:57:12"/>
    <s v="06/10/2026 02:28:22"/>
    <s v="Ranieli"/>
    <s v="05/10/2026"/>
    <x v="0"/>
    <s v="JOSEFA KELY NUNES DE SOUSA"/>
    <n v="40762"/>
    <n v="10020"/>
    <n v="10035"/>
    <n v="10040"/>
    <n v="10020"/>
    <n v="9985"/>
    <n v="9960"/>
    <n v="10030"/>
    <n v="9990"/>
    <n v="10005"/>
    <n v="9970"/>
    <n v="10005.5"/>
    <s v=""/>
    <s v="assinatura"/>
    <n v="8797"/>
    <n v="10000"/>
    <n v="5.5000000000000003E-4"/>
    <n v="5.5"/>
    <x v="3"/>
    <x v="1"/>
  </r>
  <r>
    <x v="45"/>
    <x v="3"/>
    <s v="6ac486f64854db7e48d93b44"/>
    <s v="05/10/2026 22:51:45"/>
    <s v="06/10/2026 02:28:22"/>
    <s v="Ranieli"/>
    <s v="05/10/2026"/>
    <x v="0"/>
    <s v="JOSEFA KELY NUNES DE SOUSA"/>
    <n v="963925"/>
    <n v="18140"/>
    <n v="18250"/>
    <n v="18235"/>
    <n v="18080"/>
    <n v="18170"/>
    <n v="18055"/>
    <n v="18450"/>
    <n v="18360"/>
    <n v="18120"/>
    <n v="18180"/>
    <n v="18204"/>
    <s v=""/>
    <s v="assinatura"/>
    <n v="9113"/>
    <n v="18000"/>
    <n v="1.1333333333333334E-2"/>
    <n v="204"/>
    <x v="15"/>
    <x v="3"/>
  </r>
  <r>
    <x v="45"/>
    <x v="3"/>
    <s v="6ac486f64854db7e48d93b3e"/>
    <s v="05/10/2026 22:39:21"/>
    <s v="06/10/2026 02:28:22"/>
    <s v="Ranieli"/>
    <s v="05/10/2026"/>
    <x v="0"/>
    <s v="JOSEFA KELY NUNES DE SOUSA"/>
    <n v="42641"/>
    <n v="15075"/>
    <n v="15065"/>
    <n v="15030"/>
    <n v="14900"/>
    <n v="15025"/>
    <n v="15055"/>
    <n v="14935"/>
    <n v="14900"/>
    <n v="15005"/>
    <n v="14950"/>
    <n v="14994"/>
    <s v=""/>
    <s v="assinatura"/>
    <n v="9846"/>
    <n v="15000"/>
    <n v="-4.0000000000000002E-4"/>
    <n v="-6"/>
    <x v="12"/>
    <x v="3"/>
  </r>
  <r>
    <x v="45"/>
    <x v="3"/>
    <s v="6ac486f64854db7e48d93b38"/>
    <s v="05/10/2026 22:34:37"/>
    <s v="06/10/2026 02:28:22"/>
    <s v="Ranieli"/>
    <s v="05/10/2026"/>
    <x v="0"/>
    <s v="JOSEFA KELY NUNES DE SOUSA"/>
    <n v="15105"/>
    <n v="1034"/>
    <n v="1033"/>
    <n v="1028"/>
    <n v="1038"/>
    <n v="993"/>
    <n v="850"/>
    <n v="1012"/>
    <n v="1016"/>
    <n v="1052"/>
    <n v="1028"/>
    <n v="1008.4"/>
    <s v=""/>
    <s v=""/>
    <n v="10118"/>
    <n v="1000"/>
    <n v="8.3999999999999769E-3"/>
    <n v="8.3999999999999773"/>
    <x v="0"/>
    <x v="0"/>
  </r>
  <r>
    <x v="45"/>
    <x v="3"/>
    <s v="6ac486f64854db7e48d93b32"/>
    <s v="05/10/2026 22:32:25"/>
    <s v="06/10/2026 02:28:22"/>
    <s v="Ranieli"/>
    <s v="05/10/2026"/>
    <x v="0"/>
    <s v="JOSEFA KELY NUNES DE SOUSA"/>
    <n v="15849"/>
    <n v="1003"/>
    <n v="1012"/>
    <n v="1019"/>
    <n v="1014"/>
    <n v="1005"/>
    <n v="1002"/>
    <n v="1016"/>
    <n v="1033"/>
    <n v="1015"/>
    <n v="1021"/>
    <n v="1014"/>
    <s v=""/>
    <s v="assinatura"/>
    <n v="10242"/>
    <n v="1000"/>
    <n v="1.4E-2"/>
    <n v="14"/>
    <x v="29"/>
    <x v="2"/>
  </r>
  <r>
    <x v="45"/>
    <x v="3"/>
    <s v="6ac486f54854db7e48d93b20"/>
    <s v="05/10/2026 19:35:40"/>
    <s v="06/10/2026 02:28:21"/>
    <s v="Ranieli"/>
    <s v="05/10/2026"/>
    <x v="0"/>
    <s v="JOSEFA KELY NUNES DE SOUSA"/>
    <n v="209129"/>
    <n v="1014"/>
    <n v="1000"/>
    <n v="939"/>
    <n v="1001"/>
    <n v="1010"/>
    <n v="1003"/>
    <n v="1008"/>
    <n v="996"/>
    <n v="1014"/>
    <n v="1011"/>
    <n v="999.6"/>
    <s v=""/>
    <s v="assinatura"/>
    <n v="20738"/>
    <n v="1000"/>
    <n v="-3.9999999999997725E-4"/>
    <n v="-0.39999999999997726"/>
    <x v="39"/>
    <x v="2"/>
  </r>
  <r>
    <x v="45"/>
    <x v="3"/>
    <s v="6ac486f54854db7e48d93b1a"/>
    <s v="05/10/2026 18:58:19"/>
    <s v="06/10/2026 02:28:21"/>
    <s v="Ranieli"/>
    <s v="05/10/2026"/>
    <x v="0"/>
    <s v="JOSEFA KELY NUNES DE SOUSA"/>
    <n v="15849"/>
    <n v="1015"/>
    <n v="1014"/>
    <n v="1010"/>
    <n v="1008"/>
    <n v="994"/>
    <n v="1011"/>
    <n v="1001"/>
    <n v="1002"/>
    <n v="1013"/>
    <n v="1012"/>
    <n v="1008"/>
    <s v=""/>
    <s v="assinatura"/>
    <n v="22963"/>
    <n v="1000"/>
    <n v="8.0000000000000002E-3"/>
    <n v="8"/>
    <x v="29"/>
    <x v="2"/>
  </r>
  <r>
    <x v="45"/>
    <x v="3"/>
    <s v="6ac486f54854db7e48d93b14"/>
    <s v="05/10/2026 18:54:58"/>
    <s v="06/10/2026 02:28:21"/>
    <s v="Ranieli"/>
    <s v="05/10/2026"/>
    <x v="0"/>
    <s v="JOSEFA KELY NUNES DE SOUSA"/>
    <n v="992093"/>
    <n v="5011"/>
    <n v="5013"/>
    <n v="5006"/>
    <n v="5004"/>
    <n v="5020"/>
    <n v="5010"/>
    <n v="5001"/>
    <n v="5011"/>
    <n v="5013"/>
    <n v="5009"/>
    <n v="5009.8"/>
    <s v=""/>
    <s v="assinatura"/>
    <n v="179"/>
    <n v="5000"/>
    <n v="1.9600000000000364E-3"/>
    <n v="9.8000000000001819"/>
    <x v="13"/>
    <x v="3"/>
  </r>
  <r>
    <x v="45"/>
    <x v="3"/>
    <s v="6ac486f54854db7e48d93b0e"/>
    <s v="05/10/2026 18:50:26"/>
    <s v="06/10/2026 02:28:21"/>
    <s v="Ranieli"/>
    <s v="05/10/2026"/>
    <x v="0"/>
    <s v="JOSEFA KELY NUNES DE SOUSA"/>
    <n v="40762"/>
    <n v="10035"/>
    <n v="9975"/>
    <n v="9925"/>
    <n v="9995"/>
    <n v="9955"/>
    <n v="10065"/>
    <n v="10070"/>
    <n v="10030"/>
    <n v="9975"/>
    <n v="9985"/>
    <n v="10001"/>
    <s v=""/>
    <s v="assinatura"/>
    <n v="23412"/>
    <n v="10000"/>
    <n v="1E-4"/>
    <n v="1"/>
    <x v="3"/>
    <x v="1"/>
  </r>
  <r>
    <x v="45"/>
    <x v="3"/>
    <s v="6ac486f54854db7e48d93b08"/>
    <s v="05/10/2026 18:43:05"/>
    <s v="06/10/2026 02:28:21"/>
    <s v="Ranieli"/>
    <s v="05/10/2026"/>
    <x v="0"/>
    <s v="JOSEFA KELY NUNES DE SOUSA"/>
    <n v="864048"/>
    <n v="2013"/>
    <n v="2021"/>
    <n v="2003"/>
    <n v="2058"/>
    <n v="2012"/>
    <n v="2015"/>
    <n v="2024"/>
    <n v="2010"/>
    <n v="2002"/>
    <n v="2003"/>
    <n v="2016.1"/>
    <s v=""/>
    <s v="assinatura"/>
    <n v="23832"/>
    <n v="2000"/>
    <n v="8.0499999999999548E-3"/>
    <n v="16.099999999999909"/>
    <x v="26"/>
    <x v="1"/>
  </r>
  <r>
    <x v="45"/>
    <x v="3"/>
    <s v="6ac486f54854db7e48d93b02"/>
    <s v="05/10/2026 18:41:18"/>
    <s v="06/10/2026 02:28:21"/>
    <s v="Ranieli"/>
    <s v="05/10/2026"/>
    <x v="0"/>
    <s v="JOSEFA KELY NUNES DE SOUSA"/>
    <n v="42854"/>
    <n v="2015"/>
    <n v="2110"/>
    <n v="2095"/>
    <n v="2099"/>
    <n v="2085"/>
    <n v="2082"/>
    <n v="2005"/>
    <n v="2105"/>
    <n v="2055"/>
    <n v="2078"/>
    <n v="2072.9"/>
    <s v=""/>
    <s v="assinatura"/>
    <n v="23924"/>
    <n v="2080"/>
    <n v="-3.4134615384614946E-3"/>
    <n v="-7.0999999999999091"/>
    <x v="4"/>
    <x v="1"/>
  </r>
  <r>
    <x v="45"/>
    <x v="3"/>
    <s v="6ac486f54854db7e48d93afc"/>
    <s v="05/10/2026 18:36:21"/>
    <s v="06/10/2026 02:28:21"/>
    <s v="Ranieli"/>
    <s v="05/10/2026"/>
    <x v="0"/>
    <s v="JOSEFA KELY NUNES DE SOUSA"/>
    <n v="42862"/>
    <n v="2030"/>
    <n v="1950"/>
    <n v="2015"/>
    <n v="2020"/>
    <n v="2018"/>
    <n v="2006"/>
    <n v="2013"/>
    <n v="2009"/>
    <n v="2008"/>
    <n v="2021"/>
    <n v="2009"/>
    <s v=""/>
    <s v="assinatura"/>
    <n v="24190"/>
    <n v="2000"/>
    <n v="4.4999999999999997E-3"/>
    <n v="9"/>
    <x v="5"/>
    <x v="1"/>
  </r>
  <r>
    <x v="45"/>
    <x v="3"/>
    <s v="6ac486f54854db7e48d93af6"/>
    <s v="05/10/2026 18:34:15"/>
    <s v="06/10/2026 02:28:21"/>
    <s v="Ranieli"/>
    <s v="05/10/2026"/>
    <x v="0"/>
    <s v="JOSEFA KELY NUNES DE SOUSA"/>
    <n v="42846"/>
    <n v="2023"/>
    <n v="2013"/>
    <n v="2019"/>
    <n v="1995"/>
    <n v="1997"/>
    <n v="2008"/>
    <n v="2034"/>
    <n v="2011"/>
    <n v="2000"/>
    <n v="2016"/>
    <n v="2011.6"/>
    <s v=""/>
    <s v=""/>
    <n v="24285"/>
    <n v="2000"/>
    <n v="5.7999999999999545E-3"/>
    <n v="11.599999999999909"/>
    <x v="6"/>
    <x v="1"/>
  </r>
  <r>
    <x v="45"/>
    <x v="3"/>
    <s v="6ac486f54854db7e48d93af0"/>
    <s v="05/10/2026 18:27:02"/>
    <s v="06/10/2026 02:28:21"/>
    <s v="Ranieli"/>
    <s v="05/10/2026"/>
    <x v="0"/>
    <s v="JOSEFA KELY NUNES DE SOUSA"/>
    <n v="42838"/>
    <n v="2061"/>
    <n v="2046"/>
    <n v="2003"/>
    <n v="2026"/>
    <n v="2010"/>
    <n v="2019"/>
    <n v="2024"/>
    <n v="2021"/>
    <n v="2014"/>
    <n v="2010"/>
    <n v="2023.4"/>
    <s v=""/>
    <s v="assinatura"/>
    <n v="411"/>
    <n v="2000"/>
    <n v="1.1700000000000045E-2"/>
    <n v="23.400000000000091"/>
    <x v="7"/>
    <x v="1"/>
  </r>
  <r>
    <x v="45"/>
    <x v="3"/>
    <s v="6ac486f54854db7e48d93aea"/>
    <s v="05/10/2026 17:57:27"/>
    <s v="06/10/2026 02:28:21"/>
    <s v="Ranieli"/>
    <s v="05/10/2026"/>
    <x v="0"/>
    <s v="JOSEFA KELY NUNES DE SOUSA"/>
    <n v="995638"/>
    <n v="15050"/>
    <n v="15070"/>
    <n v="15065"/>
    <n v="15055"/>
    <n v="15090"/>
    <n v="15065"/>
    <n v="15085"/>
    <n v="15090"/>
    <n v="15070"/>
    <n v="15065"/>
    <n v="15070.5"/>
    <s v=""/>
    <s v="assinatura"/>
    <n v="26482"/>
    <n v="15000"/>
    <n v="4.7000000000000002E-3"/>
    <n v="70.5"/>
    <x v="21"/>
    <x v="3"/>
  </r>
  <r>
    <x v="45"/>
    <x v="3"/>
    <s v="6ac486f54854db7e48d93ae2"/>
    <s v="05/10/2026 17:55:18"/>
    <s v="06/10/2026 02:28:21"/>
    <s v="Ranieli"/>
    <s v="05/10/2026"/>
    <x v="0"/>
    <s v="JOSEFA KELY NUNES DE SOUSA"/>
    <n v="42641"/>
    <n v="15040"/>
    <n v="15095"/>
    <n v="15055"/>
    <n v="15045"/>
    <n v="15055"/>
    <n v="15055"/>
    <n v="15055"/>
    <n v="15010"/>
    <n v="15045"/>
    <n v="15055"/>
    <n v="15051"/>
    <s v=""/>
    <s v="assinatura"/>
    <n v="26599"/>
    <n v="15000"/>
    <n v="3.3999999999999998E-3"/>
    <n v="51"/>
    <x v="12"/>
    <x v="3"/>
  </r>
  <r>
    <x v="45"/>
    <x v="3"/>
    <s v="6ac486f54854db7e48d93adc"/>
    <s v="05/10/2026 17:51:49"/>
    <s v="06/10/2026 02:28:21"/>
    <s v="Ranieli"/>
    <s v="05/10/2026"/>
    <x v="0"/>
    <s v="JOSEFA KELY NUNES DE SOUSA"/>
    <n v="15105"/>
    <n v="1030"/>
    <n v="1018"/>
    <n v="1012"/>
    <n v="995"/>
    <n v="990"/>
    <n v="996"/>
    <n v="1002"/>
    <n v="1015"/>
    <n v="1010"/>
    <n v="1038"/>
    <n v="1010.6"/>
    <s v=""/>
    <s v="assinatura"/>
    <n v="26796"/>
    <n v="1000"/>
    <n v="1.0600000000000023E-2"/>
    <n v="10.600000000000023"/>
    <x v="0"/>
    <x v="0"/>
  </r>
  <r>
    <x v="45"/>
    <x v="3"/>
    <s v="6ac459469b7db2ba7646aa77"/>
    <s v="05/10/2026 22:37:12"/>
    <s v="05/10/2026 23:13:26"/>
    <s v="Ranieli"/>
    <s v="05/10/2026"/>
    <x v="0"/>
    <s v="JULIANE GOMES NOVAIS"/>
    <n v="40762"/>
    <n v="10055"/>
    <n v="10005"/>
    <n v="10045"/>
    <n v="9965"/>
    <n v="9980"/>
    <n v="10090"/>
    <n v="10015"/>
    <n v="10050"/>
    <n v="10055"/>
    <n v="10045"/>
    <n v="10030.5"/>
    <s v=""/>
    <s v="assinatura"/>
    <n v="2159"/>
    <n v="10000"/>
    <n v="3.0500000000000002E-3"/>
    <n v="30.5"/>
    <x v="3"/>
    <x v="1"/>
  </r>
  <r>
    <x v="45"/>
    <x v="3"/>
    <s v="6ac44fa7826700b8f0e72f45"/>
    <s v="05/10/2026 22:21:15"/>
    <s v="05/10/2026 22:32:23"/>
    <s v="Ranieli"/>
    <s v="05/10/2026"/>
    <x v="0"/>
    <s v="JULIANE GOMES NOVAIS"/>
    <n v="42838"/>
    <n v="2054"/>
    <n v="2020"/>
    <n v="2032"/>
    <n v="2022"/>
    <n v="2030"/>
    <n v="2020"/>
    <n v="2016"/>
    <n v="2008"/>
    <n v="2023"/>
    <n v="2007"/>
    <n v="2023.2"/>
    <s v=""/>
    <s v="assinatura"/>
    <n v="229"/>
    <n v="2000"/>
    <n v="1.1600000000000023E-2"/>
    <n v="23.200000000000045"/>
    <x v="7"/>
    <x v="1"/>
  </r>
  <r>
    <x v="45"/>
    <x v="3"/>
    <s v="6ac44fa7826700b8f0e72f3f"/>
    <s v="05/10/2026 22:16:22"/>
    <s v="05/10/2026 22:32:23"/>
    <s v="Ranieli"/>
    <s v="05/10/2026"/>
    <x v="0"/>
    <s v="JULIANE GOMES NOVAIS"/>
    <n v="42854"/>
    <n v="2110"/>
    <n v="2131"/>
    <n v="2098"/>
    <n v="2117"/>
    <n v="2097"/>
    <n v="2027"/>
    <n v="2085"/>
    <n v="2075"/>
    <n v="2068"/>
    <n v="2046"/>
    <n v="2085.4"/>
    <s v=""/>
    <s v="assinatura"/>
    <n v="507"/>
    <n v="2080"/>
    <n v="2.5961538461538899E-3"/>
    <n v="5.4000000000000909"/>
    <x v="4"/>
    <x v="1"/>
  </r>
  <r>
    <x v="45"/>
    <x v="3"/>
    <s v="6ac44fa7826700b8f0e72f39"/>
    <s v="05/10/2026 22:07:04"/>
    <s v="05/10/2026 22:32:23"/>
    <s v="Ranieli"/>
    <s v="05/10/2026"/>
    <x v="0"/>
    <s v="JULIANE GOMES NOVAIS"/>
    <n v="42846"/>
    <n v="2015"/>
    <n v="2013"/>
    <n v="2010"/>
    <n v="1999"/>
    <n v="2015"/>
    <n v="2014"/>
    <n v="2009"/>
    <n v="2012"/>
    <n v="2002"/>
    <n v="2005"/>
    <n v="2009.4"/>
    <s v=""/>
    <s v="assinatura"/>
    <n v="550"/>
    <n v="2000"/>
    <n v="4.7000000000000453E-3"/>
    <n v="9.4000000000000909"/>
    <x v="6"/>
    <x v="1"/>
  </r>
  <r>
    <x v="45"/>
    <x v="3"/>
    <s v="6ac44fa7826700b8f0e72f33"/>
    <s v="05/10/2026 22:03:40"/>
    <s v="05/10/2026 22:32:23"/>
    <s v="Ranieli"/>
    <s v="05/10/2026"/>
    <x v="0"/>
    <s v="JULIANE GOMES NOVAIS"/>
    <n v="42862"/>
    <n v="2023"/>
    <n v="2022"/>
    <n v="2013"/>
    <n v="2019"/>
    <n v="2015"/>
    <n v="2007"/>
    <n v="2008"/>
    <n v="2006"/>
    <n v="2011"/>
    <n v="2026"/>
    <n v="2015"/>
    <s v=""/>
    <s v="assinatura"/>
    <n v="273"/>
    <n v="2000"/>
    <n v="7.4999999999999997E-3"/>
    <n v="15"/>
    <x v="5"/>
    <x v="1"/>
  </r>
  <r>
    <x v="45"/>
    <x v="3"/>
    <s v="6ac44fa7826700b8f0e72f2d"/>
    <s v="05/10/2026 21:58:02"/>
    <s v="05/10/2026 22:32:23"/>
    <s v="Ranieli"/>
    <s v="05/10/2026"/>
    <x v="0"/>
    <s v="JULIANE GOMES NOVAIS"/>
    <n v="42811"/>
    <n v="2062"/>
    <n v="2060"/>
    <n v="2059"/>
    <n v="2054"/>
    <n v="2037"/>
    <n v="2024"/>
    <n v="2071"/>
    <n v="2078"/>
    <n v="2073"/>
    <n v="2013"/>
    <n v="2053.1"/>
    <s v=""/>
    <s v="assinatura"/>
    <n v="315"/>
    <n v="2000"/>
    <n v="2.6549999999999956E-2"/>
    <n v="53.099999999999909"/>
    <x v="32"/>
    <x v="1"/>
  </r>
  <r>
    <x v="45"/>
    <x v="3"/>
    <s v="6ac44fa7826700b8f0e72f27"/>
    <s v="05/10/2026 21:54:17"/>
    <s v="05/10/2026 22:32:23"/>
    <s v="Ranieli"/>
    <s v="05/10/2026"/>
    <x v="0"/>
    <s v="JULIANE GOMES NOVAIS"/>
    <n v="864048"/>
    <n v="2010"/>
    <n v="2024"/>
    <n v="2035"/>
    <n v="2018"/>
    <n v="2007"/>
    <n v="2018"/>
    <n v="2016"/>
    <n v="2013"/>
    <n v="2011"/>
    <n v="2029"/>
    <n v="2018.1"/>
    <s v=""/>
    <s v="assinatura"/>
    <n v="223"/>
    <n v="2000"/>
    <n v="9.0499999999999539E-3"/>
    <n v="18.099999999999909"/>
    <x v="26"/>
    <x v="1"/>
  </r>
  <r>
    <x v="45"/>
    <x v="3"/>
    <s v="6ac443e3826700b8f0e72ad0"/>
    <s v="05/10/2026 21:33:37"/>
    <s v="05/10/2026 21:42:11"/>
    <s v="Ranieli"/>
    <s v="05/10/2026"/>
    <x v="0"/>
    <s v="JULIANE GOMES NOVAIS"/>
    <n v="15105"/>
    <n v="1013"/>
    <n v="1008"/>
    <n v="1016"/>
    <n v="1048"/>
    <n v="1054"/>
    <n v="1030"/>
    <n v="1014"/>
    <n v="1028"/>
    <n v="1010"/>
    <n v="1020"/>
    <n v="1024.0999999999999"/>
    <s v=""/>
    <s v="assinatura"/>
    <n v="186"/>
    <n v="1000"/>
    <n v="2.409999999999991E-2"/>
    <n v="24.099999999999909"/>
    <x v="0"/>
    <x v="0"/>
  </r>
  <r>
    <x v="46"/>
    <x v="3"/>
    <s v="6ac093abdb68f2f72a0ff095"/>
    <s v="02/10/2026 23:33:02"/>
    <s v="03/10/2026 02:33:31"/>
    <s v="Ranieli"/>
    <s v="02/10/2026"/>
    <x v="0"/>
    <s v="JOSEFA KELY NUNES DE SOUSA"/>
    <n v="40762"/>
    <n v="9950"/>
    <n v="9890"/>
    <n v="10000"/>
    <n v="9950"/>
    <n v="9860"/>
    <n v="10125"/>
    <n v="9980"/>
    <n v="10010"/>
    <n v="10020"/>
    <n v="9990"/>
    <n v="9977.5"/>
    <s v=""/>
    <s v="assinatura"/>
    <n v="9348"/>
    <n v="10000"/>
    <n v="-2.2499999999999998E-3"/>
    <n v="-22.5"/>
    <x v="3"/>
    <x v="1"/>
  </r>
  <r>
    <x v="46"/>
    <x v="3"/>
    <s v="6ac093abdb68f2f72a0ff08f"/>
    <s v="02/10/2026 23:16:04"/>
    <s v="03/10/2026 02:33:31"/>
    <s v="Ranieli"/>
    <s v="02/10/2026"/>
    <x v="0"/>
    <s v="JOSEFA KELY NUNES DE SOUSA"/>
    <n v="963925"/>
    <n v="18000"/>
    <n v="17940"/>
    <n v="17990"/>
    <n v="18375"/>
    <n v="18190"/>
    <n v="18040"/>
    <n v="18260"/>
    <n v="18145"/>
    <n v="18470"/>
    <n v="17985"/>
    <n v="18139.5"/>
    <s v=""/>
    <s v="assinatura"/>
    <n v="10383"/>
    <n v="18000"/>
    <n v="7.7499999999999999E-3"/>
    <n v="139.5"/>
    <x v="15"/>
    <x v="3"/>
  </r>
  <r>
    <x v="46"/>
    <x v="3"/>
    <s v="6ac093aadb68f2f72a0ff089"/>
    <s v="02/10/2026 23:11:23"/>
    <s v="03/10/2026 02:33:30"/>
    <s v="Ranieli"/>
    <s v="02/10/2026"/>
    <x v="0"/>
    <s v="JOSEFA KELY NUNES DE SOUSA"/>
    <n v="992014"/>
    <n v="701"/>
    <n v="713"/>
    <n v="699"/>
    <n v="701"/>
    <n v="710"/>
    <n v="710"/>
    <n v="699"/>
    <n v="705"/>
    <n v="714"/>
    <n v="699"/>
    <n v="705.1"/>
    <s v=""/>
    <s v="assinatura"/>
    <n v="10679"/>
    <n v="700"/>
    <n v="7.2857142857143181E-3"/>
    <n v="5.1000000000000227"/>
    <x v="14"/>
    <x v="1"/>
  </r>
  <r>
    <x v="46"/>
    <x v="3"/>
    <s v="6ac093aadb68f2f72a0ff07d"/>
    <s v="02/10/2026 21:47:32"/>
    <s v="03/10/2026 02:33:30"/>
    <s v="Ranieli"/>
    <s v="02/10/2026"/>
    <x v="0"/>
    <s v="JOSEFA KELY NUNES DE SOUSA"/>
    <n v="42820"/>
    <n v="2097"/>
    <n v="2050"/>
    <n v="2007"/>
    <n v="2016"/>
    <n v="2064"/>
    <n v="2043"/>
    <n v="2053"/>
    <n v="2060"/>
    <n v="2017"/>
    <n v="2019"/>
    <n v="2042.6"/>
    <s v=""/>
    <s v="assinatura"/>
    <n v="15744"/>
    <n v="2000"/>
    <n v="2.1299999999999954E-2"/>
    <n v="42.599999999999909"/>
    <x v="10"/>
    <x v="1"/>
  </r>
  <r>
    <x v="46"/>
    <x v="3"/>
    <s v="6ac093aadb68f2f72a0ff077"/>
    <s v="02/10/2026 21:44:58"/>
    <s v="03/10/2026 02:33:30"/>
    <s v="Ranieli"/>
    <s v="02/10/2026"/>
    <x v="0"/>
    <s v="JOSEFA KELY NUNES DE SOUSA"/>
    <n v="42846"/>
    <n v="2014"/>
    <n v="1996"/>
    <n v="2016"/>
    <n v="2162"/>
    <n v="2033"/>
    <n v="2007"/>
    <n v="2020"/>
    <n v="2006"/>
    <n v="2045"/>
    <n v="2008"/>
    <n v="2030.7"/>
    <s v=""/>
    <s v="assinatura"/>
    <n v="15937"/>
    <n v="2000"/>
    <n v="1.5350000000000023E-2"/>
    <n v="30.700000000000045"/>
    <x v="6"/>
    <x v="1"/>
  </r>
  <r>
    <x v="46"/>
    <x v="3"/>
    <s v="6ac093aadb68f2f72a0ff071"/>
    <s v="02/10/2026 21:43:54"/>
    <s v="03/10/2026 02:33:30"/>
    <s v="Ranieli"/>
    <s v="02/10/2026"/>
    <x v="0"/>
    <s v="JOSEFA KELY NUNES DE SOUSA"/>
    <n v="42838"/>
    <n v="2004"/>
    <n v="2029"/>
    <n v="2017"/>
    <n v="2041"/>
    <n v="2083"/>
    <n v="2086"/>
    <n v="2032"/>
    <n v="2025"/>
    <n v="2004"/>
    <n v="2032"/>
    <n v="2035.3"/>
    <s v=""/>
    <s v="assinatura"/>
    <n v="13028"/>
    <n v="2000"/>
    <n v="1.7649999999999978E-2"/>
    <n v="35.299999999999955"/>
    <x v="7"/>
    <x v="1"/>
  </r>
  <r>
    <x v="46"/>
    <x v="3"/>
    <s v="6ac093aadb68f2f72a0ff06b"/>
    <s v="02/10/2026 21:42:40"/>
    <s v="03/10/2026 02:33:30"/>
    <s v="Ranieli"/>
    <s v="02/10/2026"/>
    <x v="0"/>
    <s v="JOSEFA KELY NUNES DE SOUSA"/>
    <n v="42862"/>
    <n v="2006"/>
    <n v="2007"/>
    <n v="2014"/>
    <n v="2009"/>
    <n v="2016"/>
    <n v="1999"/>
    <n v="2035"/>
    <n v="2019"/>
    <n v="2011"/>
    <n v="2017"/>
    <n v="2013.3"/>
    <s v=""/>
    <s v="assinatura"/>
    <n v="13129"/>
    <n v="2000"/>
    <n v="6.6499999999999771E-3"/>
    <n v="13.299999999999955"/>
    <x v="5"/>
    <x v="1"/>
  </r>
  <r>
    <x v="46"/>
    <x v="3"/>
    <s v="6ac093aadb68f2f72a0ff065"/>
    <s v="02/10/2026 21:34:46"/>
    <s v="03/10/2026 02:33:30"/>
    <s v="Ranieli"/>
    <s v="02/10/2026"/>
    <x v="0"/>
    <s v="JOSEFA KELY NUNES DE SOUSA"/>
    <n v="42854"/>
    <n v="2036"/>
    <n v="2102"/>
    <n v="2114"/>
    <n v="2009"/>
    <n v="2074"/>
    <n v="2098"/>
    <n v="2088"/>
    <n v="2086"/>
    <n v="2097"/>
    <n v="2008"/>
    <n v="2071.1999999999998"/>
    <s v=""/>
    <s v="assinatura"/>
    <n v="13632"/>
    <n v="2080"/>
    <n v="-4.2307692307693183E-3"/>
    <n v="-8.8000000000001819"/>
    <x v="4"/>
    <x v="1"/>
  </r>
  <r>
    <x v="46"/>
    <x v="3"/>
    <s v="6ac093aadb68f2f72a0ff05f"/>
    <s v="02/10/2026 21:31:49"/>
    <s v="03/10/2026 02:33:30"/>
    <s v="Ranieli"/>
    <s v="02/10/2026"/>
    <x v="0"/>
    <s v="JOSEFA KELY NUNES DE SOUSA"/>
    <n v="42641"/>
    <n v="15040"/>
    <n v="15060"/>
    <n v="15055"/>
    <n v="15000"/>
    <n v="15065"/>
    <n v="14930"/>
    <n v="15140"/>
    <n v="15055"/>
    <n v="15090"/>
    <n v="15085"/>
    <n v="15052"/>
    <s v=""/>
    <s v=""/>
    <n v="174"/>
    <n v="15000"/>
    <n v="3.4666666666666665E-3"/>
    <n v="52"/>
    <x v="12"/>
    <x v="3"/>
  </r>
  <r>
    <x v="46"/>
    <x v="3"/>
    <s v="6ac093aadb68f2f72a0ff059"/>
    <s v="02/10/2026 21:28:42"/>
    <s v="03/10/2026 02:33:30"/>
    <s v="Ranieli"/>
    <s v="02/10/2026"/>
    <x v="0"/>
    <s v="JOSEFA KELY NUNES DE SOUSA"/>
    <n v="15105"/>
    <n v="1028"/>
    <n v="1034"/>
    <n v="1022"/>
    <n v="1002"/>
    <n v="1025"/>
    <n v="1022"/>
    <n v="1005"/>
    <n v="1032"/>
    <n v="1038"/>
    <n v="1022"/>
    <n v="1023"/>
    <s v=""/>
    <s v="assinatura"/>
    <n v="16925"/>
    <n v="1000"/>
    <n v="2.3E-2"/>
    <n v="23"/>
    <x v="0"/>
    <x v="0"/>
  </r>
  <r>
    <x v="46"/>
    <x v="3"/>
    <s v="6ac093aadb68f2f72a0ff04d"/>
    <s v="02/10/2026 20:44:27"/>
    <s v="03/10/2026 02:33:30"/>
    <s v="Ranieli"/>
    <s v="02/10/2026"/>
    <x v="0"/>
    <s v="JOSEFA KELY NUNES DE SOUSA"/>
    <n v="209099"/>
    <n v="1008"/>
    <n v="980"/>
    <n v="1008"/>
    <n v="999"/>
    <n v="1048"/>
    <n v="1008"/>
    <n v="1023"/>
    <n v="1000"/>
    <n v="1011"/>
    <n v="1028"/>
    <n v="1011.3"/>
    <s v=""/>
    <s v="assinatura"/>
    <n v="19614"/>
    <n v="1000"/>
    <n v="1.1299999999999954E-2"/>
    <n v="11.299999999999955"/>
    <x v="31"/>
    <x v="1"/>
  </r>
  <r>
    <x v="46"/>
    <x v="3"/>
    <s v="6ac093a9db68f2f72a0ff041"/>
    <s v="02/10/2026 17:43:03"/>
    <s v="03/10/2026 02:33:29"/>
    <s v="Ranieli"/>
    <s v="02/10/2026"/>
    <x v="0"/>
    <s v="JOSEFA KELY NUNES DE SOUSA"/>
    <n v="40762"/>
    <n v="10030"/>
    <n v="10075"/>
    <n v="10055"/>
    <n v="10045"/>
    <n v="10060"/>
    <n v="10020"/>
    <n v="10040"/>
    <n v="9945"/>
    <n v="10070"/>
    <n v="10055"/>
    <n v="10039.5"/>
    <s v=""/>
    <s v="assinatura"/>
    <n v="31823"/>
    <n v="10000"/>
    <n v="3.9500000000000004E-3"/>
    <n v="39.5"/>
    <x v="3"/>
    <x v="1"/>
  </r>
  <r>
    <x v="46"/>
    <x v="3"/>
    <s v="6ac093a9db68f2f72a0ff03b"/>
    <s v="02/10/2026 17:37:32"/>
    <s v="03/10/2026 02:33:29"/>
    <s v="Ranieli"/>
    <s v="02/10/2026"/>
    <x v="0"/>
    <s v="JOSEFA KELY NUNES DE SOUSA"/>
    <n v="13188"/>
    <n v="1012"/>
    <n v="1008"/>
    <n v="1012"/>
    <n v="1001"/>
    <n v="1008"/>
    <n v="1012"/>
    <n v="1004"/>
    <n v="1001"/>
    <n v="1013"/>
    <n v="1000"/>
    <n v="1007.1"/>
    <s v=""/>
    <s v=""/>
    <n v="32143"/>
    <n v="1000"/>
    <n v="7.100000000000023E-3"/>
    <n v="7.1000000000000227"/>
    <x v="8"/>
    <x v="1"/>
  </r>
  <r>
    <x v="46"/>
    <x v="3"/>
    <s v="6ac093a9db68f2f72a0ff035"/>
    <s v="02/10/2026 17:34:21"/>
    <s v="03/10/2026 02:33:29"/>
    <s v="Ranieli"/>
    <s v="02/10/2026"/>
    <x v="0"/>
    <s v="JOSEFA KELY NUNES DE SOUSA"/>
    <n v="15229"/>
    <n v="1005"/>
    <n v="1009"/>
    <n v="1016"/>
    <n v="1006"/>
    <n v="1005"/>
    <n v="1009"/>
    <n v="1015"/>
    <n v="1010"/>
    <n v="1000"/>
    <n v="1007"/>
    <n v="1008.2"/>
    <s v=""/>
    <s v="assinatura"/>
    <n v="32326"/>
    <n v="1000"/>
    <n v="8.2000000000000458E-3"/>
    <n v="8.2000000000000455"/>
    <x v="9"/>
    <x v="1"/>
  </r>
  <r>
    <x v="46"/>
    <x v="3"/>
    <s v="6ac093a9db68f2f72a0ff02f"/>
    <s v="02/10/2026 17:19:17"/>
    <s v="03/10/2026 02:33:29"/>
    <s v="Ranieli"/>
    <s v="02/10/2026"/>
    <x v="0"/>
    <s v="JOSEFA KELY NUNES DE SOUSA"/>
    <n v="995638"/>
    <n v="15035"/>
    <n v="15130"/>
    <n v="15065"/>
    <n v="15005"/>
    <n v="15035"/>
    <n v="15015"/>
    <n v="15025"/>
    <n v="15040"/>
    <n v="15005"/>
    <n v="15050"/>
    <n v="15040.5"/>
    <s v=""/>
    <s v="assinatura"/>
    <n v="33221"/>
    <n v="15000"/>
    <n v="2.7000000000000001E-3"/>
    <n v="40.5"/>
    <x v="21"/>
    <x v="3"/>
  </r>
  <r>
    <x v="46"/>
    <x v="3"/>
    <s v="6ac093a9db68f2f72a0ff029"/>
    <s v="02/10/2026 17:15:03"/>
    <s v="03/10/2026 02:33:29"/>
    <s v="Ranieli"/>
    <s v="02/10/2026"/>
    <x v="0"/>
    <s v="JOSEFA KELY NUNES DE SOUSA"/>
    <n v="15105"/>
    <n v="1019"/>
    <n v="1013"/>
    <n v="1006"/>
    <n v="1015"/>
    <n v="1002"/>
    <n v="1004"/>
    <n v="997"/>
    <n v="996"/>
    <n v="994"/>
    <n v="1032"/>
    <n v="1007.8"/>
    <s v=""/>
    <s v="assinatura"/>
    <n v="33463"/>
    <n v="1000"/>
    <n v="7.7999999999999545E-3"/>
    <n v="7.7999999999999545"/>
    <x v="0"/>
    <x v="0"/>
  </r>
  <r>
    <x v="46"/>
    <x v="3"/>
    <s v="6ac062bedb68f2f72a0fe1ca"/>
    <s v="02/10/2026 22:44:23"/>
    <s v="02/10/2026 23:04:46"/>
    <s v="Ranieli"/>
    <s v="02/10/2026"/>
    <x v="0"/>
    <s v="JULIANE GOMES NOVAIS"/>
    <n v="864048"/>
    <n v="2059"/>
    <n v="2029"/>
    <n v="2075"/>
    <n v="2073"/>
    <n v="2028"/>
    <n v="2010"/>
    <n v="2028"/>
    <n v="2006"/>
    <n v="2006"/>
    <n v="2058"/>
    <n v="2037.2"/>
    <s v=""/>
    <s v="assinatura"/>
    <n v="403"/>
    <n v="2000"/>
    <n v="1.8600000000000023E-2"/>
    <n v="37.200000000000045"/>
    <x v="26"/>
    <x v="1"/>
  </r>
  <r>
    <x v="46"/>
    <x v="3"/>
    <s v="6ac062bedb68f2f72a0fe1c4"/>
    <s v="02/10/2026 22:42:34"/>
    <s v="02/10/2026 23:04:46"/>
    <s v="Ranieli"/>
    <s v="02/10/2026"/>
    <x v="0"/>
    <s v="JULIANE GOMES NOVAIS"/>
    <n v="42820"/>
    <n v="2053"/>
    <n v="2013"/>
    <n v="2068"/>
    <n v="2006"/>
    <n v="2047"/>
    <n v="2043"/>
    <n v="2049"/>
    <n v="2067"/>
    <n v="2012"/>
    <n v="2032"/>
    <n v="2039"/>
    <s v=""/>
    <s v="assinatura"/>
    <n v="485"/>
    <n v="2000"/>
    <n v="1.95E-2"/>
    <n v="39"/>
    <x v="10"/>
    <x v="1"/>
  </r>
  <r>
    <x v="46"/>
    <x v="3"/>
    <s v="6ac062bddb68f2f72a0fe1be"/>
    <s v="02/10/2026 22:37:58"/>
    <s v="02/10/2026 23:04:45"/>
    <s v="Ranieli"/>
    <s v="02/10/2026"/>
    <x v="0"/>
    <s v="JULIANE GOMES NOVAIS"/>
    <n v="40762"/>
    <n v="9945"/>
    <n v="9950"/>
    <n v="9995"/>
    <n v="10000"/>
    <n v="10020"/>
    <n v="10010"/>
    <n v="10035"/>
    <n v="10030"/>
    <n v="10020"/>
    <n v="10080"/>
    <n v="10008.5"/>
    <s v=""/>
    <s v="assinatura"/>
    <n v="742"/>
    <n v="10000"/>
    <n v="8.4999999999999995E-4"/>
    <n v="8.5"/>
    <x v="3"/>
    <x v="1"/>
  </r>
  <r>
    <x v="46"/>
    <x v="3"/>
    <s v="6ac04e47486c261c1ca08e9a"/>
    <s v="02/10/2026 20:58:50"/>
    <s v="02/10/2026 21:37:27"/>
    <s v="Ranieli"/>
    <s v="02/10/2026"/>
    <x v="0"/>
    <s v="JULIANE GOMES NOVAIS"/>
    <n v="42862"/>
    <n v="2073"/>
    <n v="2016"/>
    <n v="2023"/>
    <n v="1998"/>
    <n v="1985"/>
    <n v="2016"/>
    <n v="2020"/>
    <n v="2008"/>
    <n v="2023"/>
    <n v="2009"/>
    <n v="2017.1"/>
    <s v=""/>
    <s v="assinatura"/>
    <n v="2315"/>
    <n v="2000"/>
    <n v="8.5499999999999552E-3"/>
    <n v="17.099999999999909"/>
    <x v="5"/>
    <x v="1"/>
  </r>
  <r>
    <x v="46"/>
    <x v="3"/>
    <s v="6ac04e37feff8ad157fd67e5"/>
    <s v="02/10/2026 21:16:28"/>
    <s v="02/10/2026 21:37:11"/>
    <s v="Ranieli"/>
    <s v="02/10/2026"/>
    <x v="0"/>
    <s v="JULIANE GOMES NOVAIS"/>
    <n v="15229"/>
    <n v="1008"/>
    <n v="1012"/>
    <n v="1001"/>
    <n v="1004"/>
    <n v="1007"/>
    <n v="1006"/>
    <n v="1000"/>
    <n v="1012"/>
    <n v="1014"/>
    <n v="1010"/>
    <n v="1007.4"/>
    <s v=""/>
    <s v=""/>
    <n v="162"/>
    <n v="1000"/>
    <n v="7.3999999999999769E-3"/>
    <n v="7.3999999999999773"/>
    <x v="9"/>
    <x v="1"/>
  </r>
  <r>
    <x v="46"/>
    <x v="3"/>
    <s v="6ac04e37feff8ad157fd67df"/>
    <s v="02/10/2026 21:13:27"/>
    <s v="02/10/2026 21:37:11"/>
    <s v="Ranieli"/>
    <s v="02/10/2026"/>
    <x v="0"/>
    <s v="JULIANE GOMES NOVAIS"/>
    <n v="13188"/>
    <n v="990"/>
    <n v="984"/>
    <n v="996"/>
    <n v="1005"/>
    <n v="995"/>
    <n v="994"/>
    <n v="988"/>
    <n v="999"/>
    <n v="995"/>
    <n v="995"/>
    <n v="994.1"/>
    <s v=""/>
    <s v=""/>
    <n v="137"/>
    <n v="1000"/>
    <n v="-5.8999999999999773E-3"/>
    <n v="-5.8999999999999773"/>
    <x v="8"/>
    <x v="1"/>
  </r>
  <r>
    <x v="46"/>
    <x v="3"/>
    <s v="6ac04e37feff8ad157fd67d9"/>
    <s v="02/10/2026 21:09:28"/>
    <s v="02/10/2026 21:37:11"/>
    <s v="Ranieli"/>
    <s v="02/10/2026"/>
    <x v="0"/>
    <s v="JULIANE GOMES NOVAIS"/>
    <n v="42838"/>
    <n v="2021"/>
    <n v="2045"/>
    <n v="2021"/>
    <n v="2016"/>
    <n v="2019"/>
    <n v="2007"/>
    <n v="2039"/>
    <n v="2017"/>
    <n v="2028"/>
    <n v="2011"/>
    <n v="2022.4"/>
    <s v=""/>
    <s v=""/>
    <n v="149"/>
    <n v="2000"/>
    <n v="1.1200000000000045E-2"/>
    <n v="22.400000000000091"/>
    <x v="7"/>
    <x v="1"/>
  </r>
  <r>
    <x v="46"/>
    <x v="3"/>
    <s v="6ac04e37feff8ad157fd67d3"/>
    <s v="02/10/2026 21:06:07"/>
    <s v="02/10/2026 21:37:11"/>
    <s v="Ranieli"/>
    <s v="02/10/2026"/>
    <x v="0"/>
    <s v="JULIANE GOMES NOVAIS"/>
    <n v="42846"/>
    <n v="1998"/>
    <n v="2002"/>
    <n v="2006"/>
    <n v="2018"/>
    <n v="2020"/>
    <n v="2009"/>
    <n v="1999"/>
    <n v="2007"/>
    <n v="2001"/>
    <n v="1998"/>
    <n v="2005.8"/>
    <s v=""/>
    <s v=""/>
    <n v="163"/>
    <n v="2000"/>
    <n v="2.8999999999999772E-3"/>
    <n v="5.7999999999999545"/>
    <x v="6"/>
    <x v="1"/>
  </r>
  <r>
    <x v="46"/>
    <x v="3"/>
    <s v="6ac04e37feff8ad157fd67cd"/>
    <s v="02/10/2026 21:03:53"/>
    <s v="02/10/2026 21:37:11"/>
    <s v="Ranieli"/>
    <s v="02/10/2026"/>
    <x v="0"/>
    <s v="JULIANE GOMES NOVAIS"/>
    <n v="42854"/>
    <n v="2115"/>
    <n v="2074"/>
    <n v="2093"/>
    <n v="2106"/>
    <n v="2099"/>
    <n v="2080"/>
    <n v="2083"/>
    <n v="2086"/>
    <n v="2098"/>
    <n v="2123"/>
    <n v="2095.6999999999998"/>
    <s v=""/>
    <s v=""/>
    <n v="101"/>
    <n v="2080"/>
    <n v="7.5480769230768354E-3"/>
    <n v="15.699999999999818"/>
    <x v="4"/>
    <x v="1"/>
  </r>
  <r>
    <x v="46"/>
    <x v="3"/>
    <s v="6ac04e37feff8ad157fd67c7"/>
    <s v="02/10/2026 20:53:22"/>
    <s v="02/10/2026 21:37:11"/>
    <s v="Ranieli"/>
    <s v="02/10/2026"/>
    <x v="0"/>
    <s v="JULIANE GOMES NOVAIS"/>
    <n v="15105"/>
    <n v="1009"/>
    <n v="1002"/>
    <n v="980"/>
    <n v="995"/>
    <n v="1027"/>
    <n v="1027"/>
    <n v="1013"/>
    <n v="976"/>
    <n v="1032"/>
    <n v="987"/>
    <n v="1004.8"/>
    <s v=""/>
    <s v="assinatura"/>
    <n v="205"/>
    <n v="1000"/>
    <n v="4.7999999999999545E-3"/>
    <n v="4.7999999999999545"/>
    <x v="0"/>
    <x v="0"/>
  </r>
  <r>
    <x v="46"/>
    <x v="3"/>
    <s v="6ac043b81363200b808a2986"/>
    <s v="02/10/2026 18:49:18"/>
    <s v="02/10/2026 20:52:24"/>
    <s v="Ranieli"/>
    <s v="02/10/2026"/>
    <x v="0"/>
    <s v="JULIANE GOMES NOVAIS"/>
    <n v="13188"/>
    <n v="999"/>
    <n v="1013"/>
    <n v="1019"/>
    <n v="1015"/>
    <n v="1001"/>
    <n v="1010"/>
    <n v="997"/>
    <n v="994"/>
    <n v="1003"/>
    <n v="1011"/>
    <n v="1006.2"/>
    <s v=""/>
    <s v="assinatura"/>
    <n v="646"/>
    <n v="1000"/>
    <n v="6.2000000000000458E-3"/>
    <n v="6.2000000000000455"/>
    <x v="8"/>
    <x v="1"/>
  </r>
  <r>
    <x v="46"/>
    <x v="3"/>
    <s v="6ac043b81363200b808a2980"/>
    <s v="02/10/2026 18:38:29"/>
    <s v="02/10/2026 20:52:24"/>
    <s v="Ranieli"/>
    <s v="02/10/2026"/>
    <x v="0"/>
    <s v="JULIANE GOMES NOVAIS"/>
    <n v="40762"/>
    <n v="9995"/>
    <n v="10055"/>
    <n v="10010"/>
    <n v="10010"/>
    <n v="9995"/>
    <n v="10055"/>
    <n v="10010"/>
    <n v="10125"/>
    <n v="10005"/>
    <n v="10090"/>
    <n v="10035"/>
    <s v=""/>
    <s v="assinatura"/>
    <n v="1316"/>
    <n v="10000"/>
    <n v="3.5000000000000001E-3"/>
    <n v="35"/>
    <x v="3"/>
    <x v="1"/>
  </r>
  <r>
    <x v="46"/>
    <x v="3"/>
    <s v="6ac043b81363200b808a297a"/>
    <s v="02/10/2026 17:34:02"/>
    <s v="02/10/2026 20:52:24"/>
    <s v="Ranieli"/>
    <s v="02/10/2026"/>
    <x v="0"/>
    <s v="JULIANE GOMES NOVAIS"/>
    <n v="963925"/>
    <n v="17980"/>
    <n v="18085"/>
    <n v="17995"/>
    <n v="17885"/>
    <n v="18110"/>
    <n v="18015"/>
    <n v="18365"/>
    <n v="18325"/>
    <n v="17835"/>
    <n v="17995"/>
    <n v="18059"/>
    <s v=""/>
    <s v="assinatura"/>
    <n v="11847"/>
    <n v="18000"/>
    <n v="3.2777777777777779E-3"/>
    <n v="59"/>
    <x v="15"/>
    <x v="3"/>
  </r>
  <r>
    <x v="46"/>
    <x v="3"/>
    <s v="6ac02b992a994604e4a14824"/>
    <s v="02/10/2026 14:56:41"/>
    <s v="02/10/2026 19:09:29"/>
    <s v="Ranieli"/>
    <s v="02/10/2026"/>
    <x v="1"/>
    <s v="ALANA DA SILVA MARTINS"/>
    <n v="15105"/>
    <n v="990"/>
    <n v="1003"/>
    <n v="1020"/>
    <n v="1009"/>
    <n v="984"/>
    <n v="1048"/>
    <n v="1013"/>
    <n v="1023"/>
    <n v="1000"/>
    <n v="999"/>
    <n v="1008.9"/>
    <s v=""/>
    <s v=""/>
    <n v="15168"/>
    <n v="1000"/>
    <n v="8.8999999999999774E-3"/>
    <n v="8.8999999999999773"/>
    <x v="0"/>
    <x v="0"/>
  </r>
  <r>
    <x v="46"/>
    <x v="3"/>
    <s v="6abff25b4854db7e48d4c58b"/>
    <s v="02/10/2026 15:02:41"/>
    <s v="02/10/2026 15:05:15"/>
    <s v="Ranieli"/>
    <s v="02/10/2026"/>
    <x v="1"/>
    <s v="ALANA DA SILVA MARTINS"/>
    <n v="209039"/>
    <n v="1008"/>
    <n v="1004"/>
    <n v="1004"/>
    <n v="1005"/>
    <n v="1033"/>
    <n v="1172"/>
    <n v="1001"/>
    <n v="1030"/>
    <n v="989"/>
    <n v="1003"/>
    <n v="1024.9000000000001"/>
    <s v=""/>
    <s v="assinatura"/>
    <n v="130"/>
    <n v="1000"/>
    <n v="2.4900000000000092E-2"/>
    <n v="24.900000000000091"/>
    <x v="19"/>
    <x v="3"/>
  </r>
  <r>
    <x v="46"/>
    <x v="3"/>
    <s v="6abff1be78034b104e18e60e"/>
    <s v="02/10/2026 10:27:07"/>
    <s v="02/10/2026 15:02:38"/>
    <s v="Ranieli"/>
    <s v="02/10/2026"/>
    <x v="1"/>
    <s v="ALANA DA SILVA MARTINS"/>
    <n v="50580"/>
    <n v="1987"/>
    <n v="2005"/>
    <n v="2028"/>
    <n v="2027"/>
    <n v="2065"/>
    <n v="2091"/>
    <n v="2104"/>
    <n v="1995"/>
    <n v="2088"/>
    <n v="2084"/>
    <n v="2047.4"/>
    <s v=""/>
    <s v="assinatura"/>
    <n v="16022"/>
    <n v="2000"/>
    <n v="2.3700000000000044E-2"/>
    <n v="47.400000000000091"/>
    <x v="36"/>
    <x v="1"/>
  </r>
  <r>
    <x v="46"/>
    <x v="3"/>
    <s v="6abff1be78034b104e18e608"/>
    <s v="02/10/2026 10:21:44"/>
    <s v="02/10/2026 15:02:38"/>
    <s v="Ranieli"/>
    <s v="02/10/2026"/>
    <x v="1"/>
    <s v="ALANA DA SILVA MARTINS"/>
    <n v="42862"/>
    <n v="2046"/>
    <n v="2054"/>
    <n v="2016"/>
    <n v="2016"/>
    <n v="2024"/>
    <n v="2029"/>
    <n v="2038"/>
    <n v="2066"/>
    <n v="2025"/>
    <n v="2068"/>
    <n v="2038.2"/>
    <s v=""/>
    <s v="assinatura"/>
    <n v="16364"/>
    <n v="2000"/>
    <n v="1.9100000000000023E-2"/>
    <n v="38.200000000000045"/>
    <x v="5"/>
    <x v="1"/>
  </r>
  <r>
    <x v="44"/>
    <x v="3"/>
    <s v="6abff1be78034b104e18e602"/>
    <s v="01/10/2026 12:14:22"/>
    <s v="02/10/2026 15:02:38"/>
    <s v="Ranieli"/>
    <s v="01/10/2026"/>
    <x v="1"/>
    <s v="ALANA DA SILVA MARTINS"/>
    <n v="864048"/>
    <n v="2003"/>
    <n v="2023"/>
    <n v="2055"/>
    <n v="2016"/>
    <n v="2013"/>
    <n v="2072"/>
    <n v="2069"/>
    <n v="2002"/>
    <n v="2113"/>
    <n v="2025"/>
    <n v="2039.1"/>
    <s v=""/>
    <s v="assinatura"/>
    <n v="96030"/>
    <n v="2000"/>
    <n v="1.9549999999999953E-2"/>
    <n v="39.099999999999909"/>
    <x v="26"/>
    <x v="1"/>
  </r>
  <r>
    <x v="44"/>
    <x v="3"/>
    <s v="6abff1be78034b104e18e5fc"/>
    <s v="01/10/2026 12:10:33"/>
    <s v="02/10/2026 15:02:38"/>
    <s v="Ranieli"/>
    <s v="01/10/2026"/>
    <x v="1"/>
    <s v="ALANA DA SILVA MARTINS"/>
    <n v="42862"/>
    <n v="2086"/>
    <n v="2031"/>
    <n v="2043"/>
    <n v="2027"/>
    <n v="2040"/>
    <n v="2025"/>
    <n v="2059"/>
    <n v="2034"/>
    <n v="2048"/>
    <n v="2078"/>
    <n v="2047.1"/>
    <s v=""/>
    <s v="assinatura"/>
    <n v="96289"/>
    <n v="2000"/>
    <n v="2.3549999999999953E-2"/>
    <n v="47.099999999999909"/>
    <x v="5"/>
    <x v="1"/>
  </r>
  <r>
    <x v="46"/>
    <x v="3"/>
    <s v="6abfdcdd36d49b922976381c"/>
    <s v="02/10/2026 09:00:20"/>
    <s v="02/10/2026 13:33:33"/>
    <s v="Ranieli"/>
    <s v="02/10/2026"/>
    <x v="1"/>
    <s v="ALANA DA SILVA MARTINS"/>
    <n v="42846"/>
    <n v="2039"/>
    <n v="2011"/>
    <n v="2016"/>
    <n v="2070"/>
    <n v="2037"/>
    <n v="2060"/>
    <n v="2005"/>
    <n v="2001"/>
    <n v="1987"/>
    <n v="1990"/>
    <n v="2021.6"/>
    <s v=""/>
    <s v="assinatura"/>
    <n v="499"/>
    <n v="2000"/>
    <n v="1.0799999999999954E-2"/>
    <n v="21.599999999999909"/>
    <x v="6"/>
    <x v="1"/>
  </r>
  <r>
    <x v="46"/>
    <x v="3"/>
    <s v="6abfdcdd36d49b9229763816"/>
    <s v="02/10/2026 08:55:32"/>
    <s v="02/10/2026 13:33:33"/>
    <s v="Ranieli"/>
    <s v="02/10/2026"/>
    <x v="1"/>
    <s v="ALANA DA SILVA MARTINS"/>
    <n v="42854"/>
    <n v="2159"/>
    <n v="2124"/>
    <n v="2003"/>
    <n v="2150"/>
    <n v="2130"/>
    <n v="1864"/>
    <n v="2170"/>
    <n v="2223"/>
    <n v="2154"/>
    <n v="2189"/>
    <n v="2116.6"/>
    <s v=""/>
    <s v="assinatura"/>
    <n v="822"/>
    <n v="2080"/>
    <n v="1.7596153846153803E-2"/>
    <n v="36.599999999999909"/>
    <x v="4"/>
    <x v="1"/>
  </r>
  <r>
    <x v="46"/>
    <x v="3"/>
    <s v="6abfdcdd36d49b9229763810"/>
    <s v="02/10/2026 08:50:40"/>
    <s v="02/10/2026 13:33:33"/>
    <s v="Ranieli"/>
    <s v="02/10/2026"/>
    <x v="1"/>
    <s v="ALANA DA SILVA MARTINS"/>
    <n v="54632"/>
    <n v="999"/>
    <n v="1008"/>
    <n v="993"/>
    <n v="992"/>
    <n v="1014"/>
    <n v="1013"/>
    <n v="991"/>
    <n v="1021"/>
    <n v="1012"/>
    <n v="1017"/>
    <n v="1006"/>
    <s v=""/>
    <s v="assinatura"/>
    <n v="1153"/>
    <n v="1000"/>
    <n v="6.0000000000000001E-3"/>
    <n v="6"/>
    <x v="11"/>
    <x v="1"/>
  </r>
  <r>
    <x v="46"/>
    <x v="3"/>
    <s v="6abfdcdd36d49b922976380a"/>
    <s v="02/10/2026 08:48:05"/>
    <s v="02/10/2026 13:33:33"/>
    <s v="Ranieli"/>
    <s v="02/10/2026"/>
    <x v="1"/>
    <s v="ALANA DA SILVA MARTINS"/>
    <n v="54632"/>
    <n v="992"/>
    <n v="1010"/>
    <n v="1009"/>
    <n v="1011"/>
    <n v="996"/>
    <n v="997"/>
    <n v="1003"/>
    <n v="1025"/>
    <n v="1009"/>
    <n v="1007"/>
    <n v="1005.9"/>
    <s v=""/>
    <s v="assinatura"/>
    <n v="1334"/>
    <n v="1000"/>
    <n v="5.8999999999999773E-3"/>
    <n v="5.8999999999999773"/>
    <x v="11"/>
    <x v="1"/>
  </r>
  <r>
    <x v="44"/>
    <x v="3"/>
    <s v="6abfdcdd36d49b9229763804"/>
    <s v="01/10/2026 16:58:10"/>
    <s v="02/10/2026 13:33:33"/>
    <s v="Ranieli"/>
    <s v="01/10/2026"/>
    <x v="1"/>
    <s v="ALANA DA SILVA MARTINS"/>
    <n v="209039"/>
    <n v="1001"/>
    <n v="1002"/>
    <n v="1000"/>
    <n v="1023"/>
    <n v="1004"/>
    <n v="1002"/>
    <n v="1001"/>
    <n v="997"/>
    <n v="1002"/>
    <n v="1002"/>
    <n v="1003.4"/>
    <s v=""/>
    <s v="assinatura"/>
    <n v="262"/>
    <n v="1000"/>
    <n v="3.3999999999999773E-3"/>
    <n v="3.3999999999999773"/>
    <x v="19"/>
    <x v="3"/>
  </r>
  <r>
    <x v="47"/>
    <x v="3"/>
    <s v="6ac7dc6978034b104e266dd2"/>
    <s v="08/10/2026 14:59:11"/>
    <s v="08/10/2026 15:09:45"/>
    <s v="Ranieli"/>
    <s v="08/10/2026"/>
    <x v="1"/>
    <s v="ALANA DA SILVA MARTINS"/>
    <n v="13188"/>
    <n v="1007"/>
    <n v="993"/>
    <n v="1007"/>
    <n v="1006"/>
    <n v="1017"/>
    <n v="1018"/>
    <n v="1007"/>
    <n v="989"/>
    <n v="1020"/>
    <n v="1006"/>
    <n v="1007"/>
    <s v=""/>
    <s v="assinatura"/>
    <n v="201"/>
    <n v="1000"/>
    <n v="7.0000000000000001E-3"/>
    <n v="7"/>
    <x v="8"/>
    <x v="1"/>
  </r>
  <r>
    <x v="47"/>
    <x v="3"/>
    <s v="6ac7dc6978034b104e266dcc"/>
    <s v="08/10/2026 14:55:39"/>
    <s v="08/10/2026 15:09:45"/>
    <s v="Ranieli"/>
    <s v="08/10/2026"/>
    <x v="1"/>
    <s v="ALANA DA SILVA MARTINS"/>
    <n v="793124"/>
    <n v="2010"/>
    <n v="2001"/>
    <n v="2003"/>
    <n v="2007"/>
    <n v="2007"/>
    <n v="2006"/>
    <n v="2000"/>
    <n v="1999"/>
    <n v="2002"/>
    <n v="1998"/>
    <n v="2003.3"/>
    <s v=""/>
    <s v="assinatura"/>
    <n v="436"/>
    <n v="2000"/>
    <n v="1.6499999999999772E-3"/>
    <n v="3.2999999999999545"/>
    <x v="37"/>
    <x v="8"/>
  </r>
  <r>
    <x v="47"/>
    <x v="3"/>
    <s v="6ac7dc6978034b104e266dc6"/>
    <s v="08/10/2026 14:50:50"/>
    <s v="08/10/2026 15:09:45"/>
    <s v="Ranieli"/>
    <s v="08/10/2026"/>
    <x v="1"/>
    <s v="ALANA DA SILVA MARTINS"/>
    <n v="42846"/>
    <n v="2006"/>
    <n v="2003"/>
    <n v="2003"/>
    <n v="1994"/>
    <n v="2012"/>
    <n v="2004"/>
    <n v="1993"/>
    <n v="2068"/>
    <n v="2022"/>
    <n v="2016"/>
    <n v="2012.1"/>
    <s v=""/>
    <s v="assinatura"/>
    <n v="758"/>
    <n v="2000"/>
    <n v="6.0499999999999547E-3"/>
    <n v="12.099999999999909"/>
    <x v="6"/>
    <x v="1"/>
  </r>
  <r>
    <x v="47"/>
    <x v="3"/>
    <s v="6ac7dc6978034b104e266dc0"/>
    <s v="08/10/2026 14:45:55"/>
    <s v="08/10/2026 15:09:45"/>
    <s v="Ranieli"/>
    <s v="08/10/2026"/>
    <x v="1"/>
    <s v="ALANA DA SILVA MARTINS"/>
    <n v="42838"/>
    <n v="2100"/>
    <n v="2075"/>
    <n v="2074"/>
    <n v="2064"/>
    <n v="2091"/>
    <n v="2078"/>
    <n v="2078"/>
    <n v="2082"/>
    <n v="2097"/>
    <n v="2053"/>
    <n v="2079.1999999999998"/>
    <s v=""/>
    <s v="assinatura"/>
    <n v="1076"/>
    <n v="2000"/>
    <n v="3.9599999999999906E-2"/>
    <n v="79.199999999999818"/>
    <x v="7"/>
    <x v="1"/>
  </r>
  <r>
    <x v="47"/>
    <x v="3"/>
    <s v="6ac7dc6978034b104e266dba"/>
    <s v="08/10/2026 14:39:24"/>
    <s v="08/10/2026 15:09:45"/>
    <s v="Ranieli"/>
    <s v="08/10/2026"/>
    <x v="1"/>
    <s v="ALANA DA SILVA MARTINS"/>
    <n v="42854"/>
    <n v="2165"/>
    <n v="2185"/>
    <n v="2177"/>
    <n v="2137"/>
    <n v="2056"/>
    <n v="2003"/>
    <n v="2125"/>
    <n v="2108"/>
    <n v="2133"/>
    <n v="2148"/>
    <n v="2123.6999999999998"/>
    <s v=""/>
    <s v="assinatura"/>
    <n v="1487"/>
    <n v="2080"/>
    <n v="2.1009615384615297E-2"/>
    <n v="43.699999999999818"/>
    <x v="4"/>
    <x v="1"/>
  </r>
  <r>
    <x v="47"/>
    <x v="3"/>
    <s v="6ac7dc6978034b104e266db4"/>
    <s v="08/10/2026 14:36:45"/>
    <s v="08/10/2026 15:09:45"/>
    <s v="Ranieli"/>
    <s v="08/10/2026"/>
    <x v="1"/>
    <s v="ALANA DA SILVA MARTINS"/>
    <n v="42862"/>
    <n v="2033"/>
    <n v="2061"/>
    <n v="2039"/>
    <n v="2033"/>
    <n v="2073"/>
    <n v="2004"/>
    <n v="2091"/>
    <n v="2053"/>
    <n v="2047"/>
    <n v="2053"/>
    <n v="2048.6999999999998"/>
    <s v=""/>
    <s v="assinatura"/>
    <n v="1671"/>
    <n v="2000"/>
    <n v="2.434999999999991E-2"/>
    <n v="48.699999999999818"/>
    <x v="5"/>
    <x v="1"/>
  </r>
  <r>
    <x v="47"/>
    <x v="3"/>
    <s v="6ac7dc6878034b104e266da2"/>
    <s v="08/10/2026 11:55:49"/>
    <s v="08/10/2026 15:09:44"/>
    <s v="Ranieli"/>
    <s v="08/10/2026"/>
    <x v="1"/>
    <s v="ALANA DA SILVA MARTINS"/>
    <n v="43784"/>
    <n v="999"/>
    <n v="998"/>
    <n v="1000"/>
    <n v="999"/>
    <n v="995"/>
    <n v="998"/>
    <n v="999"/>
    <n v="1000"/>
    <n v="1002"/>
    <n v="1000"/>
    <n v="999"/>
    <s v=""/>
    <s v="assinatura"/>
    <n v="11411"/>
    <n v="1000"/>
    <n v="-1E-3"/>
    <n v="-1"/>
    <x v="35"/>
    <x v="7"/>
  </r>
  <r>
    <x v="47"/>
    <x v="3"/>
    <s v="6ac7dc6878034b104e266d9c"/>
    <s v="08/10/2026 11:53:51"/>
    <s v="08/10/2026 15:09:44"/>
    <s v="Ranieli"/>
    <s v="08/10/2026"/>
    <x v="1"/>
    <s v="ALANA DA SILVA MARTINS"/>
    <n v="992014"/>
    <n v="669"/>
    <n v="668"/>
    <n v="700"/>
    <n v="665"/>
    <n v="669"/>
    <n v="668"/>
    <n v="700"/>
    <n v="663"/>
    <n v="668"/>
    <n v="669"/>
    <n v="673.9"/>
    <s v=""/>
    <s v="assinatura"/>
    <n v="11552"/>
    <n v="700"/>
    <n v="-3.7285714285714318E-2"/>
    <n v="-26.100000000000023"/>
    <x v="14"/>
    <x v="1"/>
  </r>
  <r>
    <x v="47"/>
    <x v="3"/>
    <s v="6ac7ac879b7db2ba764ec897"/>
    <s v="08/10/2026 11:42:01"/>
    <s v="08/10/2026 11:45:27"/>
    <s v="Ranieli"/>
    <s v="08/10/2026"/>
    <x v="1"/>
    <s v="ALANA DA SILVA MARTINS"/>
    <n v="197734"/>
    <n v="1020"/>
    <n v="1028"/>
    <n v="1019"/>
    <n v="1018"/>
    <n v="1019"/>
    <n v="1023"/>
    <n v="1020"/>
    <n v="1057"/>
    <n v="1022"/>
    <n v="1022"/>
    <n v="1024.8"/>
    <s v=""/>
    <s v="assinatura"/>
    <n v="130"/>
    <n v="1000"/>
    <n v="2.4799999999999954E-2"/>
    <n v="24.799999999999955"/>
    <x v="2"/>
    <x v="2"/>
  </r>
  <r>
    <x v="48"/>
    <x v="3"/>
    <s v="6ac781b69b405ad761bd268b"/>
    <s v="07/10/2026 11:40:51"/>
    <s v="08/10/2026 08:42:46"/>
    <s v="Ranieli"/>
    <s v="07/10/2026"/>
    <x v="1"/>
    <s v="ALANA DA SILVA MARTINS"/>
    <n v="992014"/>
    <n v="700"/>
    <n v="699"/>
    <n v="698"/>
    <n v="699"/>
    <n v="696"/>
    <n v="698"/>
    <n v="700"/>
    <n v="698"/>
    <n v="699"/>
    <n v="700"/>
    <n v="698.7"/>
    <s v=""/>
    <s v="assinatura"/>
    <n v="75715"/>
    <n v="700"/>
    <n v="-1.8571428571427923E-3"/>
    <n v="-1.2999999999999545"/>
    <x v="14"/>
    <x v="1"/>
  </r>
  <r>
    <x v="48"/>
    <x v="3"/>
    <s v="6ac7819f5981b750ab218432"/>
    <s v="07/10/2026 11:43:48"/>
    <s v="08/10/2026 08:42:23"/>
    <s v="Ranieli"/>
    <s v="07/10/2026"/>
    <x v="1"/>
    <s v="ALANA DA SILVA MARTINS"/>
    <n v="43784"/>
    <n v="1000"/>
    <n v="999"/>
    <n v="997"/>
    <n v="999"/>
    <n v="1000"/>
    <n v="998"/>
    <n v="996"/>
    <n v="999"/>
    <n v="996"/>
    <n v="999"/>
    <n v="998.3"/>
    <s v=""/>
    <s v="assinatura"/>
    <n v="75514"/>
    <n v="1000"/>
    <n v="-1.7000000000000454E-3"/>
    <n v="-1.7000000000000455"/>
    <x v="35"/>
    <x v="7"/>
  </r>
  <r>
    <x v="47"/>
    <x v="3"/>
    <s v="6ac78171898c48a2f44843d8"/>
    <s v="08/10/2026 08:35:52"/>
    <s v="08/10/2026 08:41:37"/>
    <s v="Ranieli"/>
    <s v="08/10/2026"/>
    <x v="1"/>
    <s v="ALANA DA SILVA MARTINS"/>
    <n v="15105"/>
    <n v="1022"/>
    <n v="1036"/>
    <n v="1000"/>
    <n v="1002"/>
    <n v="1026"/>
    <n v="1011"/>
    <n v="991"/>
    <n v="1014"/>
    <n v="1021"/>
    <n v="1017"/>
    <n v="1014"/>
    <s v=""/>
    <s v="assinatura"/>
    <n v="215"/>
    <n v="1000"/>
    <n v="1.4E-2"/>
    <n v="14"/>
    <x v="0"/>
    <x v="0"/>
  </r>
  <r>
    <x v="48"/>
    <x v="3"/>
    <s v="6ac78171898c48a2f44843d2"/>
    <s v="07/10/2026 17:19:07"/>
    <s v="08/10/2026 08:41:37"/>
    <s v="Ranieli"/>
    <s v="07/10/2026"/>
    <x v="1"/>
    <s v="ALANA DA SILVA MARTINS"/>
    <n v="15105"/>
    <n v="995"/>
    <n v="1014"/>
    <n v="1044"/>
    <n v="1040"/>
    <n v="994"/>
    <n v="1019"/>
    <n v="1016"/>
    <n v="1041"/>
    <n v="1000"/>
    <n v="998"/>
    <n v="1016.1"/>
    <s v=""/>
    <s v="assinatura"/>
    <n v="205"/>
    <n v="1000"/>
    <n v="1.6100000000000024E-2"/>
    <n v="16.100000000000023"/>
    <x v="0"/>
    <x v="0"/>
  </r>
  <r>
    <x v="48"/>
    <x v="3"/>
    <s v="6ac77862486c261c1cacc92e"/>
    <s v="08/10/2026 00:53:41"/>
    <s v="08/10/2026 08:02:58"/>
    <s v="Ranieli"/>
    <s v="07/10/2026"/>
    <x v="0"/>
    <s v="JOSEFA KELY NUNES DE SOUSA"/>
    <n v="992014"/>
    <n v="702"/>
    <n v="700"/>
    <n v="700"/>
    <n v="702"/>
    <n v="700"/>
    <n v="701"/>
    <n v="703"/>
    <n v="700"/>
    <n v="705"/>
    <n v="706"/>
    <n v="701.9"/>
    <s v=""/>
    <s v="assinatura"/>
    <n v="4538"/>
    <n v="700"/>
    <n v="2.7142857142856817E-3"/>
    <n v="1.8999999999999773"/>
    <x v="14"/>
    <x v="1"/>
  </r>
  <r>
    <x v="48"/>
    <x v="3"/>
    <s v="6ac77861486c261c1cacc922"/>
    <s v="07/10/2026 17:28:14"/>
    <s v="08/10/2026 08:02:57"/>
    <s v="Ranieli"/>
    <s v="07/10/2026"/>
    <x v="0"/>
    <s v="JOSEFA KELY NUNES DE SOUSA"/>
    <n v="995638"/>
    <n v="15015"/>
    <n v="15045"/>
    <n v="15040"/>
    <n v="15018"/>
    <n v="15020"/>
    <n v="15015"/>
    <n v="15005"/>
    <n v="15030"/>
    <n v="14995"/>
    <n v="15010"/>
    <n v="15019.3"/>
    <s v=""/>
    <s v="assinatura"/>
    <n v="31082"/>
    <n v="15000"/>
    <n v="1.2866666666666181E-3"/>
    <n v="19.299999999999272"/>
    <x v="21"/>
    <x v="3"/>
  </r>
  <r>
    <x v="48"/>
    <x v="3"/>
    <s v="6ac777aa1255169047e834d4"/>
    <s v="08/10/2026 00:59:19"/>
    <s v="08/10/2026 07:59:54"/>
    <s v="Ranieli"/>
    <s v="07/10/2026"/>
    <x v="0"/>
    <s v="JOSEFA KELY NUNES DE SOUSA"/>
    <n v="963925"/>
    <n v="18250"/>
    <n v="18205"/>
    <n v="18195"/>
    <n v="18010"/>
    <n v="18045"/>
    <n v="18105"/>
    <n v="18155"/>
    <n v="18140"/>
    <n v="18170"/>
    <n v="18000"/>
    <n v="18127.5"/>
    <s v=""/>
    <s v="assinatura"/>
    <n v="4210"/>
    <n v="18000"/>
    <n v="7.083333333333333E-3"/>
    <n v="127.5"/>
    <x v="15"/>
    <x v="3"/>
  </r>
  <r>
    <x v="48"/>
    <x v="3"/>
    <s v="6ac777aa1255169047e834ce"/>
    <s v="08/10/2026 00:45:28"/>
    <s v="08/10/2026 07:59:54"/>
    <s v="Ranieli"/>
    <s v="07/10/2026"/>
    <x v="0"/>
    <s v="JOSEFA KELY NUNES DE SOUSA"/>
    <n v="209069"/>
    <n v="1095"/>
    <n v="1099"/>
    <n v="1092"/>
    <n v="1000"/>
    <n v="1006"/>
    <n v="1000"/>
    <n v="1000"/>
    <n v="1073"/>
    <n v="1078"/>
    <n v="1074"/>
    <n v="1051.7"/>
    <s v=""/>
    <s v="assinatura"/>
    <n v="5022"/>
    <n v="1000"/>
    <n v="5.1700000000000045E-2"/>
    <n v="51.700000000000045"/>
    <x v="28"/>
    <x v="0"/>
  </r>
  <r>
    <x v="48"/>
    <x v="3"/>
    <s v="6ac777aa1255169047e834c8"/>
    <s v="07/10/2026 21:56:23"/>
    <s v="08/10/2026 07:59:54"/>
    <s v="Ranieli"/>
    <s v="07/10/2026"/>
    <x v="0"/>
    <s v="JOSEFA KELY NUNES DE SOUSA"/>
    <n v="209319"/>
    <n v="1051"/>
    <n v="1002"/>
    <n v="1001"/>
    <n v="1062"/>
    <n v="1014"/>
    <n v="1020"/>
    <n v="1023"/>
    <n v="1027"/>
    <n v="1002"/>
    <n v="1037"/>
    <n v="1023.9"/>
    <s v=""/>
    <s v="assinatura"/>
    <n v="15158"/>
    <n v="1000"/>
    <n v="2.3899999999999977E-2"/>
    <n v="23.899999999999977"/>
    <x v="34"/>
    <x v="1"/>
  </r>
  <r>
    <x v="48"/>
    <x v="3"/>
    <s v="6ac777aa1255169047e834c2"/>
    <s v="07/10/2026 21:40:29"/>
    <s v="08/10/2026 07:59:54"/>
    <s v="Ranieli"/>
    <s v="07/10/2026"/>
    <x v="0"/>
    <s v="JOSEFA KELY NUNES DE SOUSA"/>
    <n v="963925"/>
    <n v="18025"/>
    <n v="18330"/>
    <n v="18440"/>
    <n v="18425"/>
    <n v="18305"/>
    <n v="18020"/>
    <n v="18055"/>
    <n v="18085"/>
    <n v="18110"/>
    <n v="18095"/>
    <n v="18189"/>
    <s v=""/>
    <s v="assinatura"/>
    <n v="16103"/>
    <n v="18000"/>
    <n v="1.0500000000000001E-2"/>
    <n v="189"/>
    <x v="15"/>
    <x v="3"/>
  </r>
  <r>
    <x v="48"/>
    <x v="3"/>
    <s v="6ac777aa1255169047e834bc"/>
    <s v="07/10/2026 21:36:21"/>
    <s v="08/10/2026 07:59:54"/>
    <s v="Ranieli"/>
    <s v="07/10/2026"/>
    <x v="0"/>
    <s v="JOSEFA KELY NUNES DE SOUSA"/>
    <n v="40762"/>
    <n v="10040"/>
    <n v="9985"/>
    <n v="10035"/>
    <n v="10000"/>
    <n v="10025"/>
    <n v="10115"/>
    <n v="10005"/>
    <n v="10100"/>
    <n v="10055"/>
    <n v="9965"/>
    <n v="10032.5"/>
    <s v=""/>
    <s v="assinatura"/>
    <n v="176"/>
    <n v="10000"/>
    <n v="3.2499999999999999E-3"/>
    <n v="32.5"/>
    <x v="3"/>
    <x v="1"/>
  </r>
  <r>
    <x v="48"/>
    <x v="3"/>
    <s v="6ac777aa1255169047e834b6"/>
    <s v="07/10/2026 21:32:11"/>
    <s v="08/10/2026 07:59:54"/>
    <s v="Ranieli"/>
    <s v="07/10/2026"/>
    <x v="0"/>
    <s v="JOSEFA KELY NUNES DE SOUSA"/>
    <n v="40762"/>
    <n v="9985"/>
    <n v="10055"/>
    <n v="10005"/>
    <n v="9965"/>
    <n v="10050"/>
    <n v="9970"/>
    <n v="10000"/>
    <n v="9975"/>
    <n v="10055"/>
    <n v="10025"/>
    <n v="10008.5"/>
    <s v=""/>
    <s v="assinatura"/>
    <n v="16589"/>
    <n v="10000"/>
    <n v="8.4999999999999995E-4"/>
    <n v="8.5"/>
    <x v="3"/>
    <x v="1"/>
  </r>
  <r>
    <x v="48"/>
    <x v="3"/>
    <s v="6ac777aa1255169047e834b0"/>
    <s v="07/10/2026 21:28:19"/>
    <s v="08/10/2026 07:59:54"/>
    <s v="Ranieli"/>
    <s v="07/10/2026"/>
    <x v="0"/>
    <s v="JOSEFA KELY NUNES DE SOUSA"/>
    <n v="15105"/>
    <n v="1010"/>
    <n v="1049"/>
    <n v="1038"/>
    <n v="1017"/>
    <n v="1053"/>
    <n v="1004"/>
    <n v="1014"/>
    <n v="1006"/>
    <n v="1003"/>
    <n v="1047"/>
    <n v="1024.0999999999999"/>
    <s v=""/>
    <s v=""/>
    <n v="16809"/>
    <n v="1000"/>
    <n v="2.409999999999991E-2"/>
    <n v="24.099999999999909"/>
    <x v="0"/>
    <x v="0"/>
  </r>
  <r>
    <x v="48"/>
    <x v="3"/>
    <s v="6ac777aa1255169047e834a8"/>
    <s v="07/10/2026 21:23:14"/>
    <s v="08/10/2026 07:59:54"/>
    <s v="Ranieli"/>
    <s v="07/10/2026"/>
    <x v="0"/>
    <s v="JOSEFA KELY NUNES DE SOUSA"/>
    <n v="42641"/>
    <n v="15000"/>
    <n v="15005"/>
    <n v="15045"/>
    <n v="15025"/>
    <n v="15025"/>
    <n v="15065"/>
    <n v="15060"/>
    <n v="15040"/>
    <n v="15015"/>
    <n v="15055"/>
    <n v="15033.5"/>
    <s v=""/>
    <s v="assinatura"/>
    <n v="17096"/>
    <n v="15000"/>
    <n v="2.2333333333333333E-3"/>
    <n v="33.5"/>
    <x v="12"/>
    <x v="3"/>
  </r>
  <r>
    <x v="48"/>
    <x v="3"/>
    <s v="6ac777aa1255169047e834a2"/>
    <s v="07/10/2026 20:35:47"/>
    <s v="08/10/2026 07:59:54"/>
    <s v="Ranieli"/>
    <s v="07/10/2026"/>
    <x v="0"/>
    <s v="JOSEFA KELY NUNES DE SOUSA"/>
    <n v="42820"/>
    <n v="2018"/>
    <n v="2048"/>
    <n v="2025"/>
    <n v="2028"/>
    <n v="2022"/>
    <n v="2018"/>
    <n v="2024"/>
    <n v="2042"/>
    <n v="2040"/>
    <n v="2045"/>
    <n v="2031"/>
    <s v=""/>
    <s v=""/>
    <n v="19934"/>
    <n v="2000"/>
    <n v="1.55E-2"/>
    <n v="31"/>
    <x v="10"/>
    <x v="1"/>
  </r>
  <r>
    <x v="48"/>
    <x v="3"/>
    <s v="6ac777aa1255169047e8349c"/>
    <s v="07/10/2026 20:33:22"/>
    <s v="08/10/2026 07:59:54"/>
    <s v="Ranieli"/>
    <s v="07/10/2026"/>
    <x v="0"/>
    <s v="JOSEFA KELY NUNES DE SOUSA"/>
    <n v="42862"/>
    <n v="2038"/>
    <n v="2006"/>
    <n v="2008"/>
    <n v="2023"/>
    <n v="2013"/>
    <n v="2004"/>
    <n v="2020"/>
    <n v="2012"/>
    <n v="2017"/>
    <n v="2023"/>
    <n v="2016.4"/>
    <s v=""/>
    <s v="assinatura"/>
    <n v="20049"/>
    <n v="2000"/>
    <n v="8.2000000000000458E-3"/>
    <n v="16.400000000000091"/>
    <x v="5"/>
    <x v="1"/>
  </r>
  <r>
    <x v="48"/>
    <x v="3"/>
    <s v="6ac777a91255169047e83496"/>
    <s v="07/10/2026 20:30:56"/>
    <s v="08/10/2026 07:59:53"/>
    <s v="Ranieli"/>
    <s v="07/10/2026"/>
    <x v="0"/>
    <s v="JOSEFA KELY NUNES DE SOUSA"/>
    <n v="42854"/>
    <n v="2040"/>
    <n v="2087"/>
    <n v="2011"/>
    <n v="2095"/>
    <n v="2002"/>
    <n v="2091"/>
    <n v="2095"/>
    <n v="2106"/>
    <n v="2100"/>
    <n v="2064"/>
    <n v="2069.1"/>
    <s v=""/>
    <s v="assinatura"/>
    <n v="20185"/>
    <n v="2080"/>
    <n v="-5.2403846153846589E-3"/>
    <n v="-10.900000000000091"/>
    <x v="4"/>
    <x v="1"/>
  </r>
  <r>
    <x v="48"/>
    <x v="3"/>
    <s v="6ac777a91255169047e83490"/>
    <s v="07/10/2026 20:28:49"/>
    <s v="08/10/2026 07:59:53"/>
    <s v="Ranieli"/>
    <s v="07/10/2026"/>
    <x v="0"/>
    <s v="JOSEFA KELY NUNES DE SOUSA"/>
    <n v="42846"/>
    <n v="2017"/>
    <n v="2046"/>
    <n v="2000"/>
    <n v="2033"/>
    <n v="2006"/>
    <n v="2001"/>
    <n v="2012"/>
    <n v="2010"/>
    <n v="2019"/>
    <n v="2013"/>
    <n v="2015.7"/>
    <s v=""/>
    <s v=""/>
    <n v="20301"/>
    <n v="2000"/>
    <n v="7.8500000000000219E-3"/>
    <n v="15.700000000000045"/>
    <x v="6"/>
    <x v="1"/>
  </r>
  <r>
    <x v="48"/>
    <x v="3"/>
    <s v="6ac777a91255169047e8348a"/>
    <s v="07/10/2026 20:26:50"/>
    <s v="08/10/2026 07:59:53"/>
    <s v="Ranieli"/>
    <s v="07/10/2026"/>
    <x v="0"/>
    <s v="JOSEFA KELY NUNES DE SOUSA"/>
    <n v="42838"/>
    <n v="2020"/>
    <n v="2017"/>
    <n v="2020"/>
    <n v="2018"/>
    <n v="2075"/>
    <n v="2005"/>
    <n v="2028"/>
    <n v="2012"/>
    <n v="2045"/>
    <n v="2041"/>
    <n v="2028.1"/>
    <s v=""/>
    <s v="assinatura"/>
    <n v="20380"/>
    <n v="2000"/>
    <n v="1.4049999999999955E-2"/>
    <n v="28.099999999999909"/>
    <x v="7"/>
    <x v="1"/>
  </r>
  <r>
    <x v="48"/>
    <x v="3"/>
    <s v="6ac777a91255169047e83484"/>
    <s v="07/10/2026 17:25:17"/>
    <s v="08/10/2026 07:59:53"/>
    <s v="Ranieli"/>
    <s v="07/10/2026"/>
    <x v="0"/>
    <s v="JOSEFA KELY NUNES DE SOUSA"/>
    <n v="15105"/>
    <n v="1014"/>
    <n v="1008"/>
    <n v="999"/>
    <n v="990"/>
    <n v="1038"/>
    <n v="1006"/>
    <n v="1070"/>
    <n v="1006"/>
    <n v="1021"/>
    <n v="1021"/>
    <n v="1017.3"/>
    <s v=""/>
    <s v="assinatura"/>
    <n v="31245"/>
    <n v="1000"/>
    <n v="1.7299999999999954E-2"/>
    <n v="17.299999999999955"/>
    <x v="0"/>
    <x v="0"/>
  </r>
  <r>
    <x v="48"/>
    <x v="3"/>
    <s v="6ac6a64b9b405ad761bc76bd"/>
    <s v="07/10/2026 17:02:46"/>
    <s v="07/10/2026 17:06:35"/>
    <s v="Ranieli"/>
    <s v="07/10/2026"/>
    <x v="1"/>
    <s v="ALANA DA SILVA MARTINS"/>
    <n v="209039"/>
    <n v="1015"/>
    <n v="1025"/>
    <n v="993"/>
    <n v="990"/>
    <n v="1016"/>
    <n v="1030"/>
    <n v="995"/>
    <n v="1010"/>
    <n v="1011"/>
    <n v="1004"/>
    <n v="1008.9"/>
    <s v=""/>
    <s v="assinatura"/>
    <n v="219"/>
    <n v="1000"/>
    <n v="8.8999999999999774E-3"/>
    <n v="8.8999999999999773"/>
    <x v="19"/>
    <x v="3"/>
  </r>
  <r>
    <x v="48"/>
    <x v="3"/>
    <s v="6ac65e0d36d49b92297ff332"/>
    <s v="07/10/2026 11:36:49"/>
    <s v="07/10/2026 11:58:21"/>
    <s v="Ranieli"/>
    <s v="07/10/2026"/>
    <x v="1"/>
    <s v="ALANA DA SILVA MARTINS"/>
    <n v="18228"/>
    <n v="1001"/>
    <n v="1006"/>
    <n v="999"/>
    <n v="1005"/>
    <n v="1003"/>
    <n v="1000"/>
    <n v="995"/>
    <n v="1000"/>
    <n v="1004"/>
    <n v="1006"/>
    <n v="1001.9"/>
    <s v=""/>
    <s v="assinatura"/>
    <n v="1284"/>
    <n v="1000"/>
    <n v="1.8999999999999772E-3"/>
    <n v="1.8999999999999773"/>
    <x v="16"/>
    <x v="4"/>
  </r>
  <r>
    <x v="48"/>
    <x v="3"/>
    <s v="6ac658f776e463e032ff4e35"/>
    <s v="07/10/2026 08:53:16"/>
    <s v="07/10/2026 11:36:39"/>
    <s v="Ranieli"/>
    <s v="07/10/2026"/>
    <x v="1"/>
    <s v="ALANA DA SILVA MARTINS"/>
    <n v="15105"/>
    <n v="1034"/>
    <n v="998"/>
    <n v="993"/>
    <n v="1014"/>
    <n v="1009"/>
    <n v="999"/>
    <n v="999"/>
    <n v="1057"/>
    <n v="1029"/>
    <n v="999"/>
    <n v="1013.1"/>
    <s v=""/>
    <s v="assinatura"/>
    <n v="255"/>
    <n v="1000"/>
    <n v="1.3100000000000023E-2"/>
    <n v="13.100000000000023"/>
    <x v="0"/>
    <x v="0"/>
  </r>
  <r>
    <x v="48"/>
    <x v="3"/>
    <s v="6ac631a23cf16866fa6da237"/>
    <s v="07/10/2026 08:37:15"/>
    <s v="07/10/2026 08:48:50"/>
    <s v="Ranieli"/>
    <s v="07/10/2026"/>
    <x v="1"/>
    <s v="ALANA DA SILVA MARTINS"/>
    <n v="54632"/>
    <n v="1017"/>
    <n v="997"/>
    <n v="1006"/>
    <n v="1025"/>
    <n v="1036"/>
    <n v="1010"/>
    <n v="1025"/>
    <n v="1031"/>
    <n v="1015"/>
    <n v="1001"/>
    <n v="1016.3"/>
    <s v=""/>
    <s v="assinatura"/>
    <n v="695"/>
    <n v="1000"/>
    <n v="1.6299999999999953E-2"/>
    <n v="16.299999999999955"/>
    <x v="11"/>
    <x v="1"/>
  </r>
  <r>
    <x v="48"/>
    <x v="3"/>
    <s v="6ac6318c1255169047e2370f"/>
    <s v="07/10/2026 08:41:39"/>
    <s v="07/10/2026 08:48:28"/>
    <s v="Ranieli"/>
    <s v="07/10/2026"/>
    <x v="1"/>
    <s v="ALANA DA SILVA MARTINS"/>
    <n v="42854"/>
    <n v="2141"/>
    <n v="2154"/>
    <n v="2168"/>
    <n v="2150"/>
    <n v="2153"/>
    <n v="2154"/>
    <n v="2142"/>
    <n v="2137"/>
    <n v="2153"/>
    <n v="2096"/>
    <n v="2144.8000000000002"/>
    <s v=""/>
    <s v="assinatura"/>
    <n v="408"/>
    <n v="2080"/>
    <n v="3.115384615384624E-2"/>
    <n v="64.800000000000182"/>
    <x v="4"/>
    <x v="1"/>
  </r>
  <r>
    <x v="49"/>
    <x v="3"/>
    <s v="6ac5da4a636e383ab3c2e99e"/>
    <s v="06/10/2026 23:34:39"/>
    <s v="07/10/2026 02:36:10"/>
    <s v="Ranieli"/>
    <s v="06/10/2026"/>
    <x v="0"/>
    <s v="JOSEFA KELY NUNES DE SOUSA"/>
    <n v="209039"/>
    <n v="1023"/>
    <n v="1024"/>
    <n v="1051"/>
    <n v="997"/>
    <n v="1004"/>
    <n v="1002"/>
    <n v="930"/>
    <n v="1026"/>
    <n v="1077"/>
    <n v="1006"/>
    <n v="1014"/>
    <s v=""/>
    <s v="assinatura"/>
    <n v="8158"/>
    <n v="1000"/>
    <n v="1.4E-2"/>
    <n v="14"/>
    <x v="19"/>
    <x v="3"/>
  </r>
  <r>
    <x v="49"/>
    <x v="3"/>
    <s v="6ac5da4a636e383ab3c2e998"/>
    <s v="06/10/2026 22:34:46"/>
    <s v="07/10/2026 02:36:10"/>
    <s v="Ranieli"/>
    <s v="06/10/2026"/>
    <x v="0"/>
    <s v="JOSEFA KELY NUNES DE SOUSA"/>
    <n v="40762"/>
    <n v="10020"/>
    <n v="10050"/>
    <n v="9985"/>
    <n v="10080"/>
    <n v="10035"/>
    <n v="10010"/>
    <n v="9960"/>
    <n v="10050"/>
    <n v="10005"/>
    <n v="9990"/>
    <n v="10018.5"/>
    <s v=""/>
    <s v="assinatura"/>
    <n v="11739"/>
    <n v="10000"/>
    <n v="1.8500000000000001E-3"/>
    <n v="18.5"/>
    <x v="3"/>
    <x v="1"/>
  </r>
  <r>
    <x v="49"/>
    <x v="3"/>
    <s v="6ac5da4a636e383ab3c2e992"/>
    <s v="06/10/2026 22:23:22"/>
    <s v="07/10/2026 02:36:10"/>
    <s v="Ranieli"/>
    <s v="06/10/2026"/>
    <x v="0"/>
    <s v="JOSEFA KELY NUNES DE SOUSA"/>
    <n v="963925"/>
    <n v="18090"/>
    <n v="18045"/>
    <n v="18315"/>
    <n v="18570"/>
    <n v="18130"/>
    <n v="18115"/>
    <n v="18230"/>
    <n v="18260"/>
    <n v="18405"/>
    <n v="18445"/>
    <n v="18260.5"/>
    <s v=""/>
    <s v="assinatura"/>
    <n v="12411"/>
    <n v="18000"/>
    <n v="1.4472222222222221E-2"/>
    <n v="260.5"/>
    <x v="15"/>
    <x v="3"/>
  </r>
  <r>
    <x v="49"/>
    <x v="3"/>
    <s v="6ac5da4a636e383ab3c2e98c"/>
    <s v="06/10/2026 22:19:49"/>
    <s v="07/10/2026 02:36:10"/>
    <s v="Ranieli"/>
    <s v="06/10/2026"/>
    <x v="0"/>
    <s v="JOSEFA KELY NUNES DE SOUSA"/>
    <n v="992014"/>
    <n v="710"/>
    <n v="710"/>
    <n v="709"/>
    <n v="702"/>
    <n v="702"/>
    <n v="713"/>
    <n v="716"/>
    <n v="696"/>
    <n v="705"/>
    <n v="699"/>
    <n v="706.2"/>
    <s v=""/>
    <s v="assinatura"/>
    <n v="12613"/>
    <n v="700"/>
    <n v="8.8571428571429228E-3"/>
    <n v="6.2000000000000455"/>
    <x v="14"/>
    <x v="1"/>
  </r>
  <r>
    <x v="49"/>
    <x v="3"/>
    <s v="6ac5da4a636e383ab3c2e984"/>
    <s v="06/10/2026 22:17:31"/>
    <s v="07/10/2026 02:36:10"/>
    <s v="Ranieli"/>
    <s v="06/10/2026"/>
    <x v="0"/>
    <s v="JOSEFA KELY NUNES DE SOUSA"/>
    <n v="15105"/>
    <n v="1000"/>
    <n v="1005"/>
    <n v="996"/>
    <n v="1004"/>
    <n v="1028"/>
    <n v="1019"/>
    <n v="1008"/>
    <n v="1014"/>
    <n v="1000"/>
    <n v="1022"/>
    <n v="1009.6"/>
    <s v=""/>
    <s v="assinatura"/>
    <n v="12730"/>
    <n v="1000"/>
    <n v="9.6000000000000234E-3"/>
    <n v="9.6000000000000227"/>
    <x v="0"/>
    <x v="0"/>
  </r>
  <r>
    <x v="49"/>
    <x v="3"/>
    <s v="6ac5da49636e383ab3c2e972"/>
    <s v="06/10/2026 19:21:23"/>
    <s v="07/10/2026 02:36:09"/>
    <s v="Ranieli"/>
    <s v="06/10/2026"/>
    <x v="0"/>
    <s v="JOSEFA KELY NUNES DE SOUSA"/>
    <n v="197734"/>
    <n v="1015"/>
    <n v="1014"/>
    <n v="1016"/>
    <n v="1035"/>
    <n v="1007"/>
    <n v="1003"/>
    <n v="1009"/>
    <n v="1002"/>
    <n v="1051"/>
    <n v="1011"/>
    <n v="1016.3"/>
    <s v=""/>
    <s v="assinatura"/>
    <n v="23227"/>
    <n v="1000"/>
    <n v="1.6299999999999953E-2"/>
    <n v="16.299999999999955"/>
    <x v="2"/>
    <x v="2"/>
  </r>
  <r>
    <x v="49"/>
    <x v="3"/>
    <s v="6ac5da49636e383ab3c2e96c"/>
    <s v="06/10/2026 19:10:51"/>
    <s v="07/10/2026 02:36:09"/>
    <s v="Ranieli"/>
    <s v="06/10/2026"/>
    <x v="0"/>
    <s v="JOSEFA KELY NUNES DE SOUSA"/>
    <n v="42820"/>
    <n v="2047"/>
    <n v="2072"/>
    <n v="2032"/>
    <n v="2033"/>
    <n v="2152"/>
    <n v="2079"/>
    <n v="2008"/>
    <n v="2080"/>
    <n v="2038"/>
    <n v="2007"/>
    <n v="2054.8000000000002"/>
    <s v=""/>
    <s v="assinatura"/>
    <n v="23818"/>
    <n v="2000"/>
    <n v="2.7400000000000091E-2"/>
    <n v="54.800000000000182"/>
    <x v="10"/>
    <x v="1"/>
  </r>
  <r>
    <x v="49"/>
    <x v="3"/>
    <s v="6ac5da49636e383ab3c2e966"/>
    <s v="06/10/2026 19:06:55"/>
    <s v="07/10/2026 02:36:09"/>
    <s v="Ranieli"/>
    <s v="06/10/2026"/>
    <x v="0"/>
    <s v="JOSEFA KELY NUNES DE SOUSA"/>
    <n v="42811"/>
    <n v="2027"/>
    <n v="2007"/>
    <n v="2072"/>
    <n v="2059"/>
    <n v="2044"/>
    <n v="2005"/>
    <n v="2075"/>
    <n v="2008"/>
    <n v="2017"/>
    <n v="2012"/>
    <n v="2032.6"/>
    <s v=""/>
    <s v="assinatura"/>
    <n v="24063"/>
    <n v="2000"/>
    <n v="1.6299999999999953E-2"/>
    <n v="32.599999999999909"/>
    <x v="32"/>
    <x v="1"/>
  </r>
  <r>
    <x v="49"/>
    <x v="3"/>
    <s v="6ac5da49636e383ab3c2e960"/>
    <s v="06/10/2026 19:04:55"/>
    <s v="07/10/2026 02:36:09"/>
    <s v="Ranieli"/>
    <s v="06/10/2026"/>
    <x v="0"/>
    <s v="JOSEFA KELY NUNES DE SOUSA"/>
    <n v="42838"/>
    <n v="2038"/>
    <n v="2023"/>
    <n v="2028"/>
    <n v="2021"/>
    <n v="2014"/>
    <n v="2020"/>
    <n v="2028"/>
    <n v="2018"/>
    <n v="2021"/>
    <n v="2018"/>
    <n v="2022.9"/>
    <s v=""/>
    <s v="assinatura"/>
    <n v="24204"/>
    <n v="2000"/>
    <n v="1.1450000000000045E-2"/>
    <n v="22.900000000000091"/>
    <x v="7"/>
    <x v="1"/>
  </r>
  <r>
    <x v="49"/>
    <x v="3"/>
    <s v="6ac5da49636e383ab3c2e95a"/>
    <s v="06/10/2026 19:02:40"/>
    <s v="07/10/2026 02:36:09"/>
    <s v="Ranieli"/>
    <s v="06/10/2026"/>
    <x v="0"/>
    <s v="JOSEFA KELY NUNES DE SOUSA"/>
    <n v="42846"/>
    <n v="2013"/>
    <n v="2005"/>
    <n v="2007"/>
    <n v="2019"/>
    <n v="1999"/>
    <n v="1999"/>
    <n v="2021"/>
    <n v="2114"/>
    <n v="1992"/>
    <n v="2012"/>
    <n v="2018.1"/>
    <s v=""/>
    <s v="assinatura"/>
    <n v="24260"/>
    <n v="2000"/>
    <n v="9.0499999999999539E-3"/>
    <n v="18.099999999999909"/>
    <x v="6"/>
    <x v="1"/>
  </r>
  <r>
    <x v="49"/>
    <x v="3"/>
    <s v="6ac5da49636e383ab3c2e954"/>
    <s v="06/10/2026 19:00:59"/>
    <s v="07/10/2026 02:36:09"/>
    <s v="Ranieli"/>
    <s v="06/10/2026"/>
    <x v="0"/>
    <s v="JOSEFA KELY NUNES DE SOUSA"/>
    <n v="42862"/>
    <n v="2006"/>
    <n v="2005"/>
    <n v="2012"/>
    <n v="2020"/>
    <n v="2011"/>
    <n v="2027"/>
    <n v="2000"/>
    <n v="2001"/>
    <n v="2017"/>
    <n v="2011"/>
    <n v="2011"/>
    <s v=""/>
    <s v="assinatura"/>
    <n v="24342"/>
    <n v="2000"/>
    <n v="5.4999999999999997E-3"/>
    <n v="11"/>
    <x v="5"/>
    <x v="1"/>
  </r>
  <r>
    <x v="49"/>
    <x v="3"/>
    <s v="6ac5da49636e383ab3c2e94e"/>
    <s v="06/10/2026 18:58:49"/>
    <s v="07/10/2026 02:36:09"/>
    <s v="Ranieli"/>
    <s v="06/10/2026"/>
    <x v="0"/>
    <s v="JOSEFA KELY NUNES DE SOUSA"/>
    <n v="42854"/>
    <n v="2110"/>
    <n v="2093"/>
    <n v="2031"/>
    <n v="2098"/>
    <n v="2107"/>
    <n v="2105"/>
    <n v="2107"/>
    <n v="2112"/>
    <n v="2111"/>
    <n v="2106"/>
    <n v="2098"/>
    <s v=""/>
    <s v="assinatura"/>
    <n v="24446"/>
    <n v="2080"/>
    <n v="8.6538461538461543E-3"/>
    <n v="18"/>
    <x v="4"/>
    <x v="1"/>
  </r>
  <r>
    <x v="49"/>
    <x v="3"/>
    <s v="6ac5da48636e383ab3c2e942"/>
    <s v="06/10/2026 17:26:14"/>
    <s v="07/10/2026 02:36:08"/>
    <s v="Ranieli"/>
    <s v="06/10/2026"/>
    <x v="0"/>
    <s v="JOSEFA KELY NUNES DE SOUSA"/>
    <n v="40762"/>
    <n v="9965"/>
    <n v="10025"/>
    <n v="9995"/>
    <n v="9935"/>
    <n v="9915"/>
    <n v="10030"/>
    <n v="9995"/>
    <n v="10010"/>
    <n v="9815"/>
    <n v="10015"/>
    <n v="9970"/>
    <s v=""/>
    <s v="assinatura"/>
    <n v="29956"/>
    <n v="10000"/>
    <n v="-3.0000000000000001E-3"/>
    <n v="-30"/>
    <x v="3"/>
    <x v="1"/>
  </r>
  <r>
    <x v="49"/>
    <x v="3"/>
    <s v="6ac5da48636e383ab3c2e93c"/>
    <s v="06/10/2026 17:18:01"/>
    <s v="07/10/2026 02:36:08"/>
    <s v="Ranieli"/>
    <s v="06/10/2026"/>
    <x v="0"/>
    <s v="JOSEFA KELY NUNES DE SOUSA"/>
    <n v="995638"/>
    <n v="15030"/>
    <n v="15035"/>
    <n v="15050"/>
    <n v="15025"/>
    <n v="15035"/>
    <n v="15030"/>
    <n v="15040"/>
    <n v="15045"/>
    <n v="15040"/>
    <n v="15005"/>
    <n v="15033.5"/>
    <s v=""/>
    <s v="assinatura"/>
    <n v="30432"/>
    <n v="15000"/>
    <n v="2.2333333333333333E-3"/>
    <n v="33.5"/>
    <x v="21"/>
    <x v="3"/>
  </r>
  <r>
    <x v="49"/>
    <x v="3"/>
    <s v="6ac5da48636e383ab3c2e936"/>
    <s v="06/10/2026 17:13:27"/>
    <s v="07/10/2026 02:36:08"/>
    <s v="Ranieli"/>
    <s v="06/10/2026"/>
    <x v="0"/>
    <s v="JOSEFA KELY NUNES DE SOUSA"/>
    <n v="15105"/>
    <n v="1002"/>
    <n v="1038"/>
    <n v="1014"/>
    <n v="1041"/>
    <n v="1003"/>
    <n v="1038"/>
    <n v="996"/>
    <n v="1033"/>
    <n v="995"/>
    <n v="1013"/>
    <n v="1017.3"/>
    <s v=""/>
    <s v="assinatura"/>
    <n v="30694"/>
    <n v="1000"/>
    <n v="1.7299999999999954E-2"/>
    <n v="17.299999999999955"/>
    <x v="0"/>
    <x v="0"/>
  </r>
  <r>
    <x v="48"/>
    <x v="3"/>
    <s v="6ac5bc7a6bcca7f96f5042df"/>
    <s v="07/10/2026 00:20:10"/>
    <s v="07/10/2026 00:28:58"/>
    <s v="Ranieli"/>
    <s v="07/10/2026"/>
    <x v="0"/>
    <s v="JULIANE GOMES NOVAIS"/>
    <n v="42838"/>
    <n v="2012"/>
    <n v="2029"/>
    <n v="2023"/>
    <n v="2020"/>
    <n v="2026"/>
    <n v="2029"/>
    <n v="2030"/>
    <n v="2019"/>
    <n v="2017"/>
    <n v="2024"/>
    <n v="2022.9"/>
    <s v=""/>
    <s v="assinatura"/>
    <n v="293"/>
    <n v="2000"/>
    <n v="1.1450000000000045E-2"/>
    <n v="22.900000000000091"/>
    <x v="7"/>
    <x v="1"/>
  </r>
  <r>
    <x v="48"/>
    <x v="3"/>
    <s v="6ac5bc7a6bcca7f96f5042d9"/>
    <s v="07/10/2026 00:18:30"/>
    <s v="07/10/2026 00:28:58"/>
    <s v="Ranieli"/>
    <s v="07/10/2026"/>
    <x v="0"/>
    <s v="JULIANE GOMES NOVAIS"/>
    <n v="42846"/>
    <n v="2008"/>
    <n v="2005"/>
    <n v="2015"/>
    <n v="2016"/>
    <n v="2001"/>
    <n v="2012"/>
    <n v="1992"/>
    <n v="2004"/>
    <n v="2007"/>
    <n v="2000"/>
    <n v="2006"/>
    <s v=""/>
    <s v="assinatura"/>
    <n v="410"/>
    <n v="2000"/>
    <n v="3.0000000000000001E-3"/>
    <n v="6"/>
    <x v="6"/>
    <x v="1"/>
  </r>
  <r>
    <x v="48"/>
    <x v="3"/>
    <s v="6ac5bc7a6bcca7f96f5042d3"/>
    <s v="07/10/2026 00:15:35"/>
    <s v="07/10/2026 00:28:58"/>
    <s v="Ranieli"/>
    <s v="07/10/2026"/>
    <x v="0"/>
    <s v="JULIANE GOMES NOVAIS"/>
    <n v="42854"/>
    <n v="2115"/>
    <n v="2089"/>
    <n v="2096"/>
    <n v="2088"/>
    <n v="2095"/>
    <n v="2075"/>
    <n v="2117"/>
    <n v="2108"/>
    <n v="2113"/>
    <n v="2112"/>
    <n v="2100.8000000000002"/>
    <s v=""/>
    <s v="assinatura"/>
    <n v="601"/>
    <n v="2080"/>
    <n v="1.0000000000000087E-2"/>
    <n v="20.800000000000182"/>
    <x v="4"/>
    <x v="1"/>
  </r>
  <r>
    <x v="48"/>
    <x v="3"/>
    <s v="6ac5bc7a6bcca7f96f5042cd"/>
    <s v="07/10/2026 00:12:25"/>
    <s v="07/10/2026 00:28:58"/>
    <s v="Ranieli"/>
    <s v="07/10/2026"/>
    <x v="0"/>
    <s v="JULIANE GOMES NOVAIS"/>
    <n v="42862"/>
    <n v="2005"/>
    <n v="2013"/>
    <n v="2016"/>
    <n v="2022"/>
    <n v="1993"/>
    <n v="2008"/>
    <n v="1989"/>
    <n v="2007"/>
    <n v="1998"/>
    <n v="2013"/>
    <n v="2006.4"/>
    <s v=""/>
    <s v="assinatura"/>
    <n v="742"/>
    <n v="2000"/>
    <n v="3.2000000000000457E-3"/>
    <n v="6.4000000000000909"/>
    <x v="5"/>
    <x v="1"/>
  </r>
  <r>
    <x v="48"/>
    <x v="3"/>
    <s v="6ac5bc796bcca7f96f5042c7"/>
    <s v="07/10/2026 00:06:44"/>
    <s v="07/10/2026 00:28:57"/>
    <s v="Ranieli"/>
    <s v="07/10/2026"/>
    <x v="0"/>
    <s v="JULIANE GOMES NOVAIS"/>
    <n v="40762"/>
    <n v="9990"/>
    <n v="10060"/>
    <n v="10115"/>
    <n v="10050"/>
    <n v="10035"/>
    <n v="10000"/>
    <n v="10040"/>
    <n v="9975"/>
    <n v="9995"/>
    <n v="10075"/>
    <n v="10033.5"/>
    <s v=""/>
    <s v="assinatura"/>
    <n v="1154"/>
    <n v="10000"/>
    <n v="3.3500000000000001E-3"/>
    <n v="33.5"/>
    <x v="3"/>
    <x v="1"/>
  </r>
  <r>
    <x v="49"/>
    <x v="3"/>
    <s v="6ac5bc796bcca7f96f5042af"/>
    <s v="06/10/2026 23:52:30"/>
    <s v="07/10/2026 00:28:57"/>
    <s v="Ranieli"/>
    <s v="06/10/2026"/>
    <x v="0"/>
    <s v="JULIANE GOMES NOVAIS"/>
    <n v="15105"/>
    <n v="1026"/>
    <n v="937"/>
    <n v="1198"/>
    <n v="1011"/>
    <n v="1045"/>
    <n v="1006"/>
    <n v="1050"/>
    <n v="1015"/>
    <n v="1007"/>
    <n v="1007"/>
    <n v="1030.2"/>
    <s v=""/>
    <s v="assinatura"/>
    <n v="784"/>
    <n v="1000"/>
    <n v="3.0200000000000046E-2"/>
    <n v="30.200000000000045"/>
    <x v="0"/>
    <x v="0"/>
  </r>
  <r>
    <x v="49"/>
    <x v="3"/>
    <s v="6ac53b984854db7e48dab89e"/>
    <s v="06/10/2026 11:48:10"/>
    <s v="06/10/2026 15:19:04"/>
    <s v="Ranieli"/>
    <s v="06/10/2026"/>
    <x v="1"/>
    <s v="ALANA DA SILVA MARTINS"/>
    <n v="992014"/>
    <n v="689"/>
    <n v="699"/>
    <n v="700"/>
    <n v="700"/>
    <n v="693"/>
    <n v="699"/>
    <n v="686"/>
    <n v="700"/>
    <n v="699"/>
    <n v="697"/>
    <n v="696.2"/>
    <s v=""/>
    <s v="assinatura"/>
    <n v="12303"/>
    <n v="700"/>
    <n v="-5.4285714285713634E-3"/>
    <n v="-3.7999999999999545"/>
    <x v="14"/>
    <x v="1"/>
  </r>
  <r>
    <x v="49"/>
    <x v="3"/>
    <s v="6ac53b984854db7e48dab898"/>
    <s v="06/10/2026 11:41:36"/>
    <s v="06/10/2026 15:19:04"/>
    <s v="Ranieli"/>
    <s v="06/10/2026"/>
    <x v="1"/>
    <s v="ALANA DA SILVA MARTINS"/>
    <n v="15105"/>
    <n v="1028"/>
    <n v="836"/>
    <n v="1015"/>
    <n v="823"/>
    <n v="942"/>
    <n v="998"/>
    <n v="1002"/>
    <n v="985"/>
    <n v="994"/>
    <n v="1001"/>
    <n v="962.4"/>
    <s v=""/>
    <s v="assinatura"/>
    <n v="12725"/>
    <n v="1000"/>
    <n v="-3.7600000000000022E-2"/>
    <n v="-37.600000000000023"/>
    <x v="0"/>
    <x v="0"/>
  </r>
  <r>
    <x v="49"/>
    <x v="3"/>
    <s v="6ac53b984854db7e48dab892"/>
    <s v="06/10/2026 11:30:24"/>
    <s v="06/10/2026 15:19:04"/>
    <s v="Ranieli"/>
    <s v="06/10/2026"/>
    <x v="1"/>
    <s v="ALANA DA SILVA MARTINS"/>
    <n v="42862"/>
    <n v="2061"/>
    <n v="2045"/>
    <n v="1972"/>
    <n v="1991"/>
    <n v="2012"/>
    <n v="2038"/>
    <n v="2078"/>
    <n v="2008"/>
    <n v="2040"/>
    <n v="2058"/>
    <n v="2030.3"/>
    <s v=""/>
    <s v="assinatura"/>
    <n v="13424"/>
    <n v="2000"/>
    <n v="1.5149999999999978E-2"/>
    <n v="30.299999999999955"/>
    <x v="5"/>
    <x v="1"/>
  </r>
  <r>
    <x v="49"/>
    <x v="3"/>
    <s v="6ac53b984854db7e48dab88c"/>
    <s v="06/10/2026 08:46:46"/>
    <s v="06/10/2026 15:19:04"/>
    <s v="Ranieli"/>
    <s v="06/10/2026"/>
    <x v="1"/>
    <s v="ALANA DA SILVA MARTINS"/>
    <n v="15105"/>
    <n v="1048"/>
    <n v="999"/>
    <n v="1005"/>
    <n v="1023"/>
    <n v="1042"/>
    <n v="999"/>
    <n v="1029"/>
    <n v="1013"/>
    <n v="1038"/>
    <n v="1006"/>
    <n v="1020.2"/>
    <s v=""/>
    <s v="assinatura"/>
    <n v="23292"/>
    <n v="1000"/>
    <n v="2.0200000000000044E-2"/>
    <n v="20.200000000000045"/>
    <x v="0"/>
    <x v="0"/>
  </r>
  <r>
    <x v="49"/>
    <x v="3"/>
    <s v="6ac50accfeff8ad15700bb18"/>
    <s v="06/10/2026 08:25:14"/>
    <s v="06/10/2026 11:50:52"/>
    <s v="Ranieli"/>
    <s v="06/10/2026"/>
    <x v="1"/>
    <s v="ALANA DA SILVA MARTINS"/>
    <n v="42846"/>
    <n v="2006"/>
    <n v="1982"/>
    <n v="1984"/>
    <n v="1980"/>
    <n v="2008"/>
    <n v="1915"/>
    <n v="1961"/>
    <n v="2056"/>
    <n v="2006"/>
    <n v="2135"/>
    <n v="2003.3"/>
    <s v=""/>
    <s v="assinatura"/>
    <n v="470"/>
    <n v="2000"/>
    <n v="1.6499999999999772E-3"/>
    <n v="3.2999999999999545"/>
    <x v="6"/>
    <x v="1"/>
  </r>
  <r>
    <x v="49"/>
    <x v="3"/>
    <s v="6ac50accfeff8ad15700bb12"/>
    <s v="06/10/2026 08:20:42"/>
    <s v="06/10/2026 11:50:52"/>
    <s v="Ranieli"/>
    <s v="06/10/2026"/>
    <x v="1"/>
    <s v="ALANA DA SILVA MARTINS"/>
    <n v="42854"/>
    <n v="2151"/>
    <n v="2133"/>
    <n v="2145"/>
    <n v="1876"/>
    <n v="2078"/>
    <n v="1913"/>
    <n v="2152"/>
    <n v="2156"/>
    <n v="2146"/>
    <n v="2151"/>
    <n v="2090.1"/>
    <s v=""/>
    <s v="assinatura"/>
    <n v="711"/>
    <n v="2080"/>
    <n v="4.855769230769187E-3"/>
    <n v="10.099999999999909"/>
    <x v="4"/>
    <x v="1"/>
  </r>
  <r>
    <x v="49"/>
    <x v="3"/>
    <s v="6ac50accfeff8ad15700bb0c"/>
    <s v="06/10/2026 08:16:28"/>
    <s v="06/10/2026 11:50:52"/>
    <s v="Ranieli"/>
    <s v="06/10/2026"/>
    <x v="1"/>
    <s v="ALANA DA SILVA MARTINS"/>
    <n v="54632"/>
    <n v="996"/>
    <n v="1017"/>
    <n v="998"/>
    <n v="1003"/>
    <n v="1005"/>
    <n v="1007"/>
    <n v="996"/>
    <n v="1003"/>
    <n v="992"/>
    <n v="989"/>
    <n v="1000.6"/>
    <s v=""/>
    <s v="assinatura"/>
    <n v="950"/>
    <n v="1000"/>
    <n v="6.0000000000002272E-4"/>
    <n v="0.60000000000002274"/>
    <x v="11"/>
    <x v="1"/>
  </r>
  <r>
    <x v="45"/>
    <x v="3"/>
    <s v="6ac50accfeff8ad15700bb06"/>
    <s v="05/10/2026 08:43:51"/>
    <s v="06/10/2026 11:50:52"/>
    <s v="Ranieli"/>
    <s v="05/10/2026"/>
    <x v="1"/>
    <s v="ALANA DA SILVA MARTINS"/>
    <n v="54632"/>
    <n v="1002"/>
    <n v="990"/>
    <n v="995"/>
    <n v="1004"/>
    <n v="1008"/>
    <n v="992"/>
    <n v="986"/>
    <s v=""/>
    <n v="1000"/>
    <n v="997"/>
    <n v="997"/>
    <s v=""/>
    <s v="assinatura"/>
    <n v="85687"/>
    <n v="1000"/>
    <n v="-3.0000000000000001E-3"/>
    <n v="-3"/>
    <x v="1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9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H40" firstHeaderRow="1" firstDataRow="2" firstDataCol="1"/>
  <pivotFields count="29">
    <pivotField axis="axisCol" numFmtId="165" showAll="0" sortType="ascending" defaultSubtotal="0">
      <items count="55">
        <item x="0"/>
        <item x="1"/>
        <item x="2"/>
        <item x="3"/>
        <item x="4"/>
        <item x="5"/>
        <item m="1" x="52"/>
        <item x="6"/>
        <item x="8"/>
        <item x="10"/>
        <item x="11"/>
        <item x="12"/>
        <item m="1" x="51"/>
        <item x="14"/>
        <item x="13"/>
        <item x="15"/>
        <item x="7"/>
        <item x="9"/>
        <item x="16"/>
        <item m="1" x="50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54"/>
        <item x="37"/>
        <item x="36"/>
        <item x="38"/>
        <item x="40"/>
        <item x="39"/>
        <item m="1" x="53"/>
        <item x="41"/>
        <item x="43"/>
        <item x="42"/>
        <item x="44"/>
        <item x="46"/>
        <item x="45"/>
        <item x="49"/>
        <item x="48"/>
        <item x="47"/>
      </items>
    </pivotField>
    <pivotField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2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0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34">
    <i>
      <x/>
    </i>
    <i r="1">
      <x/>
    </i>
    <i r="1">
      <x v="10"/>
    </i>
    <i r="1">
      <x v="18"/>
    </i>
    <i r="1">
      <x v="21"/>
    </i>
    <i r="1">
      <x v="22"/>
    </i>
    <i>
      <x v="1"/>
    </i>
    <i>
      <x v="2"/>
    </i>
    <i r="1">
      <x v="11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7"/>
    </i>
    <i r="1">
      <x v="19"/>
    </i>
    <i r="1">
      <x v="27"/>
    </i>
    <i r="1">
      <x v="32"/>
    </i>
    <i r="1">
      <x v="33"/>
    </i>
    <i r="1">
      <x v="35"/>
    </i>
    <i r="1">
      <x v="37"/>
    </i>
    <i>
      <x v="4"/>
    </i>
    <i r="1">
      <x v="12"/>
    </i>
    <i r="1">
      <x v="30"/>
    </i>
    <i r="1">
      <x v="40"/>
    </i>
    <i>
      <x v="8"/>
    </i>
    <i r="1">
      <x v="36"/>
    </i>
    <i>
      <x v="9"/>
    </i>
    <i r="1">
      <x v="38"/>
    </i>
  </rowItems>
  <colFields count="1">
    <field x="0"/>
  </colFields>
  <colItems count="7">
    <i>
      <x v="49"/>
    </i>
    <i>
      <x v="50"/>
    </i>
    <i>
      <x v="51"/>
    </i>
    <i>
      <x v="52"/>
    </i>
    <i>
      <x v="53"/>
    </i>
    <i>
      <x v="54"/>
    </i>
    <i t="grand">
      <x/>
    </i>
  </colItems>
  <dataFields count="1">
    <dataField name="Média de Desvio" fld="26" subtotal="average" baseField="27" baseItem="3" numFmtId="167"/>
  </dataFields>
  <formats count="14">
    <format dxfId="77">
      <pivotArea outline="0" collapsedLevelsAreSubtotals="1" fieldPosition="0"/>
    </format>
    <format dxfId="76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5">
      <pivotArea dataOnly="0" labelOnly="1" grandCol="1" outline="0" fieldPosition="0"/>
    </format>
    <format dxfId="74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3">
      <pivotArea dataOnly="0" labelOnly="1" grandCol="1" outline="0" fieldPosition="0"/>
    </format>
    <format dxfId="72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71">
      <pivotArea field="28" type="button" dataOnly="0" labelOnly="1" outline="0" axis="axisRow" fieldPosition="0"/>
    </format>
    <format dxfId="70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69">
      <pivotArea dataOnly="0" labelOnly="1" grandCol="1" outline="0" fieldPosition="0"/>
    </format>
    <format dxfId="68">
      <pivotArea field="28" type="button" dataOnly="0" labelOnly="1" outline="0" axis="axisRow" fieldPosition="0"/>
    </format>
    <format dxfId="67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66">
      <pivotArea dataOnly="0" labelOnly="1" fieldPosition="0">
        <references count="1">
          <reference field="0" count="1">
            <x v="35"/>
          </reference>
        </references>
      </pivotArea>
    </format>
    <format dxfId="65">
      <pivotArea dataOnly="0" labelOnly="1" grandCol="1" outline="0" fieldPosition="0"/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19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E59" firstHeaderRow="1" firstDataRow="2" firstDataCol="1"/>
  <pivotFields count="29">
    <pivotField numFmtId="165" showAll="0" defaultSubtota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2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0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x="39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3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1"/>
    </i>
    <i r="2">
      <x v="2"/>
    </i>
    <i t="grand">
      <x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Média de Desvio" fld="26" subtotal="average" baseField="27" baseItem="1" numFmtId="167"/>
  </dataFields>
  <formats count="4">
    <format dxfId="62">
      <pivotArea outline="0" collapsedLevelsAreSubtotals="1" fieldPosition="0"/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4">
        <i x="0"/>
        <i x="1"/>
        <i x="2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7" s="1"/>
        <i x="8" s="1"/>
        <i x="4" s="1"/>
        <i x="0" s="1"/>
        <i x="1" s="1"/>
        <i x="2" s="1"/>
        <i x="6" s="1" nd="1"/>
        <i x="5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4">
        <i x="0" s="1"/>
        <i x="1" s="1"/>
        <i x="2" s="1"/>
        <i x="3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424" totalsRowShown="0">
  <autoFilter ref="A1:AC1424"/>
  <tableColumns count="29">
    <tableColumn id="25" name="Data Corrigida" dataDxfId="57">
      <calculatedColumnFormula>INT(Tabela1[[#This Row],[Data e Hora2]])</calculatedColumnFormula>
    </tableColumn>
    <tableColumn id="26" name="Mês" dataDxfId="56">
      <calculatedColumnFormula>UPPER(TEXT(Tabela1[[#This Row],[Data Corrigida]],"MMM"))</calculatedColumnFormula>
    </tableColumn>
    <tableColumn id="1" name="ID"/>
    <tableColumn id="2" name="Data e Hora" dataDxfId="55"/>
    <tableColumn id="3" name="Data recebimento" dataDxfId="54"/>
    <tableColumn id="4" name="Usuário"/>
    <tableColumn id="5" name="Data e Hora2" dataDxfId="53"/>
    <tableColumn id="6" name="Turno"/>
    <tableColumn id="7" name="Agente de Monitoramento"/>
    <tableColumn id="8" name="SKU"/>
    <tableColumn id="9" name="Peso  1" dataDxfId="52"/>
    <tableColumn id="10" name="Peso  2" dataDxfId="51"/>
    <tableColumn id="11" name="Peso  3" dataDxfId="50"/>
    <tableColumn id="12" name="Peso  4" dataDxfId="49"/>
    <tableColumn id="13" name="Peso  5" dataDxfId="48"/>
    <tableColumn id="14" name="Peso  6" dataDxfId="47"/>
    <tableColumn id="15" name="Peso  7" dataDxfId="46"/>
    <tableColumn id="16" name="Peso  8" dataDxfId="45"/>
    <tableColumn id="17" name="Peso  9" dataDxfId="44"/>
    <tableColumn id="18" name="Peso  10" dataDxfId="43"/>
    <tableColumn id="19" name="Média" dataDxfId="42"/>
    <tableColumn id="20" name="Média (Comentário)"/>
    <tableColumn id="21" name="Colunas1"/>
    <tableColumn id="22" name="Tempo de resposta"/>
    <tableColumn id="28" name="Meta" dataDxfId="41">
      <calculatedColumnFormula>VLOOKUP(Tabela1[[#This Row],[SKU]],SKU!A:D,4,0)</calculatedColumnFormula>
    </tableColumn>
    <tableColumn id="27" name="% Sobrepeso" dataDxfId="40" dataCellStyle="Porcentagem">
      <calculatedColumnFormula>IFERROR((Tabela1[[#This Row],[Média]]-Tabela1[[#This Row],[Meta]])/Tabela1[[#This Row],[Meta]],"")</calculatedColumnFormula>
    </tableColumn>
    <tableColumn id="29" name="Desvio" dataDxfId="39" dataCellStyle="Porcentagem">
      <calculatedColumnFormula>Tabela1[[#This Row],[Média]]-Tabela1[[#This Row],[Meta]]</calculatedColumnFormula>
    </tableColumn>
    <tableColumn id="23" name="Item" dataDxfId="38">
      <calculatedColumnFormula>VLOOKUP(Tabela1[[#This Row],[SKU]],SKU!A:B,2,0)</calculatedColumnFormula>
    </tableColumn>
    <tableColumn id="24" name="Família" dataDxfId="37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J16" sqref="J16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8">
        <v>46296</v>
      </c>
      <c r="C6" s="28">
        <v>46297</v>
      </c>
      <c r="D6" s="28">
        <v>46300</v>
      </c>
      <c r="E6" s="28">
        <v>46301</v>
      </c>
      <c r="F6" s="28">
        <v>46302</v>
      </c>
      <c r="G6" s="28">
        <v>46303</v>
      </c>
      <c r="H6" s="23" t="s">
        <v>409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/>
    </row>
    <row r="7" spans="1:32" x14ac:dyDescent="0.25">
      <c r="A7" s="12" t="s">
        <v>385</v>
      </c>
      <c r="B7" s="32">
        <v>31.000000000000085</v>
      </c>
      <c r="C7" s="32">
        <v>63.180000000000021</v>
      </c>
      <c r="D7" s="32">
        <v>65.860000000000042</v>
      </c>
      <c r="E7" s="32">
        <v>102.66666666666667</v>
      </c>
      <c r="F7" s="32">
        <v>75.639999999999844</v>
      </c>
      <c r="G7" s="32"/>
      <c r="H7" s="32">
        <v>66.154545454545442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2">
        <v>87</v>
      </c>
      <c r="C8" s="32">
        <v>52</v>
      </c>
      <c r="D8" s="32">
        <v>22.5</v>
      </c>
      <c r="E8" s="32"/>
      <c r="F8" s="32">
        <v>33.5</v>
      </c>
      <c r="G8" s="32"/>
      <c r="H8" s="32">
        <v>43.5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2">
        <v>3.3999999999999773</v>
      </c>
      <c r="C9" s="32">
        <v>24.900000000000091</v>
      </c>
      <c r="D9" s="32"/>
      <c r="E9" s="32">
        <v>14</v>
      </c>
      <c r="F9" s="32">
        <v>8.8999999999999773</v>
      </c>
      <c r="G9" s="32"/>
      <c r="H9" s="32">
        <v>12.800000000000011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303</v>
      </c>
      <c r="B10" s="32">
        <v>5.6000000000003638</v>
      </c>
      <c r="C10" s="32"/>
      <c r="D10" s="32">
        <v>9.8000000000001819</v>
      </c>
      <c r="E10" s="32"/>
      <c r="F10" s="32"/>
      <c r="G10" s="32"/>
      <c r="H10" s="32">
        <v>7.7000000000002728</v>
      </c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380</v>
      </c>
      <c r="B11" s="32">
        <v>28</v>
      </c>
      <c r="C11" s="32">
        <v>40.5</v>
      </c>
      <c r="D11" s="32">
        <v>70.5</v>
      </c>
      <c r="E11" s="32">
        <v>33.5</v>
      </c>
      <c r="F11" s="32">
        <v>19.299999999999272</v>
      </c>
      <c r="G11" s="32"/>
      <c r="H11" s="32">
        <v>38.359999999999857</v>
      </c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338</v>
      </c>
      <c r="B12" s="32"/>
      <c r="C12" s="32">
        <v>99.25</v>
      </c>
      <c r="D12" s="32">
        <v>204</v>
      </c>
      <c r="E12" s="32">
        <v>260.5</v>
      </c>
      <c r="F12" s="32">
        <v>158.25</v>
      </c>
      <c r="G12" s="32"/>
      <c r="H12" s="32">
        <v>163.25</v>
      </c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2" t="s">
        <v>391</v>
      </c>
      <c r="B13" s="32"/>
      <c r="C13" s="32"/>
      <c r="D13" s="32"/>
      <c r="E13" s="32"/>
      <c r="F13" s="32">
        <v>1.8999999999999773</v>
      </c>
      <c r="G13" s="32"/>
      <c r="H13" s="32">
        <v>1.8999999999999773</v>
      </c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2" t="s">
        <v>386</v>
      </c>
      <c r="B14" s="32">
        <v>16.260000000000012</v>
      </c>
      <c r="C14" s="32">
        <v>11.124999999999972</v>
      </c>
      <c r="D14" s="32">
        <v>14.366666666666637</v>
      </c>
      <c r="E14" s="32">
        <v>7.9400000000000093</v>
      </c>
      <c r="F14" s="32">
        <v>24.45999999999999</v>
      </c>
      <c r="G14" s="32">
        <v>14</v>
      </c>
      <c r="H14" s="32">
        <v>14.995652173913038</v>
      </c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7" t="s">
        <v>326</v>
      </c>
      <c r="B15" s="32">
        <v>17.300000000000011</v>
      </c>
      <c r="C15" s="32">
        <v>11.124999999999972</v>
      </c>
      <c r="D15" s="32">
        <v>14.366666666666637</v>
      </c>
      <c r="E15" s="32">
        <v>7.9400000000000093</v>
      </c>
      <c r="F15" s="32">
        <v>17.649999999999977</v>
      </c>
      <c r="G15" s="32">
        <v>14</v>
      </c>
      <c r="H15" s="32">
        <v>13.385714285714275</v>
      </c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7" t="s">
        <v>329</v>
      </c>
      <c r="B16" s="32">
        <v>12.100000000000023</v>
      </c>
      <c r="C16" s="32"/>
      <c r="D16" s="32"/>
      <c r="E16" s="32"/>
      <c r="F16" s="32">
        <v>51.700000000000045</v>
      </c>
      <c r="G16" s="32"/>
      <c r="H16" s="32">
        <v>31.900000000000034</v>
      </c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2" t="s">
        <v>396</v>
      </c>
      <c r="B17" s="32">
        <v>21.244999999999976</v>
      </c>
      <c r="C17" s="32">
        <v>18.067857142857125</v>
      </c>
      <c r="D17" s="32">
        <v>14.080000000000004</v>
      </c>
      <c r="E17" s="32">
        <v>13.757142857142858</v>
      </c>
      <c r="F17" s="32">
        <v>18.617647058823557</v>
      </c>
      <c r="G17" s="32">
        <v>27.433333333333223</v>
      </c>
      <c r="H17" s="32">
        <v>18.156999999999989</v>
      </c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352</v>
      </c>
      <c r="B18" s="32">
        <v>34.650000000000034</v>
      </c>
      <c r="C18" s="32">
        <v>7.8000000000000114</v>
      </c>
      <c r="D18" s="32"/>
      <c r="E18" s="32"/>
      <c r="F18" s="32"/>
      <c r="G18" s="32"/>
      <c r="H18" s="32">
        <v>21.225000000000023</v>
      </c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313</v>
      </c>
      <c r="B19" s="32">
        <v>4.75</v>
      </c>
      <c r="C19" s="32">
        <v>15.125</v>
      </c>
      <c r="D19" s="32">
        <v>12.333333333333334</v>
      </c>
      <c r="E19" s="32">
        <v>-5.75</v>
      </c>
      <c r="F19" s="32">
        <v>24.833333333333332</v>
      </c>
      <c r="G19" s="32"/>
      <c r="H19" s="32">
        <v>12.142857142857142</v>
      </c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344</v>
      </c>
      <c r="B20" s="32">
        <v>9.5</v>
      </c>
      <c r="C20" s="32">
        <v>5.9499999999999886</v>
      </c>
      <c r="D20" s="32">
        <v>-3</v>
      </c>
      <c r="E20" s="32">
        <v>0.60000000000002274</v>
      </c>
      <c r="F20" s="32">
        <v>16.299999999999955</v>
      </c>
      <c r="G20" s="32"/>
      <c r="H20" s="32">
        <v>5.8833333333333258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356</v>
      </c>
      <c r="B21" s="32">
        <v>42.799999999999955</v>
      </c>
      <c r="C21" s="32">
        <v>40.799999999999955</v>
      </c>
      <c r="D21" s="32"/>
      <c r="E21" s="32">
        <v>54.800000000000182</v>
      </c>
      <c r="F21" s="32">
        <v>31</v>
      </c>
      <c r="G21" s="32"/>
      <c r="H21" s="32">
        <v>42.166666666666664</v>
      </c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314</v>
      </c>
      <c r="B22" s="32">
        <v>27.100000000000023</v>
      </c>
      <c r="C22" s="32">
        <v>28.850000000000023</v>
      </c>
      <c r="D22" s="32">
        <v>23.300000000000068</v>
      </c>
      <c r="E22" s="32">
        <v>22.900000000000091</v>
      </c>
      <c r="F22" s="32">
        <v>25.5</v>
      </c>
      <c r="G22" s="32">
        <v>79.199999999999818</v>
      </c>
      <c r="H22" s="32">
        <v>31.160000000000014</v>
      </c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315</v>
      </c>
      <c r="B23" s="32">
        <v>7.5499999999999545</v>
      </c>
      <c r="C23" s="32">
        <v>19.366666666666635</v>
      </c>
      <c r="D23" s="32">
        <v>10.5</v>
      </c>
      <c r="E23" s="32">
        <v>10.699999999999932</v>
      </c>
      <c r="F23" s="32">
        <v>10.850000000000023</v>
      </c>
      <c r="G23" s="32">
        <v>12.099999999999909</v>
      </c>
      <c r="H23" s="32">
        <v>12.449999999999969</v>
      </c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316</v>
      </c>
      <c r="B24" s="32">
        <v>-5.9000000000000909</v>
      </c>
      <c r="C24" s="32">
        <v>14.499999999999849</v>
      </c>
      <c r="D24" s="32">
        <v>-0.84999999999990905</v>
      </c>
      <c r="E24" s="32">
        <v>14.049999999999955</v>
      </c>
      <c r="F24" s="32">
        <v>24.900000000000091</v>
      </c>
      <c r="G24" s="32">
        <v>43.699999999999818</v>
      </c>
      <c r="H24" s="32">
        <v>13.576923076923041</v>
      </c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317</v>
      </c>
      <c r="B25" s="32">
        <v>27.66666666666659</v>
      </c>
      <c r="C25" s="32">
        <v>22.866666666666635</v>
      </c>
      <c r="D25" s="32">
        <v>12</v>
      </c>
      <c r="E25" s="32">
        <v>20.649999999999977</v>
      </c>
      <c r="F25" s="32">
        <v>11.400000000000091</v>
      </c>
      <c r="G25" s="32">
        <v>48.699999999999818</v>
      </c>
      <c r="H25" s="32">
        <v>22.184615384615356</v>
      </c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345</v>
      </c>
      <c r="B26" s="32"/>
      <c r="C26" s="32">
        <v>5.1000000000000227</v>
      </c>
      <c r="D26" s="32"/>
      <c r="E26" s="32">
        <v>1.2000000000000455</v>
      </c>
      <c r="F26" s="32">
        <v>0.30000000000001137</v>
      </c>
      <c r="G26" s="32">
        <v>-26.100000000000023</v>
      </c>
      <c r="H26" s="32">
        <v>-2.9999999999999809</v>
      </c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351</v>
      </c>
      <c r="B27" s="32">
        <v>23.800000000000029</v>
      </c>
      <c r="C27" s="32">
        <v>2.466666666666697</v>
      </c>
      <c r="D27" s="32"/>
      <c r="E27" s="32"/>
      <c r="F27" s="32"/>
      <c r="G27" s="32">
        <v>7</v>
      </c>
      <c r="H27" s="32">
        <v>12.257142857142883</v>
      </c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318</v>
      </c>
      <c r="B28" s="32">
        <v>39.099999999999909</v>
      </c>
      <c r="C28" s="32">
        <v>37.200000000000045</v>
      </c>
      <c r="D28" s="32">
        <v>17.099999999999909</v>
      </c>
      <c r="E28" s="32"/>
      <c r="F28" s="32"/>
      <c r="G28" s="32"/>
      <c r="H28" s="32">
        <v>27.624999999999943</v>
      </c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367</v>
      </c>
      <c r="B29" s="32"/>
      <c r="C29" s="32">
        <v>11.299999999999955</v>
      </c>
      <c r="D29" s="32"/>
      <c r="E29" s="32"/>
      <c r="F29" s="32"/>
      <c r="G29" s="32"/>
      <c r="H29" s="32">
        <v>11.299999999999955</v>
      </c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357</v>
      </c>
      <c r="B30" s="32"/>
      <c r="C30" s="32"/>
      <c r="D30" s="32">
        <v>53.099999999999909</v>
      </c>
      <c r="E30" s="32">
        <v>32.599999999999909</v>
      </c>
      <c r="F30" s="32"/>
      <c r="G30" s="32"/>
      <c r="H30" s="32">
        <v>42.849999999999909</v>
      </c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17" t="s">
        <v>377</v>
      </c>
      <c r="B31" s="32"/>
      <c r="C31" s="32"/>
      <c r="D31" s="32"/>
      <c r="E31" s="32"/>
      <c r="F31" s="32">
        <v>23.899999999999977</v>
      </c>
      <c r="G31" s="32"/>
      <c r="H31" s="32">
        <v>23.899999999999977</v>
      </c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369</v>
      </c>
      <c r="B32" s="32"/>
      <c r="C32" s="32">
        <v>47.400000000000091</v>
      </c>
      <c r="D32" s="32"/>
      <c r="E32" s="32"/>
      <c r="F32" s="32"/>
      <c r="G32" s="32"/>
      <c r="H32" s="32">
        <v>47.400000000000091</v>
      </c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 spans="1:32" x14ac:dyDescent="0.25">
      <c r="A33" s="12" t="s">
        <v>395</v>
      </c>
      <c r="B33" s="32">
        <v>7.0500000000000114</v>
      </c>
      <c r="C33" s="32"/>
      <c r="D33" s="32">
        <v>7.2000000000000073</v>
      </c>
      <c r="E33" s="32">
        <v>16.299999999999955</v>
      </c>
      <c r="F33" s="32"/>
      <c r="G33" s="32">
        <v>24.799999999999955</v>
      </c>
      <c r="H33" s="32">
        <v>10.971428571428564</v>
      </c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360</v>
      </c>
      <c r="B34" s="32"/>
      <c r="C34" s="32"/>
      <c r="D34" s="32"/>
      <c r="E34" s="32">
        <v>16.299999999999955</v>
      </c>
      <c r="F34" s="32"/>
      <c r="G34" s="32">
        <v>24.799999999999955</v>
      </c>
      <c r="H34" s="32">
        <v>20.549999999999955</v>
      </c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 spans="1:32" x14ac:dyDescent="0.25">
      <c r="A35" s="17" t="s">
        <v>339</v>
      </c>
      <c r="B35" s="32">
        <v>7.0500000000000114</v>
      </c>
      <c r="C35" s="32"/>
      <c r="D35" s="32">
        <v>11</v>
      </c>
      <c r="E35" s="32"/>
      <c r="F35" s="32"/>
      <c r="G35" s="32"/>
      <c r="H35" s="32">
        <v>9.0250000000000057</v>
      </c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 spans="1:32" x14ac:dyDescent="0.25">
      <c r="A36" s="17" t="s">
        <v>330</v>
      </c>
      <c r="B36" s="32"/>
      <c r="C36" s="32"/>
      <c r="D36" s="32">
        <v>-0.39999999999997726</v>
      </c>
      <c r="E36" s="32"/>
      <c r="F36" s="32"/>
      <c r="G36" s="32"/>
      <c r="H36" s="32">
        <v>-0.39999999999997726</v>
      </c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spans="1:32" x14ac:dyDescent="0.25">
      <c r="A37" s="12" t="s">
        <v>387</v>
      </c>
      <c r="B37" s="32"/>
      <c r="C37" s="32"/>
      <c r="D37" s="32"/>
      <c r="E37" s="32"/>
      <c r="F37" s="32">
        <v>-1.7000000000000455</v>
      </c>
      <c r="G37" s="32">
        <v>-1</v>
      </c>
      <c r="H37" s="32">
        <v>-1.3500000000000227</v>
      </c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spans="1:32" x14ac:dyDescent="0.25">
      <c r="A38" s="17" t="s">
        <v>304</v>
      </c>
      <c r="B38" s="32"/>
      <c r="C38" s="32"/>
      <c r="D38" s="32"/>
      <c r="E38" s="32"/>
      <c r="F38" s="32">
        <v>-1.7000000000000455</v>
      </c>
      <c r="G38" s="32">
        <v>-1</v>
      </c>
      <c r="H38" s="32">
        <v>-1.3500000000000227</v>
      </c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pans="1:32" x14ac:dyDescent="0.25">
      <c r="A39" s="12" t="s">
        <v>388</v>
      </c>
      <c r="B39" s="32"/>
      <c r="C39" s="32"/>
      <c r="D39" s="32"/>
      <c r="E39" s="32"/>
      <c r="F39" s="32"/>
      <c r="G39" s="32">
        <v>3.2999999999999545</v>
      </c>
      <c r="H39" s="32">
        <v>3.2999999999999545</v>
      </c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32" x14ac:dyDescent="0.25">
      <c r="A40" s="17" t="s">
        <v>305</v>
      </c>
      <c r="B40" s="32"/>
      <c r="C40" s="32"/>
      <c r="D40" s="32"/>
      <c r="E40" s="32"/>
      <c r="F40" s="32"/>
      <c r="G40" s="32">
        <v>3.2999999999999545</v>
      </c>
      <c r="H40" s="32">
        <v>3.2999999999999545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32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1:32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1:32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1:32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</row>
    <row r="45" spans="1:32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</row>
    <row r="46" spans="1:32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</row>
    <row r="47" spans="1:32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</row>
    <row r="48" spans="1:32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H40">
    <cfRule type="cellIs" dxfId="78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9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 t="s">
        <v>2885</v>
      </c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2"/>
      <c r="C7" s="32">
        <v>21.394736842105281</v>
      </c>
      <c r="D7" s="32">
        <v>21.209859154929568</v>
      </c>
      <c r="E7" s="32">
        <v>66.154545454545442</v>
      </c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2"/>
      <c r="C8" s="32">
        <v>38.740000000000144</v>
      </c>
      <c r="D8" s="32">
        <v>-2.0700000000000727</v>
      </c>
      <c r="E8" s="32">
        <v>43.5</v>
      </c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2"/>
      <c r="C9" s="32">
        <v>-8.1000000000000227</v>
      </c>
      <c r="D9" s="32">
        <v>21.025000000000006</v>
      </c>
      <c r="E9" s="32">
        <v>12.800000000000011</v>
      </c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2"/>
      <c r="C10" s="32">
        <v>0.60000000000002274</v>
      </c>
      <c r="D10" s="32"/>
      <c r="E10" s="32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2"/>
      <c r="C11" s="32">
        <v>8</v>
      </c>
      <c r="D11" s="32"/>
      <c r="E11" s="32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2"/>
      <c r="C12" s="32">
        <v>-10.149999999999864</v>
      </c>
      <c r="D12" s="32">
        <v>25.560000000000038</v>
      </c>
      <c r="E12" s="3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2"/>
      <c r="C13" s="32">
        <v>11.559999999999976</v>
      </c>
      <c r="D13" s="32">
        <v>7.9954545454544874</v>
      </c>
      <c r="E13" s="32">
        <v>7.7000000000002728</v>
      </c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2"/>
      <c r="C14" s="32">
        <v>33</v>
      </c>
      <c r="D14" s="32">
        <v>36.464285714285715</v>
      </c>
      <c r="E14" s="32">
        <v>38.359999999999857</v>
      </c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2"/>
      <c r="C15" s="32">
        <v>138.5</v>
      </c>
      <c r="D15" s="32">
        <v>144.56666666666692</v>
      </c>
      <c r="E15" s="32">
        <v>163.25</v>
      </c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2"/>
      <c r="C16" s="32">
        <v>15.800000000000011</v>
      </c>
      <c r="D16" s="32">
        <v>5.280000000000018</v>
      </c>
      <c r="E16" s="32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2"/>
      <c r="C17" s="32">
        <v>4.7428571428571491</v>
      </c>
      <c r="D17" s="32">
        <v>1.2428571428571493</v>
      </c>
      <c r="E17" s="32">
        <v>1.8999999999999773</v>
      </c>
      <c r="F17"/>
      <c r="G17"/>
    </row>
    <row r="18" spans="1:7" x14ac:dyDescent="0.25">
      <c r="A18" s="12" t="s">
        <v>386</v>
      </c>
      <c r="B18" s="32">
        <v>17.600000000000023</v>
      </c>
      <c r="C18" s="32">
        <v>20.179268292682931</v>
      </c>
      <c r="D18" s="32">
        <v>15.989887640449448</v>
      </c>
      <c r="E18" s="32">
        <v>14.995652173913038</v>
      </c>
      <c r="F18"/>
      <c r="G18"/>
    </row>
    <row r="19" spans="1:7" x14ac:dyDescent="0.25">
      <c r="A19" s="12" t="s">
        <v>396</v>
      </c>
      <c r="B19" s="32"/>
      <c r="C19" s="32">
        <v>25.79553191489364</v>
      </c>
      <c r="D19" s="32">
        <v>20.146358792184724</v>
      </c>
      <c r="E19" s="32">
        <v>18.156999999999986</v>
      </c>
      <c r="F19"/>
      <c r="G19"/>
    </row>
    <row r="20" spans="1:7" x14ac:dyDescent="0.25">
      <c r="A20" s="17" t="s">
        <v>352</v>
      </c>
      <c r="B20" s="32"/>
      <c r="C20" s="32">
        <v>6.3551724137931176</v>
      </c>
      <c r="D20" s="32">
        <v>6.2666666666666657</v>
      </c>
      <c r="E20" s="32">
        <v>21.225000000000023</v>
      </c>
    </row>
    <row r="21" spans="1:7" x14ac:dyDescent="0.25">
      <c r="A21" s="17" t="s">
        <v>313</v>
      </c>
      <c r="B21" s="32"/>
      <c r="C21" s="32">
        <v>50.584782608695647</v>
      </c>
      <c r="D21" s="32">
        <v>22.433653846153831</v>
      </c>
      <c r="E21" s="32">
        <v>12.142857142857142</v>
      </c>
    </row>
    <row r="22" spans="1:7" x14ac:dyDescent="0.25">
      <c r="A22" s="17" t="s">
        <v>344</v>
      </c>
      <c r="B22" s="32"/>
      <c r="C22" s="32">
        <v>8.4809523809523881</v>
      </c>
      <c r="D22" s="32">
        <v>7.4437500000000085</v>
      </c>
      <c r="E22" s="32">
        <v>5.8833333333333258</v>
      </c>
    </row>
    <row r="23" spans="1:7" x14ac:dyDescent="0.25">
      <c r="A23" s="17" t="s">
        <v>356</v>
      </c>
      <c r="B23" s="32"/>
      <c r="C23" s="32">
        <v>25.700000000000045</v>
      </c>
      <c r="D23" s="32">
        <v>32.651515151515184</v>
      </c>
      <c r="E23" s="32">
        <v>42.166666666666664</v>
      </c>
    </row>
    <row r="24" spans="1:7" x14ac:dyDescent="0.25">
      <c r="A24" s="17" t="s">
        <v>314</v>
      </c>
      <c r="B24" s="32"/>
      <c r="C24" s="32">
        <v>44.164705882352955</v>
      </c>
      <c r="D24" s="32">
        <v>34.703846153846158</v>
      </c>
      <c r="E24" s="32">
        <v>31.160000000000014</v>
      </c>
    </row>
    <row r="25" spans="1:7" x14ac:dyDescent="0.25">
      <c r="A25" s="17" t="s">
        <v>315</v>
      </c>
      <c r="B25" s="32"/>
      <c r="C25" s="32">
        <v>21.250000000000011</v>
      </c>
      <c r="D25" s="32">
        <v>12.247169811320745</v>
      </c>
      <c r="E25" s="32">
        <v>12.449999999999969</v>
      </c>
    </row>
    <row r="26" spans="1:7" x14ac:dyDescent="0.25">
      <c r="A26" s="17" t="s">
        <v>316</v>
      </c>
      <c r="B26" s="32"/>
      <c r="C26" s="32">
        <v>24.81923076923076</v>
      </c>
      <c r="D26" s="32">
        <v>24.413461538461522</v>
      </c>
      <c r="E26" s="32">
        <v>13.576923076923041</v>
      </c>
    </row>
    <row r="27" spans="1:7" x14ac:dyDescent="0.25">
      <c r="A27" s="17" t="s">
        <v>317</v>
      </c>
      <c r="B27" s="32"/>
      <c r="C27" s="32">
        <v>31.328000000000003</v>
      </c>
      <c r="D27" s="32">
        <v>23.75869565217392</v>
      </c>
      <c r="E27" s="32">
        <v>22.184615384615356</v>
      </c>
    </row>
    <row r="28" spans="1:7" x14ac:dyDescent="0.25">
      <c r="A28" s="17" t="s">
        <v>353</v>
      </c>
      <c r="B28" s="32"/>
      <c r="C28" s="32">
        <v>20.900000000000034</v>
      </c>
      <c r="D28" s="32">
        <v>15.049999999999955</v>
      </c>
      <c r="E28" s="32"/>
    </row>
    <row r="29" spans="1:7" x14ac:dyDescent="0.25">
      <c r="A29" s="17" t="s">
        <v>345</v>
      </c>
      <c r="B29" s="32"/>
      <c r="C29" s="32">
        <v>0.69999999999998863</v>
      </c>
      <c r="D29" s="32">
        <v>0.74285714285713311</v>
      </c>
      <c r="E29" s="32">
        <v>-2.9999999999999809</v>
      </c>
    </row>
    <row r="30" spans="1:7" x14ac:dyDescent="0.25">
      <c r="A30" s="17" t="s">
        <v>351</v>
      </c>
      <c r="B30" s="32"/>
      <c r="C30" s="32">
        <v>9.1985714285714195</v>
      </c>
      <c r="D30" s="32">
        <v>7.328571428571431</v>
      </c>
      <c r="E30" s="32">
        <v>12.257142857142883</v>
      </c>
    </row>
    <row r="31" spans="1:7" x14ac:dyDescent="0.25">
      <c r="A31" s="17" t="s">
        <v>336</v>
      </c>
      <c r="B31" s="32"/>
      <c r="C31" s="32">
        <v>82</v>
      </c>
      <c r="D31" s="32">
        <v>14.857142857142858</v>
      </c>
      <c r="E31" s="32"/>
    </row>
    <row r="32" spans="1:7" x14ac:dyDescent="0.25">
      <c r="A32" s="17" t="s">
        <v>318</v>
      </c>
      <c r="B32" s="32"/>
      <c r="C32" s="32"/>
      <c r="D32" s="32">
        <v>34.443333333333335</v>
      </c>
      <c r="E32" s="32">
        <v>27.624999999999943</v>
      </c>
    </row>
    <row r="33" spans="1:5" x14ac:dyDescent="0.25">
      <c r="A33" s="17" t="s">
        <v>349</v>
      </c>
      <c r="B33" s="32"/>
      <c r="C33" s="32"/>
      <c r="D33" s="32">
        <v>23.5</v>
      </c>
      <c r="E33" s="32"/>
    </row>
    <row r="34" spans="1:5" x14ac:dyDescent="0.25">
      <c r="A34" s="17" t="s">
        <v>367</v>
      </c>
      <c r="B34" s="32"/>
      <c r="C34" s="32"/>
      <c r="D34" s="32">
        <v>11.53333333333336</v>
      </c>
      <c r="E34" s="32">
        <v>11.299999999999955</v>
      </c>
    </row>
    <row r="35" spans="1:5" x14ac:dyDescent="0.25">
      <c r="A35" s="17" t="s">
        <v>357</v>
      </c>
      <c r="B35" s="32"/>
      <c r="C35" s="32"/>
      <c r="D35" s="32">
        <v>23.645454545454538</v>
      </c>
      <c r="E35" s="32">
        <v>42.849999999999909</v>
      </c>
    </row>
    <row r="36" spans="1:5" x14ac:dyDescent="0.25">
      <c r="A36" s="30" t="s">
        <v>26</v>
      </c>
      <c r="B36" s="32"/>
      <c r="C36" s="32"/>
      <c r="D36" s="32">
        <v>23.645454545454538</v>
      </c>
      <c r="E36" s="32">
        <v>42.849999999999909</v>
      </c>
    </row>
    <row r="37" spans="1:5" x14ac:dyDescent="0.25">
      <c r="A37" s="17" t="s">
        <v>358</v>
      </c>
      <c r="B37" s="32"/>
      <c r="C37" s="32"/>
      <c r="D37" s="32">
        <v>168.5</v>
      </c>
      <c r="E37" s="32"/>
    </row>
    <row r="38" spans="1:5" x14ac:dyDescent="0.25">
      <c r="A38" s="30" t="s">
        <v>26</v>
      </c>
      <c r="B38" s="32"/>
      <c r="C38" s="32"/>
      <c r="D38" s="32">
        <v>168.5</v>
      </c>
      <c r="E38" s="32"/>
    </row>
    <row r="39" spans="1:5" x14ac:dyDescent="0.25">
      <c r="A39" s="17" t="s">
        <v>377</v>
      </c>
      <c r="B39" s="32"/>
      <c r="C39" s="32"/>
      <c r="D39" s="32">
        <v>24.760000000000037</v>
      </c>
      <c r="E39" s="32">
        <v>23.899999999999977</v>
      </c>
    </row>
    <row r="40" spans="1:5" x14ac:dyDescent="0.25">
      <c r="A40" s="30" t="s">
        <v>142</v>
      </c>
      <c r="B40" s="32"/>
      <c r="C40" s="32"/>
      <c r="D40" s="32">
        <v>21.5</v>
      </c>
      <c r="E40" s="32"/>
    </row>
    <row r="41" spans="1:5" x14ac:dyDescent="0.25">
      <c r="A41" s="30" t="s">
        <v>26</v>
      </c>
      <c r="B41" s="32"/>
      <c r="C41" s="32"/>
      <c r="D41" s="32">
        <v>25.575000000000045</v>
      </c>
      <c r="E41" s="32">
        <v>23.899999999999977</v>
      </c>
    </row>
    <row r="42" spans="1:5" x14ac:dyDescent="0.25">
      <c r="A42" s="17" t="s">
        <v>369</v>
      </c>
      <c r="B42" s="32"/>
      <c r="C42" s="32"/>
      <c r="D42" s="32">
        <v>34.062500000000028</v>
      </c>
      <c r="E42" s="32">
        <v>47.400000000000091</v>
      </c>
    </row>
    <row r="43" spans="1:5" x14ac:dyDescent="0.25">
      <c r="A43" s="30" t="s">
        <v>142</v>
      </c>
      <c r="B43" s="32"/>
      <c r="C43" s="32"/>
      <c r="D43" s="32">
        <v>39.300000000000068</v>
      </c>
      <c r="E43" s="32">
        <v>47.400000000000091</v>
      </c>
    </row>
    <row r="44" spans="1:5" x14ac:dyDescent="0.25">
      <c r="A44" s="30" t="s">
        <v>26</v>
      </c>
      <c r="B44" s="32"/>
      <c r="C44" s="32"/>
      <c r="D44" s="32">
        <v>28.824999999999989</v>
      </c>
      <c r="E44" s="32"/>
    </row>
    <row r="45" spans="1:5" x14ac:dyDescent="0.25">
      <c r="A45" s="17" t="s">
        <v>366</v>
      </c>
      <c r="B45" s="32"/>
      <c r="C45" s="32"/>
      <c r="D45" s="32">
        <v>2.8999999999999773</v>
      </c>
      <c r="E45" s="32"/>
    </row>
    <row r="46" spans="1:5" x14ac:dyDescent="0.25">
      <c r="A46" s="30" t="s">
        <v>26</v>
      </c>
      <c r="B46" s="32"/>
      <c r="C46" s="32"/>
      <c r="D46" s="32">
        <v>2.8999999999999773</v>
      </c>
      <c r="E46" s="32"/>
    </row>
    <row r="47" spans="1:5" x14ac:dyDescent="0.25">
      <c r="A47" s="12" t="s">
        <v>395</v>
      </c>
      <c r="B47" s="32"/>
      <c r="C47" s="32">
        <v>11.725000000000009</v>
      </c>
      <c r="D47" s="32">
        <v>7.2873015873015836</v>
      </c>
      <c r="E47" s="32">
        <v>10.971428571428564</v>
      </c>
    </row>
    <row r="48" spans="1:5" x14ac:dyDescent="0.25">
      <c r="A48" s="12" t="s">
        <v>401</v>
      </c>
      <c r="B48" s="32"/>
      <c r="C48" s="32">
        <v>42.5</v>
      </c>
      <c r="D48" s="32"/>
      <c r="E48" s="32"/>
    </row>
    <row r="49" spans="1:5" x14ac:dyDescent="0.25">
      <c r="A49" s="17" t="s">
        <v>361</v>
      </c>
      <c r="B49" s="32"/>
      <c r="C49" s="32">
        <v>42.5</v>
      </c>
      <c r="D49" s="32"/>
      <c r="E49" s="32"/>
    </row>
    <row r="50" spans="1:5" x14ac:dyDescent="0.25">
      <c r="A50" s="12" t="s">
        <v>397</v>
      </c>
      <c r="B50" s="32"/>
      <c r="C50" s="32"/>
      <c r="D50" s="32">
        <v>0.42222222222220451</v>
      </c>
      <c r="E50" s="32"/>
    </row>
    <row r="51" spans="1:5" x14ac:dyDescent="0.25">
      <c r="A51" s="17" t="s">
        <v>322</v>
      </c>
      <c r="B51" s="32"/>
      <c r="C51" s="32"/>
      <c r="D51" s="32">
        <v>0.42222222222220451</v>
      </c>
      <c r="E51" s="32"/>
    </row>
    <row r="52" spans="1:5" x14ac:dyDescent="0.25">
      <c r="A52" s="12" t="s">
        <v>387</v>
      </c>
      <c r="B52" s="32"/>
      <c r="C52" s="32"/>
      <c r="D52" s="32">
        <v>-6.5333333333333785</v>
      </c>
      <c r="E52" s="32">
        <v>-1.3500000000000227</v>
      </c>
    </row>
    <row r="53" spans="1:5" x14ac:dyDescent="0.25">
      <c r="A53" s="17" t="s">
        <v>304</v>
      </c>
      <c r="B53" s="32"/>
      <c r="C53" s="32"/>
      <c r="D53" s="32">
        <v>-6.5333333333333785</v>
      </c>
      <c r="E53" s="32">
        <v>-1.3500000000000227</v>
      </c>
    </row>
    <row r="54" spans="1:5" x14ac:dyDescent="0.25">
      <c r="A54" s="30" t="s">
        <v>142</v>
      </c>
      <c r="B54" s="32"/>
      <c r="C54" s="32"/>
      <c r="D54" s="32">
        <v>-6.5333333333333785</v>
      </c>
      <c r="E54" s="32">
        <v>-1.3500000000000227</v>
      </c>
    </row>
    <row r="55" spans="1:5" x14ac:dyDescent="0.25">
      <c r="A55" s="12" t="s">
        <v>388</v>
      </c>
      <c r="B55" s="32"/>
      <c r="C55" s="32"/>
      <c r="D55" s="32">
        <v>3.9000000000000909</v>
      </c>
      <c r="E55" s="32">
        <v>3.2999999999999545</v>
      </c>
    </row>
    <row r="56" spans="1:5" x14ac:dyDescent="0.25">
      <c r="A56" s="17" t="s">
        <v>305</v>
      </c>
      <c r="B56" s="32"/>
      <c r="C56" s="32"/>
      <c r="D56" s="32">
        <v>3.9000000000000909</v>
      </c>
      <c r="E56" s="32">
        <v>3.2999999999999545</v>
      </c>
    </row>
    <row r="57" spans="1:5" x14ac:dyDescent="0.25">
      <c r="A57" s="30" t="s">
        <v>142</v>
      </c>
      <c r="B57" s="32"/>
      <c r="C57" s="32"/>
      <c r="D57" s="32"/>
      <c r="E57" s="32">
        <v>3.2999999999999545</v>
      </c>
    </row>
    <row r="58" spans="1:5" x14ac:dyDescent="0.25">
      <c r="A58" s="30" t="s">
        <v>26</v>
      </c>
      <c r="B58" s="32"/>
      <c r="C58" s="32"/>
      <c r="D58" s="32">
        <v>3.9000000000000909</v>
      </c>
      <c r="E58" s="32"/>
    </row>
    <row r="59" spans="1:5" x14ac:dyDescent="0.25">
      <c r="A59" s="12" t="s">
        <v>409</v>
      </c>
      <c r="B59" s="32">
        <v>17.600000000000023</v>
      </c>
      <c r="C59" s="32">
        <v>23.447843665768193</v>
      </c>
      <c r="D59" s="32">
        <v>18.045139664804456</v>
      </c>
      <c r="E59" s="32">
        <v>23.687820512820497</v>
      </c>
    </row>
  </sheetData>
  <conditionalFormatting pivot="1" sqref="B8:E16 B20:E35 B37:E37 B39:E39 B42:E42 B45:E45 B49:E49 B51:E51 B53:E53 B56:E56">
    <cfRule type="cellIs" dxfId="63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424"/>
  <sheetViews>
    <sheetView topLeftCell="C1362" workbookViewId="0">
      <selection activeCell="U1425" sqref="U1425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6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6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6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6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7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7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7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7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7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7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7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7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7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7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7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7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7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7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7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7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7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7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7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7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7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7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7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7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7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7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7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7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7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7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7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7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7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7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7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7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7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7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7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7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7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7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7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7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7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7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7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7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7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7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7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7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6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7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7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7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7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7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7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7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7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7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6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7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7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7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7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7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7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7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7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7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7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7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7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7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7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7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7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7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7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7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7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7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7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7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7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7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7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7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7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7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7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7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7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7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7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7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7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7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7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7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7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7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7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7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29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29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29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29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29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29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29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29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29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29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29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29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29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29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29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29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29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29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29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29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29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29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29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29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29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29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29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29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29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29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29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29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29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29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29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29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29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29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29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29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29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29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29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29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29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29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29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29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29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29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29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29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29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29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29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29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29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29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29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29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29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29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29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29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29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29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29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29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29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29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29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29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29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29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29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29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29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29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29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29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29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29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29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29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29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29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29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29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29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29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29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29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29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29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29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29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6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29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29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29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29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29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29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29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29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29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29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29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29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29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29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29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29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29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29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29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29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29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29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29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29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29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29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29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29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29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29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29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29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29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29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29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29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29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29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29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29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29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29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29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29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29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29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29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29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29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29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29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29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29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29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29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29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29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29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29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29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29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29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29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29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29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29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29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29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29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29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29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29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29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29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29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29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29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29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29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29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29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29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29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29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29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29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29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29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29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29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29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29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29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29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29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29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29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29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29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29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29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29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29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29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29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29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29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29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29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29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29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29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29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29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29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29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29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29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29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29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29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29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29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29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29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29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29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29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29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29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29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29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29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29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29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29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6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1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1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1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1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1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1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1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1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1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1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1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1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1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1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1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1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1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1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1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1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1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1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1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1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1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1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1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1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1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1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1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1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1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1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1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1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1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1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1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1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1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1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1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1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1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1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1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1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1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1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1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1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1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1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6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1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1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1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1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1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1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1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1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1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1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1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1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1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1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1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1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1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1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1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1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1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1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1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1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1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1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1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1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1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1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1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1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1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1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1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1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1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1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1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1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1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1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1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1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1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1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1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1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1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1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6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1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1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1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1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1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1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1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1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1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1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1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1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1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1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1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1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1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1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1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1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1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1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1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1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1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  <row r="1179" spans="1:29" x14ac:dyDescent="0.25">
      <c r="A1179" s="2">
        <f>INT(Tabela1[[#This Row],[Data e Hora2]])</f>
        <v>46295</v>
      </c>
      <c r="B1179" s="6" t="str">
        <f>UPPER(TEXT(Tabela1[[#This Row],[Data Corrigida]],"MMM"))</f>
        <v>SET</v>
      </c>
      <c r="C1179" s="26" t="s">
        <v>2618</v>
      </c>
      <c r="D1179" s="2" t="s">
        <v>2619</v>
      </c>
      <c r="E1179" s="1" t="s">
        <v>2620</v>
      </c>
      <c r="F1179" t="s">
        <v>24</v>
      </c>
      <c r="G1179" s="2" t="s">
        <v>2621</v>
      </c>
      <c r="H1179" t="s">
        <v>142</v>
      </c>
      <c r="I1179" t="s">
        <v>462</v>
      </c>
      <c r="J1179" s="6">
        <v>792306</v>
      </c>
      <c r="K1179" s="16">
        <v>1015</v>
      </c>
      <c r="L1179" s="16">
        <v>1017</v>
      </c>
      <c r="M1179" s="16">
        <v>1022</v>
      </c>
      <c r="N1179" s="16">
        <v>1005</v>
      </c>
      <c r="O1179" s="16">
        <v>1016</v>
      </c>
      <c r="P1179" s="16">
        <v>1077</v>
      </c>
      <c r="Q1179" s="16">
        <v>1011</v>
      </c>
      <c r="R1179" s="16">
        <v>1026</v>
      </c>
      <c r="S1179" s="16">
        <v>1017</v>
      </c>
      <c r="T1179" s="16">
        <v>1002</v>
      </c>
      <c r="U1179" s="15">
        <v>1020.8</v>
      </c>
      <c r="V1179" t="s">
        <v>19</v>
      </c>
      <c r="W1179" t="s">
        <v>28</v>
      </c>
      <c r="X1179">
        <v>127</v>
      </c>
      <c r="Y1179" s="16">
        <f>VLOOKUP(Tabela1[[#This Row],[SKU]],SKU!A:D,4,0)</f>
        <v>1000</v>
      </c>
      <c r="Z1179" s="18">
        <f>IFERROR((Tabela1[[#This Row],[Média]]-Tabela1[[#This Row],[Meta]])/Tabela1[[#This Row],[Meta]],"")</f>
        <v>2.0799999999999954E-2</v>
      </c>
      <c r="AA1179" s="31">
        <f>Tabela1[[#This Row],[Média]]-Tabela1[[#This Row],[Meta]]</f>
        <v>20.799999999999955</v>
      </c>
      <c r="AB1179" s="6" t="str">
        <f>VLOOKUP(Tabela1[[#This Row],[SKU]],SKU!A:B,2,0)</f>
        <v>FILE PEITO  CG IQF</v>
      </c>
      <c r="AC1179" s="6" t="str">
        <f>VLOOKUP(Tabela1[[#This Row],[SKU]],SKU!A:C,3,0)</f>
        <v>PEITO</v>
      </c>
    </row>
    <row r="1180" spans="1:29" x14ac:dyDescent="0.25">
      <c r="A1180" s="2">
        <f>INT(Tabela1[[#This Row],[Data e Hora2]])</f>
        <v>46295</v>
      </c>
      <c r="B1180" s="6" t="str">
        <f>UPPER(TEXT(Tabela1[[#This Row],[Data Corrigida]],"MMM"))</f>
        <v>SET</v>
      </c>
      <c r="C1180" t="s">
        <v>2622</v>
      </c>
      <c r="D1180" s="2" t="s">
        <v>2623</v>
      </c>
      <c r="E1180" s="1" t="s">
        <v>2620</v>
      </c>
      <c r="F1180" t="s">
        <v>24</v>
      </c>
      <c r="G1180" s="2" t="s">
        <v>2621</v>
      </c>
      <c r="H1180" t="s">
        <v>142</v>
      </c>
      <c r="I1180" t="s">
        <v>462</v>
      </c>
      <c r="J1180" s="6">
        <v>15105</v>
      </c>
      <c r="K1180" s="16">
        <v>998</v>
      </c>
      <c r="L1180" s="16">
        <v>1053</v>
      </c>
      <c r="M1180" s="16">
        <v>1012</v>
      </c>
      <c r="N1180" s="16">
        <v>1043</v>
      </c>
      <c r="O1180" s="16">
        <v>988</v>
      </c>
      <c r="P1180" s="16">
        <v>1006</v>
      </c>
      <c r="Q1180" s="16">
        <v>1020</v>
      </c>
      <c r="R1180" s="16">
        <v>1000</v>
      </c>
      <c r="S1180" s="16">
        <v>1011</v>
      </c>
      <c r="T1180" s="16">
        <v>995</v>
      </c>
      <c r="U1180" s="15">
        <v>1012.6</v>
      </c>
      <c r="V1180" t="s">
        <v>19</v>
      </c>
      <c r="W1180" t="s">
        <v>28</v>
      </c>
      <c r="X1180">
        <v>311</v>
      </c>
      <c r="Y1180" s="16">
        <f>VLOOKUP(Tabela1[[#This Row],[SKU]],SKU!A:D,4,0)</f>
        <v>1000</v>
      </c>
      <c r="Z1180" s="18">
        <f>IFERROR((Tabela1[[#This Row],[Média]]-Tabela1[[#This Row],[Meta]])/Tabela1[[#This Row],[Meta]],"")</f>
        <v>1.2600000000000023E-2</v>
      </c>
      <c r="AA1180" s="31">
        <f>Tabela1[[#This Row],[Média]]-Tabela1[[#This Row],[Meta]]</f>
        <v>12.600000000000023</v>
      </c>
      <c r="AB1180" s="6" t="str">
        <f>VLOOKUP(Tabela1[[#This Row],[SKU]],SKU!A:B,2,0)</f>
        <v>FILE PEITO MET CG BDJ SE</v>
      </c>
      <c r="AC1180" s="6" t="str">
        <f>VLOOKUP(Tabela1[[#This Row],[SKU]],SKU!A:C,3,0)</f>
        <v>PEITO</v>
      </c>
    </row>
    <row r="1181" spans="1:29" x14ac:dyDescent="0.25">
      <c r="A1181" s="2">
        <f>INT(Tabela1[[#This Row],[Data e Hora2]])</f>
        <v>46295</v>
      </c>
      <c r="B1181" s="6" t="str">
        <f>UPPER(TEXT(Tabela1[[#This Row],[Data Corrigida]],"MMM"))</f>
        <v>SET</v>
      </c>
      <c r="C1181" t="s">
        <v>2624</v>
      </c>
      <c r="D1181" s="2" t="s">
        <v>2625</v>
      </c>
      <c r="E1181" s="1" t="s">
        <v>2620</v>
      </c>
      <c r="F1181" t="s">
        <v>24</v>
      </c>
      <c r="G1181" s="2" t="s">
        <v>2621</v>
      </c>
      <c r="H1181" t="s">
        <v>142</v>
      </c>
      <c r="I1181" t="s">
        <v>462</v>
      </c>
      <c r="J1181" s="6">
        <v>963925</v>
      </c>
      <c r="K1181" s="16">
        <v>17960</v>
      </c>
      <c r="L1181" s="16">
        <v>18282</v>
      </c>
      <c r="M1181" s="16">
        <v>18050</v>
      </c>
      <c r="N1181" s="16">
        <v>18055</v>
      </c>
      <c r="O1181" s="16">
        <v>18050</v>
      </c>
      <c r="P1181" s="16">
        <v>18125</v>
      </c>
      <c r="Q1181" s="16">
        <v>18280</v>
      </c>
      <c r="R1181" s="16">
        <v>18300</v>
      </c>
      <c r="S1181" s="16">
        <v>18380</v>
      </c>
      <c r="T1181" s="16">
        <v>18005</v>
      </c>
      <c r="U1181" s="15">
        <v>18148.7</v>
      </c>
      <c r="V1181" t="s">
        <v>19</v>
      </c>
      <c r="W1181" t="s">
        <v>28</v>
      </c>
      <c r="X1181">
        <v>4747</v>
      </c>
      <c r="Y1181" s="16">
        <f>VLOOKUP(Tabela1[[#This Row],[SKU]],SKU!A:D,4,0)</f>
        <v>18000</v>
      </c>
      <c r="Z1181" s="18">
        <f>IFERROR((Tabela1[[#This Row],[Média]]-Tabela1[[#This Row],[Meta]])/Tabela1[[#This Row],[Meta]],"")</f>
        <v>8.2611111111111513E-3</v>
      </c>
      <c r="AA1181" s="31">
        <f>Tabela1[[#This Row],[Média]]-Tabela1[[#This Row],[Meta]]</f>
        <v>148.70000000000073</v>
      </c>
      <c r="AB1181" s="6" t="str">
        <f>VLOOKUP(Tabela1[[#This Row],[SKU]],SKU!A:B,2,0)</f>
        <v>COXINHA DA ASA FG CG PCT</v>
      </c>
      <c r="AC1181" s="6" t="str">
        <f>VLOOKUP(Tabela1[[#This Row],[SKU]],SKU!A:C,3,0)</f>
        <v>ASA</v>
      </c>
    </row>
    <row r="1182" spans="1:29" x14ac:dyDescent="0.25">
      <c r="A1182" s="2">
        <f>INT(Tabela1[[#This Row],[Data e Hora2]])</f>
        <v>46295</v>
      </c>
      <c r="B1182" s="6" t="str">
        <f>UPPER(TEXT(Tabela1[[#This Row],[Data Corrigida]],"MMM"))</f>
        <v>SET</v>
      </c>
      <c r="C1182" t="s">
        <v>2626</v>
      </c>
      <c r="D1182" s="2" t="s">
        <v>2627</v>
      </c>
      <c r="E1182" s="1" t="s">
        <v>2620</v>
      </c>
      <c r="F1182" t="s">
        <v>24</v>
      </c>
      <c r="G1182" s="2" t="s">
        <v>2621</v>
      </c>
      <c r="H1182" t="s">
        <v>142</v>
      </c>
      <c r="I1182" t="s">
        <v>462</v>
      </c>
      <c r="J1182" s="6">
        <v>40762</v>
      </c>
      <c r="K1182" s="16">
        <v>10005</v>
      </c>
      <c r="L1182" s="16">
        <v>10055</v>
      </c>
      <c r="M1182" s="16">
        <v>10120</v>
      </c>
      <c r="N1182" s="16">
        <v>10145</v>
      </c>
      <c r="O1182" s="16">
        <v>10100</v>
      </c>
      <c r="P1182" s="16">
        <v>10150</v>
      </c>
      <c r="Q1182" s="16">
        <v>10075</v>
      </c>
      <c r="R1182" s="16">
        <v>10058</v>
      </c>
      <c r="S1182" s="16">
        <v>10145</v>
      </c>
      <c r="T1182" s="16">
        <v>10035</v>
      </c>
      <c r="U1182" s="15">
        <v>10088.799999999999</v>
      </c>
      <c r="V1182" t="s">
        <v>19</v>
      </c>
      <c r="W1182" t="s">
        <v>28</v>
      </c>
      <c r="X1182">
        <v>2247</v>
      </c>
      <c r="Y1182" s="16">
        <f>VLOOKUP(Tabela1[[#This Row],[SKU]],SKU!A:D,4,0)</f>
        <v>10000</v>
      </c>
      <c r="Z1182" s="18">
        <f>IFERROR((Tabela1[[#This Row],[Média]]-Tabela1[[#This Row],[Meta]])/Tabela1[[#This Row],[Meta]],"")</f>
        <v>8.8799999999999279E-3</v>
      </c>
      <c r="AA1182" s="31">
        <f>Tabela1[[#This Row],[Média]]-Tabela1[[#This Row],[Meta]]</f>
        <v>88.799999999999272</v>
      </c>
      <c r="AB1182" s="6" t="str">
        <f>VLOOKUP(Tabela1[[#This Row],[SKU]],SKU!A:B,2,0)</f>
        <v>COXA SBCX LQ FG LP</v>
      </c>
      <c r="AC1182" s="6" t="str">
        <f>VLOOKUP(Tabela1[[#This Row],[SKU]],SKU!A:C,3,0)</f>
        <v>PERNA</v>
      </c>
    </row>
    <row r="1183" spans="1:29" x14ac:dyDescent="0.25">
      <c r="A1183" s="2">
        <f>INT(Tabela1[[#This Row],[Data e Hora2]])</f>
        <v>46295</v>
      </c>
      <c r="B1183" s="6" t="str">
        <f>UPPER(TEXT(Tabela1[[#This Row],[Data Corrigida]],"MMM"))</f>
        <v>SET</v>
      </c>
      <c r="C1183" t="s">
        <v>2628</v>
      </c>
      <c r="D1183" s="2" t="s">
        <v>2629</v>
      </c>
      <c r="E1183" s="1" t="s">
        <v>2620</v>
      </c>
      <c r="F1183" t="s">
        <v>24</v>
      </c>
      <c r="G1183" s="2" t="s">
        <v>2621</v>
      </c>
      <c r="H1183" t="s">
        <v>142</v>
      </c>
      <c r="I1183" t="s">
        <v>462</v>
      </c>
      <c r="J1183" s="6">
        <v>42838</v>
      </c>
      <c r="K1183" s="16">
        <v>2066</v>
      </c>
      <c r="L1183" s="16">
        <v>1991</v>
      </c>
      <c r="M1183" s="16">
        <v>2061</v>
      </c>
      <c r="N1183" s="16">
        <v>2054</v>
      </c>
      <c r="O1183" s="16">
        <v>2048</v>
      </c>
      <c r="P1183" s="16">
        <v>2061</v>
      </c>
      <c r="Q1183" s="16">
        <v>2046</v>
      </c>
      <c r="R1183" s="16">
        <v>2057</v>
      </c>
      <c r="S1183" s="16">
        <v>2055</v>
      </c>
      <c r="T1183" s="16">
        <v>2063</v>
      </c>
      <c r="U1183" s="15">
        <v>2050.1999999999998</v>
      </c>
      <c r="V1183" t="s">
        <v>19</v>
      </c>
      <c r="W1183" t="s">
        <v>28</v>
      </c>
      <c r="X1183">
        <v>2559</v>
      </c>
      <c r="Y1183" s="16">
        <f>VLOOKUP(Tabela1[[#This Row],[SKU]],SKU!A:D,4,0)</f>
        <v>2000</v>
      </c>
      <c r="Z1183" s="18">
        <f>IFERROR((Tabela1[[#This Row],[Média]]-Tabela1[[#This Row],[Meta]])/Tabela1[[#This Row],[Meta]],"")</f>
        <v>2.5099999999999911E-2</v>
      </c>
      <c r="AA1183" s="31">
        <f>Tabela1[[#This Row],[Média]]-Tabela1[[#This Row],[Meta]]</f>
        <v>50.199999999999818</v>
      </c>
      <c r="AB1183" s="6" t="str">
        <f>VLOOKUP(Tabela1[[#This Row],[SKU]],SKU!A:B,2,0)</f>
        <v>COXA SBCX S/O FG 220-240g PB</v>
      </c>
      <c r="AC1183" s="6" t="str">
        <f>VLOOKUP(Tabela1[[#This Row],[SKU]],SKU!A:C,3,0)</f>
        <v>PERNA</v>
      </c>
    </row>
    <row r="1184" spans="1:29" x14ac:dyDescent="0.25">
      <c r="A1184" s="2">
        <f>INT(Tabela1[[#This Row],[Data e Hora2]])</f>
        <v>46295</v>
      </c>
      <c r="B1184" s="6" t="str">
        <f>UPPER(TEXT(Tabela1[[#This Row],[Data Corrigida]],"MMM"))</f>
        <v>SET</v>
      </c>
      <c r="C1184" t="s">
        <v>2630</v>
      </c>
      <c r="D1184" s="2" t="s">
        <v>2631</v>
      </c>
      <c r="E1184" s="1" t="s">
        <v>2620</v>
      </c>
      <c r="F1184" t="s">
        <v>24</v>
      </c>
      <c r="G1184" s="2" t="s">
        <v>2621</v>
      </c>
      <c r="H1184" t="s">
        <v>142</v>
      </c>
      <c r="I1184" t="s">
        <v>462</v>
      </c>
      <c r="J1184" s="6">
        <v>42846</v>
      </c>
      <c r="K1184" s="16">
        <v>1996</v>
      </c>
      <c r="L1184" s="16">
        <v>2012</v>
      </c>
      <c r="M1184" s="16">
        <v>2007</v>
      </c>
      <c r="N1184" s="16">
        <v>2006</v>
      </c>
      <c r="O1184" s="16">
        <v>2011</v>
      </c>
      <c r="P1184" s="16">
        <v>2001</v>
      </c>
      <c r="Q1184" s="16">
        <v>2005</v>
      </c>
      <c r="R1184" s="16">
        <v>2004</v>
      </c>
      <c r="S1184" s="16">
        <v>2003</v>
      </c>
      <c r="T1184" s="16">
        <v>2012</v>
      </c>
      <c r="U1184" s="15">
        <v>2005.7</v>
      </c>
      <c r="V1184" t="s">
        <v>19</v>
      </c>
      <c r="W1184" t="s">
        <v>28</v>
      </c>
      <c r="X1184">
        <v>2854</v>
      </c>
      <c r="Y1184" s="16">
        <f>VLOOKUP(Tabela1[[#This Row],[SKU]],SKU!A:D,4,0)</f>
        <v>2000</v>
      </c>
      <c r="Z1184" s="18">
        <f>IFERROR((Tabela1[[#This Row],[Média]]-Tabela1[[#This Row],[Meta]])/Tabela1[[#This Row],[Meta]],"")</f>
        <v>2.8500000000000227E-3</v>
      </c>
      <c r="AA1184" s="31">
        <f>Tabela1[[#This Row],[Média]]-Tabela1[[#This Row],[Meta]]</f>
        <v>5.7000000000000455</v>
      </c>
      <c r="AB1184" s="6" t="str">
        <f>VLOOKUP(Tabela1[[#This Row],[SKU]],SKU!A:B,2,0)</f>
        <v>COXA SBCX S/O FG 240-260g PB</v>
      </c>
      <c r="AC1184" s="6" t="str">
        <f>VLOOKUP(Tabela1[[#This Row],[SKU]],SKU!A:C,3,0)</f>
        <v>PERNA</v>
      </c>
    </row>
    <row r="1185" spans="1:29" x14ac:dyDescent="0.25">
      <c r="A1185" s="2">
        <f>INT(Tabela1[[#This Row],[Data e Hora2]])</f>
        <v>46295</v>
      </c>
      <c r="B1185" s="6" t="str">
        <f>UPPER(TEXT(Tabela1[[#This Row],[Data Corrigida]],"MMM"))</f>
        <v>SET</v>
      </c>
      <c r="C1185" t="s">
        <v>2632</v>
      </c>
      <c r="D1185" s="2" t="s">
        <v>2633</v>
      </c>
      <c r="E1185" s="1" t="s">
        <v>2620</v>
      </c>
      <c r="F1185" t="s">
        <v>24</v>
      </c>
      <c r="G1185" s="2" t="s">
        <v>2621</v>
      </c>
      <c r="H1185" t="s">
        <v>142</v>
      </c>
      <c r="I1185" t="s">
        <v>462</v>
      </c>
      <c r="J1185" s="6">
        <v>42854</v>
      </c>
      <c r="K1185" s="16">
        <v>2156</v>
      </c>
      <c r="L1185" s="16">
        <v>2160</v>
      </c>
      <c r="M1185" s="16">
        <v>2174</v>
      </c>
      <c r="N1185" s="16">
        <v>2122</v>
      </c>
      <c r="O1185" s="16">
        <v>2165</v>
      </c>
      <c r="P1185" s="16">
        <v>2147</v>
      </c>
      <c r="Q1185" s="16">
        <v>2155</v>
      </c>
      <c r="R1185" s="16">
        <v>2148</v>
      </c>
      <c r="S1185" s="16">
        <v>2174</v>
      </c>
      <c r="T1185" s="16">
        <v>2151</v>
      </c>
      <c r="U1185" s="15">
        <v>2155.1999999999998</v>
      </c>
      <c r="V1185" t="s">
        <v>19</v>
      </c>
      <c r="W1185" t="s">
        <v>28</v>
      </c>
      <c r="X1185">
        <v>3209</v>
      </c>
      <c r="Y1185" s="16">
        <f>VLOOKUP(Tabela1[[#This Row],[SKU]],SKU!A:D,4,0)</f>
        <v>2080</v>
      </c>
      <c r="Z1185" s="18">
        <f>IFERROR((Tabela1[[#This Row],[Média]]-Tabela1[[#This Row],[Meta]])/Tabela1[[#This Row],[Meta]],"")</f>
        <v>3.6153846153846064E-2</v>
      </c>
      <c r="AA1185" s="31">
        <f>Tabela1[[#This Row],[Média]]-Tabela1[[#This Row],[Meta]]</f>
        <v>75.199999999999818</v>
      </c>
      <c r="AB1185" s="6" t="str">
        <f>VLOOKUP(Tabela1[[#This Row],[SKU]],SKU!A:B,2,0)</f>
        <v>COXA SBCX S/O FG 260-280g PB</v>
      </c>
      <c r="AC1185" s="6" t="str">
        <f>VLOOKUP(Tabela1[[#This Row],[SKU]],SKU!A:C,3,0)</f>
        <v>PERNA</v>
      </c>
    </row>
    <row r="1186" spans="1:29" x14ac:dyDescent="0.25">
      <c r="A1186" s="2">
        <f>INT(Tabela1[[#This Row],[Data e Hora2]])</f>
        <v>46295</v>
      </c>
      <c r="B1186" s="6" t="str">
        <f>UPPER(TEXT(Tabela1[[#This Row],[Data Corrigida]],"MMM"))</f>
        <v>SET</v>
      </c>
      <c r="C1186" t="s">
        <v>2634</v>
      </c>
      <c r="D1186" s="2" t="s">
        <v>2635</v>
      </c>
      <c r="E1186" s="1" t="s">
        <v>2620</v>
      </c>
      <c r="F1186" t="s">
        <v>24</v>
      </c>
      <c r="G1186" s="2" t="s">
        <v>2621</v>
      </c>
      <c r="H1186" t="s">
        <v>142</v>
      </c>
      <c r="I1186" t="s">
        <v>462</v>
      </c>
      <c r="J1186" s="6">
        <v>54632</v>
      </c>
      <c r="K1186" s="16">
        <v>1003</v>
      </c>
      <c r="L1186" s="16">
        <v>1010</v>
      </c>
      <c r="M1186" s="16">
        <v>990</v>
      </c>
      <c r="N1186" s="16">
        <v>1009</v>
      </c>
      <c r="O1186" s="16">
        <v>1037</v>
      </c>
      <c r="P1186" s="16">
        <v>1042</v>
      </c>
      <c r="Q1186" s="16">
        <v>996</v>
      </c>
      <c r="R1186" s="16">
        <v>1005</v>
      </c>
      <c r="S1186" s="16">
        <v>1037</v>
      </c>
      <c r="T1186" s="16">
        <v>1058</v>
      </c>
      <c r="U1186" s="15">
        <v>1018.7</v>
      </c>
      <c r="V1186" t="s">
        <v>19</v>
      </c>
      <c r="W1186" t="s">
        <v>28</v>
      </c>
      <c r="X1186">
        <v>3501</v>
      </c>
      <c r="Y1186" s="16">
        <f>VLOOKUP(Tabela1[[#This Row],[SKU]],SKU!A:D,4,0)</f>
        <v>1000</v>
      </c>
      <c r="Z1186" s="18">
        <f>IFERROR((Tabela1[[#This Row],[Média]]-Tabela1[[#This Row],[Meta]])/Tabela1[[#This Row],[Meta]],"")</f>
        <v>1.8700000000000046E-2</v>
      </c>
      <c r="AA1186" s="31">
        <f>Tabela1[[#This Row],[Média]]-Tabela1[[#This Row],[Meta]]</f>
        <v>18.700000000000045</v>
      </c>
      <c r="AB1186" s="6" t="str">
        <f>VLOOKUP(Tabela1[[#This Row],[SKU]],SKU!A:B,2,0)</f>
        <v>COXA SBCX S/O BDJ CG</v>
      </c>
      <c r="AC1186" s="6" t="str">
        <f>VLOOKUP(Tabela1[[#This Row],[SKU]],SKU!A:C,3,0)</f>
        <v>PERNA</v>
      </c>
    </row>
    <row r="1187" spans="1:29" x14ac:dyDescent="0.25">
      <c r="A1187" s="2">
        <f>INT(Tabela1[[#This Row],[Data e Hora2]])</f>
        <v>46294</v>
      </c>
      <c r="B1187" s="6" t="str">
        <f>UPPER(TEXT(Tabela1[[#This Row],[Data Corrigida]],"MMM"))</f>
        <v>SET</v>
      </c>
      <c r="C1187" t="s">
        <v>2636</v>
      </c>
      <c r="D1187" s="2" t="s">
        <v>2637</v>
      </c>
      <c r="E1187" s="1" t="s">
        <v>2638</v>
      </c>
      <c r="F1187" t="s">
        <v>24</v>
      </c>
      <c r="G1187" s="2" t="s">
        <v>2639</v>
      </c>
      <c r="H1187" t="s">
        <v>26</v>
      </c>
      <c r="I1187" t="s">
        <v>27</v>
      </c>
      <c r="J1187" s="6">
        <v>197734</v>
      </c>
      <c r="K1187" s="16">
        <v>991</v>
      </c>
      <c r="L1187" s="16">
        <v>992</v>
      </c>
      <c r="M1187" s="16">
        <v>988</v>
      </c>
      <c r="N1187" s="16">
        <v>990</v>
      </c>
      <c r="O1187" s="16">
        <v>1000</v>
      </c>
      <c r="P1187" s="16">
        <v>1016</v>
      </c>
      <c r="Q1187" s="16">
        <v>976</v>
      </c>
      <c r="R1187" s="16">
        <v>994</v>
      </c>
      <c r="S1187" s="16">
        <v>1011</v>
      </c>
      <c r="T1187" s="16">
        <v>1023</v>
      </c>
      <c r="U1187" s="15">
        <v>998.1</v>
      </c>
      <c r="V1187" t="s">
        <v>19</v>
      </c>
      <c r="W1187" t="s">
        <v>28</v>
      </c>
      <c r="X1187">
        <v>1181</v>
      </c>
      <c r="Y1187" s="16">
        <f>VLOOKUP(Tabela1[[#This Row],[SKU]],SKU!A:D,4,0)</f>
        <v>1000</v>
      </c>
      <c r="Z1187" s="18">
        <f>IFERROR((Tabela1[[#This Row],[Média]]-Tabela1[[#This Row],[Meta]])/Tabela1[[#This Row],[Meta]],"")</f>
        <v>-1.8999999999999772E-3</v>
      </c>
      <c r="AA1187" s="31">
        <f>Tabela1[[#This Row],[Média]]-Tabela1[[#This Row],[Meta]]</f>
        <v>-1.8999999999999773</v>
      </c>
      <c r="AB1187" s="6" t="str">
        <f>VLOOKUP(Tabela1[[#This Row],[SKU]],SKU!A:B,2,0)</f>
        <v>FILEZINHO FRANGO IQF ALM SE</v>
      </c>
      <c r="AC1187" s="6" t="str">
        <f>VLOOKUP(Tabela1[[#This Row],[SKU]],SKU!A:C,3,0)</f>
        <v>SASSAMI</v>
      </c>
    </row>
    <row r="1188" spans="1:29" x14ac:dyDescent="0.25">
      <c r="A1188" s="2">
        <f>INT(Tabela1[[#This Row],[Data e Hora2]])</f>
        <v>46294</v>
      </c>
      <c r="B1188" s="6" t="str">
        <f>UPPER(TEXT(Tabela1[[#This Row],[Data Corrigida]],"MMM"))</f>
        <v>SET</v>
      </c>
      <c r="C1188" t="s">
        <v>2640</v>
      </c>
      <c r="D1188" s="2" t="s">
        <v>2641</v>
      </c>
      <c r="E1188" s="1" t="s">
        <v>2638</v>
      </c>
      <c r="F1188" t="s">
        <v>24</v>
      </c>
      <c r="G1188" s="2" t="s">
        <v>2639</v>
      </c>
      <c r="H1188" t="s">
        <v>26</v>
      </c>
      <c r="I1188" t="s">
        <v>27</v>
      </c>
      <c r="J1188" s="6">
        <v>40762</v>
      </c>
      <c r="K1188" s="16">
        <v>10020</v>
      </c>
      <c r="L1188" s="16">
        <v>10065</v>
      </c>
      <c r="M1188" s="16">
        <v>10050</v>
      </c>
      <c r="N1188" s="16">
        <v>10050</v>
      </c>
      <c r="O1188" s="16">
        <v>10040</v>
      </c>
      <c r="P1188" s="16">
        <v>10015</v>
      </c>
      <c r="Q1188" s="16">
        <v>10075</v>
      </c>
      <c r="R1188" s="16">
        <v>9990</v>
      </c>
      <c r="S1188" s="16">
        <v>9980</v>
      </c>
      <c r="T1188" s="16">
        <v>10015</v>
      </c>
      <c r="U1188" s="15">
        <v>10030</v>
      </c>
      <c r="V1188" t="s">
        <v>19</v>
      </c>
      <c r="W1188" t="s">
        <v>28</v>
      </c>
      <c r="X1188">
        <v>5945</v>
      </c>
      <c r="Y1188" s="16">
        <f>VLOOKUP(Tabela1[[#This Row],[SKU]],SKU!A:D,4,0)</f>
        <v>10000</v>
      </c>
      <c r="Z1188" s="18">
        <f>IFERROR((Tabela1[[#This Row],[Média]]-Tabela1[[#This Row],[Meta]])/Tabela1[[#This Row],[Meta]],"")</f>
        <v>3.0000000000000001E-3</v>
      </c>
      <c r="AA1188" s="31">
        <f>Tabela1[[#This Row],[Média]]-Tabela1[[#This Row],[Meta]]</f>
        <v>30</v>
      </c>
      <c r="AB1188" s="6" t="str">
        <f>VLOOKUP(Tabela1[[#This Row],[SKU]],SKU!A:B,2,0)</f>
        <v>COXA SBCX LQ FG LP</v>
      </c>
      <c r="AC1188" s="6" t="str">
        <f>VLOOKUP(Tabela1[[#This Row],[SKU]],SKU!A:C,3,0)</f>
        <v>PERNA</v>
      </c>
    </row>
    <row r="1189" spans="1:29" x14ac:dyDescent="0.25">
      <c r="A1189" s="2">
        <f>INT(Tabela1[[#This Row],[Data e Hora2]])</f>
        <v>46294</v>
      </c>
      <c r="B1189" s="6" t="str">
        <f>UPPER(TEXT(Tabela1[[#This Row],[Data Corrigida]],"MMM"))</f>
        <v>SET</v>
      </c>
      <c r="C1189" t="s">
        <v>2642</v>
      </c>
      <c r="D1189" s="2" t="s">
        <v>2643</v>
      </c>
      <c r="E1189" s="1" t="s">
        <v>2644</v>
      </c>
      <c r="F1189" t="s">
        <v>24</v>
      </c>
      <c r="G1189" s="2" t="s">
        <v>2639</v>
      </c>
      <c r="H1189" t="s">
        <v>26</v>
      </c>
      <c r="I1189" t="s">
        <v>27</v>
      </c>
      <c r="J1189" s="6">
        <v>13188</v>
      </c>
      <c r="K1189" s="16">
        <v>1007</v>
      </c>
      <c r="L1189" s="16">
        <v>1007</v>
      </c>
      <c r="M1189" s="16">
        <v>1008</v>
      </c>
      <c r="N1189" s="16">
        <v>1011</v>
      </c>
      <c r="O1189" s="16">
        <v>1003</v>
      </c>
      <c r="P1189" s="16">
        <v>998</v>
      </c>
      <c r="Q1189" s="16">
        <v>1016</v>
      </c>
      <c r="R1189" s="16">
        <v>1008</v>
      </c>
      <c r="S1189" s="16">
        <v>997</v>
      </c>
      <c r="T1189" s="16">
        <v>996</v>
      </c>
      <c r="U1189" s="15">
        <v>1005.1</v>
      </c>
      <c r="V1189" t="s">
        <v>19</v>
      </c>
      <c r="W1189" t="s">
        <v>19</v>
      </c>
      <c r="X1189">
        <v>10222</v>
      </c>
      <c r="Y1189" s="16">
        <f>VLOOKUP(Tabela1[[#This Row],[SKU]],SKU!A:D,4,0)</f>
        <v>1000</v>
      </c>
      <c r="Z1189" s="18">
        <f>IFERROR((Tabela1[[#This Row],[Média]]-Tabela1[[#This Row],[Meta]])/Tabela1[[#This Row],[Meta]],"")</f>
        <v>5.1000000000000229E-3</v>
      </c>
      <c r="AA1189" s="31">
        <f>Tabela1[[#This Row],[Média]]-Tabela1[[#This Row],[Meta]]</f>
        <v>5.1000000000000227</v>
      </c>
      <c r="AB1189" s="6" t="str">
        <f>VLOOKUP(Tabela1[[#This Row],[SKU]],SKU!A:B,2,0)</f>
        <v>SOBRECOXA CG BDJ SE</v>
      </c>
      <c r="AC1189" s="6" t="str">
        <f>VLOOKUP(Tabela1[[#This Row],[SKU]],SKU!A:C,3,0)</f>
        <v>PERNA</v>
      </c>
    </row>
    <row r="1190" spans="1:29" x14ac:dyDescent="0.25">
      <c r="A1190" s="2">
        <f>INT(Tabela1[[#This Row],[Data e Hora2]])</f>
        <v>46294</v>
      </c>
      <c r="B1190" s="6" t="str">
        <f>UPPER(TEXT(Tabela1[[#This Row],[Data Corrigida]],"MMM"))</f>
        <v>SET</v>
      </c>
      <c r="C1190" t="s">
        <v>2645</v>
      </c>
      <c r="D1190" s="2" t="s">
        <v>2646</v>
      </c>
      <c r="E1190" s="1" t="s">
        <v>2644</v>
      </c>
      <c r="F1190" t="s">
        <v>24</v>
      </c>
      <c r="G1190" s="2" t="s">
        <v>2639</v>
      </c>
      <c r="H1190" t="s">
        <v>26</v>
      </c>
      <c r="I1190" t="s">
        <v>27</v>
      </c>
      <c r="J1190" s="6">
        <v>15229</v>
      </c>
      <c r="K1190" s="16">
        <v>996</v>
      </c>
      <c r="L1190" s="16">
        <v>1036</v>
      </c>
      <c r="M1190" s="16">
        <v>998</v>
      </c>
      <c r="N1190" s="16">
        <v>1007</v>
      </c>
      <c r="O1190" s="16">
        <v>1001</v>
      </c>
      <c r="P1190" s="16">
        <v>1013</v>
      </c>
      <c r="Q1190" s="16">
        <v>1007</v>
      </c>
      <c r="R1190" s="16">
        <v>1017</v>
      </c>
      <c r="S1190" s="16">
        <v>1011</v>
      </c>
      <c r="T1190" s="16">
        <v>1014</v>
      </c>
      <c r="U1190" s="15">
        <v>1010</v>
      </c>
      <c r="V1190" t="s">
        <v>19</v>
      </c>
      <c r="W1190" t="s">
        <v>28</v>
      </c>
      <c r="X1190">
        <v>10376</v>
      </c>
      <c r="Y1190" s="16">
        <f>VLOOKUP(Tabela1[[#This Row],[SKU]],SKU!A:D,4,0)</f>
        <v>1000</v>
      </c>
      <c r="Z1190" s="18">
        <f>IFERROR((Tabela1[[#This Row],[Média]]-Tabela1[[#This Row],[Meta]])/Tabela1[[#This Row],[Meta]],"")</f>
        <v>0.01</v>
      </c>
      <c r="AA1190" s="31">
        <f>Tabela1[[#This Row],[Média]]-Tabela1[[#This Row],[Meta]]</f>
        <v>10</v>
      </c>
      <c r="AB1190" s="6" t="str">
        <f>VLOOKUP(Tabela1[[#This Row],[SKU]],SKU!A:B,2,0)</f>
        <v>COXA CG BDJ SE</v>
      </c>
      <c r="AC1190" s="6" t="str">
        <f>VLOOKUP(Tabela1[[#This Row],[SKU]],SKU!A:C,3,0)</f>
        <v>PERNA</v>
      </c>
    </row>
    <row r="1191" spans="1:29" x14ac:dyDescent="0.25">
      <c r="A1191" s="2">
        <f>INT(Tabela1[[#This Row],[Data e Hora2]])</f>
        <v>46294</v>
      </c>
      <c r="B1191" s="6" t="str">
        <f>UPPER(TEXT(Tabela1[[#This Row],[Data Corrigida]],"MMM"))</f>
        <v>SET</v>
      </c>
      <c r="C1191" t="s">
        <v>2647</v>
      </c>
      <c r="D1191" s="2" t="s">
        <v>2648</v>
      </c>
      <c r="E1191" s="1" t="s">
        <v>2644</v>
      </c>
      <c r="F1191" t="s">
        <v>24</v>
      </c>
      <c r="G1191" s="2" t="s">
        <v>2639</v>
      </c>
      <c r="H1191" t="s">
        <v>26</v>
      </c>
      <c r="I1191" t="s">
        <v>27</v>
      </c>
      <c r="J1191" s="6">
        <v>992014</v>
      </c>
      <c r="K1191" s="16">
        <v>719</v>
      </c>
      <c r="L1191" s="16">
        <v>710</v>
      </c>
      <c r="M1191" s="16">
        <v>712</v>
      </c>
      <c r="N1191" s="16">
        <v>712</v>
      </c>
      <c r="O1191" s="16">
        <v>716</v>
      </c>
      <c r="P1191" s="16">
        <v>725</v>
      </c>
      <c r="Q1191" s="16">
        <v>715</v>
      </c>
      <c r="R1191" s="16">
        <v>707</v>
      </c>
      <c r="S1191" s="16">
        <v>713</v>
      </c>
      <c r="T1191" s="16">
        <v>715</v>
      </c>
      <c r="U1191" s="15">
        <v>714.4</v>
      </c>
      <c r="V1191" t="s">
        <v>19</v>
      </c>
      <c r="W1191" t="s">
        <v>28</v>
      </c>
      <c r="X1191">
        <v>10547</v>
      </c>
      <c r="Y1191" s="16">
        <f>VLOOKUP(Tabela1[[#This Row],[SKU]],SKU!A:D,4,0)</f>
        <v>700</v>
      </c>
      <c r="Z1191" s="18">
        <f>IFERROR((Tabela1[[#This Row],[Média]]-Tabela1[[#This Row],[Meta]])/Tabela1[[#This Row],[Meta]],"")</f>
        <v>2.0571428571428539E-2</v>
      </c>
      <c r="AA1191" s="31">
        <f>Tabela1[[#This Row],[Média]]-Tabela1[[#This Row],[Meta]]</f>
        <v>14.399999999999977</v>
      </c>
      <c r="AB1191" s="6" t="str">
        <f>VLOOKUP(Tabela1[[#This Row],[SKU]],SKU!A:B,2,0)</f>
        <v>OSTRINHA CG PCT 700G SWIFT</v>
      </c>
      <c r="AC1191" s="6" t="str">
        <f>VLOOKUP(Tabela1[[#This Row],[SKU]],SKU!A:C,3,0)</f>
        <v>PERNA</v>
      </c>
    </row>
    <row r="1192" spans="1:29" x14ac:dyDescent="0.25">
      <c r="A1192" s="2">
        <f>INT(Tabela1[[#This Row],[Data e Hora2]])</f>
        <v>46294</v>
      </c>
      <c r="B1192" s="6" t="str">
        <f>UPPER(TEXT(Tabela1[[#This Row],[Data Corrigida]],"MMM"))</f>
        <v>SET</v>
      </c>
      <c r="C1192" t="s">
        <v>2649</v>
      </c>
      <c r="D1192" s="2" t="s">
        <v>2650</v>
      </c>
      <c r="E1192" s="1" t="s">
        <v>2644</v>
      </c>
      <c r="F1192" t="s">
        <v>24</v>
      </c>
      <c r="G1192" s="2" t="s">
        <v>2639</v>
      </c>
      <c r="H1192" t="s">
        <v>26</v>
      </c>
      <c r="I1192" t="s">
        <v>27</v>
      </c>
      <c r="J1192" s="6">
        <v>15105</v>
      </c>
      <c r="K1192" s="16">
        <v>1019</v>
      </c>
      <c r="L1192" s="16">
        <v>1046</v>
      </c>
      <c r="M1192" s="16">
        <v>995</v>
      </c>
      <c r="N1192" s="16">
        <v>1019</v>
      </c>
      <c r="O1192" s="16">
        <v>1031</v>
      </c>
      <c r="P1192" s="16">
        <v>1012</v>
      </c>
      <c r="Q1192" s="16">
        <v>1015</v>
      </c>
      <c r="R1192" s="16">
        <v>1003</v>
      </c>
      <c r="S1192" s="16">
        <v>1000</v>
      </c>
      <c r="T1192" s="16">
        <v>1012</v>
      </c>
      <c r="U1192" s="15">
        <v>1015.2</v>
      </c>
      <c r="V1192" t="s">
        <v>19</v>
      </c>
      <c r="W1192" t="s">
        <v>28</v>
      </c>
      <c r="X1192">
        <v>10945</v>
      </c>
      <c r="Y1192" s="16">
        <f>VLOOKUP(Tabela1[[#This Row],[SKU]],SKU!A:D,4,0)</f>
        <v>1000</v>
      </c>
      <c r="Z1192" s="18">
        <f>IFERROR((Tabela1[[#This Row],[Média]]-Tabela1[[#This Row],[Meta]])/Tabela1[[#This Row],[Meta]],"")</f>
        <v>1.5200000000000045E-2</v>
      </c>
      <c r="AA1192" s="31">
        <f>Tabela1[[#This Row],[Média]]-Tabela1[[#This Row],[Meta]]</f>
        <v>15.200000000000045</v>
      </c>
      <c r="AB1192" s="6" t="str">
        <f>VLOOKUP(Tabela1[[#This Row],[SKU]],SKU!A:B,2,0)</f>
        <v>FILE PEITO MET CG BDJ SE</v>
      </c>
      <c r="AC1192" s="6" t="str">
        <f>VLOOKUP(Tabela1[[#This Row],[SKU]],SKU!A:C,3,0)</f>
        <v>PEITO</v>
      </c>
    </row>
    <row r="1193" spans="1:29" x14ac:dyDescent="0.25">
      <c r="A1193" s="2">
        <f>INT(Tabela1[[#This Row],[Data e Hora2]])</f>
        <v>46294</v>
      </c>
      <c r="B1193" s="6" t="str">
        <f>UPPER(TEXT(Tabela1[[#This Row],[Data Corrigida]],"MMM"))</f>
        <v>SET</v>
      </c>
      <c r="C1193" t="s">
        <v>2651</v>
      </c>
      <c r="D1193" s="2" t="s">
        <v>2652</v>
      </c>
      <c r="E1193" s="1" t="s">
        <v>2644</v>
      </c>
      <c r="F1193" t="s">
        <v>24</v>
      </c>
      <c r="G1193" s="2" t="s">
        <v>2639</v>
      </c>
      <c r="H1193" t="s">
        <v>26</v>
      </c>
      <c r="I1193" t="s">
        <v>27</v>
      </c>
      <c r="J1193" s="6">
        <v>197734</v>
      </c>
      <c r="K1193" s="16">
        <v>1016</v>
      </c>
      <c r="L1193" s="16">
        <v>1007</v>
      </c>
      <c r="M1193" s="16">
        <v>1003</v>
      </c>
      <c r="N1193" s="16">
        <v>998</v>
      </c>
      <c r="O1193" s="16">
        <v>1012</v>
      </c>
      <c r="P1193" s="16">
        <v>1011</v>
      </c>
      <c r="Q1193" s="16">
        <v>999</v>
      </c>
      <c r="R1193" s="16">
        <v>1010</v>
      </c>
      <c r="S1193" s="16">
        <v>1005</v>
      </c>
      <c r="T1193" s="16">
        <v>1000</v>
      </c>
      <c r="U1193" s="15">
        <v>1006.1</v>
      </c>
      <c r="V1193" t="s">
        <v>19</v>
      </c>
      <c r="W1193" t="s">
        <v>28</v>
      </c>
      <c r="X1193">
        <v>21421</v>
      </c>
      <c r="Y1193" s="16">
        <f>VLOOKUP(Tabela1[[#This Row],[SKU]],SKU!A:D,4,0)</f>
        <v>1000</v>
      </c>
      <c r="Z1193" s="18">
        <f>IFERROR((Tabela1[[#This Row],[Média]]-Tabela1[[#This Row],[Meta]])/Tabela1[[#This Row],[Meta]],"")</f>
        <v>6.1000000000000229E-3</v>
      </c>
      <c r="AA1193" s="31">
        <f>Tabela1[[#This Row],[Média]]-Tabela1[[#This Row],[Meta]]</f>
        <v>6.1000000000000227</v>
      </c>
      <c r="AB1193" s="6" t="str">
        <f>VLOOKUP(Tabela1[[#This Row],[SKU]],SKU!A:B,2,0)</f>
        <v>FILEZINHO FRANGO IQF ALM SE</v>
      </c>
      <c r="AC1193" s="6" t="str">
        <f>VLOOKUP(Tabela1[[#This Row],[SKU]],SKU!A:C,3,0)</f>
        <v>SASSAMI</v>
      </c>
    </row>
    <row r="1194" spans="1:29" x14ac:dyDescent="0.25">
      <c r="A1194" s="2">
        <f>INT(Tabela1[[#This Row],[Data e Hora2]])</f>
        <v>46294</v>
      </c>
      <c r="B1194" s="6" t="str">
        <f>UPPER(TEXT(Tabela1[[#This Row],[Data Corrigida]],"MMM"))</f>
        <v>SET</v>
      </c>
      <c r="C1194" t="s">
        <v>2653</v>
      </c>
      <c r="D1194" s="2" t="s">
        <v>2654</v>
      </c>
      <c r="E1194" s="1" t="s">
        <v>2644</v>
      </c>
      <c r="F1194" t="s">
        <v>24</v>
      </c>
      <c r="G1194" s="2" t="s">
        <v>2639</v>
      </c>
      <c r="H1194" t="s">
        <v>26</v>
      </c>
      <c r="I1194" t="s">
        <v>27</v>
      </c>
      <c r="J1194" s="6">
        <v>995638</v>
      </c>
      <c r="K1194" s="16">
        <v>15005</v>
      </c>
      <c r="L1194" s="16">
        <v>15030</v>
      </c>
      <c r="M1194" s="16">
        <v>15005</v>
      </c>
      <c r="N1194" s="16">
        <v>15025</v>
      </c>
      <c r="O1194" s="16">
        <v>15040</v>
      </c>
      <c r="P1194" s="16">
        <v>15070</v>
      </c>
      <c r="Q1194" s="16">
        <v>15040</v>
      </c>
      <c r="R1194" s="16">
        <v>15005</v>
      </c>
      <c r="S1194" s="16">
        <v>15005</v>
      </c>
      <c r="T1194" s="16">
        <v>15038</v>
      </c>
      <c r="U1194" s="15">
        <v>15026.3</v>
      </c>
      <c r="V1194" t="s">
        <v>19</v>
      </c>
      <c r="W1194" t="s">
        <v>28</v>
      </c>
      <c r="X1194">
        <v>21886</v>
      </c>
      <c r="Y1194" s="16">
        <f>VLOOKUP(Tabela1[[#This Row],[SKU]],SKU!A:D,4,0)</f>
        <v>15000</v>
      </c>
      <c r="Z1194" s="18">
        <f>IFERROR((Tabela1[[#This Row],[Média]]-Tabela1[[#This Row],[Meta]])/Tabela1[[#This Row],[Meta]],"")</f>
        <v>1.7533333333332847E-3</v>
      </c>
      <c r="AA1194" s="31">
        <f>Tabela1[[#This Row],[Média]]-Tabela1[[#This Row],[Meta]]</f>
        <v>26.299999999999272</v>
      </c>
      <c r="AB1194" s="6" t="str">
        <f>VLOOKUP(Tabela1[[#This Row],[SKU]],SKU!A:B,2,0)</f>
        <v>MEIO DA ASA 40-50G LP</v>
      </c>
      <c r="AC1194" s="6" t="str">
        <f>VLOOKUP(Tabela1[[#This Row],[SKU]],SKU!A:C,3,0)</f>
        <v>ASA</v>
      </c>
    </row>
    <row r="1195" spans="1:29" x14ac:dyDescent="0.25">
      <c r="A1195" s="2">
        <f>INT(Tabela1[[#This Row],[Data e Hora2]])</f>
        <v>46294</v>
      </c>
      <c r="B1195" s="6" t="str">
        <f>UPPER(TEXT(Tabela1[[#This Row],[Data Corrigida]],"MMM"))</f>
        <v>SET</v>
      </c>
      <c r="C1195" t="s">
        <v>2655</v>
      </c>
      <c r="D1195" s="2" t="s">
        <v>2656</v>
      </c>
      <c r="E1195" s="1" t="s">
        <v>2644</v>
      </c>
      <c r="F1195" t="s">
        <v>24</v>
      </c>
      <c r="G1195" s="2" t="s">
        <v>2639</v>
      </c>
      <c r="H1195" t="s">
        <v>26</v>
      </c>
      <c r="I1195" t="s">
        <v>27</v>
      </c>
      <c r="J1195" s="6">
        <v>13188</v>
      </c>
      <c r="K1195" s="16">
        <v>1016</v>
      </c>
      <c r="L1195" s="16">
        <v>1009</v>
      </c>
      <c r="M1195" s="16">
        <v>1002</v>
      </c>
      <c r="N1195" s="16">
        <v>1015</v>
      </c>
      <c r="O1195" s="16">
        <v>1006</v>
      </c>
      <c r="P1195" s="16">
        <v>1005</v>
      </c>
      <c r="Q1195" s="16">
        <v>999</v>
      </c>
      <c r="R1195" s="16">
        <v>1010</v>
      </c>
      <c r="S1195" s="16">
        <v>1003</v>
      </c>
      <c r="T1195" s="16">
        <v>1004</v>
      </c>
      <c r="U1195" s="15">
        <v>1006.9</v>
      </c>
      <c r="V1195" t="s">
        <v>19</v>
      </c>
      <c r="W1195" t="s">
        <v>28</v>
      </c>
      <c r="X1195">
        <v>21955</v>
      </c>
      <c r="Y1195" s="16">
        <f>VLOOKUP(Tabela1[[#This Row],[SKU]],SKU!A:D,4,0)</f>
        <v>1000</v>
      </c>
      <c r="Z1195" s="18">
        <f>IFERROR((Tabela1[[#This Row],[Média]]-Tabela1[[#This Row],[Meta]])/Tabela1[[#This Row],[Meta]],"")</f>
        <v>6.8999999999999773E-3</v>
      </c>
      <c r="AA1195" s="31">
        <f>Tabela1[[#This Row],[Média]]-Tabela1[[#This Row],[Meta]]</f>
        <v>6.8999999999999773</v>
      </c>
      <c r="AB1195" s="6" t="str">
        <f>VLOOKUP(Tabela1[[#This Row],[SKU]],SKU!A:B,2,0)</f>
        <v>SOBRECOXA CG BDJ SE</v>
      </c>
      <c r="AC1195" s="6" t="str">
        <f>VLOOKUP(Tabela1[[#This Row],[SKU]],SKU!A:C,3,0)</f>
        <v>PERNA</v>
      </c>
    </row>
    <row r="1196" spans="1:29" x14ac:dyDescent="0.25">
      <c r="A1196" s="2">
        <f>INT(Tabela1[[#This Row],[Data e Hora2]])</f>
        <v>46294</v>
      </c>
      <c r="B1196" s="6" t="str">
        <f>UPPER(TEXT(Tabela1[[#This Row],[Data Corrigida]],"MMM"))</f>
        <v>SET</v>
      </c>
      <c r="C1196" t="s">
        <v>2657</v>
      </c>
      <c r="D1196" s="2" t="s">
        <v>2658</v>
      </c>
      <c r="E1196" s="1" t="s">
        <v>2644</v>
      </c>
      <c r="F1196" t="s">
        <v>24</v>
      </c>
      <c r="G1196" s="2" t="s">
        <v>2639</v>
      </c>
      <c r="H1196" t="s">
        <v>26</v>
      </c>
      <c r="I1196" t="s">
        <v>27</v>
      </c>
      <c r="J1196" s="6">
        <v>15229</v>
      </c>
      <c r="K1196" s="16">
        <v>1010</v>
      </c>
      <c r="L1196" s="16">
        <v>1013</v>
      </c>
      <c r="M1196" s="16">
        <v>1008</v>
      </c>
      <c r="N1196" s="16">
        <v>1001</v>
      </c>
      <c r="O1196" s="16">
        <v>1000</v>
      </c>
      <c r="P1196" s="16">
        <v>1013</v>
      </c>
      <c r="Q1196" s="16">
        <v>1015</v>
      </c>
      <c r="R1196" s="16">
        <v>1003</v>
      </c>
      <c r="S1196" s="16">
        <v>1001</v>
      </c>
      <c r="T1196" s="16">
        <v>1004</v>
      </c>
      <c r="U1196" s="15">
        <v>1006.8</v>
      </c>
      <c r="V1196" t="s">
        <v>19</v>
      </c>
      <c r="W1196" t="s">
        <v>28</v>
      </c>
      <c r="X1196">
        <v>22110</v>
      </c>
      <c r="Y1196" s="16">
        <f>VLOOKUP(Tabela1[[#This Row],[SKU]],SKU!A:D,4,0)</f>
        <v>1000</v>
      </c>
      <c r="Z1196" s="18">
        <f>IFERROR((Tabela1[[#This Row],[Média]]-Tabela1[[#This Row],[Meta]])/Tabela1[[#This Row],[Meta]],"")</f>
        <v>6.7999999999999545E-3</v>
      </c>
      <c r="AA1196" s="31">
        <f>Tabela1[[#This Row],[Média]]-Tabela1[[#This Row],[Meta]]</f>
        <v>6.7999999999999545</v>
      </c>
      <c r="AB1196" s="6" t="str">
        <f>VLOOKUP(Tabela1[[#This Row],[SKU]],SKU!A:B,2,0)</f>
        <v>COXA CG BDJ SE</v>
      </c>
      <c r="AC1196" s="6" t="str">
        <f>VLOOKUP(Tabela1[[#This Row],[SKU]],SKU!A:C,3,0)</f>
        <v>PERNA</v>
      </c>
    </row>
    <row r="1197" spans="1:29" x14ac:dyDescent="0.25">
      <c r="A1197" s="2">
        <f>INT(Tabela1[[#This Row],[Data e Hora2]])</f>
        <v>46294</v>
      </c>
      <c r="B1197" s="6" t="str">
        <f>UPPER(TEXT(Tabela1[[#This Row],[Data Corrigida]],"MMM"))</f>
        <v>SET</v>
      </c>
      <c r="C1197" t="s">
        <v>2659</v>
      </c>
      <c r="D1197" s="2" t="s">
        <v>2660</v>
      </c>
      <c r="E1197" s="1" t="s">
        <v>2644</v>
      </c>
      <c r="F1197" t="s">
        <v>24</v>
      </c>
      <c r="G1197" s="2" t="s">
        <v>2639</v>
      </c>
      <c r="H1197" t="s">
        <v>26</v>
      </c>
      <c r="I1197" t="s">
        <v>27</v>
      </c>
      <c r="J1197" s="6">
        <v>40762</v>
      </c>
      <c r="K1197" s="16">
        <v>10120</v>
      </c>
      <c r="L1197" s="16">
        <v>10000</v>
      </c>
      <c r="M1197" s="16">
        <v>9960</v>
      </c>
      <c r="N1197" s="16">
        <v>10020</v>
      </c>
      <c r="O1197" s="16">
        <v>9970</v>
      </c>
      <c r="P1197" s="16">
        <v>10005</v>
      </c>
      <c r="Q1197" s="16">
        <v>10020</v>
      </c>
      <c r="R1197" s="16">
        <v>10105</v>
      </c>
      <c r="S1197" s="16">
        <v>10065</v>
      </c>
      <c r="T1197" s="16">
        <v>9985</v>
      </c>
      <c r="U1197" s="15">
        <v>10025</v>
      </c>
      <c r="V1197" t="s">
        <v>19</v>
      </c>
      <c r="W1197" t="s">
        <v>28</v>
      </c>
      <c r="X1197">
        <v>22451</v>
      </c>
      <c r="Y1197" s="16">
        <f>VLOOKUP(Tabela1[[#This Row],[SKU]],SKU!A:D,4,0)</f>
        <v>10000</v>
      </c>
      <c r="Z1197" s="18">
        <f>IFERROR((Tabela1[[#This Row],[Média]]-Tabela1[[#This Row],[Meta]])/Tabela1[[#This Row],[Meta]],"")</f>
        <v>2.5000000000000001E-3</v>
      </c>
      <c r="AA1197" s="31">
        <f>Tabela1[[#This Row],[Média]]-Tabela1[[#This Row],[Meta]]</f>
        <v>25</v>
      </c>
      <c r="AB1197" s="6" t="str">
        <f>VLOOKUP(Tabela1[[#This Row],[SKU]],SKU!A:B,2,0)</f>
        <v>COXA SBCX LQ FG LP</v>
      </c>
      <c r="AC1197" s="6" t="str">
        <f>VLOOKUP(Tabela1[[#This Row],[SKU]],SKU!A:C,3,0)</f>
        <v>PERNA</v>
      </c>
    </row>
    <row r="1198" spans="1:29" x14ac:dyDescent="0.25">
      <c r="A1198" s="2">
        <f>INT(Tabela1[[#This Row],[Data e Hora2]])</f>
        <v>46294</v>
      </c>
      <c r="B1198" s="6" t="str">
        <f>UPPER(TEXT(Tabela1[[#This Row],[Data Corrigida]],"MMM"))</f>
        <v>SET</v>
      </c>
      <c r="C1198" t="s">
        <v>2661</v>
      </c>
      <c r="D1198" s="2" t="s">
        <v>2662</v>
      </c>
      <c r="E1198" s="1" t="s">
        <v>2663</v>
      </c>
      <c r="F1198" t="s">
        <v>24</v>
      </c>
      <c r="G1198" s="2" t="s">
        <v>2639</v>
      </c>
      <c r="H1198" t="s">
        <v>26</v>
      </c>
      <c r="I1198" t="s">
        <v>27</v>
      </c>
      <c r="J1198" s="6">
        <v>42820</v>
      </c>
      <c r="K1198" s="16">
        <v>2067</v>
      </c>
      <c r="L1198" s="16">
        <v>2005</v>
      </c>
      <c r="M1198" s="16">
        <v>2034</v>
      </c>
      <c r="N1198" s="16">
        <v>2066</v>
      </c>
      <c r="O1198" s="16">
        <v>2038</v>
      </c>
      <c r="P1198" s="16">
        <v>2009</v>
      </c>
      <c r="Q1198" s="16">
        <v>1997</v>
      </c>
      <c r="R1198" s="16">
        <v>2058</v>
      </c>
      <c r="S1198" s="16">
        <v>2033</v>
      </c>
      <c r="T1198" s="16">
        <v>2016</v>
      </c>
      <c r="U1198" s="15">
        <v>2032.3</v>
      </c>
      <c r="V1198" t="s">
        <v>19</v>
      </c>
      <c r="W1198" t="s">
        <v>28</v>
      </c>
      <c r="X1198">
        <v>25011</v>
      </c>
      <c r="Y1198" s="16">
        <f>VLOOKUP(Tabela1[[#This Row],[SKU]],SKU!A:D,4,0)</f>
        <v>2000</v>
      </c>
      <c r="Z1198" s="18">
        <f>IFERROR((Tabela1[[#This Row],[Média]]-Tabela1[[#This Row],[Meta]])/Tabela1[[#This Row],[Meta]],"")</f>
        <v>1.6149999999999977E-2</v>
      </c>
      <c r="AA1198" s="31">
        <f>Tabela1[[#This Row],[Média]]-Tabela1[[#This Row],[Meta]]</f>
        <v>32.299999999999955</v>
      </c>
      <c r="AB1198" s="6" t="str">
        <f>VLOOKUP(Tabela1[[#This Row],[SKU]],SKU!A:B,2,0)</f>
        <v>COXA SBCX S/O FG 200-220g PB</v>
      </c>
      <c r="AC1198" s="6" t="str">
        <f>VLOOKUP(Tabela1[[#This Row],[SKU]],SKU!A:C,3,0)</f>
        <v>PERNA</v>
      </c>
    </row>
    <row r="1199" spans="1:29" x14ac:dyDescent="0.25">
      <c r="A1199" s="2">
        <f>INT(Tabela1[[#This Row],[Data e Hora2]])</f>
        <v>46294</v>
      </c>
      <c r="B1199" s="6" t="str">
        <f>UPPER(TEXT(Tabela1[[#This Row],[Data Corrigida]],"MMM"))</f>
        <v>SET</v>
      </c>
      <c r="C1199" t="s">
        <v>2664</v>
      </c>
      <c r="D1199" s="2" t="s">
        <v>2665</v>
      </c>
      <c r="E1199" s="1" t="s">
        <v>2663</v>
      </c>
      <c r="F1199" t="s">
        <v>24</v>
      </c>
      <c r="G1199" s="2" t="s">
        <v>2639</v>
      </c>
      <c r="H1199" t="s">
        <v>26</v>
      </c>
      <c r="I1199" t="s">
        <v>27</v>
      </c>
      <c r="J1199" s="6">
        <v>42838</v>
      </c>
      <c r="K1199" s="16">
        <v>2020</v>
      </c>
      <c r="L1199" s="16">
        <v>2038</v>
      </c>
      <c r="M1199" s="16">
        <v>2270</v>
      </c>
      <c r="N1199" s="16">
        <v>2034</v>
      </c>
      <c r="O1199" s="16">
        <v>2011</v>
      </c>
      <c r="P1199" s="16">
        <v>2017</v>
      </c>
      <c r="Q1199" s="16">
        <v>2019</v>
      </c>
      <c r="R1199" s="16">
        <v>2017</v>
      </c>
      <c r="S1199" s="16">
        <v>2041</v>
      </c>
      <c r="T1199" s="16">
        <v>2033</v>
      </c>
      <c r="U1199" s="15">
        <v>2050</v>
      </c>
      <c r="V1199" t="s">
        <v>19</v>
      </c>
      <c r="W1199" t="s">
        <v>19</v>
      </c>
      <c r="X1199">
        <v>25357</v>
      </c>
      <c r="Y1199" s="16">
        <f>VLOOKUP(Tabela1[[#This Row],[SKU]],SKU!A:D,4,0)</f>
        <v>2000</v>
      </c>
      <c r="Z1199" s="18">
        <f>IFERROR((Tabela1[[#This Row],[Média]]-Tabela1[[#This Row],[Meta]])/Tabela1[[#This Row],[Meta]],"")</f>
        <v>2.5000000000000001E-2</v>
      </c>
      <c r="AA1199" s="31">
        <f>Tabela1[[#This Row],[Média]]-Tabela1[[#This Row],[Meta]]</f>
        <v>50</v>
      </c>
      <c r="AB1199" s="6" t="str">
        <f>VLOOKUP(Tabela1[[#This Row],[SKU]],SKU!A:B,2,0)</f>
        <v>COXA SBCX S/O FG 220-240g PB</v>
      </c>
      <c r="AC1199" s="6" t="str">
        <f>VLOOKUP(Tabela1[[#This Row],[SKU]],SKU!A:C,3,0)</f>
        <v>PERNA</v>
      </c>
    </row>
    <row r="1200" spans="1:29" x14ac:dyDescent="0.25">
      <c r="A1200" s="2">
        <f>INT(Tabela1[[#This Row],[Data e Hora2]])</f>
        <v>46294</v>
      </c>
      <c r="B1200" s="6" t="str">
        <f>UPPER(TEXT(Tabela1[[#This Row],[Data Corrigida]],"MMM"))</f>
        <v>SET</v>
      </c>
      <c r="C1200" t="s">
        <v>2666</v>
      </c>
      <c r="D1200" s="2" t="s">
        <v>2667</v>
      </c>
      <c r="E1200" s="1" t="s">
        <v>2663</v>
      </c>
      <c r="F1200" t="s">
        <v>24</v>
      </c>
      <c r="G1200" s="2" t="s">
        <v>2639</v>
      </c>
      <c r="H1200" t="s">
        <v>26</v>
      </c>
      <c r="I1200" t="s">
        <v>27</v>
      </c>
      <c r="J1200" s="6">
        <v>50580</v>
      </c>
      <c r="K1200" s="16">
        <v>2043</v>
      </c>
      <c r="L1200" s="16">
        <v>2006</v>
      </c>
      <c r="M1200" s="16">
        <v>2012</v>
      </c>
      <c r="N1200" s="16">
        <v>2012</v>
      </c>
      <c r="O1200" s="16">
        <v>2035</v>
      </c>
      <c r="P1200" s="16">
        <v>2023</v>
      </c>
      <c r="Q1200" s="16">
        <v>2011</v>
      </c>
      <c r="R1200" s="16">
        <v>2034</v>
      </c>
      <c r="S1200" s="16">
        <v>2017</v>
      </c>
      <c r="T1200" s="16">
        <v>2063</v>
      </c>
      <c r="U1200" s="15">
        <v>2025.6</v>
      </c>
      <c r="V1200" t="s">
        <v>19</v>
      </c>
      <c r="W1200" t="s">
        <v>28</v>
      </c>
      <c r="X1200">
        <v>25888</v>
      </c>
      <c r="Y1200" s="16">
        <f>VLOOKUP(Tabela1[[#This Row],[SKU]],SKU!A:D,4,0)</f>
        <v>2000</v>
      </c>
      <c r="Z1200" s="18">
        <f>IFERROR((Tabela1[[#This Row],[Média]]-Tabela1[[#This Row],[Meta]])/Tabela1[[#This Row],[Meta]],"")</f>
        <v>1.2799999999999954E-2</v>
      </c>
      <c r="AA1200" s="31">
        <f>Tabela1[[#This Row],[Média]]-Tabela1[[#This Row],[Meta]]</f>
        <v>25.599999999999909</v>
      </c>
      <c r="AB1200" s="6" t="str">
        <f>VLOOKUP(Tabela1[[#This Row],[SKU]],SKU!A:B,2,0)</f>
        <v>COXA SBCX S/O FG 200g UP PB</v>
      </c>
      <c r="AC1200" s="6" t="str">
        <f>VLOOKUP(Tabela1[[#This Row],[SKU]],SKU!A:C,3,0)</f>
        <v>PERNA</v>
      </c>
    </row>
    <row r="1201" spans="1:29" x14ac:dyDescent="0.25">
      <c r="A1201" s="2">
        <f>INT(Tabela1[[#This Row],[Data e Hora2]])</f>
        <v>46294</v>
      </c>
      <c r="B1201" s="6" t="str">
        <f>UPPER(TEXT(Tabela1[[#This Row],[Data Corrigida]],"MMM"))</f>
        <v>SET</v>
      </c>
      <c r="C1201" t="s">
        <v>2668</v>
      </c>
      <c r="D1201" s="2" t="s">
        <v>2669</v>
      </c>
      <c r="E1201" s="1" t="s">
        <v>2663</v>
      </c>
      <c r="F1201" t="s">
        <v>24</v>
      </c>
      <c r="G1201" s="2" t="s">
        <v>2639</v>
      </c>
      <c r="H1201" t="s">
        <v>26</v>
      </c>
      <c r="I1201" t="s">
        <v>27</v>
      </c>
      <c r="J1201" s="6">
        <v>42846</v>
      </c>
      <c r="K1201" s="16">
        <v>2036</v>
      </c>
      <c r="L1201" s="16">
        <v>2024</v>
      </c>
      <c r="M1201" s="16">
        <v>1998</v>
      </c>
      <c r="N1201" s="16">
        <v>2015</v>
      </c>
      <c r="O1201" s="16">
        <v>2015</v>
      </c>
      <c r="P1201" s="16">
        <v>2018</v>
      </c>
      <c r="Q1201" s="16">
        <v>2000</v>
      </c>
      <c r="R1201" s="16">
        <v>2016</v>
      </c>
      <c r="S1201" s="16">
        <v>2010</v>
      </c>
      <c r="T1201" s="16">
        <v>1999</v>
      </c>
      <c r="U1201" s="15">
        <v>2013.1</v>
      </c>
      <c r="V1201" t="s">
        <v>19</v>
      </c>
      <c r="W1201" t="s">
        <v>28</v>
      </c>
      <c r="X1201">
        <v>217</v>
      </c>
      <c r="Y1201" s="16">
        <f>VLOOKUP(Tabela1[[#This Row],[SKU]],SKU!A:D,4,0)</f>
        <v>2000</v>
      </c>
      <c r="Z1201" s="18">
        <f>IFERROR((Tabela1[[#This Row],[Média]]-Tabela1[[#This Row],[Meta]])/Tabela1[[#This Row],[Meta]],"")</f>
        <v>6.5499999999999543E-3</v>
      </c>
      <c r="AA1201" s="31">
        <f>Tabela1[[#This Row],[Média]]-Tabela1[[#This Row],[Meta]]</f>
        <v>13.099999999999909</v>
      </c>
      <c r="AB1201" s="6" t="str">
        <f>VLOOKUP(Tabela1[[#This Row],[SKU]],SKU!A:B,2,0)</f>
        <v>COXA SBCX S/O FG 240-260g PB</v>
      </c>
      <c r="AC1201" s="6" t="str">
        <f>VLOOKUP(Tabela1[[#This Row],[SKU]],SKU!A:C,3,0)</f>
        <v>PERNA</v>
      </c>
    </row>
    <row r="1202" spans="1:29" x14ac:dyDescent="0.25">
      <c r="A1202" s="2">
        <f>INT(Tabela1[[#This Row],[Data e Hora2]])</f>
        <v>46294</v>
      </c>
      <c r="B1202" s="6" t="str">
        <f>UPPER(TEXT(Tabela1[[#This Row],[Data Corrigida]],"MMM"))</f>
        <v>SET</v>
      </c>
      <c r="C1202" t="s">
        <v>2670</v>
      </c>
      <c r="D1202" s="2" t="s">
        <v>2671</v>
      </c>
      <c r="E1202" s="1" t="s">
        <v>2663</v>
      </c>
      <c r="F1202" t="s">
        <v>24</v>
      </c>
      <c r="G1202" s="2" t="s">
        <v>2639</v>
      </c>
      <c r="H1202" t="s">
        <v>26</v>
      </c>
      <c r="I1202" t="s">
        <v>27</v>
      </c>
      <c r="J1202" s="6">
        <v>42854</v>
      </c>
      <c r="K1202" s="16">
        <v>2103</v>
      </c>
      <c r="L1202" s="16">
        <v>2099</v>
      </c>
      <c r="M1202" s="16">
        <v>2103</v>
      </c>
      <c r="N1202" s="16">
        <v>2105</v>
      </c>
      <c r="O1202" s="16">
        <v>2091</v>
      </c>
      <c r="P1202" s="16">
        <v>2098</v>
      </c>
      <c r="Q1202" s="16">
        <v>2015</v>
      </c>
      <c r="R1202" s="16">
        <v>2099</v>
      </c>
      <c r="S1202" s="16">
        <v>2083</v>
      </c>
      <c r="T1202" s="16">
        <v>2095</v>
      </c>
      <c r="U1202" s="15">
        <v>2089.1</v>
      </c>
      <c r="V1202" t="s">
        <v>19</v>
      </c>
      <c r="W1202" t="s">
        <v>19</v>
      </c>
      <c r="X1202">
        <v>26377</v>
      </c>
      <c r="Y1202" s="16">
        <f>VLOOKUP(Tabela1[[#This Row],[SKU]],SKU!A:D,4,0)</f>
        <v>2080</v>
      </c>
      <c r="Z1202" s="18">
        <f>IFERROR((Tabela1[[#This Row],[Média]]-Tabela1[[#This Row],[Meta]])/Tabela1[[#This Row],[Meta]],"")</f>
        <v>4.3749999999999562E-3</v>
      </c>
      <c r="AA1202" s="31">
        <f>Tabela1[[#This Row],[Média]]-Tabela1[[#This Row],[Meta]]</f>
        <v>9.0999999999999091</v>
      </c>
      <c r="AB1202" s="6" t="str">
        <f>VLOOKUP(Tabela1[[#This Row],[SKU]],SKU!A:B,2,0)</f>
        <v>COXA SBCX S/O FG 260-280g PB</v>
      </c>
      <c r="AC1202" s="6" t="str">
        <f>VLOOKUP(Tabela1[[#This Row],[SKU]],SKU!A:C,3,0)</f>
        <v>PERNA</v>
      </c>
    </row>
    <row r="1203" spans="1:29" x14ac:dyDescent="0.25">
      <c r="A1203" s="2">
        <f>INT(Tabela1[[#This Row],[Data e Hora2]])</f>
        <v>46294</v>
      </c>
      <c r="B1203" s="6" t="str">
        <f>UPPER(TEXT(Tabela1[[#This Row],[Data Corrigida]],"MMM"))</f>
        <v>SET</v>
      </c>
      <c r="C1203" t="s">
        <v>2672</v>
      </c>
      <c r="D1203" s="2" t="s">
        <v>2673</v>
      </c>
      <c r="E1203" s="1" t="s">
        <v>2663</v>
      </c>
      <c r="F1203" t="s">
        <v>24</v>
      </c>
      <c r="G1203" s="2" t="s">
        <v>2639</v>
      </c>
      <c r="H1203" t="s">
        <v>26</v>
      </c>
      <c r="I1203" t="s">
        <v>27</v>
      </c>
      <c r="J1203" s="6">
        <v>42862</v>
      </c>
      <c r="K1203" s="16">
        <v>2003</v>
      </c>
      <c r="L1203" s="16">
        <v>2003</v>
      </c>
      <c r="M1203" s="16">
        <v>2026</v>
      </c>
      <c r="N1203" s="16">
        <v>2013</v>
      </c>
      <c r="O1203" s="16">
        <v>2006</v>
      </c>
      <c r="P1203" s="16">
        <v>2030</v>
      </c>
      <c r="Q1203" s="16">
        <v>2005</v>
      </c>
      <c r="R1203" s="16">
        <v>2006</v>
      </c>
      <c r="S1203" s="16">
        <v>2023</v>
      </c>
      <c r="T1203" s="16">
        <v>2021</v>
      </c>
      <c r="U1203" s="15">
        <v>2013.6</v>
      </c>
      <c r="V1203" t="s">
        <v>19</v>
      </c>
      <c r="W1203" t="s">
        <v>28</v>
      </c>
      <c r="X1203">
        <v>27781</v>
      </c>
      <c r="Y1203" s="16">
        <f>VLOOKUP(Tabela1[[#This Row],[SKU]],SKU!A:D,4,0)</f>
        <v>2000</v>
      </c>
      <c r="Z1203" s="18">
        <f>IFERROR((Tabela1[[#This Row],[Média]]-Tabela1[[#This Row],[Meta]])/Tabela1[[#This Row],[Meta]],"")</f>
        <v>6.7999999999999545E-3</v>
      </c>
      <c r="AA1203" s="31">
        <f>Tabela1[[#This Row],[Média]]-Tabela1[[#This Row],[Meta]]</f>
        <v>13.599999999999909</v>
      </c>
      <c r="AB1203" s="6" t="str">
        <f>VLOOKUP(Tabela1[[#This Row],[SKU]],SKU!A:B,2,0)</f>
        <v>COXA SBCX S/O FG 280-300g PB</v>
      </c>
      <c r="AC1203" s="6" t="str">
        <f>VLOOKUP(Tabela1[[#This Row],[SKU]],SKU!A:C,3,0)</f>
        <v>PERNA</v>
      </c>
    </row>
    <row r="1204" spans="1:29" x14ac:dyDescent="0.25">
      <c r="A1204" s="2">
        <f>INT(Tabela1[[#This Row],[Data e Hora2]])</f>
        <v>46294</v>
      </c>
      <c r="B1204" s="6" t="str">
        <f>UPPER(TEXT(Tabela1[[#This Row],[Data Corrigida]],"MMM"))</f>
        <v>SET</v>
      </c>
      <c r="C1204" t="s">
        <v>2674</v>
      </c>
      <c r="D1204" s="2" t="s">
        <v>2675</v>
      </c>
      <c r="E1204" s="1" t="s">
        <v>2663</v>
      </c>
      <c r="F1204" t="s">
        <v>24</v>
      </c>
      <c r="G1204" s="2" t="s">
        <v>2639</v>
      </c>
      <c r="H1204" t="s">
        <v>26</v>
      </c>
      <c r="I1204" t="s">
        <v>27</v>
      </c>
      <c r="J1204" s="6">
        <v>15105</v>
      </c>
      <c r="K1204" s="16">
        <v>1043</v>
      </c>
      <c r="L1204" s="16">
        <v>1027</v>
      </c>
      <c r="M1204" s="16">
        <v>1018</v>
      </c>
      <c r="N1204" s="16">
        <v>1033</v>
      </c>
      <c r="O1204" s="16">
        <v>1006</v>
      </c>
      <c r="P1204" s="16">
        <v>988</v>
      </c>
      <c r="Q1204" s="16">
        <v>1003</v>
      </c>
      <c r="R1204" s="16">
        <v>1034</v>
      </c>
      <c r="S1204" s="16">
        <v>1029</v>
      </c>
      <c r="T1204" s="16">
        <v>1002</v>
      </c>
      <c r="U1204" s="15">
        <v>1018.3</v>
      </c>
      <c r="V1204" t="s">
        <v>19</v>
      </c>
      <c r="W1204" t="s">
        <v>28</v>
      </c>
      <c r="X1204">
        <v>28006</v>
      </c>
      <c r="Y1204" s="16">
        <f>VLOOKUP(Tabela1[[#This Row],[SKU]],SKU!A:D,4,0)</f>
        <v>1000</v>
      </c>
      <c r="Z1204" s="18">
        <f>IFERROR((Tabela1[[#This Row],[Média]]-Tabela1[[#This Row],[Meta]])/Tabela1[[#This Row],[Meta]],"")</f>
        <v>1.8299999999999955E-2</v>
      </c>
      <c r="AA1204" s="31">
        <f>Tabela1[[#This Row],[Média]]-Tabela1[[#This Row],[Meta]]</f>
        <v>18.299999999999955</v>
      </c>
      <c r="AB1204" s="6" t="str">
        <f>VLOOKUP(Tabela1[[#This Row],[SKU]],SKU!A:B,2,0)</f>
        <v>FILE PEITO MET CG BDJ SE</v>
      </c>
      <c r="AC1204" s="6" t="str">
        <f>VLOOKUP(Tabela1[[#This Row],[SKU]],SKU!A:C,3,0)</f>
        <v>PEITO</v>
      </c>
    </row>
    <row r="1205" spans="1:29" x14ac:dyDescent="0.25">
      <c r="A1205" s="2">
        <f>INT(Tabela1[[#This Row],[Data e Hora2]])</f>
        <v>46294</v>
      </c>
      <c r="B1205" s="6" t="str">
        <f>UPPER(TEXT(Tabela1[[#This Row],[Data Corrigida]],"MMM"))</f>
        <v>SET</v>
      </c>
      <c r="C1205" t="s">
        <v>2676</v>
      </c>
      <c r="D1205" s="2" t="s">
        <v>2677</v>
      </c>
      <c r="E1205" s="1" t="s">
        <v>2678</v>
      </c>
      <c r="F1205" t="s">
        <v>24</v>
      </c>
      <c r="G1205" s="2" t="s">
        <v>2639</v>
      </c>
      <c r="H1205" t="s">
        <v>26</v>
      </c>
      <c r="I1205" t="s">
        <v>57</v>
      </c>
      <c r="J1205" s="6">
        <v>50580</v>
      </c>
      <c r="K1205" s="16">
        <v>2025</v>
      </c>
      <c r="L1205" s="16">
        <v>2012</v>
      </c>
      <c r="M1205" s="16">
        <v>2048</v>
      </c>
      <c r="N1205" s="16">
        <v>2021</v>
      </c>
      <c r="O1205" s="16">
        <v>2030</v>
      </c>
      <c r="P1205" s="16">
        <v>2011</v>
      </c>
      <c r="Q1205" s="16">
        <v>2012</v>
      </c>
      <c r="R1205" s="16">
        <v>2013</v>
      </c>
      <c r="S1205" s="16">
        <v>2006</v>
      </c>
      <c r="T1205" s="16">
        <v>1998</v>
      </c>
      <c r="U1205" s="15">
        <v>2017.6</v>
      </c>
      <c r="V1205" t="s">
        <v>19</v>
      </c>
      <c r="W1205" t="s">
        <v>19</v>
      </c>
      <c r="X1205">
        <v>134</v>
      </c>
      <c r="Y1205" s="16">
        <f>VLOOKUP(Tabela1[[#This Row],[SKU]],SKU!A:D,4,0)</f>
        <v>2000</v>
      </c>
      <c r="Z1205" s="18">
        <f>IFERROR((Tabela1[[#This Row],[Média]]-Tabela1[[#This Row],[Meta]])/Tabela1[[#This Row],[Meta]],"")</f>
        <v>8.7999999999999537E-3</v>
      </c>
      <c r="AA1205" s="31">
        <f>Tabela1[[#This Row],[Média]]-Tabela1[[#This Row],[Meta]]</f>
        <v>17.599999999999909</v>
      </c>
      <c r="AB1205" s="6" t="str">
        <f>VLOOKUP(Tabela1[[#This Row],[SKU]],SKU!A:B,2,0)</f>
        <v>COXA SBCX S/O FG 200g UP PB</v>
      </c>
      <c r="AC1205" s="6" t="str">
        <f>VLOOKUP(Tabela1[[#This Row],[SKU]],SKU!A:C,3,0)</f>
        <v>PERNA</v>
      </c>
    </row>
    <row r="1206" spans="1:29" x14ac:dyDescent="0.25">
      <c r="A1206" s="2">
        <f>INT(Tabela1[[#This Row],[Data e Hora2]])</f>
        <v>46294</v>
      </c>
      <c r="B1206" s="6" t="str">
        <f>UPPER(TEXT(Tabela1[[#This Row],[Data Corrigida]],"MMM"))</f>
        <v>SET</v>
      </c>
      <c r="C1206" t="s">
        <v>2679</v>
      </c>
      <c r="D1206" s="2" t="s">
        <v>2680</v>
      </c>
      <c r="E1206" s="1" t="s">
        <v>2678</v>
      </c>
      <c r="F1206" t="s">
        <v>24</v>
      </c>
      <c r="G1206" s="2" t="s">
        <v>2639</v>
      </c>
      <c r="H1206" t="s">
        <v>26</v>
      </c>
      <c r="I1206" t="s">
        <v>57</v>
      </c>
      <c r="J1206" s="6">
        <v>42854</v>
      </c>
      <c r="K1206" s="16">
        <v>2111</v>
      </c>
      <c r="L1206" s="16">
        <v>2019</v>
      </c>
      <c r="M1206" s="16">
        <v>2090</v>
      </c>
      <c r="N1206" s="16">
        <v>2086</v>
      </c>
      <c r="O1206" s="16">
        <v>2088</v>
      </c>
      <c r="P1206" s="16">
        <v>2093</v>
      </c>
      <c r="Q1206" s="16">
        <v>2115</v>
      </c>
      <c r="R1206" s="16">
        <v>2082</v>
      </c>
      <c r="S1206" s="16">
        <v>2017</v>
      </c>
      <c r="T1206" s="16">
        <v>2107</v>
      </c>
      <c r="U1206" s="15">
        <v>2080.8000000000002</v>
      </c>
      <c r="V1206" t="s">
        <v>19</v>
      </c>
      <c r="W1206" t="s">
        <v>19</v>
      </c>
      <c r="X1206">
        <v>101</v>
      </c>
      <c r="Y1206" s="16">
        <f>VLOOKUP(Tabela1[[#This Row],[SKU]],SKU!A:D,4,0)</f>
        <v>2080</v>
      </c>
      <c r="Z1206" s="18">
        <f>IFERROR((Tabela1[[#This Row],[Média]]-Tabela1[[#This Row],[Meta]])/Tabela1[[#This Row],[Meta]],"")</f>
        <v>3.8461538461547206E-4</v>
      </c>
      <c r="AA1206" s="31">
        <f>Tabela1[[#This Row],[Média]]-Tabela1[[#This Row],[Meta]]</f>
        <v>0.8000000000001819</v>
      </c>
      <c r="AB1206" s="6" t="str">
        <f>VLOOKUP(Tabela1[[#This Row],[SKU]],SKU!A:B,2,0)</f>
        <v>COXA SBCX S/O FG 260-280g PB</v>
      </c>
      <c r="AC1206" s="6" t="str">
        <f>VLOOKUP(Tabela1[[#This Row],[SKU]],SKU!A:C,3,0)</f>
        <v>PERNA</v>
      </c>
    </row>
    <row r="1207" spans="1:29" x14ac:dyDescent="0.25">
      <c r="A1207" s="2">
        <f>INT(Tabela1[[#This Row],[Data e Hora2]])</f>
        <v>46294</v>
      </c>
      <c r="B1207" s="6" t="str">
        <f>UPPER(TEXT(Tabela1[[#This Row],[Data Corrigida]],"MMM"))</f>
        <v>SET</v>
      </c>
      <c r="C1207" t="s">
        <v>2681</v>
      </c>
      <c r="D1207" s="2" t="s">
        <v>2682</v>
      </c>
      <c r="E1207" s="1" t="s">
        <v>2678</v>
      </c>
      <c r="F1207" t="s">
        <v>24</v>
      </c>
      <c r="G1207" s="2" t="s">
        <v>2639</v>
      </c>
      <c r="H1207" t="s">
        <v>26</v>
      </c>
      <c r="I1207" t="s">
        <v>57</v>
      </c>
      <c r="J1207" s="6">
        <v>42862</v>
      </c>
      <c r="K1207" s="16">
        <v>2003</v>
      </c>
      <c r="L1207" s="16">
        <v>2019</v>
      </c>
      <c r="M1207" s="16">
        <v>2018</v>
      </c>
      <c r="N1207" s="16">
        <v>2026</v>
      </c>
      <c r="O1207" s="16">
        <v>2000</v>
      </c>
      <c r="P1207" s="16">
        <v>1993</v>
      </c>
      <c r="Q1207" s="16">
        <v>2007</v>
      </c>
      <c r="R1207" s="16">
        <v>2029</v>
      </c>
      <c r="S1207" s="16">
        <v>2008</v>
      </c>
      <c r="T1207" s="16">
        <v>2028</v>
      </c>
      <c r="U1207" s="15">
        <v>2013.1</v>
      </c>
      <c r="V1207" t="s">
        <v>19</v>
      </c>
      <c r="W1207" t="s">
        <v>19</v>
      </c>
      <c r="X1207">
        <v>246</v>
      </c>
      <c r="Y1207" s="16">
        <f>VLOOKUP(Tabela1[[#This Row],[SKU]],SKU!A:D,4,0)</f>
        <v>2000</v>
      </c>
      <c r="Z1207" s="18">
        <f>IFERROR((Tabela1[[#This Row],[Média]]-Tabela1[[#This Row],[Meta]])/Tabela1[[#This Row],[Meta]],"")</f>
        <v>6.5499999999999543E-3</v>
      </c>
      <c r="AA1207" s="31">
        <f>Tabela1[[#This Row],[Média]]-Tabela1[[#This Row],[Meta]]</f>
        <v>13.099999999999909</v>
      </c>
      <c r="AB1207" s="6" t="str">
        <f>VLOOKUP(Tabela1[[#This Row],[SKU]],SKU!A:B,2,0)</f>
        <v>COXA SBCX S/O FG 280-300g PB</v>
      </c>
      <c r="AC1207" s="6" t="str">
        <f>VLOOKUP(Tabela1[[#This Row],[SKU]],SKU!A:C,3,0)</f>
        <v>PERNA</v>
      </c>
    </row>
    <row r="1208" spans="1:29" x14ac:dyDescent="0.25">
      <c r="A1208" s="2">
        <f>INT(Tabela1[[#This Row],[Data e Hora2]])</f>
        <v>46294</v>
      </c>
      <c r="B1208" s="6" t="str">
        <f>UPPER(TEXT(Tabela1[[#This Row],[Data Corrigida]],"MMM"))</f>
        <v>SET</v>
      </c>
      <c r="C1208" t="s">
        <v>2683</v>
      </c>
      <c r="D1208" s="2" t="s">
        <v>2684</v>
      </c>
      <c r="E1208" s="1" t="s">
        <v>2685</v>
      </c>
      <c r="F1208" t="s">
        <v>24</v>
      </c>
      <c r="G1208" s="2" t="s">
        <v>2639</v>
      </c>
      <c r="H1208" t="s">
        <v>26</v>
      </c>
      <c r="I1208" t="s">
        <v>57</v>
      </c>
      <c r="J1208" s="6">
        <v>42846</v>
      </c>
      <c r="K1208" s="16">
        <v>2026</v>
      </c>
      <c r="L1208" s="16">
        <v>1997</v>
      </c>
      <c r="M1208" s="16">
        <v>2007</v>
      </c>
      <c r="N1208" s="16">
        <v>2008</v>
      </c>
      <c r="O1208" s="16">
        <v>1788</v>
      </c>
      <c r="P1208" s="16">
        <v>2008</v>
      </c>
      <c r="Q1208" s="16">
        <v>2010</v>
      </c>
      <c r="R1208" s="16">
        <v>2010</v>
      </c>
      <c r="S1208" s="16">
        <v>2000</v>
      </c>
      <c r="T1208" s="16">
        <v>1995</v>
      </c>
      <c r="U1208" s="15">
        <v>1984.9</v>
      </c>
      <c r="V1208" t="s">
        <v>19</v>
      </c>
      <c r="W1208" t="s">
        <v>28</v>
      </c>
      <c r="X1208">
        <v>288</v>
      </c>
      <c r="Y1208" s="16">
        <f>VLOOKUP(Tabela1[[#This Row],[SKU]],SKU!A:D,4,0)</f>
        <v>2000</v>
      </c>
      <c r="Z1208" s="18">
        <f>IFERROR((Tabela1[[#This Row],[Média]]-Tabela1[[#This Row],[Meta]])/Tabela1[[#This Row],[Meta]],"")</f>
        <v>-7.5499999999999543E-3</v>
      </c>
      <c r="AA1208" s="31">
        <f>Tabela1[[#This Row],[Média]]-Tabela1[[#This Row],[Meta]]</f>
        <v>-15.099999999999909</v>
      </c>
      <c r="AB1208" s="6" t="str">
        <f>VLOOKUP(Tabela1[[#This Row],[SKU]],SKU!A:B,2,0)</f>
        <v>COXA SBCX S/O FG 240-260g PB</v>
      </c>
      <c r="AC1208" s="6" t="str">
        <f>VLOOKUP(Tabela1[[#This Row],[SKU]],SKU!A:C,3,0)</f>
        <v>PERNA</v>
      </c>
    </row>
    <row r="1209" spans="1:29" x14ac:dyDescent="0.25">
      <c r="A1209" s="2">
        <f>INT(Tabela1[[#This Row],[Data e Hora2]])</f>
        <v>46294</v>
      </c>
      <c r="B1209" s="6" t="str">
        <f>UPPER(TEXT(Tabela1[[#This Row],[Data Corrigida]],"MMM"))</f>
        <v>SET</v>
      </c>
      <c r="C1209" t="s">
        <v>2686</v>
      </c>
      <c r="D1209" s="2" t="s">
        <v>2687</v>
      </c>
      <c r="E1209" s="1" t="s">
        <v>2685</v>
      </c>
      <c r="F1209" t="s">
        <v>24</v>
      </c>
      <c r="G1209" s="2" t="s">
        <v>2639</v>
      </c>
      <c r="H1209" t="s">
        <v>26</v>
      </c>
      <c r="I1209" t="s">
        <v>57</v>
      </c>
      <c r="J1209" s="6">
        <v>42838</v>
      </c>
      <c r="K1209" s="16">
        <v>2020</v>
      </c>
      <c r="L1209" s="16">
        <v>2022</v>
      </c>
      <c r="M1209" s="16">
        <v>2027</v>
      </c>
      <c r="N1209" s="16">
        <v>2025</v>
      </c>
      <c r="O1209" s="16">
        <v>2038</v>
      </c>
      <c r="P1209" s="16">
        <v>2044</v>
      </c>
      <c r="Q1209" s="16">
        <v>2020</v>
      </c>
      <c r="R1209" s="16">
        <v>2000</v>
      </c>
      <c r="S1209" s="16">
        <v>2069</v>
      </c>
      <c r="T1209" s="16">
        <v>2013</v>
      </c>
      <c r="U1209" s="15">
        <v>2027.8</v>
      </c>
      <c r="V1209" t="s">
        <v>19</v>
      </c>
      <c r="W1209" t="s">
        <v>28</v>
      </c>
      <c r="X1209">
        <v>515</v>
      </c>
      <c r="Y1209" s="16">
        <f>VLOOKUP(Tabela1[[#This Row],[SKU]],SKU!A:D,4,0)</f>
        <v>2000</v>
      </c>
      <c r="Z1209" s="18">
        <f>IFERROR((Tabela1[[#This Row],[Média]]-Tabela1[[#This Row],[Meta]])/Tabela1[[#This Row],[Meta]],"")</f>
        <v>1.3899999999999977E-2</v>
      </c>
      <c r="AA1209" s="31">
        <f>Tabela1[[#This Row],[Média]]-Tabela1[[#This Row],[Meta]]</f>
        <v>27.799999999999955</v>
      </c>
      <c r="AB1209" s="6" t="str">
        <f>VLOOKUP(Tabela1[[#This Row],[SKU]],SKU!A:B,2,0)</f>
        <v>COXA SBCX S/O FG 220-240g PB</v>
      </c>
      <c r="AC1209" s="6" t="str">
        <f>VLOOKUP(Tabela1[[#This Row],[SKU]],SKU!A:C,3,0)</f>
        <v>PERNA</v>
      </c>
    </row>
    <row r="1210" spans="1:29" x14ac:dyDescent="0.25">
      <c r="A1210" s="2">
        <f>INT(Tabela1[[#This Row],[Data e Hora2]])</f>
        <v>46294</v>
      </c>
      <c r="B1210" s="6" t="str">
        <f>UPPER(TEXT(Tabela1[[#This Row],[Data Corrigida]],"MMM"))</f>
        <v>SET</v>
      </c>
      <c r="C1210" t="s">
        <v>2688</v>
      </c>
      <c r="D1210" s="2" t="s">
        <v>2689</v>
      </c>
      <c r="E1210" s="1" t="s">
        <v>2685</v>
      </c>
      <c r="F1210" t="s">
        <v>24</v>
      </c>
      <c r="G1210" s="2" t="s">
        <v>2639</v>
      </c>
      <c r="H1210" t="s">
        <v>26</v>
      </c>
      <c r="I1210" t="s">
        <v>57</v>
      </c>
      <c r="J1210" s="6">
        <v>42820</v>
      </c>
      <c r="K1210" s="16">
        <v>2044</v>
      </c>
      <c r="L1210" s="16">
        <v>2034</v>
      </c>
      <c r="M1210" s="16">
        <v>2080</v>
      </c>
      <c r="N1210" s="16">
        <v>2081</v>
      </c>
      <c r="O1210" s="16">
        <v>2019</v>
      </c>
      <c r="P1210" s="16">
        <v>2042</v>
      </c>
      <c r="Q1210" s="16">
        <v>2041</v>
      </c>
      <c r="R1210" s="16">
        <v>2015</v>
      </c>
      <c r="S1210" s="16">
        <v>2033</v>
      </c>
      <c r="T1210" s="16">
        <v>2010</v>
      </c>
      <c r="U1210" s="15">
        <v>2039.9</v>
      </c>
      <c r="V1210" t="s">
        <v>19</v>
      </c>
      <c r="W1210" t="s">
        <v>28</v>
      </c>
      <c r="X1210">
        <v>830</v>
      </c>
      <c r="Y1210" s="16">
        <f>VLOOKUP(Tabela1[[#This Row],[SKU]],SKU!A:D,4,0)</f>
        <v>2000</v>
      </c>
      <c r="Z1210" s="18">
        <f>IFERROR((Tabela1[[#This Row],[Média]]-Tabela1[[#This Row],[Meta]])/Tabela1[[#This Row],[Meta]],"")</f>
        <v>1.9950000000000044E-2</v>
      </c>
      <c r="AA1210" s="31">
        <f>Tabela1[[#This Row],[Média]]-Tabela1[[#This Row],[Meta]]</f>
        <v>39.900000000000091</v>
      </c>
      <c r="AB1210" s="6" t="str">
        <f>VLOOKUP(Tabela1[[#This Row],[SKU]],SKU!A:B,2,0)</f>
        <v>COXA SBCX S/O FG 200-220g PB</v>
      </c>
      <c r="AC1210" s="6" t="str">
        <f>VLOOKUP(Tabela1[[#This Row],[SKU]],SKU!A:C,3,0)</f>
        <v>PERNA</v>
      </c>
    </row>
    <row r="1211" spans="1:29" x14ac:dyDescent="0.25">
      <c r="A1211" s="2">
        <f>INT(Tabela1[[#This Row],[Data e Hora2]])</f>
        <v>46294</v>
      </c>
      <c r="B1211" s="6" t="str">
        <f>UPPER(TEXT(Tabela1[[#This Row],[Data Corrigida]],"MMM"))</f>
        <v>SET</v>
      </c>
      <c r="C1211" t="s">
        <v>2690</v>
      </c>
      <c r="D1211" s="2" t="s">
        <v>2691</v>
      </c>
      <c r="E1211" s="1" t="s">
        <v>2685</v>
      </c>
      <c r="F1211" t="s">
        <v>24</v>
      </c>
      <c r="G1211" s="2" t="s">
        <v>2639</v>
      </c>
      <c r="H1211" t="s">
        <v>26</v>
      </c>
      <c r="I1211" t="s">
        <v>57</v>
      </c>
      <c r="J1211" s="6">
        <v>42811</v>
      </c>
      <c r="K1211" s="16">
        <v>2037</v>
      </c>
      <c r="L1211" s="16">
        <v>2055</v>
      </c>
      <c r="M1211" s="16">
        <v>2029</v>
      </c>
      <c r="N1211" s="16">
        <v>2038</v>
      </c>
      <c r="O1211" s="16">
        <v>2036</v>
      </c>
      <c r="P1211" s="16">
        <v>2017</v>
      </c>
      <c r="Q1211" s="16">
        <v>2038</v>
      </c>
      <c r="R1211" s="16">
        <v>2035</v>
      </c>
      <c r="S1211" s="16">
        <v>2041</v>
      </c>
      <c r="T1211" s="16">
        <v>2010</v>
      </c>
      <c r="U1211" s="15">
        <v>2033.6</v>
      </c>
      <c r="V1211" t="s">
        <v>19</v>
      </c>
      <c r="W1211" t="s">
        <v>28</v>
      </c>
      <c r="X1211">
        <v>1029</v>
      </c>
      <c r="Y1211" s="16">
        <f>VLOOKUP(Tabela1[[#This Row],[SKU]],SKU!A:D,4,0)</f>
        <v>2000</v>
      </c>
      <c r="Z1211" s="18">
        <f>IFERROR((Tabela1[[#This Row],[Média]]-Tabela1[[#This Row],[Meta]])/Tabela1[[#This Row],[Meta]],"")</f>
        <v>1.6799999999999954E-2</v>
      </c>
      <c r="AA1211" s="31">
        <f>Tabela1[[#This Row],[Média]]-Tabela1[[#This Row],[Meta]]</f>
        <v>33.599999999999909</v>
      </c>
      <c r="AB1211" s="6" t="str">
        <f>VLOOKUP(Tabela1[[#This Row],[SKU]],SKU!A:B,2,0)</f>
        <v>COXA SBCX S/O FG 180-200g PB</v>
      </c>
      <c r="AC1211" s="6" t="str">
        <f>VLOOKUP(Tabela1[[#This Row],[SKU]],SKU!A:C,3,0)</f>
        <v>PERNA</v>
      </c>
    </row>
    <row r="1212" spans="1:29" x14ac:dyDescent="0.25">
      <c r="A1212" s="2">
        <f>INT(Tabela1[[#This Row],[Data e Hora2]])</f>
        <v>46294</v>
      </c>
      <c r="B1212" s="6" t="str">
        <f>UPPER(TEXT(Tabela1[[#This Row],[Data Corrigida]],"MMM"))</f>
        <v>SET</v>
      </c>
      <c r="C1212" t="s">
        <v>2692</v>
      </c>
      <c r="D1212" s="2" t="s">
        <v>2693</v>
      </c>
      <c r="E1212" s="1" t="s">
        <v>2685</v>
      </c>
      <c r="F1212" t="s">
        <v>24</v>
      </c>
      <c r="G1212" s="2" t="s">
        <v>2639</v>
      </c>
      <c r="H1212" t="s">
        <v>26</v>
      </c>
      <c r="I1212" t="s">
        <v>57</v>
      </c>
      <c r="J1212" s="6">
        <v>15229</v>
      </c>
      <c r="K1212" s="16">
        <v>1017</v>
      </c>
      <c r="L1212" s="16">
        <v>1004</v>
      </c>
      <c r="M1212" s="16">
        <v>1012</v>
      </c>
      <c r="N1212" s="16">
        <v>1016</v>
      </c>
      <c r="O1212" s="16">
        <v>1010</v>
      </c>
      <c r="P1212" s="16">
        <v>1017</v>
      </c>
      <c r="Q1212" s="16">
        <v>1015</v>
      </c>
      <c r="R1212" s="16">
        <v>1008</v>
      </c>
      <c r="S1212" s="16">
        <v>1016</v>
      </c>
      <c r="T1212" s="16">
        <v>1018</v>
      </c>
      <c r="U1212" s="15">
        <v>1013.3</v>
      </c>
      <c r="V1212" t="s">
        <v>19</v>
      </c>
      <c r="W1212" t="s">
        <v>28</v>
      </c>
      <c r="X1212">
        <v>1304</v>
      </c>
      <c r="Y1212" s="16">
        <f>VLOOKUP(Tabela1[[#This Row],[SKU]],SKU!A:D,4,0)</f>
        <v>1000</v>
      </c>
      <c r="Z1212" s="18">
        <f>IFERROR((Tabela1[[#This Row],[Média]]-Tabela1[[#This Row],[Meta]])/Tabela1[[#This Row],[Meta]],"")</f>
        <v>1.3299999999999954E-2</v>
      </c>
      <c r="AA1212" s="31">
        <f>Tabela1[[#This Row],[Média]]-Tabela1[[#This Row],[Meta]]</f>
        <v>13.299999999999955</v>
      </c>
      <c r="AB1212" s="6" t="str">
        <f>VLOOKUP(Tabela1[[#This Row],[SKU]],SKU!A:B,2,0)</f>
        <v>COXA CG BDJ SE</v>
      </c>
      <c r="AC1212" s="6" t="str">
        <f>VLOOKUP(Tabela1[[#This Row],[SKU]],SKU!A:C,3,0)</f>
        <v>PERNA</v>
      </c>
    </row>
    <row r="1213" spans="1:29" x14ac:dyDescent="0.25">
      <c r="A1213" s="2">
        <f>INT(Tabela1[[#This Row],[Data e Hora2]])</f>
        <v>46294</v>
      </c>
      <c r="B1213" s="6" t="str">
        <f>UPPER(TEXT(Tabela1[[#This Row],[Data Corrigida]],"MMM"))</f>
        <v>SET</v>
      </c>
      <c r="C1213" t="s">
        <v>2694</v>
      </c>
      <c r="D1213" s="2" t="s">
        <v>2695</v>
      </c>
      <c r="E1213" s="1" t="s">
        <v>2685</v>
      </c>
      <c r="F1213" t="s">
        <v>24</v>
      </c>
      <c r="G1213" s="2" t="s">
        <v>2639</v>
      </c>
      <c r="H1213" t="s">
        <v>26</v>
      </c>
      <c r="I1213" t="s">
        <v>57</v>
      </c>
      <c r="J1213" s="6">
        <v>15105</v>
      </c>
      <c r="K1213" s="16">
        <v>1011</v>
      </c>
      <c r="L1213" s="16">
        <v>1074</v>
      </c>
      <c r="M1213" s="16">
        <v>1002</v>
      </c>
      <c r="N1213" s="16">
        <v>1022</v>
      </c>
      <c r="O1213" s="16">
        <v>1060</v>
      </c>
      <c r="P1213" s="16">
        <v>1031</v>
      </c>
      <c r="Q1213" s="16">
        <v>1045</v>
      </c>
      <c r="R1213" s="16">
        <v>985</v>
      </c>
      <c r="S1213" s="16">
        <v>1018</v>
      </c>
      <c r="T1213" s="16">
        <v>1028</v>
      </c>
      <c r="U1213" s="15">
        <v>1027.5999999999999</v>
      </c>
      <c r="V1213" t="s">
        <v>19</v>
      </c>
      <c r="W1213" t="s">
        <v>28</v>
      </c>
      <c r="X1213">
        <v>255</v>
      </c>
      <c r="Y1213" s="16">
        <f>VLOOKUP(Tabela1[[#This Row],[SKU]],SKU!A:D,4,0)</f>
        <v>1000</v>
      </c>
      <c r="Z1213" s="18">
        <f>IFERROR((Tabela1[[#This Row],[Média]]-Tabela1[[#This Row],[Meta]])/Tabela1[[#This Row],[Meta]],"")</f>
        <v>2.7599999999999909E-2</v>
      </c>
      <c r="AA1213" s="31">
        <f>Tabela1[[#This Row],[Média]]-Tabela1[[#This Row],[Meta]]</f>
        <v>27.599999999999909</v>
      </c>
      <c r="AB1213" s="6" t="str">
        <f>VLOOKUP(Tabela1[[#This Row],[SKU]],SKU!A:B,2,0)</f>
        <v>FILE PEITO MET CG BDJ SE</v>
      </c>
      <c r="AC1213" s="6" t="str">
        <f>VLOOKUP(Tabela1[[#This Row],[SKU]],SKU!A:C,3,0)</f>
        <v>PEITO</v>
      </c>
    </row>
    <row r="1214" spans="1:29" x14ac:dyDescent="0.25">
      <c r="A1214" s="2">
        <f>INT(Tabela1[[#This Row],[Data e Hora2]])</f>
        <v>46294</v>
      </c>
      <c r="B1214" s="6" t="str">
        <f>UPPER(TEXT(Tabela1[[#This Row],[Data Corrigida]],"MMM"))</f>
        <v>SET</v>
      </c>
      <c r="C1214" t="s">
        <v>2696</v>
      </c>
      <c r="D1214" s="2" t="s">
        <v>2697</v>
      </c>
      <c r="E1214" s="1" t="s">
        <v>2685</v>
      </c>
      <c r="F1214" t="s">
        <v>24</v>
      </c>
      <c r="G1214" s="2" t="s">
        <v>2639</v>
      </c>
      <c r="H1214" t="s">
        <v>26</v>
      </c>
      <c r="I1214" t="s">
        <v>57</v>
      </c>
      <c r="J1214" s="6">
        <v>15105</v>
      </c>
      <c r="K1214" s="16">
        <v>1029</v>
      </c>
      <c r="L1214" s="16">
        <v>1017</v>
      </c>
      <c r="M1214" s="16">
        <v>1092</v>
      </c>
      <c r="N1214" s="16">
        <v>1096</v>
      </c>
      <c r="O1214" s="16">
        <v>1030</v>
      </c>
      <c r="P1214" s="16">
        <v>1008</v>
      </c>
      <c r="Q1214" s="16">
        <v>1095</v>
      </c>
      <c r="R1214" s="16">
        <v>1025</v>
      </c>
      <c r="S1214" s="16">
        <v>1017</v>
      </c>
      <c r="T1214" s="16">
        <v>1031</v>
      </c>
      <c r="U1214" s="15">
        <v>1044</v>
      </c>
      <c r="V1214" t="s">
        <v>19</v>
      </c>
      <c r="W1214" t="s">
        <v>28</v>
      </c>
      <c r="X1214">
        <v>316</v>
      </c>
      <c r="Y1214" s="16">
        <f>VLOOKUP(Tabela1[[#This Row],[SKU]],SKU!A:D,4,0)</f>
        <v>1000</v>
      </c>
      <c r="Z1214" s="18">
        <f>IFERROR((Tabela1[[#This Row],[Média]]-Tabela1[[#This Row],[Meta]])/Tabela1[[#This Row],[Meta]],"")</f>
        <v>4.3999999999999997E-2</v>
      </c>
      <c r="AA1214" s="31">
        <f>Tabela1[[#This Row],[Média]]-Tabela1[[#This Row],[Meta]]</f>
        <v>44</v>
      </c>
      <c r="AB1214" s="6" t="str">
        <f>VLOOKUP(Tabela1[[#This Row],[SKU]],SKU!A:B,2,0)</f>
        <v>FILE PEITO MET CG BDJ SE</v>
      </c>
      <c r="AC1214" s="6" t="str">
        <f>VLOOKUP(Tabela1[[#This Row],[SKU]],SKU!A:C,3,0)</f>
        <v>PEITO</v>
      </c>
    </row>
    <row r="1215" spans="1:29" x14ac:dyDescent="0.25">
      <c r="A1215" s="2">
        <f>INT(Tabela1[[#This Row],[Data e Hora2]])</f>
        <v>46294</v>
      </c>
      <c r="B1215" s="6" t="str">
        <f>UPPER(TEXT(Tabela1[[#This Row],[Data Corrigida]],"MMM"))</f>
        <v>SET</v>
      </c>
      <c r="C1215" t="s">
        <v>2698</v>
      </c>
      <c r="D1215" s="2" t="s">
        <v>2699</v>
      </c>
      <c r="E1215" s="1" t="s">
        <v>2685</v>
      </c>
      <c r="F1215" t="s">
        <v>24</v>
      </c>
      <c r="G1215" s="2" t="s">
        <v>2639</v>
      </c>
      <c r="H1215" t="s">
        <v>26</v>
      </c>
      <c r="I1215" t="s">
        <v>57</v>
      </c>
      <c r="J1215" s="6">
        <v>15105</v>
      </c>
      <c r="K1215" s="16">
        <v>1004</v>
      </c>
      <c r="L1215" s="16">
        <v>1001</v>
      </c>
      <c r="M1215" s="16">
        <v>1028</v>
      </c>
      <c r="N1215" s="16">
        <v>1108</v>
      </c>
      <c r="O1215" s="16">
        <v>1040</v>
      </c>
      <c r="P1215" s="16">
        <v>1026</v>
      </c>
      <c r="Q1215" s="16">
        <v>1052</v>
      </c>
      <c r="R1215" s="16">
        <v>1021</v>
      </c>
      <c r="S1215" s="16">
        <v>1005</v>
      </c>
      <c r="T1215" s="16">
        <v>1037</v>
      </c>
      <c r="U1215" s="15">
        <v>1032.2</v>
      </c>
      <c r="V1215" t="s">
        <v>19</v>
      </c>
      <c r="W1215" t="s">
        <v>28</v>
      </c>
      <c r="X1215">
        <v>206</v>
      </c>
      <c r="Y1215" s="16">
        <f>VLOOKUP(Tabela1[[#This Row],[SKU]],SKU!A:D,4,0)</f>
        <v>1000</v>
      </c>
      <c r="Z1215" s="18">
        <f>IFERROR((Tabela1[[#This Row],[Média]]-Tabela1[[#This Row],[Meta]])/Tabela1[[#This Row],[Meta]],"")</f>
        <v>3.2200000000000048E-2</v>
      </c>
      <c r="AA1215" s="31">
        <f>Tabela1[[#This Row],[Média]]-Tabela1[[#This Row],[Meta]]</f>
        <v>32.200000000000045</v>
      </c>
      <c r="AB1215" s="6" t="str">
        <f>VLOOKUP(Tabela1[[#This Row],[SKU]],SKU!A:B,2,0)</f>
        <v>FILE PEITO MET CG BDJ SE</v>
      </c>
      <c r="AC1215" s="6" t="str">
        <f>VLOOKUP(Tabela1[[#This Row],[SKU]],SKU!A:C,3,0)</f>
        <v>PEITO</v>
      </c>
    </row>
    <row r="1216" spans="1:29" x14ac:dyDescent="0.25">
      <c r="A1216" s="2">
        <f>INT(Tabela1[[#This Row],[Data e Hora2]])</f>
        <v>46294</v>
      </c>
      <c r="B1216" s="6" t="str">
        <f>UPPER(TEXT(Tabela1[[#This Row],[Data Corrigida]],"MMM"))</f>
        <v>SET</v>
      </c>
      <c r="C1216" t="s">
        <v>2700</v>
      </c>
      <c r="D1216" s="2" t="s">
        <v>2701</v>
      </c>
      <c r="E1216" s="1" t="s">
        <v>2702</v>
      </c>
      <c r="F1216" t="s">
        <v>24</v>
      </c>
      <c r="G1216" s="2" t="s">
        <v>2639</v>
      </c>
      <c r="H1216" t="s">
        <v>26</v>
      </c>
      <c r="I1216" t="s">
        <v>57</v>
      </c>
      <c r="J1216" s="6">
        <v>15229</v>
      </c>
      <c r="K1216" s="16">
        <v>1004</v>
      </c>
      <c r="L1216" s="16">
        <v>1003</v>
      </c>
      <c r="M1216" s="16">
        <v>1012</v>
      </c>
      <c r="N1216" s="16">
        <v>1004</v>
      </c>
      <c r="O1216" s="16">
        <v>1002</v>
      </c>
      <c r="P1216" s="16">
        <v>1000</v>
      </c>
      <c r="Q1216" s="16">
        <v>1020</v>
      </c>
      <c r="R1216" s="16">
        <v>1011</v>
      </c>
      <c r="S1216" s="16">
        <v>1018</v>
      </c>
      <c r="T1216" s="16">
        <v>1007</v>
      </c>
      <c r="U1216" s="15">
        <v>1008.1</v>
      </c>
      <c r="V1216" t="s">
        <v>19</v>
      </c>
      <c r="W1216" t="s">
        <v>28</v>
      </c>
      <c r="X1216">
        <v>156</v>
      </c>
      <c r="Y1216" s="16">
        <f>VLOOKUP(Tabela1[[#This Row],[SKU]],SKU!A:D,4,0)</f>
        <v>1000</v>
      </c>
      <c r="Z1216" s="18">
        <f>IFERROR((Tabela1[[#This Row],[Média]]-Tabela1[[#This Row],[Meta]])/Tabela1[[#This Row],[Meta]],"")</f>
        <v>8.1000000000000221E-3</v>
      </c>
      <c r="AA1216" s="31">
        <f>Tabela1[[#This Row],[Média]]-Tabela1[[#This Row],[Meta]]</f>
        <v>8.1000000000000227</v>
      </c>
      <c r="AB1216" s="6" t="str">
        <f>VLOOKUP(Tabela1[[#This Row],[SKU]],SKU!A:B,2,0)</f>
        <v>COXA CG BDJ SE</v>
      </c>
      <c r="AC1216" s="6" t="str">
        <f>VLOOKUP(Tabela1[[#This Row],[SKU]],SKU!A:C,3,0)</f>
        <v>PERNA</v>
      </c>
    </row>
    <row r="1217" spans="1:29" x14ac:dyDescent="0.25">
      <c r="A1217" s="2">
        <f>INT(Tabela1[[#This Row],[Data e Hora2]])</f>
        <v>46294</v>
      </c>
      <c r="B1217" s="6" t="str">
        <f>UPPER(TEXT(Tabela1[[#This Row],[Data Corrigida]],"MMM"))</f>
        <v>SET</v>
      </c>
      <c r="C1217" t="s">
        <v>2703</v>
      </c>
      <c r="D1217" s="2" t="s">
        <v>2704</v>
      </c>
      <c r="E1217" s="1" t="s">
        <v>2705</v>
      </c>
      <c r="F1217" t="s">
        <v>24</v>
      </c>
      <c r="G1217" s="2" t="s">
        <v>2639</v>
      </c>
      <c r="H1217" t="s">
        <v>26</v>
      </c>
      <c r="I1217" t="s">
        <v>57</v>
      </c>
      <c r="J1217" s="6">
        <v>40762</v>
      </c>
      <c r="K1217" s="16">
        <v>10065</v>
      </c>
      <c r="L1217" s="16">
        <v>9995</v>
      </c>
      <c r="M1217" s="16">
        <v>9990</v>
      </c>
      <c r="N1217" s="16">
        <v>10045</v>
      </c>
      <c r="O1217" s="16">
        <v>10000</v>
      </c>
      <c r="P1217" s="16">
        <v>9955</v>
      </c>
      <c r="Q1217" s="16">
        <v>10085</v>
      </c>
      <c r="R1217" s="16">
        <v>10050</v>
      </c>
      <c r="S1217" s="16">
        <v>10010</v>
      </c>
      <c r="T1217" s="16">
        <v>10000</v>
      </c>
      <c r="U1217" s="15">
        <v>10019.5</v>
      </c>
      <c r="V1217" t="s">
        <v>19</v>
      </c>
      <c r="W1217" t="s">
        <v>28</v>
      </c>
      <c r="X1217">
        <v>403</v>
      </c>
      <c r="Y1217" s="16">
        <f>VLOOKUP(Tabela1[[#This Row],[SKU]],SKU!A:D,4,0)</f>
        <v>10000</v>
      </c>
      <c r="Z1217" s="18">
        <f>IFERROR((Tabela1[[#This Row],[Média]]-Tabela1[[#This Row],[Meta]])/Tabela1[[#This Row],[Meta]],"")</f>
        <v>1.9499999999999999E-3</v>
      </c>
      <c r="AA1217" s="31">
        <f>Tabela1[[#This Row],[Média]]-Tabela1[[#This Row],[Meta]]</f>
        <v>19.5</v>
      </c>
      <c r="AB1217" s="6" t="str">
        <f>VLOOKUP(Tabela1[[#This Row],[SKU]],SKU!A:B,2,0)</f>
        <v>COXA SBCX LQ FG LP</v>
      </c>
      <c r="AC1217" s="6" t="str">
        <f>VLOOKUP(Tabela1[[#This Row],[SKU]],SKU!A:C,3,0)</f>
        <v>PERNA</v>
      </c>
    </row>
    <row r="1218" spans="1:29" x14ac:dyDescent="0.25">
      <c r="A1218" s="2">
        <f>INT(Tabela1[[#This Row],[Data e Hora2]])</f>
        <v>46294</v>
      </c>
      <c r="B1218" s="6" t="str">
        <f>UPPER(TEXT(Tabela1[[#This Row],[Data Corrigida]],"MMM"))</f>
        <v>SET</v>
      </c>
      <c r="C1218" t="s">
        <v>2706</v>
      </c>
      <c r="D1218" s="2" t="s">
        <v>2707</v>
      </c>
      <c r="E1218" s="1" t="s">
        <v>2705</v>
      </c>
      <c r="F1218" t="s">
        <v>24</v>
      </c>
      <c r="G1218" s="2" t="s">
        <v>2639</v>
      </c>
      <c r="H1218" t="s">
        <v>26</v>
      </c>
      <c r="I1218" t="s">
        <v>57</v>
      </c>
      <c r="J1218" s="6">
        <v>963925</v>
      </c>
      <c r="K1218" s="16">
        <v>18045</v>
      </c>
      <c r="L1218" s="16">
        <v>18055</v>
      </c>
      <c r="M1218" s="16">
        <v>18200</v>
      </c>
      <c r="N1218" s="16">
        <v>18350</v>
      </c>
      <c r="O1218" s="16">
        <v>18400</v>
      </c>
      <c r="P1218" s="16">
        <v>18005</v>
      </c>
      <c r="Q1218" s="16">
        <v>18240</v>
      </c>
      <c r="R1218" s="16">
        <v>18080</v>
      </c>
      <c r="S1218" s="16">
        <v>18055</v>
      </c>
      <c r="T1218" s="16">
        <v>18075</v>
      </c>
      <c r="U1218" s="15">
        <v>18150.5</v>
      </c>
      <c r="V1218" t="s">
        <v>19</v>
      </c>
      <c r="W1218" t="s">
        <v>28</v>
      </c>
      <c r="X1218">
        <v>532</v>
      </c>
      <c r="Y1218" s="16">
        <f>VLOOKUP(Tabela1[[#This Row],[SKU]],SKU!A:D,4,0)</f>
        <v>18000</v>
      </c>
      <c r="Z1218" s="18">
        <f>IFERROR((Tabela1[[#This Row],[Média]]-Tabela1[[#This Row],[Meta]])/Tabela1[[#This Row],[Meta]],"")</f>
        <v>8.3611111111111108E-3</v>
      </c>
      <c r="AA1218" s="31">
        <f>Tabela1[[#This Row],[Média]]-Tabela1[[#This Row],[Meta]]</f>
        <v>150.5</v>
      </c>
      <c r="AB1218" s="6" t="str">
        <f>VLOOKUP(Tabela1[[#This Row],[SKU]],SKU!A:B,2,0)</f>
        <v>COXINHA DA ASA FG CG PCT</v>
      </c>
      <c r="AC1218" s="6" t="str">
        <f>VLOOKUP(Tabela1[[#This Row],[SKU]],SKU!A:C,3,0)</f>
        <v>ASA</v>
      </c>
    </row>
    <row r="1219" spans="1:29" x14ac:dyDescent="0.25">
      <c r="A1219" s="2">
        <f>INT(Tabela1[[#This Row],[Data e Hora2]])</f>
        <v>46294</v>
      </c>
      <c r="B1219" s="6" t="str">
        <f>UPPER(TEXT(Tabela1[[#This Row],[Data Corrigida]],"MMM"))</f>
        <v>SET</v>
      </c>
      <c r="C1219" t="s">
        <v>2708</v>
      </c>
      <c r="D1219" s="2" t="s">
        <v>2709</v>
      </c>
      <c r="E1219" s="1" t="s">
        <v>2705</v>
      </c>
      <c r="F1219" t="s">
        <v>24</v>
      </c>
      <c r="G1219" s="2" t="s">
        <v>2639</v>
      </c>
      <c r="H1219" t="s">
        <v>26</v>
      </c>
      <c r="I1219" t="s">
        <v>57</v>
      </c>
      <c r="J1219" s="6">
        <v>15105</v>
      </c>
      <c r="K1219" s="16">
        <v>1029</v>
      </c>
      <c r="L1219" s="16">
        <v>1014</v>
      </c>
      <c r="M1219" s="16">
        <v>1044</v>
      </c>
      <c r="N1219" s="16">
        <v>998</v>
      </c>
      <c r="O1219" s="16">
        <v>1000</v>
      </c>
      <c r="P1219" s="16">
        <v>1042</v>
      </c>
      <c r="Q1219" s="16">
        <v>1017</v>
      </c>
      <c r="R1219" s="16">
        <v>1031</v>
      </c>
      <c r="S1219" s="16">
        <v>1004</v>
      </c>
      <c r="T1219" s="16">
        <v>994</v>
      </c>
      <c r="U1219" s="15">
        <v>1017.3</v>
      </c>
      <c r="V1219" t="s">
        <v>19</v>
      </c>
      <c r="W1219" t="s">
        <v>28</v>
      </c>
      <c r="X1219">
        <v>163</v>
      </c>
      <c r="Y1219" s="16">
        <f>VLOOKUP(Tabela1[[#This Row],[SKU]],SKU!A:D,4,0)</f>
        <v>1000</v>
      </c>
      <c r="Z1219" s="18">
        <f>IFERROR((Tabela1[[#This Row],[Média]]-Tabela1[[#This Row],[Meta]])/Tabela1[[#This Row],[Meta]],"")</f>
        <v>1.7299999999999954E-2</v>
      </c>
      <c r="AA1219" s="31">
        <f>Tabela1[[#This Row],[Média]]-Tabela1[[#This Row],[Meta]]</f>
        <v>17.299999999999955</v>
      </c>
      <c r="AB1219" s="6" t="str">
        <f>VLOOKUP(Tabela1[[#This Row],[SKU]],SKU!A:B,2,0)</f>
        <v>FILE PEITO MET CG BDJ SE</v>
      </c>
      <c r="AC1219" s="6" t="str">
        <f>VLOOKUP(Tabela1[[#This Row],[SKU]],SKU!A:C,3,0)</f>
        <v>PEITO</v>
      </c>
    </row>
    <row r="1220" spans="1:29" x14ac:dyDescent="0.25">
      <c r="A1220" s="2">
        <f>INT(Tabela1[[#This Row],[Data e Hora2]])</f>
        <v>46294</v>
      </c>
      <c r="B1220" s="6" t="str">
        <f>UPPER(TEXT(Tabela1[[#This Row],[Data Corrigida]],"MMM"))</f>
        <v>SET</v>
      </c>
      <c r="C1220" t="s">
        <v>2710</v>
      </c>
      <c r="D1220" s="2" t="s">
        <v>2711</v>
      </c>
      <c r="E1220" s="1" t="s">
        <v>2712</v>
      </c>
      <c r="F1220" t="s">
        <v>24</v>
      </c>
      <c r="G1220" s="2" t="s">
        <v>2639</v>
      </c>
      <c r="H1220" t="s">
        <v>142</v>
      </c>
      <c r="I1220" t="s">
        <v>462</v>
      </c>
      <c r="J1220" s="6">
        <v>197742</v>
      </c>
      <c r="K1220" s="16">
        <v>999</v>
      </c>
      <c r="L1220" s="16">
        <v>995</v>
      </c>
      <c r="M1220" s="16">
        <v>1015</v>
      </c>
      <c r="N1220" s="16">
        <v>988</v>
      </c>
      <c r="O1220" s="16">
        <v>1003</v>
      </c>
      <c r="P1220" s="16">
        <v>994</v>
      </c>
      <c r="Q1220" s="16">
        <v>992</v>
      </c>
      <c r="R1220" s="16">
        <v>996</v>
      </c>
      <c r="S1220" s="16">
        <v>1026</v>
      </c>
      <c r="T1220" s="16">
        <v>1012</v>
      </c>
      <c r="U1220" s="15">
        <v>1002</v>
      </c>
      <c r="V1220" t="s">
        <v>19</v>
      </c>
      <c r="W1220" t="s">
        <v>28</v>
      </c>
      <c r="X1220">
        <v>183</v>
      </c>
      <c r="Y1220" s="16">
        <f>VLOOKUP(Tabela1[[#This Row],[SKU]],SKU!A:D,4,0)</f>
        <v>1000</v>
      </c>
      <c r="Z1220" s="18">
        <f>IFERROR((Tabela1[[#This Row],[Média]]-Tabela1[[#This Row],[Meta]])/Tabela1[[#This Row],[Meta]],"")</f>
        <v>2E-3</v>
      </c>
      <c r="AA1220" s="31">
        <f>Tabela1[[#This Row],[Média]]-Tabela1[[#This Row],[Meta]]</f>
        <v>2</v>
      </c>
      <c r="AB1220" s="6" t="str">
        <f>VLOOKUP(Tabela1[[#This Row],[SKU]],SKU!A:B,2,0)</f>
        <v>COXINHA ASA IQF ALM SE</v>
      </c>
      <c r="AC1220" s="6" t="str">
        <f>VLOOKUP(Tabela1[[#This Row],[SKU]],SKU!A:C,3,0)</f>
        <v>ASA</v>
      </c>
    </row>
    <row r="1221" spans="1:29" x14ac:dyDescent="0.25">
      <c r="A1221" s="2">
        <f>INT(Tabela1[[#This Row],[Data e Hora2]])</f>
        <v>46294</v>
      </c>
      <c r="B1221" s="6" t="str">
        <f>UPPER(TEXT(Tabela1[[#This Row],[Data Corrigida]],"MMM"))</f>
        <v>SET</v>
      </c>
      <c r="C1221" t="s">
        <v>2713</v>
      </c>
      <c r="D1221" s="2" t="s">
        <v>2714</v>
      </c>
      <c r="E1221" s="1" t="s">
        <v>2715</v>
      </c>
      <c r="F1221" t="s">
        <v>24</v>
      </c>
      <c r="G1221" s="2" t="s">
        <v>2639</v>
      </c>
      <c r="H1221" t="s">
        <v>142</v>
      </c>
      <c r="I1221" t="s">
        <v>462</v>
      </c>
      <c r="J1221" s="6">
        <v>42854</v>
      </c>
      <c r="K1221" s="16">
        <v>2147</v>
      </c>
      <c r="L1221" s="16">
        <v>2181</v>
      </c>
      <c r="M1221" s="16">
        <v>2155</v>
      </c>
      <c r="N1221" s="16">
        <v>2115</v>
      </c>
      <c r="O1221" s="16">
        <v>2151</v>
      </c>
      <c r="P1221" s="16">
        <v>2108</v>
      </c>
      <c r="Q1221" s="16">
        <v>2150</v>
      </c>
      <c r="R1221" s="16">
        <v>2143</v>
      </c>
      <c r="S1221" s="16">
        <v>2164</v>
      </c>
      <c r="T1221" s="16">
        <v>2209</v>
      </c>
      <c r="U1221" s="15">
        <v>2152.3000000000002</v>
      </c>
      <c r="V1221" t="s">
        <v>19</v>
      </c>
      <c r="W1221" t="s">
        <v>28</v>
      </c>
      <c r="X1221">
        <v>256</v>
      </c>
      <c r="Y1221" s="16">
        <f>VLOOKUP(Tabela1[[#This Row],[SKU]],SKU!A:D,4,0)</f>
        <v>2080</v>
      </c>
      <c r="Z1221" s="18">
        <f>IFERROR((Tabela1[[#This Row],[Média]]-Tabela1[[#This Row],[Meta]])/Tabela1[[#This Row],[Meta]],"")</f>
        <v>3.4759615384615472E-2</v>
      </c>
      <c r="AA1221" s="31">
        <f>Tabela1[[#This Row],[Média]]-Tabela1[[#This Row],[Meta]]</f>
        <v>72.300000000000182</v>
      </c>
      <c r="AB1221" s="6" t="str">
        <f>VLOOKUP(Tabela1[[#This Row],[SKU]],SKU!A:B,2,0)</f>
        <v>COXA SBCX S/O FG 260-280g PB</v>
      </c>
      <c r="AC1221" s="6" t="str">
        <f>VLOOKUP(Tabela1[[#This Row],[SKU]],SKU!A:C,3,0)</f>
        <v>PERNA</v>
      </c>
    </row>
    <row r="1222" spans="1:29" x14ac:dyDescent="0.25">
      <c r="A1222" s="2">
        <f>INT(Tabela1[[#This Row],[Data e Hora2]])</f>
        <v>46294</v>
      </c>
      <c r="B1222" s="6" t="str">
        <f>UPPER(TEXT(Tabela1[[#This Row],[Data Corrigida]],"MMM"))</f>
        <v>SET</v>
      </c>
      <c r="C1222" t="s">
        <v>2716</v>
      </c>
      <c r="D1222" s="2" t="s">
        <v>2717</v>
      </c>
      <c r="E1222" s="1" t="s">
        <v>2715</v>
      </c>
      <c r="F1222" t="s">
        <v>24</v>
      </c>
      <c r="G1222" s="2" t="s">
        <v>2639</v>
      </c>
      <c r="H1222" t="s">
        <v>142</v>
      </c>
      <c r="I1222" t="s">
        <v>462</v>
      </c>
      <c r="J1222" s="6">
        <v>42862</v>
      </c>
      <c r="K1222" s="16">
        <v>2018</v>
      </c>
      <c r="L1222" s="16">
        <v>2062</v>
      </c>
      <c r="M1222" s="16">
        <v>2008</v>
      </c>
      <c r="N1222" s="16">
        <v>1982</v>
      </c>
      <c r="O1222" s="16">
        <v>2042</v>
      </c>
      <c r="P1222" s="16">
        <v>2081</v>
      </c>
      <c r="Q1222" s="16">
        <v>2052</v>
      </c>
      <c r="R1222" s="16">
        <v>1997</v>
      </c>
      <c r="S1222" s="16">
        <v>2058</v>
      </c>
      <c r="T1222" s="16">
        <v>2054</v>
      </c>
      <c r="U1222" s="15">
        <v>2035.4</v>
      </c>
      <c r="V1222" t="s">
        <v>19</v>
      </c>
      <c r="W1222" t="s">
        <v>28</v>
      </c>
      <c r="X1222">
        <v>297</v>
      </c>
      <c r="Y1222" s="16">
        <f>VLOOKUP(Tabela1[[#This Row],[SKU]],SKU!A:D,4,0)</f>
        <v>2000</v>
      </c>
      <c r="Z1222" s="18">
        <f>IFERROR((Tabela1[[#This Row],[Média]]-Tabela1[[#This Row],[Meta]])/Tabela1[[#This Row],[Meta]],"")</f>
        <v>1.7700000000000046E-2</v>
      </c>
      <c r="AA1222" s="31">
        <f>Tabela1[[#This Row],[Média]]-Tabela1[[#This Row],[Meta]]</f>
        <v>35.400000000000091</v>
      </c>
      <c r="AB1222" s="6" t="str">
        <f>VLOOKUP(Tabela1[[#This Row],[SKU]],SKU!A:B,2,0)</f>
        <v>COXA SBCX S/O FG 280-300g PB</v>
      </c>
      <c r="AC1222" s="6" t="str">
        <f>VLOOKUP(Tabela1[[#This Row],[SKU]],SKU!A:C,3,0)</f>
        <v>PERNA</v>
      </c>
    </row>
    <row r="1223" spans="1:29" x14ac:dyDescent="0.25">
      <c r="A1223" s="2">
        <f>INT(Tabela1[[#This Row],[Data e Hora2]])</f>
        <v>46294</v>
      </c>
      <c r="B1223" s="6" t="str">
        <f>UPPER(TEXT(Tabela1[[#This Row],[Data Corrigida]],"MMM"))</f>
        <v>SET</v>
      </c>
      <c r="C1223" t="s">
        <v>2718</v>
      </c>
      <c r="D1223" s="2" t="s">
        <v>2719</v>
      </c>
      <c r="E1223" s="1" t="s">
        <v>2715</v>
      </c>
      <c r="F1223" t="s">
        <v>24</v>
      </c>
      <c r="G1223" s="2" t="s">
        <v>2639</v>
      </c>
      <c r="H1223" t="s">
        <v>142</v>
      </c>
      <c r="I1223" t="s">
        <v>462</v>
      </c>
      <c r="J1223" s="6">
        <v>15105</v>
      </c>
      <c r="K1223" s="16">
        <v>1032</v>
      </c>
      <c r="L1223" s="16">
        <v>1032</v>
      </c>
      <c r="M1223" s="16">
        <v>1029</v>
      </c>
      <c r="N1223" s="16">
        <v>1029</v>
      </c>
      <c r="O1223" s="16">
        <v>1005</v>
      </c>
      <c r="P1223" s="16">
        <v>1026</v>
      </c>
      <c r="Q1223" s="16">
        <v>1018</v>
      </c>
      <c r="R1223" s="16">
        <v>1013</v>
      </c>
      <c r="S1223" s="16">
        <v>1041</v>
      </c>
      <c r="T1223" s="16">
        <v>1104</v>
      </c>
      <c r="U1223" s="15">
        <v>1032.9000000000001</v>
      </c>
      <c r="V1223" t="s">
        <v>19</v>
      </c>
      <c r="W1223" t="s">
        <v>28</v>
      </c>
      <c r="X1223">
        <v>365</v>
      </c>
      <c r="Y1223" s="16">
        <f>VLOOKUP(Tabela1[[#This Row],[SKU]],SKU!A:D,4,0)</f>
        <v>1000</v>
      </c>
      <c r="Z1223" s="18">
        <f>IFERROR((Tabela1[[#This Row],[Média]]-Tabela1[[#This Row],[Meta]])/Tabela1[[#This Row],[Meta]],"")</f>
        <v>3.2900000000000089E-2</v>
      </c>
      <c r="AA1223" s="31">
        <f>Tabela1[[#This Row],[Média]]-Tabela1[[#This Row],[Meta]]</f>
        <v>32.900000000000091</v>
      </c>
      <c r="AB1223" s="6" t="str">
        <f>VLOOKUP(Tabela1[[#This Row],[SKU]],SKU!A:B,2,0)</f>
        <v>FILE PEITO MET CG BDJ SE</v>
      </c>
      <c r="AC1223" s="6" t="str">
        <f>VLOOKUP(Tabela1[[#This Row],[SKU]],SKU!A:C,3,0)</f>
        <v>PEITO</v>
      </c>
    </row>
    <row r="1224" spans="1:29" x14ac:dyDescent="0.25">
      <c r="A1224" s="2">
        <f>INT(Tabela1[[#This Row],[Data e Hora2]])</f>
        <v>46293</v>
      </c>
      <c r="B1224" s="6" t="str">
        <f>UPPER(TEXT(Tabela1[[#This Row],[Data Corrigida]],"MMM"))</f>
        <v>SET</v>
      </c>
      <c r="C1224" t="s">
        <v>2720</v>
      </c>
      <c r="D1224" s="2" t="s">
        <v>2721</v>
      </c>
      <c r="E1224" s="1" t="s">
        <v>2715</v>
      </c>
      <c r="F1224" t="s">
        <v>24</v>
      </c>
      <c r="G1224" s="2" t="s">
        <v>2561</v>
      </c>
      <c r="H1224" t="s">
        <v>142</v>
      </c>
      <c r="I1224" t="s">
        <v>462</v>
      </c>
      <c r="J1224" s="6">
        <v>50580</v>
      </c>
      <c r="K1224" s="16">
        <v>1989</v>
      </c>
      <c r="L1224" s="16">
        <v>2047</v>
      </c>
      <c r="M1224" s="16">
        <v>2186</v>
      </c>
      <c r="N1224" s="16">
        <v>2027</v>
      </c>
      <c r="O1224" s="16">
        <v>1994</v>
      </c>
      <c r="P1224" s="16">
        <v>1974</v>
      </c>
      <c r="Q1224" s="16">
        <v>2034</v>
      </c>
      <c r="R1224" s="16">
        <v>2027</v>
      </c>
      <c r="S1224" s="16">
        <v>2083</v>
      </c>
      <c r="T1224" s="16">
        <v>2217</v>
      </c>
      <c r="U1224" s="15">
        <v>2057.8000000000002</v>
      </c>
      <c r="V1224" t="s">
        <v>19</v>
      </c>
      <c r="W1224" t="s">
        <v>28</v>
      </c>
      <c r="X1224">
        <v>77644</v>
      </c>
      <c r="Y1224" s="16">
        <f>VLOOKUP(Tabela1[[#This Row],[SKU]],SKU!A:D,4,0)</f>
        <v>2000</v>
      </c>
      <c r="Z1224" s="18">
        <f>IFERROR((Tabela1[[#This Row],[Média]]-Tabela1[[#This Row],[Meta]])/Tabela1[[#This Row],[Meta]],"")</f>
        <v>2.8900000000000092E-2</v>
      </c>
      <c r="AA1224" s="31">
        <f>Tabela1[[#This Row],[Média]]-Tabela1[[#This Row],[Meta]]</f>
        <v>57.800000000000182</v>
      </c>
      <c r="AB1224" s="6" t="str">
        <f>VLOOKUP(Tabela1[[#This Row],[SKU]],SKU!A:B,2,0)</f>
        <v>COXA SBCX S/O FG 200g UP PB</v>
      </c>
      <c r="AC1224" s="6" t="str">
        <f>VLOOKUP(Tabela1[[#This Row],[SKU]],SKU!A:C,3,0)</f>
        <v>PERNA</v>
      </c>
    </row>
    <row r="1225" spans="1:29" x14ac:dyDescent="0.25">
      <c r="A1225" s="2">
        <f>INT(Tabela1[[#This Row],[Data e Hora2]])</f>
        <v>46290</v>
      </c>
      <c r="B1225" s="6" t="str">
        <f>UPPER(TEXT(Tabela1[[#This Row],[Data Corrigida]],"MMM"))</f>
        <v>SET</v>
      </c>
      <c r="C1225" t="s">
        <v>2722</v>
      </c>
      <c r="D1225" s="2" t="s">
        <v>2723</v>
      </c>
      <c r="E1225" s="1" t="s">
        <v>2715</v>
      </c>
      <c r="F1225" t="s">
        <v>24</v>
      </c>
      <c r="G1225" s="2" t="s">
        <v>2442</v>
      </c>
      <c r="H1225" t="s">
        <v>142</v>
      </c>
      <c r="I1225" t="s">
        <v>462</v>
      </c>
      <c r="J1225" s="6">
        <v>992014</v>
      </c>
      <c r="K1225" s="16">
        <v>700</v>
      </c>
      <c r="L1225" s="16">
        <v>668</v>
      </c>
      <c r="M1225" s="16">
        <v>678</v>
      </c>
      <c r="N1225" s="16">
        <v>694</v>
      </c>
      <c r="O1225" s="16">
        <v>698</v>
      </c>
      <c r="P1225" s="16">
        <v>700</v>
      </c>
      <c r="Q1225" s="16">
        <v>699</v>
      </c>
      <c r="R1225" s="16">
        <v>696</v>
      </c>
      <c r="S1225" s="16">
        <v>698</v>
      </c>
      <c r="T1225" s="16">
        <v>700</v>
      </c>
      <c r="U1225" s="15">
        <v>693.1</v>
      </c>
      <c r="V1225" t="s">
        <v>19</v>
      </c>
      <c r="W1225" t="s">
        <v>28</v>
      </c>
      <c r="X1225">
        <v>324318</v>
      </c>
      <c r="Y1225" s="16">
        <f>VLOOKUP(Tabela1[[#This Row],[SKU]],SKU!A:D,4,0)</f>
        <v>700</v>
      </c>
      <c r="Z1225" s="18">
        <f>IFERROR((Tabela1[[#This Row],[Média]]-Tabela1[[#This Row],[Meta]])/Tabela1[[#This Row],[Meta]],"")</f>
        <v>-9.8571428571428248E-3</v>
      </c>
      <c r="AA1225" s="31">
        <f>Tabela1[[#This Row],[Média]]-Tabela1[[#This Row],[Meta]]</f>
        <v>-6.8999999999999773</v>
      </c>
      <c r="AB1225" s="6" t="str">
        <f>VLOOKUP(Tabela1[[#This Row],[SKU]],SKU!A:B,2,0)</f>
        <v>OSTRINHA CG PCT 700G SWIFT</v>
      </c>
      <c r="AC1225" s="6" t="str">
        <f>VLOOKUP(Tabela1[[#This Row],[SKU]],SKU!A:C,3,0)</f>
        <v>PERNA</v>
      </c>
    </row>
    <row r="1226" spans="1:29" x14ac:dyDescent="0.25">
      <c r="A1226" s="2">
        <f>INT(Tabela1[[#This Row],[Data e Hora2]])</f>
        <v>46290</v>
      </c>
      <c r="B1226" s="6" t="str">
        <f>UPPER(TEXT(Tabela1[[#This Row],[Data Corrigida]],"MMM"))</f>
        <v>SET</v>
      </c>
      <c r="C1226" t="s">
        <v>2724</v>
      </c>
      <c r="D1226" s="2" t="s">
        <v>2725</v>
      </c>
      <c r="E1226" s="1" t="s">
        <v>2715</v>
      </c>
      <c r="F1226" t="s">
        <v>24</v>
      </c>
      <c r="G1226" s="2" t="s">
        <v>2442</v>
      </c>
      <c r="H1226" t="s">
        <v>142</v>
      </c>
      <c r="I1226" t="s">
        <v>462</v>
      </c>
      <c r="J1226" s="6">
        <v>15849</v>
      </c>
      <c r="K1226" s="16">
        <v>1009</v>
      </c>
      <c r="L1226" s="16">
        <v>1004</v>
      </c>
      <c r="M1226" s="16">
        <v>1014</v>
      </c>
      <c r="N1226" s="16">
        <v>1001</v>
      </c>
      <c r="O1226" s="16">
        <v>1015</v>
      </c>
      <c r="P1226" s="16">
        <v>999</v>
      </c>
      <c r="Q1226" s="16">
        <v>997</v>
      </c>
      <c r="R1226" s="16">
        <v>1025</v>
      </c>
      <c r="S1226" s="16">
        <v>993</v>
      </c>
      <c r="T1226" s="16">
        <v>1026</v>
      </c>
      <c r="U1226" s="15">
        <v>1008.3</v>
      </c>
      <c r="V1226" t="s">
        <v>19</v>
      </c>
      <c r="W1226" t="s">
        <v>28</v>
      </c>
      <c r="X1226">
        <v>327536</v>
      </c>
      <c r="Y1226" s="16">
        <f>VLOOKUP(Tabela1[[#This Row],[SKU]],SKU!A:D,4,0)</f>
        <v>1000</v>
      </c>
      <c r="Z1226" s="18">
        <f>IFERROR((Tabela1[[#This Row],[Média]]-Tabela1[[#This Row],[Meta]])/Tabela1[[#This Row],[Meta]],"")</f>
        <v>8.299999999999955E-3</v>
      </c>
      <c r="AA1226" s="31">
        <f>Tabela1[[#This Row],[Média]]-Tabela1[[#This Row],[Meta]]</f>
        <v>8.2999999999999545</v>
      </c>
      <c r="AB1226" s="6" t="str">
        <f>VLOOKUP(Tabela1[[#This Row],[SKU]],SKU!A:B,2,0)</f>
        <v>FILEZINHO PEITO CG BDJ SE</v>
      </c>
      <c r="AC1226" s="6" t="str">
        <f>VLOOKUP(Tabela1[[#This Row],[SKU]],SKU!A:C,3,0)</f>
        <v>SASSAMI</v>
      </c>
    </row>
    <row r="1227" spans="1:29" x14ac:dyDescent="0.25">
      <c r="A1227" s="2">
        <f>INT(Tabela1[[#This Row],[Data e Hora2]])</f>
        <v>46295</v>
      </c>
      <c r="B1227" s="6" t="str">
        <f>UPPER(TEXT(Tabela1[[#This Row],[Data Corrigida]],"MMM"))</f>
        <v>SET</v>
      </c>
      <c r="C1227" s="26" t="s">
        <v>2726</v>
      </c>
      <c r="D1227" s="2" t="s">
        <v>2727</v>
      </c>
      <c r="E1227" s="1" t="s">
        <v>2728</v>
      </c>
      <c r="F1227" t="s">
        <v>24</v>
      </c>
      <c r="G1227" s="2" t="s">
        <v>2621</v>
      </c>
      <c r="H1227" t="s">
        <v>26</v>
      </c>
      <c r="I1227" t="s">
        <v>27</v>
      </c>
      <c r="J1227" s="6">
        <v>15229</v>
      </c>
      <c r="K1227" s="16">
        <v>1019</v>
      </c>
      <c r="L1227" s="16">
        <v>1021</v>
      </c>
      <c r="M1227" s="16">
        <v>1013</v>
      </c>
      <c r="N1227" s="16">
        <v>1020</v>
      </c>
      <c r="O1227" s="16">
        <v>1019</v>
      </c>
      <c r="P1227" s="16">
        <v>1012</v>
      </c>
      <c r="Q1227" s="16">
        <v>1009</v>
      </c>
      <c r="R1227" s="16">
        <v>1004</v>
      </c>
      <c r="S1227" s="16">
        <v>1017</v>
      </c>
      <c r="T1227" s="16">
        <v>1007</v>
      </c>
      <c r="U1227" s="15">
        <v>1014.1</v>
      </c>
      <c r="V1227" t="s">
        <v>19</v>
      </c>
      <c r="W1227" t="s">
        <v>28</v>
      </c>
      <c r="X1227">
        <v>9055</v>
      </c>
      <c r="Y1227" s="16">
        <f>VLOOKUP(Tabela1[[#This Row],[SKU]],SKU!A:D,4,0)</f>
        <v>1000</v>
      </c>
      <c r="Z1227" s="18">
        <f>IFERROR((Tabela1[[#This Row],[Média]]-Tabela1[[#This Row],[Meta]])/Tabela1[[#This Row],[Meta]],"")</f>
        <v>1.4100000000000022E-2</v>
      </c>
      <c r="AA1227" s="31">
        <f>Tabela1[[#This Row],[Média]]-Tabela1[[#This Row],[Meta]]</f>
        <v>14.100000000000023</v>
      </c>
      <c r="AB1227" s="6" t="str">
        <f>VLOOKUP(Tabela1[[#This Row],[SKU]],SKU!A:B,2,0)</f>
        <v>COXA CG BDJ SE</v>
      </c>
      <c r="AC1227" s="6" t="str">
        <f>VLOOKUP(Tabela1[[#This Row],[SKU]],SKU!A:C,3,0)</f>
        <v>PERNA</v>
      </c>
    </row>
    <row r="1228" spans="1:29" x14ac:dyDescent="0.25">
      <c r="A1228" s="2">
        <f>INT(Tabela1[[#This Row],[Data e Hora2]])</f>
        <v>46295</v>
      </c>
      <c r="B1228" s="6" t="str">
        <f>UPPER(TEXT(Tabela1[[#This Row],[Data Corrigida]],"MMM"))</f>
        <v>SET</v>
      </c>
      <c r="C1228" t="s">
        <v>2729</v>
      </c>
      <c r="D1228" s="2" t="s">
        <v>2730</v>
      </c>
      <c r="E1228" s="1" t="s">
        <v>2728</v>
      </c>
      <c r="F1228" t="s">
        <v>24</v>
      </c>
      <c r="G1228" s="2" t="s">
        <v>2621</v>
      </c>
      <c r="H1228" t="s">
        <v>26</v>
      </c>
      <c r="I1228" t="s">
        <v>27</v>
      </c>
      <c r="J1228" s="6">
        <v>40762</v>
      </c>
      <c r="K1228" s="16">
        <v>9980</v>
      </c>
      <c r="L1228" s="16">
        <v>10055</v>
      </c>
      <c r="M1228" s="16">
        <v>9990</v>
      </c>
      <c r="N1228" s="16">
        <v>10035</v>
      </c>
      <c r="O1228" s="16">
        <v>10065</v>
      </c>
      <c r="P1228" s="16">
        <v>10000</v>
      </c>
      <c r="Q1228" s="16">
        <v>10065</v>
      </c>
      <c r="R1228" s="16">
        <v>10000</v>
      </c>
      <c r="S1228" s="16">
        <v>9950</v>
      </c>
      <c r="T1228" s="16">
        <v>10085</v>
      </c>
      <c r="U1228" s="15">
        <v>10022.5</v>
      </c>
      <c r="V1228" t="s">
        <v>19</v>
      </c>
      <c r="W1228" t="s">
        <v>28</v>
      </c>
      <c r="X1228">
        <v>9628</v>
      </c>
      <c r="Y1228" s="16">
        <f>VLOOKUP(Tabela1[[#This Row],[SKU]],SKU!A:D,4,0)</f>
        <v>10000</v>
      </c>
      <c r="Z1228" s="18">
        <f>IFERROR((Tabela1[[#This Row],[Média]]-Tabela1[[#This Row],[Meta]])/Tabela1[[#This Row],[Meta]],"")</f>
        <v>2.2499999999999998E-3</v>
      </c>
      <c r="AA1228" s="31">
        <f>Tabela1[[#This Row],[Média]]-Tabela1[[#This Row],[Meta]]</f>
        <v>22.5</v>
      </c>
      <c r="AB1228" s="6" t="str">
        <f>VLOOKUP(Tabela1[[#This Row],[SKU]],SKU!A:B,2,0)</f>
        <v>COXA SBCX LQ FG LP</v>
      </c>
      <c r="AC1228" s="6" t="str">
        <f>VLOOKUP(Tabela1[[#This Row],[SKU]],SKU!A:C,3,0)</f>
        <v>PERNA</v>
      </c>
    </row>
    <row r="1229" spans="1:29" x14ac:dyDescent="0.25">
      <c r="A1229" s="2">
        <f>INT(Tabela1[[#This Row],[Data e Hora2]])</f>
        <v>46295</v>
      </c>
      <c r="B1229" s="6" t="str">
        <f>UPPER(TEXT(Tabela1[[#This Row],[Data Corrigida]],"MMM"))</f>
        <v>SET</v>
      </c>
      <c r="C1229" t="s">
        <v>2731</v>
      </c>
      <c r="D1229" s="2" t="s">
        <v>2732</v>
      </c>
      <c r="E1229" s="1" t="s">
        <v>2728</v>
      </c>
      <c r="F1229" t="s">
        <v>24</v>
      </c>
      <c r="G1229" s="2" t="s">
        <v>2621</v>
      </c>
      <c r="H1229" t="s">
        <v>26</v>
      </c>
      <c r="I1229" t="s">
        <v>27</v>
      </c>
      <c r="J1229" s="6">
        <v>13188</v>
      </c>
      <c r="K1229" s="16">
        <v>1014</v>
      </c>
      <c r="L1229" s="16">
        <v>1011</v>
      </c>
      <c r="M1229" s="16">
        <v>1006</v>
      </c>
      <c r="N1229" s="16">
        <v>1008</v>
      </c>
      <c r="O1229" s="16">
        <v>1003</v>
      </c>
      <c r="P1229" s="16">
        <v>1016</v>
      </c>
      <c r="Q1229" s="16">
        <v>1011</v>
      </c>
      <c r="R1229" s="16">
        <v>1012</v>
      </c>
      <c r="S1229" s="16">
        <v>1023</v>
      </c>
      <c r="T1229" s="16">
        <v>1018</v>
      </c>
      <c r="U1229" s="15">
        <v>1012.2</v>
      </c>
      <c r="V1229" t="s">
        <v>19</v>
      </c>
      <c r="W1229" t="s">
        <v>28</v>
      </c>
      <c r="X1229">
        <v>10018</v>
      </c>
      <c r="Y1229" s="16">
        <f>VLOOKUP(Tabela1[[#This Row],[SKU]],SKU!A:D,4,0)</f>
        <v>1000</v>
      </c>
      <c r="Z1229" s="18">
        <f>IFERROR((Tabela1[[#This Row],[Média]]-Tabela1[[#This Row],[Meta]])/Tabela1[[#This Row],[Meta]],"")</f>
        <v>1.2200000000000046E-2</v>
      </c>
      <c r="AA1229" s="31">
        <f>Tabela1[[#This Row],[Média]]-Tabela1[[#This Row],[Meta]]</f>
        <v>12.200000000000045</v>
      </c>
      <c r="AB1229" s="6" t="str">
        <f>VLOOKUP(Tabela1[[#This Row],[SKU]],SKU!A:B,2,0)</f>
        <v>SOBRECOXA CG BDJ SE</v>
      </c>
      <c r="AC1229" s="6" t="str">
        <f>VLOOKUP(Tabela1[[#This Row],[SKU]],SKU!A:C,3,0)</f>
        <v>PERNA</v>
      </c>
    </row>
    <row r="1230" spans="1:29" x14ac:dyDescent="0.25">
      <c r="A1230" s="2">
        <f>INT(Tabela1[[#This Row],[Data e Hora2]])</f>
        <v>46295</v>
      </c>
      <c r="B1230" s="6" t="str">
        <f>UPPER(TEXT(Tabela1[[#This Row],[Data Corrigida]],"MMM"))</f>
        <v>SET</v>
      </c>
      <c r="C1230" t="s">
        <v>2733</v>
      </c>
      <c r="D1230" s="2" t="s">
        <v>2734</v>
      </c>
      <c r="E1230" s="1" t="s">
        <v>2728</v>
      </c>
      <c r="F1230" t="s">
        <v>24</v>
      </c>
      <c r="G1230" s="2" t="s">
        <v>2621</v>
      </c>
      <c r="H1230" t="s">
        <v>26</v>
      </c>
      <c r="I1230" t="s">
        <v>27</v>
      </c>
      <c r="J1230" s="6">
        <v>15849</v>
      </c>
      <c r="K1230" s="16">
        <v>1008</v>
      </c>
      <c r="L1230" s="16">
        <v>1007</v>
      </c>
      <c r="M1230" s="16">
        <v>1014</v>
      </c>
      <c r="N1230" s="16">
        <v>1006</v>
      </c>
      <c r="O1230" s="16">
        <v>998</v>
      </c>
      <c r="P1230" s="16">
        <v>1013</v>
      </c>
      <c r="Q1230" s="16">
        <v>1018</v>
      </c>
      <c r="R1230" s="16">
        <v>1014</v>
      </c>
      <c r="S1230" s="16">
        <v>1008</v>
      </c>
      <c r="T1230" s="16">
        <v>1012</v>
      </c>
      <c r="U1230" s="15">
        <v>1009.8</v>
      </c>
      <c r="V1230" t="s">
        <v>19</v>
      </c>
      <c r="W1230" t="s">
        <v>19</v>
      </c>
      <c r="X1230">
        <v>10103</v>
      </c>
      <c r="Y1230" s="16">
        <f>VLOOKUP(Tabela1[[#This Row],[SKU]],SKU!A:D,4,0)</f>
        <v>1000</v>
      </c>
      <c r="Z1230" s="18">
        <f>IFERROR((Tabela1[[#This Row],[Média]]-Tabela1[[#This Row],[Meta]])/Tabela1[[#This Row],[Meta]],"")</f>
        <v>9.7999999999999546E-3</v>
      </c>
      <c r="AA1230" s="31">
        <f>Tabela1[[#This Row],[Média]]-Tabela1[[#This Row],[Meta]]</f>
        <v>9.7999999999999545</v>
      </c>
      <c r="AB1230" s="6" t="str">
        <f>VLOOKUP(Tabela1[[#This Row],[SKU]],SKU!A:B,2,0)</f>
        <v>FILEZINHO PEITO CG BDJ SE</v>
      </c>
      <c r="AC1230" s="6" t="str">
        <f>VLOOKUP(Tabela1[[#This Row],[SKU]],SKU!A:C,3,0)</f>
        <v>SASSAMI</v>
      </c>
    </row>
    <row r="1231" spans="1:29" x14ac:dyDescent="0.25">
      <c r="A1231" s="2">
        <f>INT(Tabela1[[#This Row],[Data e Hora2]])</f>
        <v>46295</v>
      </c>
      <c r="B1231" s="6" t="str">
        <f>UPPER(TEXT(Tabela1[[#This Row],[Data Corrigida]],"MMM"))</f>
        <v>SET</v>
      </c>
      <c r="C1231" t="s">
        <v>2735</v>
      </c>
      <c r="D1231" s="2" t="s">
        <v>2736</v>
      </c>
      <c r="E1231" s="1" t="s">
        <v>2728</v>
      </c>
      <c r="F1231" t="s">
        <v>24</v>
      </c>
      <c r="G1231" s="2" t="s">
        <v>2621</v>
      </c>
      <c r="H1231" t="s">
        <v>26</v>
      </c>
      <c r="I1231" t="s">
        <v>27</v>
      </c>
      <c r="J1231" s="6">
        <v>15105</v>
      </c>
      <c r="K1231" s="16">
        <v>1047</v>
      </c>
      <c r="L1231" s="16">
        <v>1010</v>
      </c>
      <c r="M1231" s="16">
        <v>1023</v>
      </c>
      <c r="N1231" s="16">
        <v>1039</v>
      </c>
      <c r="O1231" s="16">
        <v>1001</v>
      </c>
      <c r="P1231" s="16">
        <v>998</v>
      </c>
      <c r="Q1231" s="16">
        <v>1030</v>
      </c>
      <c r="R1231" s="16">
        <v>1062</v>
      </c>
      <c r="S1231" s="16">
        <v>1061</v>
      </c>
      <c r="T1231" s="16">
        <v>1031</v>
      </c>
      <c r="U1231" s="15">
        <v>1030.2</v>
      </c>
      <c r="V1231" t="s">
        <v>19</v>
      </c>
      <c r="W1231" t="s">
        <v>28</v>
      </c>
      <c r="X1231">
        <v>10330</v>
      </c>
      <c r="Y1231" s="16">
        <f>VLOOKUP(Tabela1[[#This Row],[SKU]],SKU!A:D,4,0)</f>
        <v>1000</v>
      </c>
      <c r="Z1231" s="18">
        <f>IFERROR((Tabela1[[#This Row],[Média]]-Tabela1[[#This Row],[Meta]])/Tabela1[[#This Row],[Meta]],"")</f>
        <v>3.0200000000000046E-2</v>
      </c>
      <c r="AA1231" s="31">
        <f>Tabela1[[#This Row],[Média]]-Tabela1[[#This Row],[Meta]]</f>
        <v>30.200000000000045</v>
      </c>
      <c r="AB1231" s="6" t="str">
        <f>VLOOKUP(Tabela1[[#This Row],[SKU]],SKU!A:B,2,0)</f>
        <v>FILE PEITO MET CG BDJ SE</v>
      </c>
      <c r="AC1231" s="6" t="str">
        <f>VLOOKUP(Tabela1[[#This Row],[SKU]],SKU!A:C,3,0)</f>
        <v>PEITO</v>
      </c>
    </row>
    <row r="1232" spans="1:29" x14ac:dyDescent="0.25">
      <c r="A1232" s="2">
        <f>INT(Tabela1[[#This Row],[Data e Hora2]])</f>
        <v>46295</v>
      </c>
      <c r="B1232" s="6" t="str">
        <f>UPPER(TEXT(Tabela1[[#This Row],[Data Corrigida]],"MMM"))</f>
        <v>SET</v>
      </c>
      <c r="C1232" t="s">
        <v>2737</v>
      </c>
      <c r="D1232" s="2" t="s">
        <v>2738</v>
      </c>
      <c r="E1232" s="1" t="s">
        <v>2728</v>
      </c>
      <c r="F1232" t="s">
        <v>24</v>
      </c>
      <c r="G1232" s="2" t="s">
        <v>2621</v>
      </c>
      <c r="H1232" t="s">
        <v>26</v>
      </c>
      <c r="I1232" t="s">
        <v>27</v>
      </c>
      <c r="J1232" s="6">
        <v>209319</v>
      </c>
      <c r="K1232" s="16">
        <v>1009</v>
      </c>
      <c r="L1232" s="16">
        <v>1042</v>
      </c>
      <c r="M1232" s="16">
        <v>1058</v>
      </c>
      <c r="N1232" s="16">
        <v>1077</v>
      </c>
      <c r="O1232" s="16">
        <v>1050</v>
      </c>
      <c r="P1232" s="16">
        <v>1007</v>
      </c>
      <c r="Q1232" s="16">
        <v>1010</v>
      </c>
      <c r="R1232" s="16">
        <v>1009</v>
      </c>
      <c r="S1232" s="16">
        <v>1077</v>
      </c>
      <c r="T1232" s="16">
        <v>1043</v>
      </c>
      <c r="U1232" s="15">
        <v>1038.2</v>
      </c>
      <c r="V1232" t="s">
        <v>19</v>
      </c>
      <c r="W1232" t="s">
        <v>28</v>
      </c>
      <c r="X1232">
        <v>13610</v>
      </c>
      <c r="Y1232" s="16">
        <f>VLOOKUP(Tabela1[[#This Row],[SKU]],SKU!A:D,4,0)</f>
        <v>1000</v>
      </c>
      <c r="Z1232" s="18">
        <f>IFERROR((Tabela1[[#This Row],[Média]]-Tabela1[[#This Row],[Meta]])/Tabela1[[#This Row],[Meta]],"")</f>
        <v>3.8200000000000046E-2</v>
      </c>
      <c r="AA1232" s="31">
        <f>Tabela1[[#This Row],[Média]]-Tabela1[[#This Row],[Meta]]</f>
        <v>38.200000000000045</v>
      </c>
      <c r="AB1232" s="6" t="str">
        <f>VLOOKUP(Tabela1[[#This Row],[SKU]],SKU!A:B,2,0)</f>
        <v>SOBRECOXA IQF ALM 1KG</v>
      </c>
      <c r="AC1232" s="6" t="str">
        <f>VLOOKUP(Tabela1[[#This Row],[SKU]],SKU!A:C,3,0)</f>
        <v>PERNA</v>
      </c>
    </row>
    <row r="1233" spans="1:29" x14ac:dyDescent="0.25">
      <c r="A1233" s="2">
        <f>INT(Tabela1[[#This Row],[Data e Hora2]])</f>
        <v>46295</v>
      </c>
      <c r="B1233" s="6" t="str">
        <f>UPPER(TEXT(Tabela1[[#This Row],[Data Corrigida]],"MMM"))</f>
        <v>SET</v>
      </c>
      <c r="C1233" t="s">
        <v>2739</v>
      </c>
      <c r="D1233" s="2" t="s">
        <v>2740</v>
      </c>
      <c r="E1233" s="1" t="s">
        <v>2728</v>
      </c>
      <c r="F1233" t="s">
        <v>24</v>
      </c>
      <c r="G1233" s="2" t="s">
        <v>2621</v>
      </c>
      <c r="H1233" t="s">
        <v>26</v>
      </c>
      <c r="I1233" t="s">
        <v>27</v>
      </c>
      <c r="J1233" s="6">
        <v>42854</v>
      </c>
      <c r="K1233" s="16">
        <v>2088</v>
      </c>
      <c r="L1233" s="16">
        <v>2095</v>
      </c>
      <c r="M1233" s="16">
        <v>2092</v>
      </c>
      <c r="N1233" s="16">
        <v>2116</v>
      </c>
      <c r="O1233" s="16">
        <v>2086</v>
      </c>
      <c r="P1233" s="16">
        <v>2100</v>
      </c>
      <c r="Q1233" s="16">
        <v>2070</v>
      </c>
      <c r="R1233" s="16">
        <v>2091</v>
      </c>
      <c r="S1233" s="16">
        <v>2037</v>
      </c>
      <c r="T1233" s="16">
        <v>2115</v>
      </c>
      <c r="U1233" s="15">
        <v>2089</v>
      </c>
      <c r="V1233" t="s">
        <v>19</v>
      </c>
      <c r="W1233" t="s">
        <v>28</v>
      </c>
      <c r="X1233">
        <v>12258</v>
      </c>
      <c r="Y1233" s="16">
        <f>VLOOKUP(Tabela1[[#This Row],[SKU]],SKU!A:D,4,0)</f>
        <v>2080</v>
      </c>
      <c r="Z1233" s="18">
        <f>IFERROR((Tabela1[[#This Row],[Média]]-Tabela1[[#This Row],[Meta]])/Tabela1[[#This Row],[Meta]],"")</f>
        <v>4.3269230769230772E-3</v>
      </c>
      <c r="AA1233" s="31">
        <f>Tabela1[[#This Row],[Média]]-Tabela1[[#This Row],[Meta]]</f>
        <v>9</v>
      </c>
      <c r="AB1233" s="6" t="str">
        <f>VLOOKUP(Tabela1[[#This Row],[SKU]],SKU!A:B,2,0)</f>
        <v>COXA SBCX S/O FG 260-280g PB</v>
      </c>
      <c r="AC1233" s="6" t="str">
        <f>VLOOKUP(Tabela1[[#This Row],[SKU]],SKU!A:C,3,0)</f>
        <v>PERNA</v>
      </c>
    </row>
    <row r="1234" spans="1:29" x14ac:dyDescent="0.25">
      <c r="A1234" s="2">
        <f>INT(Tabela1[[#This Row],[Data e Hora2]])</f>
        <v>46295</v>
      </c>
      <c r="B1234" s="6" t="str">
        <f>UPPER(TEXT(Tabela1[[#This Row],[Data Corrigida]],"MMM"))</f>
        <v>SET</v>
      </c>
      <c r="C1234" t="s">
        <v>2741</v>
      </c>
      <c r="D1234" s="2" t="s">
        <v>2742</v>
      </c>
      <c r="E1234" s="1" t="s">
        <v>2743</v>
      </c>
      <c r="F1234" t="s">
        <v>24</v>
      </c>
      <c r="G1234" s="2" t="s">
        <v>2621</v>
      </c>
      <c r="H1234" t="s">
        <v>26</v>
      </c>
      <c r="I1234" t="s">
        <v>27</v>
      </c>
      <c r="J1234" s="6">
        <v>42862</v>
      </c>
      <c r="K1234" s="16">
        <v>1989</v>
      </c>
      <c r="L1234" s="16">
        <v>1999</v>
      </c>
      <c r="M1234" s="16">
        <v>2020</v>
      </c>
      <c r="N1234" s="16">
        <v>1997</v>
      </c>
      <c r="O1234" s="16">
        <v>2020</v>
      </c>
      <c r="P1234" s="16">
        <v>2007</v>
      </c>
      <c r="Q1234" s="16">
        <v>2018</v>
      </c>
      <c r="R1234" s="16">
        <v>2015</v>
      </c>
      <c r="S1234" s="16">
        <v>2012</v>
      </c>
      <c r="T1234" s="16">
        <v>2002</v>
      </c>
      <c r="U1234" s="15">
        <v>2007.9</v>
      </c>
      <c r="V1234" t="s">
        <v>19</v>
      </c>
      <c r="W1234" t="s">
        <v>28</v>
      </c>
      <c r="X1234">
        <v>21377</v>
      </c>
      <c r="Y1234" s="16">
        <f>VLOOKUP(Tabela1[[#This Row],[SKU]],SKU!A:D,4,0)</f>
        <v>2000</v>
      </c>
      <c r="Z1234" s="18">
        <f>IFERROR((Tabela1[[#This Row],[Média]]-Tabela1[[#This Row],[Meta]])/Tabela1[[#This Row],[Meta]],"")</f>
        <v>3.9500000000000455E-3</v>
      </c>
      <c r="AA1234" s="31">
        <f>Tabela1[[#This Row],[Média]]-Tabela1[[#This Row],[Meta]]</f>
        <v>7.9000000000000909</v>
      </c>
      <c r="AB1234" s="6" t="str">
        <f>VLOOKUP(Tabela1[[#This Row],[SKU]],SKU!A:B,2,0)</f>
        <v>COXA SBCX S/O FG 280-300g PB</v>
      </c>
      <c r="AC1234" s="6" t="str">
        <f>VLOOKUP(Tabela1[[#This Row],[SKU]],SKU!A:C,3,0)</f>
        <v>PERNA</v>
      </c>
    </row>
    <row r="1235" spans="1:29" x14ac:dyDescent="0.25">
      <c r="A1235" s="2">
        <f>INT(Tabela1[[#This Row],[Data e Hora2]])</f>
        <v>46295</v>
      </c>
      <c r="B1235" s="6" t="str">
        <f>UPPER(TEXT(Tabela1[[#This Row],[Data Corrigida]],"MMM"))</f>
        <v>SET</v>
      </c>
      <c r="C1235" t="s">
        <v>2744</v>
      </c>
      <c r="D1235" s="2" t="s">
        <v>2745</v>
      </c>
      <c r="E1235" s="1" t="s">
        <v>2743</v>
      </c>
      <c r="F1235" t="s">
        <v>24</v>
      </c>
      <c r="G1235" s="2" t="s">
        <v>2621</v>
      </c>
      <c r="H1235" t="s">
        <v>26</v>
      </c>
      <c r="I1235" t="s">
        <v>27</v>
      </c>
      <c r="J1235" s="6">
        <v>42820</v>
      </c>
      <c r="K1235" s="16">
        <v>2066</v>
      </c>
      <c r="L1235" s="16">
        <v>2031</v>
      </c>
      <c r="M1235" s="16">
        <v>2030</v>
      </c>
      <c r="N1235" s="16">
        <v>2042</v>
      </c>
      <c r="O1235" s="16">
        <v>2020</v>
      </c>
      <c r="P1235" s="16">
        <v>2078</v>
      </c>
      <c r="Q1235" s="16">
        <v>2021</v>
      </c>
      <c r="R1235" s="16">
        <v>2050</v>
      </c>
      <c r="S1235" s="16">
        <v>2045</v>
      </c>
      <c r="T1235" s="16">
        <v>2066</v>
      </c>
      <c r="U1235" s="15">
        <v>2044.9</v>
      </c>
      <c r="V1235" t="s">
        <v>19</v>
      </c>
      <c r="W1235" t="s">
        <v>28</v>
      </c>
      <c r="X1235">
        <v>12495</v>
      </c>
      <c r="Y1235" s="16">
        <f>VLOOKUP(Tabela1[[#This Row],[SKU]],SKU!A:D,4,0)</f>
        <v>2000</v>
      </c>
      <c r="Z1235" s="18">
        <f>IFERROR((Tabela1[[#This Row],[Média]]-Tabela1[[#This Row],[Meta]])/Tabela1[[#This Row],[Meta]],"")</f>
        <v>2.2450000000000046E-2</v>
      </c>
      <c r="AA1235" s="31">
        <f>Tabela1[[#This Row],[Média]]-Tabela1[[#This Row],[Meta]]</f>
        <v>44.900000000000091</v>
      </c>
      <c r="AB1235" s="6" t="str">
        <f>VLOOKUP(Tabela1[[#This Row],[SKU]],SKU!A:B,2,0)</f>
        <v>COXA SBCX S/O FG 200-220g PB</v>
      </c>
      <c r="AC1235" s="6" t="str">
        <f>VLOOKUP(Tabela1[[#This Row],[SKU]],SKU!A:C,3,0)</f>
        <v>PERNA</v>
      </c>
    </row>
    <row r="1236" spans="1:29" x14ac:dyDescent="0.25">
      <c r="A1236" s="2">
        <f>INT(Tabela1[[#This Row],[Data e Hora2]])</f>
        <v>46295</v>
      </c>
      <c r="B1236" s="6" t="str">
        <f>UPPER(TEXT(Tabela1[[#This Row],[Data Corrigida]],"MMM"))</f>
        <v>SET</v>
      </c>
      <c r="C1236" t="s">
        <v>2746</v>
      </c>
      <c r="D1236" s="2" t="s">
        <v>2747</v>
      </c>
      <c r="E1236" s="1" t="s">
        <v>2743</v>
      </c>
      <c r="F1236" t="s">
        <v>24</v>
      </c>
      <c r="G1236" s="2" t="s">
        <v>2621</v>
      </c>
      <c r="H1236" t="s">
        <v>26</v>
      </c>
      <c r="I1236" t="s">
        <v>27</v>
      </c>
      <c r="J1236" s="6">
        <v>42838</v>
      </c>
      <c r="K1236" s="16">
        <v>2020</v>
      </c>
      <c r="L1236" s="16">
        <v>1956</v>
      </c>
      <c r="M1236" s="16">
        <v>2013</v>
      </c>
      <c r="N1236" s="16">
        <v>2027</v>
      </c>
      <c r="O1236" s="16">
        <v>2016</v>
      </c>
      <c r="P1236" s="16">
        <v>2041</v>
      </c>
      <c r="Q1236" s="16">
        <v>1992</v>
      </c>
      <c r="R1236" s="16">
        <v>2009</v>
      </c>
      <c r="S1236" s="16">
        <v>2029</v>
      </c>
      <c r="T1236" s="16">
        <v>2032</v>
      </c>
      <c r="U1236" s="15">
        <v>2013.5</v>
      </c>
      <c r="V1236" t="s">
        <v>19</v>
      </c>
      <c r="W1236" t="s">
        <v>28</v>
      </c>
      <c r="X1236">
        <v>21662</v>
      </c>
      <c r="Y1236" s="16">
        <f>VLOOKUP(Tabela1[[#This Row],[SKU]],SKU!A:D,4,0)</f>
        <v>2000</v>
      </c>
      <c r="Z1236" s="18">
        <f>IFERROR((Tabela1[[#This Row],[Média]]-Tabela1[[#This Row],[Meta]])/Tabela1[[#This Row],[Meta]],"")</f>
        <v>6.7499999999999999E-3</v>
      </c>
      <c r="AA1236" s="31">
        <f>Tabela1[[#This Row],[Média]]-Tabela1[[#This Row],[Meta]]</f>
        <v>13.5</v>
      </c>
      <c r="AB1236" s="6" t="str">
        <f>VLOOKUP(Tabela1[[#This Row],[SKU]],SKU!A:B,2,0)</f>
        <v>COXA SBCX S/O FG 220-240g PB</v>
      </c>
      <c r="AC1236" s="6" t="str">
        <f>VLOOKUP(Tabela1[[#This Row],[SKU]],SKU!A:C,3,0)</f>
        <v>PERNA</v>
      </c>
    </row>
    <row r="1237" spans="1:29" x14ac:dyDescent="0.25">
      <c r="A1237" s="2">
        <f>INT(Tabela1[[#This Row],[Data e Hora2]])</f>
        <v>46295</v>
      </c>
      <c r="B1237" s="6" t="str">
        <f>UPPER(TEXT(Tabela1[[#This Row],[Data Corrigida]],"MMM"))</f>
        <v>SET</v>
      </c>
      <c r="C1237" t="s">
        <v>2748</v>
      </c>
      <c r="D1237" s="2" t="s">
        <v>2749</v>
      </c>
      <c r="E1237" s="1" t="s">
        <v>2743</v>
      </c>
      <c r="F1237" t="s">
        <v>24</v>
      </c>
      <c r="G1237" s="2" t="s">
        <v>2621</v>
      </c>
      <c r="H1237" t="s">
        <v>26</v>
      </c>
      <c r="I1237" t="s">
        <v>27</v>
      </c>
      <c r="J1237" s="6">
        <v>50580</v>
      </c>
      <c r="K1237" s="16">
        <v>2014</v>
      </c>
      <c r="L1237" s="16">
        <v>2009</v>
      </c>
      <c r="M1237" s="16">
        <v>2000</v>
      </c>
      <c r="N1237" s="16">
        <v>2047</v>
      </c>
      <c r="O1237" s="16">
        <v>2021</v>
      </c>
      <c r="P1237" s="16">
        <v>2019</v>
      </c>
      <c r="Q1237" s="16">
        <v>2039</v>
      </c>
      <c r="R1237" s="16">
        <v>2044</v>
      </c>
      <c r="S1237" s="16">
        <v>2126</v>
      </c>
      <c r="T1237" s="16">
        <v>2025</v>
      </c>
      <c r="U1237" s="15">
        <v>2034.4</v>
      </c>
      <c r="V1237" t="s">
        <v>19</v>
      </c>
      <c r="W1237" t="s">
        <v>28</v>
      </c>
      <c r="X1237">
        <v>21737</v>
      </c>
      <c r="Y1237" s="16">
        <f>VLOOKUP(Tabela1[[#This Row],[SKU]],SKU!A:D,4,0)</f>
        <v>2000</v>
      </c>
      <c r="Z1237" s="18">
        <f>IFERROR((Tabela1[[#This Row],[Média]]-Tabela1[[#This Row],[Meta]])/Tabela1[[#This Row],[Meta]],"")</f>
        <v>1.7200000000000045E-2</v>
      </c>
      <c r="AA1237" s="31">
        <f>Tabela1[[#This Row],[Média]]-Tabela1[[#This Row],[Meta]]</f>
        <v>34.400000000000091</v>
      </c>
      <c r="AB1237" s="6" t="str">
        <f>VLOOKUP(Tabela1[[#This Row],[SKU]],SKU!A:B,2,0)</f>
        <v>COXA SBCX S/O FG 200g UP PB</v>
      </c>
      <c r="AC1237" s="6" t="str">
        <f>VLOOKUP(Tabela1[[#This Row],[SKU]],SKU!A:C,3,0)</f>
        <v>PERNA</v>
      </c>
    </row>
    <row r="1238" spans="1:29" x14ac:dyDescent="0.25">
      <c r="A1238" s="2">
        <f>INT(Tabela1[[#This Row],[Data e Hora2]])</f>
        <v>46295</v>
      </c>
      <c r="B1238" s="6" t="str">
        <f>UPPER(TEXT(Tabela1[[#This Row],[Data Corrigida]],"MMM"))</f>
        <v>SET</v>
      </c>
      <c r="C1238" t="s">
        <v>2750</v>
      </c>
      <c r="D1238" s="2" t="s">
        <v>2751</v>
      </c>
      <c r="E1238" s="1" t="s">
        <v>2743</v>
      </c>
      <c r="F1238" t="s">
        <v>24</v>
      </c>
      <c r="G1238" s="2" t="s">
        <v>2621</v>
      </c>
      <c r="H1238" t="s">
        <v>26</v>
      </c>
      <c r="I1238" t="s">
        <v>27</v>
      </c>
      <c r="J1238" s="6">
        <v>42846</v>
      </c>
      <c r="K1238" s="16">
        <v>2005</v>
      </c>
      <c r="L1238" s="16">
        <v>2009</v>
      </c>
      <c r="M1238" s="16">
        <v>2029</v>
      </c>
      <c r="N1238" s="16">
        <v>2002</v>
      </c>
      <c r="O1238" s="16">
        <v>2023</v>
      </c>
      <c r="P1238" s="16">
        <v>2008</v>
      </c>
      <c r="Q1238" s="16">
        <v>2006</v>
      </c>
      <c r="R1238" s="16">
        <v>2016</v>
      </c>
      <c r="S1238" s="16">
        <v>2009</v>
      </c>
      <c r="T1238" s="16">
        <v>2011</v>
      </c>
      <c r="U1238" s="15">
        <v>2011.8</v>
      </c>
      <c r="V1238" t="s">
        <v>19</v>
      </c>
      <c r="W1238" t="s">
        <v>28</v>
      </c>
      <c r="X1238">
        <v>22233</v>
      </c>
      <c r="Y1238" s="16">
        <f>VLOOKUP(Tabela1[[#This Row],[SKU]],SKU!A:D,4,0)</f>
        <v>2000</v>
      </c>
      <c r="Z1238" s="18">
        <f>IFERROR((Tabela1[[#This Row],[Média]]-Tabela1[[#This Row],[Meta]])/Tabela1[[#This Row],[Meta]],"")</f>
        <v>5.8999999999999773E-3</v>
      </c>
      <c r="AA1238" s="31">
        <f>Tabela1[[#This Row],[Média]]-Tabela1[[#This Row],[Meta]]</f>
        <v>11.799999999999955</v>
      </c>
      <c r="AB1238" s="6" t="str">
        <f>VLOOKUP(Tabela1[[#This Row],[SKU]],SKU!A:B,2,0)</f>
        <v>COXA SBCX S/O FG 240-260g PB</v>
      </c>
      <c r="AC1238" s="6" t="str">
        <f>VLOOKUP(Tabela1[[#This Row],[SKU]],SKU!A:C,3,0)</f>
        <v>PERNA</v>
      </c>
    </row>
    <row r="1239" spans="1:29" x14ac:dyDescent="0.25">
      <c r="A1239" s="2">
        <f>INT(Tabela1[[#This Row],[Data e Hora2]])</f>
        <v>46295</v>
      </c>
      <c r="B1239" s="6" t="str">
        <f>UPPER(TEXT(Tabela1[[#This Row],[Data Corrigida]],"MMM"))</f>
        <v>SET</v>
      </c>
      <c r="C1239" t="s">
        <v>2752</v>
      </c>
      <c r="D1239" s="2" t="s">
        <v>2753</v>
      </c>
      <c r="E1239" s="1" t="s">
        <v>2743</v>
      </c>
      <c r="F1239" t="s">
        <v>24</v>
      </c>
      <c r="G1239" s="2" t="s">
        <v>2621</v>
      </c>
      <c r="H1239" t="s">
        <v>26</v>
      </c>
      <c r="I1239" t="s">
        <v>27</v>
      </c>
      <c r="J1239" s="6">
        <v>15229</v>
      </c>
      <c r="K1239" s="16">
        <v>995</v>
      </c>
      <c r="L1239" s="16">
        <v>995</v>
      </c>
      <c r="M1239" s="16">
        <v>1017</v>
      </c>
      <c r="N1239" s="16">
        <v>1015</v>
      </c>
      <c r="O1239" s="16">
        <v>1017</v>
      </c>
      <c r="P1239" s="16">
        <v>917</v>
      </c>
      <c r="Q1239" s="16">
        <v>1014</v>
      </c>
      <c r="R1239" s="16">
        <v>1006</v>
      </c>
      <c r="S1239" s="16">
        <v>1009</v>
      </c>
      <c r="T1239" s="16">
        <v>1005</v>
      </c>
      <c r="U1239" s="15">
        <v>999</v>
      </c>
      <c r="V1239" t="s">
        <v>19</v>
      </c>
      <c r="W1239" t="s">
        <v>28</v>
      </c>
      <c r="X1239">
        <v>27121</v>
      </c>
      <c r="Y1239" s="16">
        <f>VLOOKUP(Tabela1[[#This Row],[SKU]],SKU!A:D,4,0)</f>
        <v>1000</v>
      </c>
      <c r="Z1239" s="18">
        <f>IFERROR((Tabela1[[#This Row],[Média]]-Tabela1[[#This Row],[Meta]])/Tabela1[[#This Row],[Meta]],"")</f>
        <v>-1E-3</v>
      </c>
      <c r="AA1239" s="31">
        <f>Tabela1[[#This Row],[Média]]-Tabela1[[#This Row],[Meta]]</f>
        <v>-1</v>
      </c>
      <c r="AB1239" s="6" t="str">
        <f>VLOOKUP(Tabela1[[#This Row],[SKU]],SKU!A:B,2,0)</f>
        <v>COXA CG BDJ SE</v>
      </c>
      <c r="AC1239" s="6" t="str">
        <f>VLOOKUP(Tabela1[[#This Row],[SKU]],SKU!A:C,3,0)</f>
        <v>PERNA</v>
      </c>
    </row>
    <row r="1240" spans="1:29" x14ac:dyDescent="0.25">
      <c r="A1240" s="2">
        <f>INT(Tabela1[[#This Row],[Data e Hora2]])</f>
        <v>46295</v>
      </c>
      <c r="B1240" s="6" t="str">
        <f>UPPER(TEXT(Tabela1[[#This Row],[Data Corrigida]],"MMM"))</f>
        <v>SET</v>
      </c>
      <c r="C1240" t="s">
        <v>2754</v>
      </c>
      <c r="D1240" s="2" t="s">
        <v>2755</v>
      </c>
      <c r="E1240" s="1" t="s">
        <v>2743</v>
      </c>
      <c r="F1240" t="s">
        <v>24</v>
      </c>
      <c r="G1240" s="2" t="s">
        <v>2621</v>
      </c>
      <c r="H1240" t="s">
        <v>26</v>
      </c>
      <c r="I1240" t="s">
        <v>27</v>
      </c>
      <c r="J1240" s="6">
        <v>40762</v>
      </c>
      <c r="K1240" s="16">
        <v>10010</v>
      </c>
      <c r="L1240" s="16">
        <v>8975</v>
      </c>
      <c r="M1240" s="16">
        <v>8890</v>
      </c>
      <c r="N1240" s="16">
        <v>9050</v>
      </c>
      <c r="O1240" s="16">
        <v>8945</v>
      </c>
      <c r="P1240" s="16">
        <v>10090</v>
      </c>
      <c r="Q1240" s="16">
        <v>10060</v>
      </c>
      <c r="R1240" s="16">
        <v>9950</v>
      </c>
      <c r="S1240" s="16">
        <v>8895</v>
      </c>
      <c r="T1240" s="16">
        <v>8930</v>
      </c>
      <c r="U1240" s="15">
        <v>9379.5</v>
      </c>
      <c r="V1240" t="s">
        <v>19</v>
      </c>
      <c r="W1240" t="s">
        <v>28</v>
      </c>
      <c r="X1240">
        <v>1103</v>
      </c>
      <c r="Y1240" s="16">
        <f>VLOOKUP(Tabela1[[#This Row],[SKU]],SKU!A:D,4,0)</f>
        <v>10000</v>
      </c>
      <c r="Z1240" s="18">
        <f>IFERROR((Tabela1[[#This Row],[Média]]-Tabela1[[#This Row],[Meta]])/Tabela1[[#This Row],[Meta]],"")</f>
        <v>-6.2050000000000001E-2</v>
      </c>
      <c r="AA1240" s="31">
        <f>Tabela1[[#This Row],[Média]]-Tabela1[[#This Row],[Meta]]</f>
        <v>-620.5</v>
      </c>
      <c r="AB1240" s="6" t="str">
        <f>VLOOKUP(Tabela1[[#This Row],[SKU]],SKU!A:B,2,0)</f>
        <v>COXA SBCX LQ FG LP</v>
      </c>
      <c r="AC1240" s="6" t="str">
        <f>VLOOKUP(Tabela1[[#This Row],[SKU]],SKU!A:C,3,0)</f>
        <v>PERNA</v>
      </c>
    </row>
    <row r="1241" spans="1:29" x14ac:dyDescent="0.25">
      <c r="A1241" s="2">
        <f>INT(Tabela1[[#This Row],[Data e Hora2]])</f>
        <v>46295</v>
      </c>
      <c r="B1241" s="6" t="str">
        <f>UPPER(TEXT(Tabela1[[#This Row],[Data Corrigida]],"MMM"))</f>
        <v>SET</v>
      </c>
      <c r="C1241" t="s">
        <v>2756</v>
      </c>
      <c r="D1241" s="2" t="s">
        <v>2757</v>
      </c>
      <c r="E1241" s="1" t="s">
        <v>2743</v>
      </c>
      <c r="F1241" t="s">
        <v>24</v>
      </c>
      <c r="G1241" s="2" t="s">
        <v>2621</v>
      </c>
      <c r="H1241" t="s">
        <v>26</v>
      </c>
      <c r="I1241" t="s">
        <v>27</v>
      </c>
      <c r="J1241" s="6">
        <v>15849</v>
      </c>
      <c r="K1241" s="16">
        <v>1010</v>
      </c>
      <c r="L1241" s="16">
        <v>1016</v>
      </c>
      <c r="M1241" s="16">
        <v>1014</v>
      </c>
      <c r="N1241" s="16">
        <v>1008</v>
      </c>
      <c r="O1241" s="16">
        <v>1005</v>
      </c>
      <c r="P1241" s="16">
        <v>1005</v>
      </c>
      <c r="Q1241" s="16">
        <v>1014</v>
      </c>
      <c r="R1241" s="16">
        <v>1008</v>
      </c>
      <c r="S1241" s="16">
        <v>1007</v>
      </c>
      <c r="T1241" s="16">
        <v>1001</v>
      </c>
      <c r="U1241" s="15">
        <v>1008.8</v>
      </c>
      <c r="V1241" t="s">
        <v>19</v>
      </c>
      <c r="W1241" t="s">
        <v>19</v>
      </c>
      <c r="X1241">
        <v>27973</v>
      </c>
      <c r="Y1241" s="16">
        <f>VLOOKUP(Tabela1[[#This Row],[SKU]],SKU!A:D,4,0)</f>
        <v>1000</v>
      </c>
      <c r="Z1241" s="18">
        <f>IFERROR((Tabela1[[#This Row],[Média]]-Tabela1[[#This Row],[Meta]])/Tabela1[[#This Row],[Meta]],"")</f>
        <v>8.7999999999999537E-3</v>
      </c>
      <c r="AA1241" s="31">
        <f>Tabela1[[#This Row],[Média]]-Tabela1[[#This Row],[Meta]]</f>
        <v>8.7999999999999545</v>
      </c>
      <c r="AB1241" s="6" t="str">
        <f>VLOOKUP(Tabela1[[#This Row],[SKU]],SKU!A:B,2,0)</f>
        <v>FILEZINHO PEITO CG BDJ SE</v>
      </c>
      <c r="AC1241" s="6" t="str">
        <f>VLOOKUP(Tabela1[[#This Row],[SKU]],SKU!A:C,3,0)</f>
        <v>SASSAMI</v>
      </c>
    </row>
    <row r="1242" spans="1:29" x14ac:dyDescent="0.25">
      <c r="A1242" s="2">
        <f>INT(Tabela1[[#This Row],[Data e Hora2]])</f>
        <v>46295</v>
      </c>
      <c r="B1242" s="6" t="str">
        <f>UPPER(TEXT(Tabela1[[#This Row],[Data Corrigida]],"MMM"))</f>
        <v>SET</v>
      </c>
      <c r="C1242" t="s">
        <v>2758</v>
      </c>
      <c r="D1242" s="2" t="s">
        <v>2759</v>
      </c>
      <c r="E1242" s="1" t="s">
        <v>2743</v>
      </c>
      <c r="F1242" t="s">
        <v>24</v>
      </c>
      <c r="G1242" s="2" t="s">
        <v>2621</v>
      </c>
      <c r="H1242" t="s">
        <v>26</v>
      </c>
      <c r="I1242" t="s">
        <v>27</v>
      </c>
      <c r="J1242" s="6">
        <v>15105</v>
      </c>
      <c r="K1242" s="16">
        <v>1029</v>
      </c>
      <c r="L1242" s="16">
        <v>991</v>
      </c>
      <c r="M1242" s="16">
        <v>995</v>
      </c>
      <c r="N1242" s="16">
        <v>992</v>
      </c>
      <c r="O1242" s="16">
        <v>1002</v>
      </c>
      <c r="P1242" s="16">
        <v>1032</v>
      </c>
      <c r="Q1242" s="16">
        <v>1001</v>
      </c>
      <c r="R1242" s="16">
        <v>995</v>
      </c>
      <c r="S1242" s="16">
        <v>999</v>
      </c>
      <c r="T1242" s="16">
        <v>1011</v>
      </c>
      <c r="U1242" s="15">
        <v>1004.7</v>
      </c>
      <c r="V1242" t="s">
        <v>19</v>
      </c>
      <c r="W1242" t="s">
        <v>28</v>
      </c>
      <c r="X1242">
        <v>28194</v>
      </c>
      <c r="Y1242" s="16">
        <f>VLOOKUP(Tabela1[[#This Row],[SKU]],SKU!A:D,4,0)</f>
        <v>1000</v>
      </c>
      <c r="Z1242" s="18">
        <f>IFERROR((Tabela1[[#This Row],[Média]]-Tabela1[[#This Row],[Meta]])/Tabela1[[#This Row],[Meta]],"")</f>
        <v>4.7000000000000453E-3</v>
      </c>
      <c r="AA1242" s="31">
        <f>Tabela1[[#This Row],[Média]]-Tabela1[[#This Row],[Meta]]</f>
        <v>4.7000000000000455</v>
      </c>
      <c r="AB1242" s="6" t="str">
        <f>VLOOKUP(Tabela1[[#This Row],[SKU]],SKU!A:B,2,0)</f>
        <v>FILE PEITO MET CG BDJ SE</v>
      </c>
      <c r="AC1242" s="6" t="str">
        <f>VLOOKUP(Tabela1[[#This Row],[SKU]],SKU!A:C,3,0)</f>
        <v>PEITO</v>
      </c>
    </row>
    <row r="1243" spans="1:29" x14ac:dyDescent="0.25">
      <c r="A1243" s="2">
        <f>INT(Tabela1[[#This Row],[Data e Hora2]])</f>
        <v>46295</v>
      </c>
      <c r="B1243" s="6" t="str">
        <f>UPPER(TEXT(Tabela1[[#This Row],[Data Corrigida]],"MMM"))</f>
        <v>SET</v>
      </c>
      <c r="C1243" t="s">
        <v>2760</v>
      </c>
      <c r="D1243" s="2" t="s">
        <v>2761</v>
      </c>
      <c r="E1243" s="1" t="s">
        <v>2743</v>
      </c>
      <c r="F1243" t="s">
        <v>24</v>
      </c>
      <c r="G1243" s="2" t="s">
        <v>2621</v>
      </c>
      <c r="H1243" t="s">
        <v>26</v>
      </c>
      <c r="I1243" t="s">
        <v>27</v>
      </c>
      <c r="J1243" s="6">
        <v>995638</v>
      </c>
      <c r="K1243" s="16">
        <v>15005</v>
      </c>
      <c r="L1243" s="16">
        <v>15035</v>
      </c>
      <c r="M1243" s="16">
        <v>15025</v>
      </c>
      <c r="N1243" s="16">
        <v>15040</v>
      </c>
      <c r="O1243" s="16">
        <v>15005</v>
      </c>
      <c r="P1243" s="16">
        <v>15050</v>
      </c>
      <c r="Q1243" s="16">
        <v>15070</v>
      </c>
      <c r="R1243" s="16">
        <v>15045</v>
      </c>
      <c r="S1243" s="16">
        <v>15005</v>
      </c>
      <c r="T1243" s="16">
        <v>15050</v>
      </c>
      <c r="U1243" s="15">
        <v>15033</v>
      </c>
      <c r="V1243" t="s">
        <v>19</v>
      </c>
      <c r="W1243" t="s">
        <v>28</v>
      </c>
      <c r="X1243">
        <v>28649</v>
      </c>
      <c r="Y1243" s="16">
        <f>VLOOKUP(Tabela1[[#This Row],[SKU]],SKU!A:D,4,0)</f>
        <v>15000</v>
      </c>
      <c r="Z1243" s="18">
        <f>IFERROR((Tabela1[[#This Row],[Média]]-Tabela1[[#This Row],[Meta]])/Tabela1[[#This Row],[Meta]],"")</f>
        <v>2.2000000000000001E-3</v>
      </c>
      <c r="AA1243" s="31">
        <f>Tabela1[[#This Row],[Média]]-Tabela1[[#This Row],[Meta]]</f>
        <v>33</v>
      </c>
      <c r="AB1243" s="6" t="str">
        <f>VLOOKUP(Tabela1[[#This Row],[SKU]],SKU!A:B,2,0)</f>
        <v>MEIO DA ASA 40-50G LP</v>
      </c>
      <c r="AC1243" s="6" t="str">
        <f>VLOOKUP(Tabela1[[#This Row],[SKU]],SKU!A:C,3,0)</f>
        <v>ASA</v>
      </c>
    </row>
    <row r="1244" spans="1:29" x14ac:dyDescent="0.25">
      <c r="A1244" s="2">
        <f>INT(Tabela1[[#This Row],[Data e Hora2]])</f>
        <v>46295</v>
      </c>
      <c r="B1244" s="6" t="str">
        <f>UPPER(TEXT(Tabela1[[#This Row],[Data Corrigida]],"MMM"))</f>
        <v>SET</v>
      </c>
      <c r="C1244" t="s">
        <v>2762</v>
      </c>
      <c r="D1244" s="2" t="s">
        <v>2763</v>
      </c>
      <c r="E1244" s="1" t="s">
        <v>2764</v>
      </c>
      <c r="F1244" t="s">
        <v>24</v>
      </c>
      <c r="G1244" s="2" t="s">
        <v>2621</v>
      </c>
      <c r="H1244" t="s">
        <v>26</v>
      </c>
      <c r="I1244" t="s">
        <v>57</v>
      </c>
      <c r="J1244" s="6">
        <v>13188</v>
      </c>
      <c r="K1244" s="16">
        <v>1037</v>
      </c>
      <c r="L1244" s="16">
        <v>1017</v>
      </c>
      <c r="M1244" s="16">
        <v>1035</v>
      </c>
      <c r="N1244" s="16">
        <v>1015</v>
      </c>
      <c r="O1244" s="16">
        <v>1035</v>
      </c>
      <c r="P1244" s="16">
        <v>1034</v>
      </c>
      <c r="Q1244" s="16">
        <v>1042</v>
      </c>
      <c r="R1244" s="16">
        <v>1027</v>
      </c>
      <c r="S1244" s="16">
        <v>1009</v>
      </c>
      <c r="T1244" s="16">
        <v>1033</v>
      </c>
      <c r="U1244" s="15">
        <v>1028.4000000000001</v>
      </c>
      <c r="V1244" t="s">
        <v>19</v>
      </c>
      <c r="W1244" t="s">
        <v>28</v>
      </c>
      <c r="X1244">
        <v>410</v>
      </c>
      <c r="Y1244" s="16">
        <f>VLOOKUP(Tabela1[[#This Row],[SKU]],SKU!A:D,4,0)</f>
        <v>1000</v>
      </c>
      <c r="Z1244" s="18">
        <f>IFERROR((Tabela1[[#This Row],[Média]]-Tabela1[[#This Row],[Meta]])/Tabela1[[#This Row],[Meta]],"")</f>
        <v>2.8400000000000092E-2</v>
      </c>
      <c r="AA1244" s="31">
        <f>Tabela1[[#This Row],[Média]]-Tabela1[[#This Row],[Meta]]</f>
        <v>28.400000000000091</v>
      </c>
      <c r="AB1244" s="6" t="str">
        <f>VLOOKUP(Tabela1[[#This Row],[SKU]],SKU!A:B,2,0)</f>
        <v>SOBRECOXA CG BDJ SE</v>
      </c>
      <c r="AC1244" s="6" t="str">
        <f>VLOOKUP(Tabela1[[#This Row],[SKU]],SKU!A:C,3,0)</f>
        <v>PERNA</v>
      </c>
    </row>
    <row r="1245" spans="1:29" x14ac:dyDescent="0.25">
      <c r="A1245" s="2">
        <f>INT(Tabela1[[#This Row],[Data e Hora2]])</f>
        <v>46295</v>
      </c>
      <c r="B1245" s="6" t="str">
        <f>UPPER(TEXT(Tabela1[[#This Row],[Data Corrigida]],"MMM"))</f>
        <v>SET</v>
      </c>
      <c r="C1245" t="s">
        <v>2765</v>
      </c>
      <c r="D1245" s="2" t="s">
        <v>2766</v>
      </c>
      <c r="E1245" s="1" t="s">
        <v>2764</v>
      </c>
      <c r="F1245" t="s">
        <v>24</v>
      </c>
      <c r="G1245" s="2" t="s">
        <v>2621</v>
      </c>
      <c r="H1245" t="s">
        <v>26</v>
      </c>
      <c r="I1245" t="s">
        <v>57</v>
      </c>
      <c r="J1245" s="6">
        <v>42846</v>
      </c>
      <c r="K1245" s="16">
        <v>2014</v>
      </c>
      <c r="L1245" s="16">
        <v>2002</v>
      </c>
      <c r="M1245" s="16">
        <v>2009</v>
      </c>
      <c r="N1245" s="16">
        <v>2092</v>
      </c>
      <c r="O1245" s="16">
        <v>2014</v>
      </c>
      <c r="P1245" s="16">
        <v>2008</v>
      </c>
      <c r="Q1245" s="16">
        <v>2004</v>
      </c>
      <c r="R1245" s="16">
        <v>2008</v>
      </c>
      <c r="S1245" s="16">
        <v>2011</v>
      </c>
      <c r="T1245" s="16">
        <v>2000</v>
      </c>
      <c r="U1245" s="15">
        <v>2016.2</v>
      </c>
      <c r="V1245" t="s">
        <v>19</v>
      </c>
      <c r="W1245" t="s">
        <v>28</v>
      </c>
      <c r="X1245">
        <v>701</v>
      </c>
      <c r="Y1245" s="16">
        <f>VLOOKUP(Tabela1[[#This Row],[SKU]],SKU!A:D,4,0)</f>
        <v>2000</v>
      </c>
      <c r="Z1245" s="18">
        <f>IFERROR((Tabela1[[#This Row],[Média]]-Tabela1[[#This Row],[Meta]])/Tabela1[[#This Row],[Meta]],"")</f>
        <v>8.1000000000000221E-3</v>
      </c>
      <c r="AA1245" s="31">
        <f>Tabela1[[#This Row],[Média]]-Tabela1[[#This Row],[Meta]]</f>
        <v>16.200000000000045</v>
      </c>
      <c r="AB1245" s="6" t="str">
        <f>VLOOKUP(Tabela1[[#This Row],[SKU]],SKU!A:B,2,0)</f>
        <v>COXA SBCX S/O FG 240-260g PB</v>
      </c>
      <c r="AC1245" s="6" t="str">
        <f>VLOOKUP(Tabela1[[#This Row],[SKU]],SKU!A:C,3,0)</f>
        <v>PERNA</v>
      </c>
    </row>
    <row r="1246" spans="1:29" x14ac:dyDescent="0.25">
      <c r="A1246" s="2">
        <f>INT(Tabela1[[#This Row],[Data e Hora2]])</f>
        <v>46295</v>
      </c>
      <c r="B1246" s="6" t="str">
        <f>UPPER(TEXT(Tabela1[[#This Row],[Data Corrigida]],"MMM"))</f>
        <v>SET</v>
      </c>
      <c r="C1246" t="s">
        <v>2767</v>
      </c>
      <c r="D1246" s="2" t="s">
        <v>2768</v>
      </c>
      <c r="E1246" s="1" t="s">
        <v>2764</v>
      </c>
      <c r="F1246" t="s">
        <v>24</v>
      </c>
      <c r="G1246" s="2" t="s">
        <v>2621</v>
      </c>
      <c r="H1246" t="s">
        <v>26</v>
      </c>
      <c r="I1246" t="s">
        <v>57</v>
      </c>
      <c r="J1246" s="6">
        <v>42838</v>
      </c>
      <c r="K1246" s="16">
        <v>2020</v>
      </c>
      <c r="L1246" s="16">
        <v>2010</v>
      </c>
      <c r="M1246" s="16">
        <v>2029</v>
      </c>
      <c r="N1246" s="16">
        <v>2000</v>
      </c>
      <c r="O1246" s="16">
        <v>2010</v>
      </c>
      <c r="P1246" s="16">
        <v>2030</v>
      </c>
      <c r="Q1246" s="16">
        <v>2030</v>
      </c>
      <c r="R1246" s="16">
        <v>2040</v>
      </c>
      <c r="S1246" s="16">
        <v>2018</v>
      </c>
      <c r="T1246" s="16">
        <v>2034</v>
      </c>
      <c r="U1246" s="15">
        <v>2022.1</v>
      </c>
      <c r="V1246" t="s">
        <v>19</v>
      </c>
      <c r="W1246" t="s">
        <v>28</v>
      </c>
      <c r="X1246">
        <v>1108</v>
      </c>
      <c r="Y1246" s="16">
        <f>VLOOKUP(Tabela1[[#This Row],[SKU]],SKU!A:D,4,0)</f>
        <v>2000</v>
      </c>
      <c r="Z1246" s="18">
        <f>IFERROR((Tabela1[[#This Row],[Média]]-Tabela1[[#This Row],[Meta]])/Tabela1[[#This Row],[Meta]],"")</f>
        <v>1.1049999999999954E-2</v>
      </c>
      <c r="AA1246" s="31">
        <f>Tabela1[[#This Row],[Média]]-Tabela1[[#This Row],[Meta]]</f>
        <v>22.099999999999909</v>
      </c>
      <c r="AB1246" s="6" t="str">
        <f>VLOOKUP(Tabela1[[#This Row],[SKU]],SKU!A:B,2,0)</f>
        <v>COXA SBCX S/O FG 220-240g PB</v>
      </c>
      <c r="AC1246" s="6" t="str">
        <f>VLOOKUP(Tabela1[[#This Row],[SKU]],SKU!A:C,3,0)</f>
        <v>PERNA</v>
      </c>
    </row>
    <row r="1247" spans="1:29" x14ac:dyDescent="0.25">
      <c r="A1247" s="2">
        <f>INT(Tabela1[[#This Row],[Data e Hora2]])</f>
        <v>46295</v>
      </c>
      <c r="B1247" s="6" t="str">
        <f>UPPER(TEXT(Tabela1[[#This Row],[Data Corrigida]],"MMM"))</f>
        <v>SET</v>
      </c>
      <c r="C1247" t="s">
        <v>2769</v>
      </c>
      <c r="D1247" s="2" t="s">
        <v>2770</v>
      </c>
      <c r="E1247" s="1" t="s">
        <v>2771</v>
      </c>
      <c r="F1247" t="s">
        <v>24</v>
      </c>
      <c r="G1247" s="2" t="s">
        <v>2621</v>
      </c>
      <c r="H1247" t="s">
        <v>26</v>
      </c>
      <c r="I1247" t="s">
        <v>57</v>
      </c>
      <c r="J1247" s="6">
        <v>42862</v>
      </c>
      <c r="K1247" s="16">
        <v>2026</v>
      </c>
      <c r="L1247" s="16">
        <v>2026</v>
      </c>
      <c r="M1247" s="16">
        <v>2015</v>
      </c>
      <c r="N1247" s="16">
        <v>2035</v>
      </c>
      <c r="O1247" s="16">
        <v>2008</v>
      </c>
      <c r="P1247" s="16">
        <v>2064</v>
      </c>
      <c r="Q1247" s="16">
        <v>2012</v>
      </c>
      <c r="R1247" s="16">
        <v>2066</v>
      </c>
      <c r="S1247" s="16">
        <v>2030</v>
      </c>
      <c r="T1247" s="16">
        <v>2015</v>
      </c>
      <c r="U1247" s="15">
        <v>2029.7</v>
      </c>
      <c r="V1247" t="s">
        <v>19</v>
      </c>
      <c r="W1247" t="s">
        <v>28</v>
      </c>
      <c r="X1247">
        <v>426</v>
      </c>
      <c r="Y1247" s="16">
        <f>VLOOKUP(Tabela1[[#This Row],[SKU]],SKU!A:D,4,0)</f>
        <v>2000</v>
      </c>
      <c r="Z1247" s="18">
        <f>IFERROR((Tabela1[[#This Row],[Média]]-Tabela1[[#This Row],[Meta]])/Tabela1[[#This Row],[Meta]],"")</f>
        <v>1.4850000000000023E-2</v>
      </c>
      <c r="AA1247" s="31">
        <f>Tabela1[[#This Row],[Média]]-Tabela1[[#This Row],[Meta]]</f>
        <v>29.700000000000045</v>
      </c>
      <c r="AB1247" s="6" t="str">
        <f>VLOOKUP(Tabela1[[#This Row],[SKU]],SKU!A:B,2,0)</f>
        <v>COXA SBCX S/O FG 280-300g PB</v>
      </c>
      <c r="AC1247" s="6" t="str">
        <f>VLOOKUP(Tabela1[[#This Row],[SKU]],SKU!A:C,3,0)</f>
        <v>PERNA</v>
      </c>
    </row>
    <row r="1248" spans="1:29" x14ac:dyDescent="0.25">
      <c r="A1248" s="2">
        <f>INT(Tabela1[[#This Row],[Data e Hora2]])</f>
        <v>46295</v>
      </c>
      <c r="B1248" s="6" t="str">
        <f>UPPER(TEXT(Tabela1[[#This Row],[Data Corrigida]],"MMM"))</f>
        <v>SET</v>
      </c>
      <c r="C1248" t="s">
        <v>2772</v>
      </c>
      <c r="D1248" s="2" t="s">
        <v>2773</v>
      </c>
      <c r="E1248" s="1" t="s">
        <v>2771</v>
      </c>
      <c r="F1248" t="s">
        <v>24</v>
      </c>
      <c r="G1248" s="2" t="s">
        <v>2621</v>
      </c>
      <c r="H1248" t="s">
        <v>26</v>
      </c>
      <c r="I1248" t="s">
        <v>57</v>
      </c>
      <c r="J1248" s="6">
        <v>42854</v>
      </c>
      <c r="K1248" s="16">
        <v>2105</v>
      </c>
      <c r="L1248" s="16">
        <v>2085</v>
      </c>
      <c r="M1248" s="16">
        <v>2065</v>
      </c>
      <c r="N1248" s="16">
        <v>2050</v>
      </c>
      <c r="O1248" s="16">
        <v>2048</v>
      </c>
      <c r="P1248" s="16">
        <v>2066</v>
      </c>
      <c r="Q1248" s="16">
        <v>2113</v>
      </c>
      <c r="R1248" s="16">
        <v>2052</v>
      </c>
      <c r="S1248" s="16">
        <v>2121</v>
      </c>
      <c r="T1248" s="16">
        <v>2089</v>
      </c>
      <c r="U1248" s="15">
        <v>2079.4</v>
      </c>
      <c r="V1248" t="s">
        <v>19</v>
      </c>
      <c r="W1248" t="s">
        <v>28</v>
      </c>
      <c r="X1248">
        <v>570</v>
      </c>
      <c r="Y1248" s="16">
        <f>VLOOKUP(Tabela1[[#This Row],[SKU]],SKU!A:D,4,0)</f>
        <v>2080</v>
      </c>
      <c r="Z1248" s="18">
        <f>IFERROR((Tabela1[[#This Row],[Média]]-Tabela1[[#This Row],[Meta]])/Tabela1[[#This Row],[Meta]],"")</f>
        <v>-2.8846153846149474E-4</v>
      </c>
      <c r="AA1248" s="31">
        <f>Tabela1[[#This Row],[Média]]-Tabela1[[#This Row],[Meta]]</f>
        <v>-0.59999999999990905</v>
      </c>
      <c r="AB1248" s="6" t="str">
        <f>VLOOKUP(Tabela1[[#This Row],[SKU]],SKU!A:B,2,0)</f>
        <v>COXA SBCX S/O FG 260-280g PB</v>
      </c>
      <c r="AC1248" s="6" t="str">
        <f>VLOOKUP(Tabela1[[#This Row],[SKU]],SKU!A:C,3,0)</f>
        <v>PERNA</v>
      </c>
    </row>
    <row r="1249" spans="1:29" x14ac:dyDescent="0.25">
      <c r="A1249" s="2">
        <f>INT(Tabela1[[#This Row],[Data e Hora2]])</f>
        <v>46295</v>
      </c>
      <c r="B1249" s="6" t="str">
        <f>UPPER(TEXT(Tabela1[[#This Row],[Data Corrigida]],"MMM"))</f>
        <v>SET</v>
      </c>
      <c r="C1249" t="s">
        <v>2774</v>
      </c>
      <c r="D1249" s="2" t="s">
        <v>2775</v>
      </c>
      <c r="E1249" s="1" t="s">
        <v>2771</v>
      </c>
      <c r="F1249" t="s">
        <v>24</v>
      </c>
      <c r="G1249" s="2" t="s">
        <v>2621</v>
      </c>
      <c r="H1249" t="s">
        <v>26</v>
      </c>
      <c r="I1249" t="s">
        <v>57</v>
      </c>
      <c r="J1249" s="6">
        <v>42820</v>
      </c>
      <c r="K1249" s="16">
        <v>2010</v>
      </c>
      <c r="L1249" s="16">
        <v>2059</v>
      </c>
      <c r="M1249" s="16">
        <v>2057</v>
      </c>
      <c r="N1249" s="16">
        <v>2024</v>
      </c>
      <c r="O1249" s="16">
        <v>2020</v>
      </c>
      <c r="P1249" s="16">
        <v>2043</v>
      </c>
      <c r="Q1249" s="16">
        <v>2011</v>
      </c>
      <c r="R1249" s="16">
        <v>2016</v>
      </c>
      <c r="S1249" s="16">
        <v>2020</v>
      </c>
      <c r="T1249" s="16">
        <v>2013</v>
      </c>
      <c r="U1249" s="15">
        <v>2027.3</v>
      </c>
      <c r="V1249" t="s">
        <v>19</v>
      </c>
      <c r="W1249" t="s">
        <v>28</v>
      </c>
      <c r="X1249">
        <v>1197</v>
      </c>
      <c r="Y1249" s="16">
        <f>VLOOKUP(Tabela1[[#This Row],[SKU]],SKU!A:D,4,0)</f>
        <v>2000</v>
      </c>
      <c r="Z1249" s="18">
        <f>IFERROR((Tabela1[[#This Row],[Média]]-Tabela1[[#This Row],[Meta]])/Tabela1[[#This Row],[Meta]],"")</f>
        <v>1.3649999999999978E-2</v>
      </c>
      <c r="AA1249" s="31">
        <f>Tabela1[[#This Row],[Média]]-Tabela1[[#This Row],[Meta]]</f>
        <v>27.299999999999955</v>
      </c>
      <c r="AB1249" s="6" t="str">
        <f>VLOOKUP(Tabela1[[#This Row],[SKU]],SKU!A:B,2,0)</f>
        <v>COXA SBCX S/O FG 200-220g PB</v>
      </c>
      <c r="AC1249" s="6" t="str">
        <f>VLOOKUP(Tabela1[[#This Row],[SKU]],SKU!A:C,3,0)</f>
        <v>PERNA</v>
      </c>
    </row>
    <row r="1250" spans="1:29" x14ac:dyDescent="0.25">
      <c r="A1250" s="2">
        <f>INT(Tabela1[[#This Row],[Data e Hora2]])</f>
        <v>46295</v>
      </c>
      <c r="B1250" s="6" t="str">
        <f>UPPER(TEXT(Tabela1[[#This Row],[Data Corrigida]],"MMM"))</f>
        <v>SET</v>
      </c>
      <c r="C1250" t="s">
        <v>2776</v>
      </c>
      <c r="D1250" s="2" t="s">
        <v>2777</v>
      </c>
      <c r="E1250" s="1" t="s">
        <v>2778</v>
      </c>
      <c r="F1250" t="s">
        <v>24</v>
      </c>
      <c r="G1250" s="2" t="s">
        <v>2621</v>
      </c>
      <c r="H1250" t="s">
        <v>26</v>
      </c>
      <c r="I1250" t="s">
        <v>57</v>
      </c>
      <c r="J1250" s="6">
        <v>42862</v>
      </c>
      <c r="K1250" s="16">
        <v>2030</v>
      </c>
      <c r="L1250" s="16">
        <v>2020</v>
      </c>
      <c r="M1250" s="16">
        <v>2036</v>
      </c>
      <c r="N1250" s="16">
        <v>2010</v>
      </c>
      <c r="O1250" s="16">
        <v>2021</v>
      </c>
      <c r="P1250" s="16">
        <v>2010</v>
      </c>
      <c r="Q1250" s="16">
        <v>2012</v>
      </c>
      <c r="R1250" s="16">
        <v>2032</v>
      </c>
      <c r="S1250" s="16">
        <v>2003</v>
      </c>
      <c r="T1250" s="16">
        <v>2032</v>
      </c>
      <c r="U1250" s="15">
        <v>2020.6</v>
      </c>
      <c r="V1250" t="s">
        <v>19</v>
      </c>
      <c r="W1250" t="s">
        <v>28</v>
      </c>
      <c r="X1250">
        <v>1028</v>
      </c>
      <c r="Y1250" s="16">
        <f>VLOOKUP(Tabela1[[#This Row],[SKU]],SKU!A:D,4,0)</f>
        <v>2000</v>
      </c>
      <c r="Z1250" s="18">
        <f>IFERROR((Tabela1[[#This Row],[Média]]-Tabela1[[#This Row],[Meta]])/Tabela1[[#This Row],[Meta]],"")</f>
        <v>1.0299999999999955E-2</v>
      </c>
      <c r="AA1250" s="31">
        <f>Tabela1[[#This Row],[Média]]-Tabela1[[#This Row],[Meta]]</f>
        <v>20.599999999999909</v>
      </c>
      <c r="AB1250" s="6" t="str">
        <f>VLOOKUP(Tabela1[[#This Row],[SKU]],SKU!A:B,2,0)</f>
        <v>COXA SBCX S/O FG 280-300g PB</v>
      </c>
      <c r="AC1250" s="6" t="str">
        <f>VLOOKUP(Tabela1[[#This Row],[SKU]],SKU!A:C,3,0)</f>
        <v>PERNA</v>
      </c>
    </row>
    <row r="1251" spans="1:29" x14ac:dyDescent="0.25">
      <c r="A1251" s="2">
        <f>INT(Tabela1[[#This Row],[Data e Hora2]])</f>
        <v>46295</v>
      </c>
      <c r="B1251" s="6" t="str">
        <f>UPPER(TEXT(Tabela1[[#This Row],[Data Corrigida]],"MMM"))</f>
        <v>SET</v>
      </c>
      <c r="C1251" t="s">
        <v>2779</v>
      </c>
      <c r="D1251" s="2" t="s">
        <v>2780</v>
      </c>
      <c r="E1251" s="1" t="s">
        <v>2778</v>
      </c>
      <c r="F1251" t="s">
        <v>24</v>
      </c>
      <c r="G1251" s="2" t="s">
        <v>2621</v>
      </c>
      <c r="H1251" t="s">
        <v>26</v>
      </c>
      <c r="I1251" t="s">
        <v>57</v>
      </c>
      <c r="J1251" s="6">
        <v>42854</v>
      </c>
      <c r="K1251" s="16">
        <v>2057</v>
      </c>
      <c r="L1251" s="16">
        <v>2098</v>
      </c>
      <c r="M1251" s="16">
        <v>2072</v>
      </c>
      <c r="N1251" s="16">
        <v>2114</v>
      </c>
      <c r="O1251" s="16">
        <v>2082</v>
      </c>
      <c r="P1251" s="16">
        <v>2128</v>
      </c>
      <c r="Q1251" s="16">
        <v>2007</v>
      </c>
      <c r="R1251" s="16">
        <v>2040</v>
      </c>
      <c r="S1251" s="16">
        <v>2100</v>
      </c>
      <c r="T1251" s="16">
        <v>2082</v>
      </c>
      <c r="U1251" s="15">
        <v>2078</v>
      </c>
      <c r="V1251" t="s">
        <v>19</v>
      </c>
      <c r="W1251" t="s">
        <v>28</v>
      </c>
      <c r="X1251">
        <v>1153</v>
      </c>
      <c r="Y1251" s="16">
        <f>VLOOKUP(Tabela1[[#This Row],[SKU]],SKU!A:D,4,0)</f>
        <v>2080</v>
      </c>
      <c r="Z1251" s="18">
        <f>IFERROR((Tabela1[[#This Row],[Média]]-Tabela1[[#This Row],[Meta]])/Tabela1[[#This Row],[Meta]],"")</f>
        <v>-9.6153846153846159E-4</v>
      </c>
      <c r="AA1251" s="31">
        <f>Tabela1[[#This Row],[Média]]-Tabela1[[#This Row],[Meta]]</f>
        <v>-2</v>
      </c>
      <c r="AB1251" s="6" t="str">
        <f>VLOOKUP(Tabela1[[#This Row],[SKU]],SKU!A:B,2,0)</f>
        <v>COXA SBCX S/O FG 260-280g PB</v>
      </c>
      <c r="AC1251" s="6" t="str">
        <f>VLOOKUP(Tabela1[[#This Row],[SKU]],SKU!A:C,3,0)</f>
        <v>PERNA</v>
      </c>
    </row>
    <row r="1252" spans="1:29" x14ac:dyDescent="0.25">
      <c r="A1252" s="2">
        <f>INT(Tabela1[[#This Row],[Data e Hora2]])</f>
        <v>46295</v>
      </c>
      <c r="B1252" s="6" t="str">
        <f>UPPER(TEXT(Tabela1[[#This Row],[Data Corrigida]],"MMM"))</f>
        <v>SET</v>
      </c>
      <c r="C1252" t="s">
        <v>2781</v>
      </c>
      <c r="D1252" s="2" t="s">
        <v>2782</v>
      </c>
      <c r="E1252" s="1" t="s">
        <v>2778</v>
      </c>
      <c r="F1252" t="s">
        <v>24</v>
      </c>
      <c r="G1252" s="2" t="s">
        <v>2621</v>
      </c>
      <c r="H1252" t="s">
        <v>26</v>
      </c>
      <c r="I1252" t="s">
        <v>57</v>
      </c>
      <c r="J1252" s="6">
        <v>42846</v>
      </c>
      <c r="K1252" s="16">
        <v>2003</v>
      </c>
      <c r="L1252" s="16">
        <v>2002</v>
      </c>
      <c r="M1252" s="16">
        <v>2069</v>
      </c>
      <c r="N1252" s="16">
        <v>2010</v>
      </c>
      <c r="O1252" s="16">
        <v>1998</v>
      </c>
      <c r="P1252" s="16">
        <v>2011</v>
      </c>
      <c r="Q1252" s="16">
        <v>2013</v>
      </c>
      <c r="R1252" s="16">
        <v>2003</v>
      </c>
      <c r="S1252" s="16">
        <v>2015</v>
      </c>
      <c r="T1252" s="16">
        <v>2005</v>
      </c>
      <c r="U1252" s="15">
        <v>2012.9</v>
      </c>
      <c r="V1252" t="s">
        <v>19</v>
      </c>
      <c r="W1252" t="s">
        <v>28</v>
      </c>
      <c r="X1252">
        <v>1412</v>
      </c>
      <c r="Y1252" s="16">
        <f>VLOOKUP(Tabela1[[#This Row],[SKU]],SKU!A:D,4,0)</f>
        <v>2000</v>
      </c>
      <c r="Z1252" s="18">
        <f>IFERROR((Tabela1[[#This Row],[Média]]-Tabela1[[#This Row],[Meta]])/Tabela1[[#This Row],[Meta]],"")</f>
        <v>6.4500000000000451E-3</v>
      </c>
      <c r="AA1252" s="31">
        <f>Tabela1[[#This Row],[Média]]-Tabela1[[#This Row],[Meta]]</f>
        <v>12.900000000000091</v>
      </c>
      <c r="AB1252" s="6" t="str">
        <f>VLOOKUP(Tabela1[[#This Row],[SKU]],SKU!A:B,2,0)</f>
        <v>COXA SBCX S/O FG 240-260g PB</v>
      </c>
      <c r="AC1252" s="6" t="str">
        <f>VLOOKUP(Tabela1[[#This Row],[SKU]],SKU!A:C,3,0)</f>
        <v>PERNA</v>
      </c>
    </row>
    <row r="1253" spans="1:29" x14ac:dyDescent="0.25">
      <c r="A1253" s="2">
        <f>INT(Tabela1[[#This Row],[Data e Hora2]])</f>
        <v>46295</v>
      </c>
      <c r="B1253" s="6" t="str">
        <f>UPPER(TEXT(Tabela1[[#This Row],[Data Corrigida]],"MMM"))</f>
        <v>SET</v>
      </c>
      <c r="C1253" t="s">
        <v>2783</v>
      </c>
      <c r="D1253" s="2" t="s">
        <v>2784</v>
      </c>
      <c r="E1253" s="1" t="s">
        <v>2778</v>
      </c>
      <c r="F1253" t="s">
        <v>24</v>
      </c>
      <c r="G1253" s="2" t="s">
        <v>2621</v>
      </c>
      <c r="H1253" t="s">
        <v>26</v>
      </c>
      <c r="I1253" t="s">
        <v>57</v>
      </c>
      <c r="J1253" s="6">
        <v>42838</v>
      </c>
      <c r="K1253" s="16">
        <v>2021</v>
      </c>
      <c r="L1253" s="16">
        <v>2027</v>
      </c>
      <c r="M1253" s="16">
        <v>2008</v>
      </c>
      <c r="N1253" s="16">
        <v>2028</v>
      </c>
      <c r="O1253" s="16">
        <v>2004</v>
      </c>
      <c r="P1253" s="16">
        <v>2003</v>
      </c>
      <c r="Q1253" s="16">
        <v>2006</v>
      </c>
      <c r="R1253" s="16">
        <v>2014</v>
      </c>
      <c r="S1253" s="16">
        <v>2047</v>
      </c>
      <c r="T1253" s="16">
        <v>2013</v>
      </c>
      <c r="U1253" s="15">
        <v>2017.1</v>
      </c>
      <c r="V1253" t="s">
        <v>19</v>
      </c>
      <c r="W1253" t="s">
        <v>28</v>
      </c>
      <c r="X1253">
        <v>1507</v>
      </c>
      <c r="Y1253" s="16">
        <f>VLOOKUP(Tabela1[[#This Row],[SKU]],SKU!A:D,4,0)</f>
        <v>2000</v>
      </c>
      <c r="Z1253" s="18">
        <f>IFERROR((Tabela1[[#This Row],[Média]]-Tabela1[[#This Row],[Meta]])/Tabela1[[#This Row],[Meta]],"")</f>
        <v>8.5499999999999552E-3</v>
      </c>
      <c r="AA1253" s="31">
        <f>Tabela1[[#This Row],[Média]]-Tabela1[[#This Row],[Meta]]</f>
        <v>17.099999999999909</v>
      </c>
      <c r="AB1253" s="6" t="str">
        <f>VLOOKUP(Tabela1[[#This Row],[SKU]],SKU!A:B,2,0)</f>
        <v>COXA SBCX S/O FG 220-240g PB</v>
      </c>
      <c r="AC1253" s="6" t="str">
        <f>VLOOKUP(Tabela1[[#This Row],[SKU]],SKU!A:C,3,0)</f>
        <v>PERNA</v>
      </c>
    </row>
    <row r="1254" spans="1:29" x14ac:dyDescent="0.25">
      <c r="A1254" s="2">
        <f>INT(Tabela1[[#This Row],[Data e Hora2]])</f>
        <v>46295</v>
      </c>
      <c r="B1254" s="6" t="str">
        <f>UPPER(TEXT(Tabela1[[#This Row],[Data Corrigida]],"MMM"))</f>
        <v>SET</v>
      </c>
      <c r="C1254" t="s">
        <v>2785</v>
      </c>
      <c r="D1254" s="2" t="s">
        <v>2786</v>
      </c>
      <c r="E1254" s="1" t="s">
        <v>2778</v>
      </c>
      <c r="F1254" t="s">
        <v>24</v>
      </c>
      <c r="G1254" s="2" t="s">
        <v>2621</v>
      </c>
      <c r="H1254" t="s">
        <v>26</v>
      </c>
      <c r="I1254" t="s">
        <v>57</v>
      </c>
      <c r="J1254" s="6">
        <v>42820</v>
      </c>
      <c r="K1254" s="16">
        <v>2059</v>
      </c>
      <c r="L1254" s="16">
        <v>2035</v>
      </c>
      <c r="M1254" s="16">
        <v>2024</v>
      </c>
      <c r="N1254" s="16">
        <v>2027</v>
      </c>
      <c r="O1254" s="16">
        <v>2011</v>
      </c>
      <c r="P1254" s="16">
        <v>2027</v>
      </c>
      <c r="Q1254" s="16">
        <v>2000</v>
      </c>
      <c r="R1254" s="16">
        <v>2010</v>
      </c>
      <c r="S1254" s="16">
        <v>2035</v>
      </c>
      <c r="T1254" s="16">
        <v>2038</v>
      </c>
      <c r="U1254" s="15">
        <v>2026.6</v>
      </c>
      <c r="V1254" t="s">
        <v>19</v>
      </c>
      <c r="W1254" t="s">
        <v>28</v>
      </c>
      <c r="X1254">
        <v>1649</v>
      </c>
      <c r="Y1254" s="16">
        <f>VLOOKUP(Tabela1[[#This Row],[SKU]],SKU!A:D,4,0)</f>
        <v>2000</v>
      </c>
      <c r="Z1254" s="18">
        <f>IFERROR((Tabela1[[#This Row],[Média]]-Tabela1[[#This Row],[Meta]])/Tabela1[[#This Row],[Meta]],"")</f>
        <v>1.3299999999999954E-2</v>
      </c>
      <c r="AA1254" s="31">
        <f>Tabela1[[#This Row],[Média]]-Tabela1[[#This Row],[Meta]]</f>
        <v>26.599999999999909</v>
      </c>
      <c r="AB1254" s="6" t="str">
        <f>VLOOKUP(Tabela1[[#This Row],[SKU]],SKU!A:B,2,0)</f>
        <v>COXA SBCX S/O FG 200-220g PB</v>
      </c>
      <c r="AC1254" s="6" t="str">
        <f>VLOOKUP(Tabela1[[#This Row],[SKU]],SKU!A:C,3,0)</f>
        <v>PERNA</v>
      </c>
    </row>
    <row r="1255" spans="1:29" x14ac:dyDescent="0.25">
      <c r="A1255" s="2">
        <f>INT(Tabela1[[#This Row],[Data e Hora2]])</f>
        <v>46295</v>
      </c>
      <c r="B1255" s="6" t="str">
        <f>UPPER(TEXT(Tabela1[[#This Row],[Data Corrigida]],"MMM"))</f>
        <v>SET</v>
      </c>
      <c r="C1255" t="s">
        <v>2787</v>
      </c>
      <c r="D1255" s="2" t="s">
        <v>2788</v>
      </c>
      <c r="E1255" s="1" t="s">
        <v>2778</v>
      </c>
      <c r="F1255" t="s">
        <v>24</v>
      </c>
      <c r="G1255" s="2" t="s">
        <v>2621</v>
      </c>
      <c r="H1255" t="s">
        <v>26</v>
      </c>
      <c r="I1255" t="s">
        <v>57</v>
      </c>
      <c r="J1255" s="6">
        <v>15105</v>
      </c>
      <c r="K1255" s="16">
        <v>1003</v>
      </c>
      <c r="L1255" s="16">
        <v>1004</v>
      </c>
      <c r="M1255" s="16">
        <v>996</v>
      </c>
      <c r="N1255" s="16">
        <v>1007</v>
      </c>
      <c r="O1255" s="16">
        <v>995</v>
      </c>
      <c r="P1255" s="16">
        <v>1030</v>
      </c>
      <c r="Q1255" s="16">
        <v>1000</v>
      </c>
      <c r="R1255" s="16">
        <v>1038</v>
      </c>
      <c r="S1255" s="16">
        <v>994</v>
      </c>
      <c r="T1255" s="16">
        <v>1000</v>
      </c>
      <c r="U1255" s="15">
        <v>1006.7</v>
      </c>
      <c r="V1255" t="s">
        <v>19</v>
      </c>
      <c r="W1255" t="s">
        <v>28</v>
      </c>
      <c r="X1255">
        <v>169</v>
      </c>
      <c r="Y1255" s="16">
        <f>VLOOKUP(Tabela1[[#This Row],[SKU]],SKU!A:D,4,0)</f>
        <v>1000</v>
      </c>
      <c r="Z1255" s="18">
        <f>IFERROR((Tabela1[[#This Row],[Média]]-Tabela1[[#This Row],[Meta]])/Tabela1[[#This Row],[Meta]],"")</f>
        <v>6.7000000000000453E-3</v>
      </c>
      <c r="AA1255" s="31">
        <f>Tabela1[[#This Row],[Média]]-Tabela1[[#This Row],[Meta]]</f>
        <v>6.7000000000000455</v>
      </c>
      <c r="AB1255" s="6" t="str">
        <f>VLOOKUP(Tabela1[[#This Row],[SKU]],SKU!A:B,2,0)</f>
        <v>FILE PEITO MET CG BDJ SE</v>
      </c>
      <c r="AC1255" s="6" t="str">
        <f>VLOOKUP(Tabela1[[#This Row],[SKU]],SKU!A:C,3,0)</f>
        <v>PEITO</v>
      </c>
    </row>
    <row r="1256" spans="1:29" x14ac:dyDescent="0.25">
      <c r="A1256" s="2">
        <f>INT(Tabela1[[#This Row],[Data e Hora2]])</f>
        <v>46295</v>
      </c>
      <c r="B1256" s="6" t="str">
        <f>UPPER(TEXT(Tabela1[[#This Row],[Data Corrigida]],"MMM"))</f>
        <v>SET</v>
      </c>
      <c r="C1256" t="s">
        <v>2789</v>
      </c>
      <c r="D1256" s="2" t="s">
        <v>2790</v>
      </c>
      <c r="E1256" s="1" t="s">
        <v>2791</v>
      </c>
      <c r="F1256" t="s">
        <v>24</v>
      </c>
      <c r="G1256" s="2" t="s">
        <v>2621</v>
      </c>
      <c r="H1256" t="s">
        <v>26</v>
      </c>
      <c r="I1256" t="s">
        <v>57</v>
      </c>
      <c r="J1256" s="6">
        <v>40762</v>
      </c>
      <c r="K1256" s="16">
        <v>10085</v>
      </c>
      <c r="L1256" s="16">
        <v>10005</v>
      </c>
      <c r="M1256" s="16">
        <v>10000</v>
      </c>
      <c r="N1256" s="16">
        <v>10000</v>
      </c>
      <c r="O1256" s="16">
        <v>9970</v>
      </c>
      <c r="P1256" s="16">
        <v>10050</v>
      </c>
      <c r="Q1256" s="16">
        <v>10040</v>
      </c>
      <c r="R1256" s="16">
        <v>10000</v>
      </c>
      <c r="S1256" s="16">
        <v>10055</v>
      </c>
      <c r="T1256" s="16">
        <v>10055</v>
      </c>
      <c r="U1256" s="15">
        <v>10026</v>
      </c>
      <c r="V1256" t="s">
        <v>19</v>
      </c>
      <c r="W1256" t="s">
        <v>28</v>
      </c>
      <c r="X1256">
        <v>633</v>
      </c>
      <c r="Y1256" s="16">
        <f>VLOOKUP(Tabela1[[#This Row],[SKU]],SKU!A:D,4,0)</f>
        <v>10000</v>
      </c>
      <c r="Z1256" s="18">
        <f>IFERROR((Tabela1[[#This Row],[Média]]-Tabela1[[#This Row],[Meta]])/Tabela1[[#This Row],[Meta]],"")</f>
        <v>2.5999999999999999E-3</v>
      </c>
      <c r="AA1256" s="31">
        <f>Tabela1[[#This Row],[Média]]-Tabela1[[#This Row],[Meta]]</f>
        <v>26</v>
      </c>
      <c r="AB1256" s="6" t="str">
        <f>VLOOKUP(Tabela1[[#This Row],[SKU]],SKU!A:B,2,0)</f>
        <v>COXA SBCX LQ FG LP</v>
      </c>
      <c r="AC1256" s="6" t="str">
        <f>VLOOKUP(Tabela1[[#This Row],[SKU]],SKU!A:C,3,0)</f>
        <v>PERNA</v>
      </c>
    </row>
    <row r="1257" spans="1:29" x14ac:dyDescent="0.25">
      <c r="A1257" s="2">
        <f>INT(Tabela1[[#This Row],[Data e Hora2]])</f>
        <v>46295</v>
      </c>
      <c r="B1257" s="6" t="str">
        <f>UPPER(TEXT(Tabela1[[#This Row],[Data Corrigida]],"MMM"))</f>
        <v>SET</v>
      </c>
      <c r="C1257" t="s">
        <v>2792</v>
      </c>
      <c r="D1257" s="2" t="s">
        <v>2793</v>
      </c>
      <c r="E1257" s="1" t="s">
        <v>2794</v>
      </c>
      <c r="F1257" t="s">
        <v>24</v>
      </c>
      <c r="G1257" s="2" t="s">
        <v>2621</v>
      </c>
      <c r="H1257" t="s">
        <v>142</v>
      </c>
      <c r="I1257" t="s">
        <v>462</v>
      </c>
      <c r="J1257" s="6">
        <v>50580</v>
      </c>
      <c r="K1257" s="16">
        <v>1997</v>
      </c>
      <c r="L1257" s="16">
        <v>1985</v>
      </c>
      <c r="M1257" s="16">
        <v>2008</v>
      </c>
      <c r="N1257" s="16">
        <v>1998</v>
      </c>
      <c r="O1257" s="16">
        <v>2024</v>
      </c>
      <c r="P1257" s="16">
        <v>2018</v>
      </c>
      <c r="Q1257" s="16">
        <v>2040</v>
      </c>
      <c r="R1257" s="16">
        <v>2000</v>
      </c>
      <c r="S1257" s="16">
        <v>2123</v>
      </c>
      <c r="T1257" s="16">
        <v>2022</v>
      </c>
      <c r="U1257" s="15">
        <v>2021.5</v>
      </c>
      <c r="V1257" t="s">
        <v>19</v>
      </c>
      <c r="W1257" t="s">
        <v>28</v>
      </c>
      <c r="X1257">
        <v>297</v>
      </c>
      <c r="Y1257" s="16">
        <f>VLOOKUP(Tabela1[[#This Row],[SKU]],SKU!A:D,4,0)</f>
        <v>2000</v>
      </c>
      <c r="Z1257" s="18">
        <f>IFERROR((Tabela1[[#This Row],[Média]]-Tabela1[[#This Row],[Meta]])/Tabela1[[#This Row],[Meta]],"")</f>
        <v>1.0749999999999999E-2</v>
      </c>
      <c r="AA1257" s="31">
        <f>Tabela1[[#This Row],[Média]]-Tabela1[[#This Row],[Meta]]</f>
        <v>21.5</v>
      </c>
      <c r="AB1257" s="6" t="str">
        <f>VLOOKUP(Tabela1[[#This Row],[SKU]],SKU!A:B,2,0)</f>
        <v>COXA SBCX S/O FG 200g UP PB</v>
      </c>
      <c r="AC1257" s="6" t="str">
        <f>VLOOKUP(Tabela1[[#This Row],[SKU]],SKU!A:C,3,0)</f>
        <v>PERNA</v>
      </c>
    </row>
    <row r="1258" spans="1:29" x14ac:dyDescent="0.25">
      <c r="A1258" s="2">
        <f>INT(Tabela1[[#This Row],[Data e Hora2]])</f>
        <v>46295</v>
      </c>
      <c r="B1258" s="6" t="str">
        <f>UPPER(TEXT(Tabela1[[#This Row],[Data Corrigida]],"MMM"))</f>
        <v>SET</v>
      </c>
      <c r="C1258" t="s">
        <v>2795</v>
      </c>
      <c r="D1258" s="2" t="s">
        <v>2796</v>
      </c>
      <c r="E1258" s="1" t="s">
        <v>2797</v>
      </c>
      <c r="F1258" t="s">
        <v>24</v>
      </c>
      <c r="G1258" s="2" t="s">
        <v>2621</v>
      </c>
      <c r="H1258" t="s">
        <v>142</v>
      </c>
      <c r="I1258" t="s">
        <v>143</v>
      </c>
      <c r="J1258" s="6">
        <v>18228</v>
      </c>
      <c r="K1258" s="16">
        <v>1003</v>
      </c>
      <c r="L1258" s="16">
        <v>961</v>
      </c>
      <c r="M1258" s="16">
        <v>1004</v>
      </c>
      <c r="N1258" s="16">
        <v>1002</v>
      </c>
      <c r="O1258" s="16">
        <v>1008</v>
      </c>
      <c r="P1258" s="16">
        <v>998</v>
      </c>
      <c r="Q1258" s="16">
        <v>1017</v>
      </c>
      <c r="R1258" s="16">
        <v>1010</v>
      </c>
      <c r="S1258" s="16">
        <v>1015</v>
      </c>
      <c r="T1258" s="16">
        <v>996</v>
      </c>
      <c r="U1258" s="15">
        <v>1001.4</v>
      </c>
      <c r="V1258" t="s">
        <v>19</v>
      </c>
      <c r="W1258" t="s">
        <v>28</v>
      </c>
      <c r="X1258">
        <v>268</v>
      </c>
      <c r="Y1258" s="16">
        <f>VLOOKUP(Tabela1[[#This Row],[SKU]],SKU!A:D,4,0)</f>
        <v>1000</v>
      </c>
      <c r="Z1258" s="18">
        <f>IFERROR((Tabela1[[#This Row],[Média]]-Tabela1[[#This Row],[Meta]])/Tabela1[[#This Row],[Meta]],"")</f>
        <v>1.3999999999999772E-3</v>
      </c>
      <c r="AA1258" s="31">
        <f>Tabela1[[#This Row],[Média]]-Tabela1[[#This Row],[Meta]]</f>
        <v>1.3999999999999773</v>
      </c>
      <c r="AB1258" s="6" t="str">
        <f>VLOOKUP(Tabela1[[#This Row],[SKU]],SKU!A:B,2,0)</f>
        <v>MOELA FRANGO CG ALM SE</v>
      </c>
      <c r="AC1258" s="6" t="str">
        <f>VLOOKUP(Tabela1[[#This Row],[SKU]],SKU!A:C,3,0)</f>
        <v>MOELA</v>
      </c>
    </row>
    <row r="1259" spans="1:29" x14ac:dyDescent="0.25">
      <c r="A1259" s="2">
        <f>INT(Tabela1[[#This Row],[Data e Hora2]])</f>
        <v>46295</v>
      </c>
      <c r="B1259" s="6" t="str">
        <f>UPPER(TEXT(Tabela1[[#This Row],[Data Corrigida]],"MMM"))</f>
        <v>SET</v>
      </c>
      <c r="C1259" t="s">
        <v>2798</v>
      </c>
      <c r="D1259" s="2" t="s">
        <v>2799</v>
      </c>
      <c r="E1259" s="1" t="s">
        <v>2797</v>
      </c>
      <c r="F1259" t="s">
        <v>24</v>
      </c>
      <c r="G1259" s="2" t="s">
        <v>2621</v>
      </c>
      <c r="H1259" t="s">
        <v>142</v>
      </c>
      <c r="I1259" t="s">
        <v>143</v>
      </c>
      <c r="J1259" s="6">
        <v>31454</v>
      </c>
      <c r="K1259" s="16">
        <v>2540</v>
      </c>
      <c r="L1259" s="16">
        <v>2511</v>
      </c>
      <c r="M1259" s="16">
        <v>2493</v>
      </c>
      <c r="N1259" s="16">
        <v>2558</v>
      </c>
      <c r="O1259" s="16">
        <v>2511</v>
      </c>
      <c r="P1259" s="16">
        <v>2559</v>
      </c>
      <c r="Q1259" s="16">
        <v>2556</v>
      </c>
      <c r="R1259" s="16">
        <v>2548</v>
      </c>
      <c r="S1259" s="16">
        <v>2563</v>
      </c>
      <c r="T1259" s="16">
        <v>2564</v>
      </c>
      <c r="U1259" s="15">
        <v>2540.3000000000002</v>
      </c>
      <c r="V1259" t="s">
        <v>19</v>
      </c>
      <c r="W1259" t="s">
        <v>28</v>
      </c>
      <c r="X1259">
        <v>156</v>
      </c>
      <c r="Y1259" s="16">
        <f>VLOOKUP(Tabela1[[#This Row],[SKU]],SKU!A:D,4,0)</f>
        <v>2500</v>
      </c>
      <c r="Z1259" s="18">
        <f>IFERROR((Tabela1[[#This Row],[Média]]-Tabela1[[#This Row],[Meta]])/Tabela1[[#This Row],[Meta]],"")</f>
        <v>1.6120000000000072E-2</v>
      </c>
      <c r="AA1259" s="31">
        <f>Tabela1[[#This Row],[Média]]-Tabela1[[#This Row],[Meta]]</f>
        <v>40.300000000000182</v>
      </c>
      <c r="AB1259" s="6" t="str">
        <f>VLOOKUP(Tabela1[[#This Row],[SKU]],SKU!A:B,2,0)</f>
        <v>MEIO DE ASA 2,5KG  IQF</v>
      </c>
      <c r="AC1259" s="6" t="str">
        <f>VLOOKUP(Tabela1[[#This Row],[SKU]],SKU!A:C,3,0)</f>
        <v>ASA</v>
      </c>
    </row>
    <row r="1260" spans="1:29" x14ac:dyDescent="0.25">
      <c r="A1260" s="2">
        <f>INT(Tabela1[[#This Row],[Data e Hora2]])</f>
        <v>46295</v>
      </c>
      <c r="B1260" s="6" t="str">
        <f>UPPER(TEXT(Tabela1[[#This Row],[Data Corrigida]],"MMM"))</f>
        <v>SET</v>
      </c>
      <c r="C1260" t="s">
        <v>2800</v>
      </c>
      <c r="D1260" s="2" t="s">
        <v>2801</v>
      </c>
      <c r="E1260" s="1" t="s">
        <v>2797</v>
      </c>
      <c r="F1260" t="s">
        <v>24</v>
      </c>
      <c r="G1260" s="2" t="s">
        <v>2621</v>
      </c>
      <c r="H1260" t="s">
        <v>142</v>
      </c>
      <c r="I1260" t="s">
        <v>143</v>
      </c>
      <c r="J1260" s="6">
        <v>54632</v>
      </c>
      <c r="K1260" s="16">
        <v>993</v>
      </c>
      <c r="L1260" s="16">
        <v>1002</v>
      </c>
      <c r="M1260" s="16">
        <v>1008</v>
      </c>
      <c r="N1260" s="16">
        <v>993</v>
      </c>
      <c r="O1260" s="16">
        <v>993</v>
      </c>
      <c r="P1260" s="16">
        <v>1008</v>
      </c>
      <c r="Q1260" s="16">
        <v>1005</v>
      </c>
      <c r="R1260" s="16">
        <v>1000</v>
      </c>
      <c r="S1260" s="16">
        <v>1016</v>
      </c>
      <c r="T1260" s="16">
        <v>1025</v>
      </c>
      <c r="U1260" s="15">
        <v>1004.3</v>
      </c>
      <c r="V1260" t="s">
        <v>19</v>
      </c>
      <c r="W1260" t="s">
        <v>28</v>
      </c>
      <c r="X1260">
        <v>156</v>
      </c>
      <c r="Y1260" s="16">
        <f>VLOOKUP(Tabela1[[#This Row],[SKU]],SKU!A:D,4,0)</f>
        <v>1000</v>
      </c>
      <c r="Z1260" s="18">
        <f>IFERROR((Tabela1[[#This Row],[Média]]-Tabela1[[#This Row],[Meta]])/Tabela1[[#This Row],[Meta]],"")</f>
        <v>4.2999999999999549E-3</v>
      </c>
      <c r="AA1260" s="31">
        <f>Tabela1[[#This Row],[Média]]-Tabela1[[#This Row],[Meta]]</f>
        <v>4.2999999999999545</v>
      </c>
      <c r="AB1260" s="6" t="str">
        <f>VLOOKUP(Tabela1[[#This Row],[SKU]],SKU!A:B,2,0)</f>
        <v>COXA SBCX S/O BDJ CG</v>
      </c>
      <c r="AC1260" s="6" t="str">
        <f>VLOOKUP(Tabela1[[#This Row],[SKU]],SKU!A:C,3,0)</f>
        <v>PERNA</v>
      </c>
    </row>
    <row r="1261" spans="1:29" x14ac:dyDescent="0.25">
      <c r="A1261" s="2">
        <f>INT(Tabela1[[#This Row],[Data e Hora2]])</f>
        <v>46295</v>
      </c>
      <c r="B1261" s="6" t="str">
        <f>UPPER(TEXT(Tabela1[[#This Row],[Data Corrigida]],"MMM"))</f>
        <v>SET</v>
      </c>
      <c r="C1261" t="s">
        <v>2802</v>
      </c>
      <c r="D1261" s="2" t="s">
        <v>2803</v>
      </c>
      <c r="E1261" s="1" t="s">
        <v>2797</v>
      </c>
      <c r="F1261" t="s">
        <v>24</v>
      </c>
      <c r="G1261" s="2" t="s">
        <v>2621</v>
      </c>
      <c r="H1261" t="s">
        <v>142</v>
      </c>
      <c r="I1261" t="s">
        <v>143</v>
      </c>
      <c r="J1261" s="6">
        <v>15105</v>
      </c>
      <c r="K1261" s="16">
        <v>996</v>
      </c>
      <c r="L1261" s="16">
        <v>995</v>
      </c>
      <c r="M1261" s="16">
        <v>994</v>
      </c>
      <c r="N1261" s="16">
        <v>1006</v>
      </c>
      <c r="O1261" s="16">
        <v>998</v>
      </c>
      <c r="P1261" s="16">
        <v>1007</v>
      </c>
      <c r="Q1261" s="16">
        <v>1003</v>
      </c>
      <c r="R1261" s="16">
        <v>987</v>
      </c>
      <c r="S1261" s="16">
        <v>1001</v>
      </c>
      <c r="T1261" s="16">
        <v>1036</v>
      </c>
      <c r="U1261" s="15">
        <v>1002.3</v>
      </c>
      <c r="V1261" t="s">
        <v>19</v>
      </c>
      <c r="W1261" t="s">
        <v>28</v>
      </c>
      <c r="X1261">
        <v>197</v>
      </c>
      <c r="Y1261" s="16">
        <f>VLOOKUP(Tabela1[[#This Row],[SKU]],SKU!A:D,4,0)</f>
        <v>1000</v>
      </c>
      <c r="Z1261" s="18">
        <f>IFERROR((Tabela1[[#This Row],[Média]]-Tabela1[[#This Row],[Meta]])/Tabela1[[#This Row],[Meta]],"")</f>
        <v>2.2999999999999544E-3</v>
      </c>
      <c r="AA1261" s="31">
        <f>Tabela1[[#This Row],[Média]]-Tabela1[[#This Row],[Meta]]</f>
        <v>2.2999999999999545</v>
      </c>
      <c r="AB1261" s="6" t="str">
        <f>VLOOKUP(Tabela1[[#This Row],[SKU]],SKU!A:B,2,0)</f>
        <v>FILE PEITO MET CG BDJ SE</v>
      </c>
      <c r="AC1261" s="6" t="str">
        <f>VLOOKUP(Tabela1[[#This Row],[SKU]],SKU!A:C,3,0)</f>
        <v>PEITO</v>
      </c>
    </row>
    <row r="1262" spans="1:29" x14ac:dyDescent="0.25">
      <c r="A1262" s="2">
        <f>INT(Tabela1[[#This Row],[Data e Hora2]])</f>
        <v>46295</v>
      </c>
      <c r="B1262" s="6" t="str">
        <f>UPPER(TEXT(Tabela1[[#This Row],[Data Corrigida]],"MMM"))</f>
        <v>SET</v>
      </c>
      <c r="C1262" t="s">
        <v>2804</v>
      </c>
      <c r="D1262" s="2" t="s">
        <v>2805</v>
      </c>
      <c r="E1262" s="1" t="s">
        <v>2797</v>
      </c>
      <c r="F1262" t="s">
        <v>24</v>
      </c>
      <c r="G1262" s="2" t="s">
        <v>2621</v>
      </c>
      <c r="H1262" t="s">
        <v>142</v>
      </c>
      <c r="I1262" t="s">
        <v>143</v>
      </c>
      <c r="J1262" s="6">
        <v>50580</v>
      </c>
      <c r="K1262" s="16">
        <v>2021</v>
      </c>
      <c r="L1262" s="16">
        <v>2028</v>
      </c>
      <c r="M1262" s="16">
        <v>2105</v>
      </c>
      <c r="N1262" s="16">
        <v>1994</v>
      </c>
      <c r="O1262" s="16">
        <v>2021</v>
      </c>
      <c r="P1262" s="16">
        <v>2055</v>
      </c>
      <c r="Q1262" s="16">
        <v>1997</v>
      </c>
      <c r="R1262" s="16">
        <v>2017</v>
      </c>
      <c r="S1262" s="16">
        <v>2033</v>
      </c>
      <c r="T1262" s="16">
        <v>1980</v>
      </c>
      <c r="U1262" s="15">
        <v>2025.1</v>
      </c>
      <c r="V1262" t="s">
        <v>19</v>
      </c>
      <c r="W1262" t="s">
        <v>28</v>
      </c>
      <c r="X1262">
        <v>176</v>
      </c>
      <c r="Y1262" s="16">
        <f>VLOOKUP(Tabela1[[#This Row],[SKU]],SKU!A:D,4,0)</f>
        <v>2000</v>
      </c>
      <c r="Z1262" s="18">
        <f>IFERROR((Tabela1[[#This Row],[Média]]-Tabela1[[#This Row],[Meta]])/Tabela1[[#This Row],[Meta]],"")</f>
        <v>1.2549999999999955E-2</v>
      </c>
      <c r="AA1262" s="31">
        <f>Tabela1[[#This Row],[Média]]-Tabela1[[#This Row],[Meta]]</f>
        <v>25.099999999999909</v>
      </c>
      <c r="AB1262" s="6" t="str">
        <f>VLOOKUP(Tabela1[[#This Row],[SKU]],SKU!A:B,2,0)</f>
        <v>COXA SBCX S/O FG 200g UP PB</v>
      </c>
      <c r="AC1262" s="6" t="str">
        <f>VLOOKUP(Tabela1[[#This Row],[SKU]],SKU!A:C,3,0)</f>
        <v>PERNA</v>
      </c>
    </row>
    <row r="1263" spans="1:29" x14ac:dyDescent="0.25">
      <c r="A1263" s="2">
        <f>INT(Tabela1[[#This Row],[Data e Hora2]])</f>
        <v>46295</v>
      </c>
      <c r="B1263" s="6" t="str">
        <f>UPPER(TEXT(Tabela1[[#This Row],[Data Corrigida]],"MMM"))</f>
        <v>SET</v>
      </c>
      <c r="C1263" t="s">
        <v>2806</v>
      </c>
      <c r="D1263" s="2" t="s">
        <v>2807</v>
      </c>
      <c r="E1263" s="1" t="s">
        <v>2808</v>
      </c>
      <c r="F1263" t="s">
        <v>24</v>
      </c>
      <c r="G1263" s="2" t="s">
        <v>2621</v>
      </c>
      <c r="H1263" t="s">
        <v>142</v>
      </c>
      <c r="I1263" t="s">
        <v>462</v>
      </c>
      <c r="J1263" s="6">
        <v>197734</v>
      </c>
      <c r="K1263" s="16">
        <v>1009</v>
      </c>
      <c r="L1263" s="16">
        <v>1007</v>
      </c>
      <c r="M1263" s="16">
        <v>1007</v>
      </c>
      <c r="N1263" s="16">
        <v>1005</v>
      </c>
      <c r="O1263" s="16">
        <v>1008</v>
      </c>
      <c r="P1263" s="16">
        <v>1007</v>
      </c>
      <c r="Q1263" s="16">
        <v>1025</v>
      </c>
      <c r="R1263" s="16">
        <v>1005</v>
      </c>
      <c r="S1263" s="16">
        <v>1011</v>
      </c>
      <c r="T1263" s="16">
        <v>1010</v>
      </c>
      <c r="U1263" s="15">
        <v>1009.4</v>
      </c>
      <c r="V1263" t="s">
        <v>19</v>
      </c>
      <c r="W1263" t="s">
        <v>28</v>
      </c>
      <c r="X1263">
        <v>151</v>
      </c>
      <c r="Y1263" s="16">
        <f>VLOOKUP(Tabela1[[#This Row],[SKU]],SKU!A:D,4,0)</f>
        <v>1000</v>
      </c>
      <c r="Z1263" s="18">
        <f>IFERROR((Tabela1[[#This Row],[Média]]-Tabela1[[#This Row],[Meta]])/Tabela1[[#This Row],[Meta]],"")</f>
        <v>9.3999999999999778E-3</v>
      </c>
      <c r="AA1263" s="31">
        <f>Tabela1[[#This Row],[Média]]-Tabela1[[#This Row],[Meta]]</f>
        <v>9.3999999999999773</v>
      </c>
      <c r="AB1263" s="6" t="str">
        <f>VLOOKUP(Tabela1[[#This Row],[SKU]],SKU!A:B,2,0)</f>
        <v>FILEZINHO FRANGO IQF ALM SE</v>
      </c>
      <c r="AC1263" s="6" t="str">
        <f>VLOOKUP(Tabela1[[#This Row],[SKU]],SKU!A:C,3,0)</f>
        <v>SASSAMI</v>
      </c>
    </row>
    <row r="1264" spans="1:29" x14ac:dyDescent="0.25">
      <c r="A1264" s="2">
        <f>INT(Tabela1[[#This Row],[Data e Hora2]])</f>
        <v>46295</v>
      </c>
      <c r="B1264" s="6" t="str">
        <f>UPPER(TEXT(Tabela1[[#This Row],[Data Corrigida]],"MMM"))</f>
        <v>SET</v>
      </c>
      <c r="C1264" t="s">
        <v>2809</v>
      </c>
      <c r="D1264" s="2" t="s">
        <v>2810</v>
      </c>
      <c r="E1264" s="1" t="s">
        <v>2808</v>
      </c>
      <c r="F1264" t="s">
        <v>24</v>
      </c>
      <c r="G1264" s="2" t="s">
        <v>2621</v>
      </c>
      <c r="H1264" t="s">
        <v>142</v>
      </c>
      <c r="I1264" t="s">
        <v>462</v>
      </c>
      <c r="J1264" s="6">
        <v>18163</v>
      </c>
      <c r="K1264" s="16">
        <v>1007</v>
      </c>
      <c r="L1264" s="16">
        <v>999</v>
      </c>
      <c r="M1264" s="16">
        <v>1000</v>
      </c>
      <c r="N1264" s="16">
        <v>1003</v>
      </c>
      <c r="O1264" s="16">
        <v>1008</v>
      </c>
      <c r="P1264" s="16">
        <v>994</v>
      </c>
      <c r="Q1264" s="16">
        <v>1005</v>
      </c>
      <c r="R1264" s="16">
        <v>998</v>
      </c>
      <c r="S1264" s="16">
        <v>1000</v>
      </c>
      <c r="T1264" s="16">
        <v>1002</v>
      </c>
      <c r="U1264" s="15">
        <v>1001.6</v>
      </c>
      <c r="V1264" t="s">
        <v>19</v>
      </c>
      <c r="W1264" t="s">
        <v>28</v>
      </c>
      <c r="X1264">
        <v>219</v>
      </c>
      <c r="Y1264" s="16">
        <f>VLOOKUP(Tabela1[[#This Row],[SKU]],SKU!A:D,4,0)</f>
        <v>1000</v>
      </c>
      <c r="Z1264" s="18">
        <f>IFERROR((Tabela1[[#This Row],[Média]]-Tabela1[[#This Row],[Meta]])/Tabela1[[#This Row],[Meta]],"")</f>
        <v>1.6000000000000228E-3</v>
      </c>
      <c r="AA1264" s="31">
        <f>Tabela1[[#This Row],[Média]]-Tabela1[[#This Row],[Meta]]</f>
        <v>1.6000000000000227</v>
      </c>
      <c r="AB1264" s="6" t="str">
        <f>VLOOKUP(Tabela1[[#This Row],[SKU]],SKU!A:B,2,0)</f>
        <v>CORACAO FGO CG ALM SE</v>
      </c>
      <c r="AC1264" s="6" t="str">
        <f>VLOOKUP(Tabela1[[#This Row],[SKU]],SKU!A:C,3,0)</f>
        <v>CORAÇÃO</v>
      </c>
    </row>
    <row r="1265" spans="1:29" x14ac:dyDescent="0.25">
      <c r="A1265" s="2">
        <f>INT(Tabela1[[#This Row],[Data e Hora2]])</f>
        <v>46295</v>
      </c>
      <c r="B1265" s="6" t="str">
        <f>UPPER(TEXT(Tabela1[[#This Row],[Data Corrigida]],"MMM"))</f>
        <v>SET</v>
      </c>
      <c r="C1265" t="s">
        <v>2811</v>
      </c>
      <c r="D1265" s="2" t="s">
        <v>2812</v>
      </c>
      <c r="E1265" s="1" t="s">
        <v>2808</v>
      </c>
      <c r="F1265" t="s">
        <v>24</v>
      </c>
      <c r="G1265" s="2" t="s">
        <v>2621</v>
      </c>
      <c r="H1265" t="s">
        <v>142</v>
      </c>
      <c r="I1265" t="s">
        <v>462</v>
      </c>
      <c r="J1265" s="6">
        <v>40762</v>
      </c>
      <c r="K1265" s="16">
        <v>10155</v>
      </c>
      <c r="L1265" s="16">
        <v>10015</v>
      </c>
      <c r="M1265" s="16">
        <v>9965</v>
      </c>
      <c r="N1265" s="16">
        <v>9610</v>
      </c>
      <c r="O1265" s="16">
        <v>10120</v>
      </c>
      <c r="P1265" s="16">
        <v>10075</v>
      </c>
      <c r="Q1265" s="16">
        <v>9970</v>
      </c>
      <c r="R1265" s="16">
        <v>10090</v>
      </c>
      <c r="S1265" s="16">
        <v>9950</v>
      </c>
      <c r="T1265" s="16">
        <v>10050</v>
      </c>
      <c r="U1265" s="15">
        <v>10000</v>
      </c>
      <c r="V1265" t="s">
        <v>19</v>
      </c>
      <c r="W1265" t="s">
        <v>28</v>
      </c>
      <c r="X1265">
        <v>699</v>
      </c>
      <c r="Y1265" s="16">
        <f>VLOOKUP(Tabela1[[#This Row],[SKU]],SKU!A:D,4,0)</f>
        <v>10000</v>
      </c>
      <c r="Z1265" s="18">
        <f>IFERROR((Tabela1[[#This Row],[Média]]-Tabela1[[#This Row],[Meta]])/Tabela1[[#This Row],[Meta]],"")</f>
        <v>0</v>
      </c>
      <c r="AA1265" s="31">
        <f>Tabela1[[#This Row],[Média]]-Tabela1[[#This Row],[Meta]]</f>
        <v>0</v>
      </c>
      <c r="AB1265" s="6" t="str">
        <f>VLOOKUP(Tabela1[[#This Row],[SKU]],SKU!A:B,2,0)</f>
        <v>COXA SBCX LQ FG LP</v>
      </c>
      <c r="AC1265" s="6" t="str">
        <f>VLOOKUP(Tabela1[[#This Row],[SKU]],SKU!A:C,3,0)</f>
        <v>PERNA</v>
      </c>
    </row>
    <row r="1266" spans="1:29" x14ac:dyDescent="0.25">
      <c r="A1266" s="2">
        <f>INT(Tabela1[[#This Row],[Data e Hora2]])</f>
        <v>46295</v>
      </c>
      <c r="B1266" s="6" t="str">
        <f>UPPER(TEXT(Tabela1[[#This Row],[Data Corrigida]],"MMM"))</f>
        <v>SET</v>
      </c>
      <c r="C1266" t="s">
        <v>2813</v>
      </c>
      <c r="D1266" s="2" t="s">
        <v>2814</v>
      </c>
      <c r="E1266" s="1" t="s">
        <v>2808</v>
      </c>
      <c r="F1266" t="s">
        <v>24</v>
      </c>
      <c r="G1266" s="2" t="s">
        <v>2621</v>
      </c>
      <c r="H1266" t="s">
        <v>142</v>
      </c>
      <c r="I1266" t="s">
        <v>462</v>
      </c>
      <c r="J1266" s="6">
        <v>54632</v>
      </c>
      <c r="K1266" s="16">
        <v>1001</v>
      </c>
      <c r="L1266" s="16">
        <v>995</v>
      </c>
      <c r="M1266" s="16">
        <v>993</v>
      </c>
      <c r="N1266" s="16">
        <v>998</v>
      </c>
      <c r="O1266" s="16">
        <v>1006</v>
      </c>
      <c r="P1266" s="16">
        <v>1001</v>
      </c>
      <c r="Q1266" s="16">
        <v>1002</v>
      </c>
      <c r="R1266" s="16">
        <v>1006</v>
      </c>
      <c r="S1266" s="16">
        <v>1007</v>
      </c>
      <c r="T1266" s="16">
        <v>1004</v>
      </c>
      <c r="U1266" s="15">
        <v>1001.3</v>
      </c>
      <c r="V1266" t="s">
        <v>19</v>
      </c>
      <c r="W1266" t="s">
        <v>28</v>
      </c>
      <c r="X1266">
        <v>968</v>
      </c>
      <c r="Y1266" s="16">
        <f>VLOOKUP(Tabela1[[#This Row],[SKU]],SKU!A:D,4,0)</f>
        <v>1000</v>
      </c>
      <c r="Z1266" s="18">
        <f>IFERROR((Tabela1[[#This Row],[Média]]-Tabela1[[#This Row],[Meta]])/Tabela1[[#This Row],[Meta]],"")</f>
        <v>1.2999999999999546E-3</v>
      </c>
      <c r="AA1266" s="31">
        <f>Tabela1[[#This Row],[Média]]-Tabela1[[#This Row],[Meta]]</f>
        <v>1.2999999999999545</v>
      </c>
      <c r="AB1266" s="6" t="str">
        <f>VLOOKUP(Tabela1[[#This Row],[SKU]],SKU!A:B,2,0)</f>
        <v>COXA SBCX S/O BDJ CG</v>
      </c>
      <c r="AC1266" s="6" t="str">
        <f>VLOOKUP(Tabela1[[#This Row],[SKU]],SKU!A:C,3,0)</f>
        <v>PERNA</v>
      </c>
    </row>
    <row r="1267" spans="1:29" x14ac:dyDescent="0.25">
      <c r="A1267" s="2">
        <f>INT(Tabela1[[#This Row],[Data e Hora2]])</f>
        <v>46295</v>
      </c>
      <c r="B1267" s="6" t="str">
        <f>UPPER(TEXT(Tabela1[[#This Row],[Data Corrigida]],"MMM"))</f>
        <v>SET</v>
      </c>
      <c r="C1267" t="s">
        <v>2815</v>
      </c>
      <c r="D1267" s="2" t="s">
        <v>2816</v>
      </c>
      <c r="E1267" s="1" t="s">
        <v>2808</v>
      </c>
      <c r="F1267" t="s">
        <v>24</v>
      </c>
      <c r="G1267" s="2" t="s">
        <v>2621</v>
      </c>
      <c r="H1267" t="s">
        <v>142</v>
      </c>
      <c r="I1267" t="s">
        <v>462</v>
      </c>
      <c r="J1267" s="6">
        <v>18228</v>
      </c>
      <c r="K1267" s="16">
        <v>999</v>
      </c>
      <c r="L1267" s="16">
        <v>1008</v>
      </c>
      <c r="M1267" s="16">
        <v>1006</v>
      </c>
      <c r="N1267" s="16">
        <v>994</v>
      </c>
      <c r="O1267" s="16">
        <v>998</v>
      </c>
      <c r="P1267" s="16">
        <v>1003</v>
      </c>
      <c r="Q1267" s="16">
        <v>1007</v>
      </c>
      <c r="R1267" s="16">
        <v>1000</v>
      </c>
      <c r="S1267" s="16">
        <v>1006</v>
      </c>
      <c r="T1267" s="16">
        <v>999</v>
      </c>
      <c r="U1267" s="15">
        <v>1002</v>
      </c>
      <c r="V1267" t="s">
        <v>19</v>
      </c>
      <c r="W1267" t="s">
        <v>28</v>
      </c>
      <c r="X1267">
        <v>1014</v>
      </c>
      <c r="Y1267" s="16">
        <f>VLOOKUP(Tabela1[[#This Row],[SKU]],SKU!A:D,4,0)</f>
        <v>1000</v>
      </c>
      <c r="Z1267" s="18">
        <f>IFERROR((Tabela1[[#This Row],[Média]]-Tabela1[[#This Row],[Meta]])/Tabela1[[#This Row],[Meta]],"")</f>
        <v>2E-3</v>
      </c>
      <c r="AA1267" s="31">
        <f>Tabela1[[#This Row],[Média]]-Tabela1[[#This Row],[Meta]]</f>
        <v>2</v>
      </c>
      <c r="AB1267" s="6" t="str">
        <f>VLOOKUP(Tabela1[[#This Row],[SKU]],SKU!A:B,2,0)</f>
        <v>MOELA FRANGO CG ALM SE</v>
      </c>
      <c r="AC1267" s="6" t="str">
        <f>VLOOKUP(Tabela1[[#This Row],[SKU]],SKU!A:C,3,0)</f>
        <v>MOELA</v>
      </c>
    </row>
    <row r="1268" spans="1:29" x14ac:dyDescent="0.25">
      <c r="A1268" s="2">
        <f>INT(Tabela1[[#This Row],[Data e Hora2]])</f>
        <v>46296</v>
      </c>
      <c r="B1268" s="6" t="str">
        <f>UPPER(TEXT(Tabela1[[#This Row],[Data Corrigida]],"MMM"))</f>
        <v>OUT</v>
      </c>
      <c r="C1268" s="26" t="s">
        <v>2817</v>
      </c>
      <c r="D1268" s="2" t="s">
        <v>2818</v>
      </c>
      <c r="E1268" s="1" t="s">
        <v>2819</v>
      </c>
      <c r="F1268" t="s">
        <v>24</v>
      </c>
      <c r="G1268" s="2" t="s">
        <v>2820</v>
      </c>
      <c r="H1268" t="s">
        <v>26</v>
      </c>
      <c r="I1268" t="s">
        <v>27</v>
      </c>
      <c r="J1268" s="6">
        <v>992093</v>
      </c>
      <c r="K1268" s="16">
        <v>5001</v>
      </c>
      <c r="L1268" s="16">
        <v>5003</v>
      </c>
      <c r="M1268" s="16">
        <v>5007</v>
      </c>
      <c r="N1268" s="16">
        <v>5007</v>
      </c>
      <c r="O1268" s="16">
        <v>5004</v>
      </c>
      <c r="P1268" s="16">
        <v>5010</v>
      </c>
      <c r="Q1268" s="16">
        <v>5001</v>
      </c>
      <c r="R1268" s="16">
        <v>5012</v>
      </c>
      <c r="S1268" s="16">
        <v>5003</v>
      </c>
      <c r="T1268" s="16">
        <v>5008</v>
      </c>
      <c r="U1268" s="15">
        <v>5005.6000000000004</v>
      </c>
      <c r="V1268" t="s">
        <v>19</v>
      </c>
      <c r="W1268" t="s">
        <v>28</v>
      </c>
      <c r="X1268">
        <v>12185</v>
      </c>
      <c r="Y1268" s="16">
        <f>VLOOKUP(Tabela1[[#This Row],[SKU]],SKU!A:D,4,0)</f>
        <v>5000</v>
      </c>
      <c r="Z1268" s="18">
        <f>IFERROR((Tabela1[[#This Row],[Média]]-Tabela1[[#This Row],[Meta]])/Tabela1[[#This Row],[Meta]],"")</f>
        <v>1.1200000000000728E-3</v>
      </c>
      <c r="AA1268" s="31">
        <f>Tabela1[[#This Row],[Média]]-Tabela1[[#This Row],[Meta]]</f>
        <v>5.6000000000003638</v>
      </c>
      <c r="AB1268" s="6" t="str">
        <f>VLOOKUP(Tabela1[[#This Row],[SKU]],SKU!A:B,2,0)</f>
        <v>PONTA ASA FG PB CG</v>
      </c>
      <c r="AC1268" s="6" t="str">
        <f>VLOOKUP(Tabela1[[#This Row],[SKU]],SKU!A:C,3,0)</f>
        <v>ASA</v>
      </c>
    </row>
    <row r="1269" spans="1:29" x14ac:dyDescent="0.25">
      <c r="A1269" s="2">
        <f>INT(Tabela1[[#This Row],[Data e Hora2]])</f>
        <v>46296</v>
      </c>
      <c r="B1269" s="6" t="str">
        <f>UPPER(TEXT(Tabela1[[#This Row],[Data Corrigida]],"MMM"))</f>
        <v>OUT</v>
      </c>
      <c r="C1269" t="s">
        <v>2821</v>
      </c>
      <c r="D1269" s="2" t="s">
        <v>2822</v>
      </c>
      <c r="E1269" s="1" t="s">
        <v>2823</v>
      </c>
      <c r="F1269" t="s">
        <v>24</v>
      </c>
      <c r="G1269" s="2" t="s">
        <v>2820</v>
      </c>
      <c r="H1269" t="s">
        <v>26</v>
      </c>
      <c r="I1269" t="s">
        <v>27</v>
      </c>
      <c r="J1269" s="6">
        <v>13188</v>
      </c>
      <c r="K1269" s="16">
        <v>998</v>
      </c>
      <c r="L1269" s="16">
        <v>997</v>
      </c>
      <c r="M1269" s="16">
        <v>1004</v>
      </c>
      <c r="N1269" s="16">
        <v>997</v>
      </c>
      <c r="O1269" s="16">
        <v>1001</v>
      </c>
      <c r="P1269" s="16">
        <v>1012</v>
      </c>
      <c r="Q1269" s="16">
        <v>999</v>
      </c>
      <c r="R1269" s="16">
        <v>1012</v>
      </c>
      <c r="S1269" s="16">
        <v>1005</v>
      </c>
      <c r="T1269" s="16">
        <v>1006</v>
      </c>
      <c r="U1269" s="15">
        <v>1003.1</v>
      </c>
      <c r="V1269" t="s">
        <v>19</v>
      </c>
      <c r="W1269" t="s">
        <v>28</v>
      </c>
      <c r="X1269">
        <v>30263</v>
      </c>
      <c r="Y1269" s="16">
        <f>VLOOKUP(Tabela1[[#This Row],[SKU]],SKU!A:D,4,0)</f>
        <v>1000</v>
      </c>
      <c r="Z1269" s="18">
        <f>IFERROR((Tabela1[[#This Row],[Média]]-Tabela1[[#This Row],[Meta]])/Tabela1[[#This Row],[Meta]],"")</f>
        <v>3.1000000000000229E-3</v>
      </c>
      <c r="AA1269" s="31">
        <f>Tabela1[[#This Row],[Média]]-Tabela1[[#This Row],[Meta]]</f>
        <v>3.1000000000000227</v>
      </c>
      <c r="AB1269" s="6" t="str">
        <f>VLOOKUP(Tabela1[[#This Row],[SKU]],SKU!A:B,2,0)</f>
        <v>SOBRECOXA CG BDJ SE</v>
      </c>
      <c r="AC1269" s="6" t="str">
        <f>VLOOKUP(Tabela1[[#This Row],[SKU]],SKU!A:C,3,0)</f>
        <v>PERNA</v>
      </c>
    </row>
    <row r="1270" spans="1:29" x14ac:dyDescent="0.25">
      <c r="A1270" s="2">
        <f>INT(Tabela1[[#This Row],[Data e Hora2]])</f>
        <v>46296</v>
      </c>
      <c r="B1270" s="6" t="str">
        <f>UPPER(TEXT(Tabela1[[#This Row],[Data Corrigida]],"MMM"))</f>
        <v>OUT</v>
      </c>
      <c r="C1270" t="s">
        <v>2824</v>
      </c>
      <c r="D1270" s="2" t="s">
        <v>2825</v>
      </c>
      <c r="E1270" s="1" t="s">
        <v>2826</v>
      </c>
      <c r="F1270" t="s">
        <v>24</v>
      </c>
      <c r="G1270" s="2" t="s">
        <v>2820</v>
      </c>
      <c r="H1270" t="s">
        <v>26</v>
      </c>
      <c r="I1270" t="s">
        <v>27</v>
      </c>
      <c r="J1270" s="6">
        <v>15105</v>
      </c>
      <c r="K1270" s="16">
        <v>1002</v>
      </c>
      <c r="L1270" s="16">
        <v>1006</v>
      </c>
      <c r="M1270" s="16">
        <v>1012</v>
      </c>
      <c r="N1270" s="16">
        <v>980</v>
      </c>
      <c r="O1270" s="16">
        <v>1014</v>
      </c>
      <c r="P1270" s="16">
        <v>1015</v>
      </c>
      <c r="Q1270" s="16">
        <v>1005</v>
      </c>
      <c r="R1270" s="16">
        <v>1005</v>
      </c>
      <c r="S1270" s="16">
        <v>1007</v>
      </c>
      <c r="T1270" s="16">
        <v>990</v>
      </c>
      <c r="U1270" s="15">
        <v>1003.6</v>
      </c>
      <c r="V1270" t="s">
        <v>19</v>
      </c>
      <c r="W1270" t="s">
        <v>28</v>
      </c>
      <c r="X1270">
        <v>239</v>
      </c>
      <c r="Y1270" s="16">
        <f>VLOOKUP(Tabela1[[#This Row],[SKU]],SKU!A:D,4,0)</f>
        <v>1000</v>
      </c>
      <c r="Z1270" s="18">
        <f>IFERROR((Tabela1[[#This Row],[Média]]-Tabela1[[#This Row],[Meta]])/Tabela1[[#This Row],[Meta]],"")</f>
        <v>3.6000000000000229E-3</v>
      </c>
      <c r="AA1270" s="31">
        <f>Tabela1[[#This Row],[Média]]-Tabela1[[#This Row],[Meta]]</f>
        <v>3.6000000000000227</v>
      </c>
      <c r="AB1270" s="6" t="str">
        <f>VLOOKUP(Tabela1[[#This Row],[SKU]],SKU!A:B,2,0)</f>
        <v>FILE PEITO MET CG BDJ SE</v>
      </c>
      <c r="AC1270" s="6" t="str">
        <f>VLOOKUP(Tabela1[[#This Row],[SKU]],SKU!A:C,3,0)</f>
        <v>PEITO</v>
      </c>
    </row>
    <row r="1271" spans="1:29" x14ac:dyDescent="0.25">
      <c r="A1271" s="2">
        <f>INT(Tabela1[[#This Row],[Data e Hora2]])</f>
        <v>46296</v>
      </c>
      <c r="B1271" s="6" t="str">
        <f>UPPER(TEXT(Tabela1[[#This Row],[Data Corrigida]],"MMM"))</f>
        <v>OUT</v>
      </c>
      <c r="C1271" t="s">
        <v>2827</v>
      </c>
      <c r="D1271" s="2" t="s">
        <v>2828</v>
      </c>
      <c r="E1271" s="1" t="s">
        <v>2826</v>
      </c>
      <c r="F1271" t="s">
        <v>24</v>
      </c>
      <c r="G1271" s="2" t="s">
        <v>2820</v>
      </c>
      <c r="H1271" t="s">
        <v>26</v>
      </c>
      <c r="I1271" t="s">
        <v>27</v>
      </c>
      <c r="J1271" s="6">
        <v>42862</v>
      </c>
      <c r="K1271" s="16">
        <v>2025</v>
      </c>
      <c r="L1271" s="16">
        <v>2017</v>
      </c>
      <c r="M1271" s="16">
        <v>2029</v>
      </c>
      <c r="N1271" s="16">
        <v>1994</v>
      </c>
      <c r="O1271" s="16">
        <v>2026</v>
      </c>
      <c r="P1271" s="16">
        <v>2016</v>
      </c>
      <c r="Q1271" s="16">
        <v>2013</v>
      </c>
      <c r="R1271" s="16">
        <v>1999</v>
      </c>
      <c r="S1271" s="16">
        <v>1996</v>
      </c>
      <c r="T1271" s="16">
        <v>2008</v>
      </c>
      <c r="U1271" s="15">
        <v>2012.3</v>
      </c>
      <c r="V1271" t="s">
        <v>19</v>
      </c>
      <c r="W1271" t="s">
        <v>28</v>
      </c>
      <c r="X1271">
        <v>132</v>
      </c>
      <c r="Y1271" s="16">
        <f>VLOOKUP(Tabela1[[#This Row],[SKU]],SKU!A:D,4,0)</f>
        <v>2000</v>
      </c>
      <c r="Z1271" s="18">
        <f>IFERROR((Tabela1[[#This Row],[Média]]-Tabela1[[#This Row],[Meta]])/Tabela1[[#This Row],[Meta]],"")</f>
        <v>6.1499999999999775E-3</v>
      </c>
      <c r="AA1271" s="31">
        <f>Tabela1[[#This Row],[Média]]-Tabela1[[#This Row],[Meta]]</f>
        <v>12.299999999999955</v>
      </c>
      <c r="AB1271" s="6" t="str">
        <f>VLOOKUP(Tabela1[[#This Row],[SKU]],SKU!A:B,2,0)</f>
        <v>COXA SBCX S/O FG 280-300g PB</v>
      </c>
      <c r="AC1271" s="6" t="str">
        <f>VLOOKUP(Tabela1[[#This Row],[SKU]],SKU!A:C,3,0)</f>
        <v>PERNA</v>
      </c>
    </row>
    <row r="1272" spans="1:29" x14ac:dyDescent="0.25">
      <c r="A1272" s="2">
        <f>INT(Tabela1[[#This Row],[Data e Hora2]])</f>
        <v>46296</v>
      </c>
      <c r="B1272" s="6" t="str">
        <f>UPPER(TEXT(Tabela1[[#This Row],[Data Corrigida]],"MMM"))</f>
        <v>OUT</v>
      </c>
      <c r="C1272" t="s">
        <v>2829</v>
      </c>
      <c r="D1272" s="2" t="s">
        <v>2830</v>
      </c>
      <c r="E1272" s="1" t="s">
        <v>2826</v>
      </c>
      <c r="F1272" t="s">
        <v>24</v>
      </c>
      <c r="G1272" s="2" t="s">
        <v>2820</v>
      </c>
      <c r="H1272" t="s">
        <v>26</v>
      </c>
      <c r="I1272" t="s">
        <v>27</v>
      </c>
      <c r="J1272" s="6">
        <v>42854</v>
      </c>
      <c r="K1272" s="16">
        <v>2093</v>
      </c>
      <c r="L1272" s="16">
        <v>2013</v>
      </c>
      <c r="M1272" s="16">
        <v>2084</v>
      </c>
      <c r="N1272" s="16">
        <v>2115</v>
      </c>
      <c r="O1272" s="16">
        <v>2109</v>
      </c>
      <c r="P1272" s="16">
        <v>2104</v>
      </c>
      <c r="Q1272" s="16">
        <v>2082</v>
      </c>
      <c r="R1272" s="16">
        <v>2099</v>
      </c>
      <c r="S1272" s="16">
        <v>2020</v>
      </c>
      <c r="T1272" s="16">
        <v>2078</v>
      </c>
      <c r="U1272" s="15">
        <v>2079.6999999999998</v>
      </c>
      <c r="V1272" t="s">
        <v>19</v>
      </c>
      <c r="W1272" t="s">
        <v>19</v>
      </c>
      <c r="X1272">
        <v>123</v>
      </c>
      <c r="Y1272" s="16">
        <f>VLOOKUP(Tabela1[[#This Row],[SKU]],SKU!A:D,4,0)</f>
        <v>2080</v>
      </c>
      <c r="Z1272" s="18">
        <f>IFERROR((Tabela1[[#This Row],[Média]]-Tabela1[[#This Row],[Meta]])/Tabela1[[#This Row],[Meta]],"")</f>
        <v>-1.4423076923085669E-4</v>
      </c>
      <c r="AA1272" s="31">
        <f>Tabela1[[#This Row],[Média]]-Tabela1[[#This Row],[Meta]]</f>
        <v>-0.3000000000001819</v>
      </c>
      <c r="AB1272" s="6" t="str">
        <f>VLOOKUP(Tabela1[[#This Row],[SKU]],SKU!A:B,2,0)</f>
        <v>COXA SBCX S/O FG 260-280g PB</v>
      </c>
      <c r="AC1272" s="6" t="str">
        <f>VLOOKUP(Tabela1[[#This Row],[SKU]],SKU!A:C,3,0)</f>
        <v>PERNA</v>
      </c>
    </row>
    <row r="1273" spans="1:29" x14ac:dyDescent="0.25">
      <c r="A1273" s="2">
        <f>INT(Tabela1[[#This Row],[Data e Hora2]])</f>
        <v>46296</v>
      </c>
      <c r="B1273" s="6" t="str">
        <f>UPPER(TEXT(Tabela1[[#This Row],[Data Corrigida]],"MMM"))</f>
        <v>OUT</v>
      </c>
      <c r="C1273" t="s">
        <v>2831</v>
      </c>
      <c r="D1273" s="2" t="s">
        <v>2832</v>
      </c>
      <c r="E1273" s="1" t="s">
        <v>2826</v>
      </c>
      <c r="F1273" t="s">
        <v>24</v>
      </c>
      <c r="G1273" s="2" t="s">
        <v>2820</v>
      </c>
      <c r="H1273" t="s">
        <v>26</v>
      </c>
      <c r="I1273" t="s">
        <v>27</v>
      </c>
      <c r="J1273" s="6">
        <v>42820</v>
      </c>
      <c r="K1273" s="16">
        <v>2029</v>
      </c>
      <c r="L1273" s="16">
        <v>2006</v>
      </c>
      <c r="M1273" s="16">
        <v>2050</v>
      </c>
      <c r="N1273" s="16">
        <v>2042</v>
      </c>
      <c r="O1273" s="16">
        <v>2066</v>
      </c>
      <c r="P1273" s="16">
        <v>2051</v>
      </c>
      <c r="Q1273" s="16">
        <v>2080</v>
      </c>
      <c r="R1273" s="16">
        <v>2020</v>
      </c>
      <c r="S1273" s="16">
        <v>2061</v>
      </c>
      <c r="T1273" s="16">
        <v>2058</v>
      </c>
      <c r="U1273" s="15">
        <v>2046.3</v>
      </c>
      <c r="V1273" t="s">
        <v>19</v>
      </c>
      <c r="W1273" t="s">
        <v>28</v>
      </c>
      <c r="X1273">
        <v>130</v>
      </c>
      <c r="Y1273" s="16">
        <f>VLOOKUP(Tabela1[[#This Row],[SKU]],SKU!A:D,4,0)</f>
        <v>2000</v>
      </c>
      <c r="Z1273" s="18">
        <f>IFERROR((Tabela1[[#This Row],[Média]]-Tabela1[[#This Row],[Meta]])/Tabela1[[#This Row],[Meta]],"")</f>
        <v>2.3149999999999976E-2</v>
      </c>
      <c r="AA1273" s="31">
        <f>Tabela1[[#This Row],[Média]]-Tabela1[[#This Row],[Meta]]</f>
        <v>46.299999999999955</v>
      </c>
      <c r="AB1273" s="6" t="str">
        <f>VLOOKUP(Tabela1[[#This Row],[SKU]],SKU!A:B,2,0)</f>
        <v>COXA SBCX S/O FG 200-220g PB</v>
      </c>
      <c r="AC1273" s="6" t="str">
        <f>VLOOKUP(Tabela1[[#This Row],[SKU]],SKU!A:C,3,0)</f>
        <v>PERNA</v>
      </c>
    </row>
    <row r="1274" spans="1:29" x14ac:dyDescent="0.25">
      <c r="A1274" s="2">
        <f>INT(Tabela1[[#This Row],[Data e Hora2]])</f>
        <v>46296</v>
      </c>
      <c r="B1274" s="6" t="str">
        <f>UPPER(TEXT(Tabela1[[#This Row],[Data Corrigida]],"MMM"))</f>
        <v>OUT</v>
      </c>
      <c r="C1274" t="s">
        <v>2833</v>
      </c>
      <c r="D1274" s="2" t="s">
        <v>2834</v>
      </c>
      <c r="E1274" s="1" t="s">
        <v>2826</v>
      </c>
      <c r="F1274" t="s">
        <v>24</v>
      </c>
      <c r="G1274" s="2" t="s">
        <v>2820</v>
      </c>
      <c r="H1274" t="s">
        <v>26</v>
      </c>
      <c r="I1274" t="s">
        <v>27</v>
      </c>
      <c r="J1274" s="6">
        <v>42838</v>
      </c>
      <c r="K1274" s="16">
        <v>2019</v>
      </c>
      <c r="L1274" s="16">
        <v>1975</v>
      </c>
      <c r="M1274" s="16">
        <v>2013</v>
      </c>
      <c r="N1274" s="16">
        <v>1999</v>
      </c>
      <c r="O1274" s="16">
        <v>2023</v>
      </c>
      <c r="P1274" s="16">
        <v>2034</v>
      </c>
      <c r="Q1274" s="16">
        <v>2022</v>
      </c>
      <c r="R1274" s="16">
        <v>2037</v>
      </c>
      <c r="S1274" s="16">
        <v>2024</v>
      </c>
      <c r="T1274" s="16">
        <v>2036</v>
      </c>
      <c r="U1274" s="15">
        <v>2018.2</v>
      </c>
      <c r="V1274" t="s">
        <v>19</v>
      </c>
      <c r="W1274" t="s">
        <v>19</v>
      </c>
      <c r="X1274">
        <v>128</v>
      </c>
      <c r="Y1274" s="16">
        <f>VLOOKUP(Tabela1[[#This Row],[SKU]],SKU!A:D,4,0)</f>
        <v>2000</v>
      </c>
      <c r="Z1274" s="18">
        <f>IFERROR((Tabela1[[#This Row],[Média]]-Tabela1[[#This Row],[Meta]])/Tabela1[[#This Row],[Meta]],"")</f>
        <v>9.100000000000023E-3</v>
      </c>
      <c r="AA1274" s="31">
        <f>Tabela1[[#This Row],[Média]]-Tabela1[[#This Row],[Meta]]</f>
        <v>18.200000000000045</v>
      </c>
      <c r="AB1274" s="6" t="str">
        <f>VLOOKUP(Tabela1[[#This Row],[SKU]],SKU!A:B,2,0)</f>
        <v>COXA SBCX S/O FG 220-240g PB</v>
      </c>
      <c r="AC1274" s="6" t="str">
        <f>VLOOKUP(Tabela1[[#This Row],[SKU]],SKU!A:C,3,0)</f>
        <v>PERNA</v>
      </c>
    </row>
    <row r="1275" spans="1:29" x14ac:dyDescent="0.25">
      <c r="A1275" s="2">
        <f>INT(Tabela1[[#This Row],[Data e Hora2]])</f>
        <v>46296</v>
      </c>
      <c r="B1275" s="6" t="str">
        <f>UPPER(TEXT(Tabela1[[#This Row],[Data Corrigida]],"MMM"))</f>
        <v>OUT</v>
      </c>
      <c r="C1275" t="s">
        <v>2835</v>
      </c>
      <c r="D1275" s="2" t="s">
        <v>2836</v>
      </c>
      <c r="E1275" s="1" t="s">
        <v>2826</v>
      </c>
      <c r="F1275" t="s">
        <v>24</v>
      </c>
      <c r="G1275" s="2" t="s">
        <v>2820</v>
      </c>
      <c r="H1275" t="s">
        <v>26</v>
      </c>
      <c r="I1275" t="s">
        <v>27</v>
      </c>
      <c r="J1275" s="6">
        <v>42846</v>
      </c>
      <c r="K1275" s="16">
        <v>2013</v>
      </c>
      <c r="L1275" s="16">
        <v>1995</v>
      </c>
      <c r="M1275" s="16">
        <v>2007</v>
      </c>
      <c r="N1275" s="16">
        <v>2023</v>
      </c>
      <c r="O1275" s="16">
        <v>2008</v>
      </c>
      <c r="P1275" s="16">
        <v>2006</v>
      </c>
      <c r="Q1275" s="16">
        <v>2012</v>
      </c>
      <c r="R1275" s="16">
        <v>2015</v>
      </c>
      <c r="S1275" s="16">
        <v>1940</v>
      </c>
      <c r="T1275" s="16">
        <v>2016</v>
      </c>
      <c r="U1275" s="15">
        <v>2003.5</v>
      </c>
      <c r="V1275" t="s">
        <v>19</v>
      </c>
      <c r="W1275" t="s">
        <v>28</v>
      </c>
      <c r="X1275">
        <v>537</v>
      </c>
      <c r="Y1275" s="16">
        <f>VLOOKUP(Tabela1[[#This Row],[SKU]],SKU!A:D,4,0)</f>
        <v>2000</v>
      </c>
      <c r="Z1275" s="18">
        <f>IFERROR((Tabela1[[#This Row],[Média]]-Tabela1[[#This Row],[Meta]])/Tabela1[[#This Row],[Meta]],"")</f>
        <v>1.75E-3</v>
      </c>
      <c r="AA1275" s="31">
        <f>Tabela1[[#This Row],[Média]]-Tabela1[[#This Row],[Meta]]</f>
        <v>3.5</v>
      </c>
      <c r="AB1275" s="6" t="str">
        <f>VLOOKUP(Tabela1[[#This Row],[SKU]],SKU!A:B,2,0)</f>
        <v>COXA SBCX S/O FG 240-260g PB</v>
      </c>
      <c r="AC1275" s="6" t="str">
        <f>VLOOKUP(Tabela1[[#This Row],[SKU]],SKU!A:C,3,0)</f>
        <v>PERNA</v>
      </c>
    </row>
    <row r="1276" spans="1:29" x14ac:dyDescent="0.25">
      <c r="A1276" s="2">
        <f>INT(Tabela1[[#This Row],[Data e Hora2]])</f>
        <v>46296</v>
      </c>
      <c r="B1276" s="6" t="str">
        <f>UPPER(TEXT(Tabela1[[#This Row],[Data Corrigida]],"MMM"))</f>
        <v>OUT</v>
      </c>
      <c r="C1276" t="s">
        <v>2837</v>
      </c>
      <c r="D1276" s="2" t="s">
        <v>2838</v>
      </c>
      <c r="E1276" s="1" t="s">
        <v>2839</v>
      </c>
      <c r="F1276" t="s">
        <v>24</v>
      </c>
      <c r="G1276" s="2" t="s">
        <v>2820</v>
      </c>
      <c r="H1276" t="s">
        <v>26</v>
      </c>
      <c r="I1276" t="s">
        <v>27</v>
      </c>
      <c r="J1276" s="6">
        <v>209069</v>
      </c>
      <c r="K1276" s="16">
        <v>998</v>
      </c>
      <c r="L1276" s="16">
        <v>1028</v>
      </c>
      <c r="M1276" s="16">
        <v>1006</v>
      </c>
      <c r="N1276" s="16">
        <v>1009</v>
      </c>
      <c r="O1276" s="16">
        <v>1029</v>
      </c>
      <c r="P1276" s="16">
        <v>1013</v>
      </c>
      <c r="Q1276" s="16">
        <v>1002</v>
      </c>
      <c r="R1276" s="16">
        <v>1019</v>
      </c>
      <c r="S1276" s="16">
        <v>1008</v>
      </c>
      <c r="T1276" s="16">
        <v>1009</v>
      </c>
      <c r="U1276" s="15">
        <v>1012.1</v>
      </c>
      <c r="V1276" t="s">
        <v>19</v>
      </c>
      <c r="W1276" t="s">
        <v>28</v>
      </c>
      <c r="X1276">
        <v>7327</v>
      </c>
      <c r="Y1276" s="16">
        <f>VLOOKUP(Tabela1[[#This Row],[SKU]],SKU!A:D,4,0)</f>
        <v>1000</v>
      </c>
      <c r="Z1276" s="18">
        <f>IFERROR((Tabela1[[#This Row],[Média]]-Tabela1[[#This Row],[Meta]])/Tabela1[[#This Row],[Meta]],"")</f>
        <v>1.2100000000000022E-2</v>
      </c>
      <c r="AA1276" s="31">
        <f>Tabela1[[#This Row],[Média]]-Tabela1[[#This Row],[Meta]]</f>
        <v>12.100000000000023</v>
      </c>
      <c r="AB1276" s="6" t="str">
        <f>VLOOKUP(Tabela1[[#This Row],[SKU]],SKU!A:B,2,0)</f>
        <v>FILE PEITO CG IQF1KG</v>
      </c>
      <c r="AC1276" s="6" t="str">
        <f>VLOOKUP(Tabela1[[#This Row],[SKU]],SKU!A:C,3,0)</f>
        <v>PEITO</v>
      </c>
    </row>
    <row r="1277" spans="1:29" x14ac:dyDescent="0.25">
      <c r="A1277" s="2">
        <f>INT(Tabela1[[#This Row],[Data e Hora2]])</f>
        <v>46296</v>
      </c>
      <c r="B1277" s="6" t="str">
        <f>UPPER(TEXT(Tabela1[[#This Row],[Data Corrigida]],"MMM"))</f>
        <v>OUT</v>
      </c>
      <c r="C1277" t="s">
        <v>2840</v>
      </c>
      <c r="D1277" s="2" t="s">
        <v>2841</v>
      </c>
      <c r="E1277" s="1" t="s">
        <v>2839</v>
      </c>
      <c r="F1277" t="s">
        <v>24</v>
      </c>
      <c r="G1277" s="2" t="s">
        <v>2820</v>
      </c>
      <c r="H1277" t="s">
        <v>26</v>
      </c>
      <c r="I1277" t="s">
        <v>27</v>
      </c>
      <c r="J1277" s="6">
        <v>995638</v>
      </c>
      <c r="K1277" s="16">
        <v>15020</v>
      </c>
      <c r="L1277" s="16">
        <v>15020</v>
      </c>
      <c r="M1277" s="16">
        <v>15035</v>
      </c>
      <c r="N1277" s="16">
        <v>15015</v>
      </c>
      <c r="O1277" s="16">
        <v>15035</v>
      </c>
      <c r="P1277" s="16">
        <v>15015</v>
      </c>
      <c r="Q1277" s="16">
        <v>15045</v>
      </c>
      <c r="R1277" s="16">
        <v>15045</v>
      </c>
      <c r="S1277" s="16">
        <v>15035</v>
      </c>
      <c r="T1277" s="16">
        <v>15015</v>
      </c>
      <c r="U1277" s="15">
        <v>15028</v>
      </c>
      <c r="V1277" t="s">
        <v>19</v>
      </c>
      <c r="W1277" t="s">
        <v>28</v>
      </c>
      <c r="X1277">
        <v>353</v>
      </c>
      <c r="Y1277" s="16">
        <f>VLOOKUP(Tabela1[[#This Row],[SKU]],SKU!A:D,4,0)</f>
        <v>15000</v>
      </c>
      <c r="Z1277" s="18">
        <f>IFERROR((Tabela1[[#This Row],[Média]]-Tabela1[[#This Row],[Meta]])/Tabela1[[#This Row],[Meta]],"")</f>
        <v>1.8666666666666666E-3</v>
      </c>
      <c r="AA1277" s="31">
        <f>Tabela1[[#This Row],[Média]]-Tabela1[[#This Row],[Meta]]</f>
        <v>28</v>
      </c>
      <c r="AB1277" s="6" t="str">
        <f>VLOOKUP(Tabela1[[#This Row],[SKU]],SKU!A:B,2,0)</f>
        <v>MEIO DA ASA 40-50G LP</v>
      </c>
      <c r="AC1277" s="6" t="str">
        <f>VLOOKUP(Tabela1[[#This Row],[SKU]],SKU!A:C,3,0)</f>
        <v>ASA</v>
      </c>
    </row>
    <row r="1278" spans="1:29" x14ac:dyDescent="0.25">
      <c r="A1278" s="2">
        <f>INT(Tabela1[[#This Row],[Data e Hora2]])</f>
        <v>46296</v>
      </c>
      <c r="B1278" s="6" t="str">
        <f>UPPER(TEXT(Tabela1[[#This Row],[Data Corrigida]],"MMM"))</f>
        <v>OUT</v>
      </c>
      <c r="C1278" t="s">
        <v>2842</v>
      </c>
      <c r="D1278" s="2" t="s">
        <v>2843</v>
      </c>
      <c r="E1278" s="1" t="s">
        <v>2839</v>
      </c>
      <c r="F1278" t="s">
        <v>24</v>
      </c>
      <c r="G1278" s="2" t="s">
        <v>2820</v>
      </c>
      <c r="H1278" t="s">
        <v>26</v>
      </c>
      <c r="I1278" t="s">
        <v>27</v>
      </c>
      <c r="J1278" s="6">
        <v>40762</v>
      </c>
      <c r="K1278" s="16">
        <v>10060</v>
      </c>
      <c r="L1278" s="16">
        <v>10055</v>
      </c>
      <c r="M1278" s="16">
        <v>10010</v>
      </c>
      <c r="N1278" s="16">
        <v>9915</v>
      </c>
      <c r="O1278" s="16">
        <v>9995</v>
      </c>
      <c r="P1278" s="16">
        <v>9970</v>
      </c>
      <c r="Q1278" s="16">
        <v>9975</v>
      </c>
      <c r="R1278" s="16">
        <v>9955</v>
      </c>
      <c r="S1278" s="16">
        <v>10000</v>
      </c>
      <c r="T1278" s="16">
        <v>9985</v>
      </c>
      <c r="U1278" s="15">
        <v>9992</v>
      </c>
      <c r="V1278" t="s">
        <v>19</v>
      </c>
      <c r="W1278" t="s">
        <v>28</v>
      </c>
      <c r="X1278">
        <v>345</v>
      </c>
      <c r="Y1278" s="16">
        <f>VLOOKUP(Tabela1[[#This Row],[SKU]],SKU!A:D,4,0)</f>
        <v>10000</v>
      </c>
      <c r="Z1278" s="18">
        <f>IFERROR((Tabela1[[#This Row],[Média]]-Tabela1[[#This Row],[Meta]])/Tabela1[[#This Row],[Meta]],"")</f>
        <v>-8.0000000000000004E-4</v>
      </c>
      <c r="AA1278" s="31">
        <f>Tabela1[[#This Row],[Média]]-Tabela1[[#This Row],[Meta]]</f>
        <v>-8</v>
      </c>
      <c r="AB1278" s="6" t="str">
        <f>VLOOKUP(Tabela1[[#This Row],[SKU]],SKU!A:B,2,0)</f>
        <v>COXA SBCX LQ FG LP</v>
      </c>
      <c r="AC1278" s="6" t="str">
        <f>VLOOKUP(Tabela1[[#This Row],[SKU]],SKU!A:C,3,0)</f>
        <v>PERNA</v>
      </c>
    </row>
    <row r="1279" spans="1:29" x14ac:dyDescent="0.25">
      <c r="A1279" s="2">
        <f>INT(Tabela1[[#This Row],[Data e Hora2]])</f>
        <v>46296</v>
      </c>
      <c r="B1279" s="6" t="str">
        <f>UPPER(TEXT(Tabela1[[#This Row],[Data Corrigida]],"MMM"))</f>
        <v>OUT</v>
      </c>
      <c r="C1279" t="s">
        <v>2844</v>
      </c>
      <c r="D1279" s="2" t="s">
        <v>2845</v>
      </c>
      <c r="E1279" s="1" t="s">
        <v>2839</v>
      </c>
      <c r="F1279" t="s">
        <v>24</v>
      </c>
      <c r="G1279" s="2" t="s">
        <v>2820</v>
      </c>
      <c r="H1279" t="s">
        <v>26</v>
      </c>
      <c r="I1279" t="s">
        <v>27</v>
      </c>
      <c r="J1279" s="6">
        <v>15849</v>
      </c>
      <c r="K1279" s="16">
        <v>1017</v>
      </c>
      <c r="L1279" s="16">
        <v>1016</v>
      </c>
      <c r="M1279" s="16">
        <v>1009</v>
      </c>
      <c r="N1279" s="16">
        <v>1007</v>
      </c>
      <c r="O1279" s="16">
        <v>998</v>
      </c>
      <c r="P1279" s="16">
        <v>1024</v>
      </c>
      <c r="Q1279" s="16">
        <v>999</v>
      </c>
      <c r="R1279" s="16">
        <v>1013</v>
      </c>
      <c r="S1279" s="16">
        <v>996</v>
      </c>
      <c r="T1279" s="16">
        <v>997</v>
      </c>
      <c r="U1279" s="15">
        <v>1007.6</v>
      </c>
      <c r="V1279" t="s">
        <v>19</v>
      </c>
      <c r="W1279" t="s">
        <v>28</v>
      </c>
      <c r="X1279">
        <v>157</v>
      </c>
      <c r="Y1279" s="16">
        <f>VLOOKUP(Tabela1[[#This Row],[SKU]],SKU!A:D,4,0)</f>
        <v>1000</v>
      </c>
      <c r="Z1279" s="18">
        <f>IFERROR((Tabela1[[#This Row],[Média]]-Tabela1[[#This Row],[Meta]])/Tabela1[[#This Row],[Meta]],"")</f>
        <v>7.6000000000000225E-3</v>
      </c>
      <c r="AA1279" s="31">
        <f>Tabela1[[#This Row],[Média]]-Tabela1[[#This Row],[Meta]]</f>
        <v>7.6000000000000227</v>
      </c>
      <c r="AB1279" s="6" t="str">
        <f>VLOOKUP(Tabela1[[#This Row],[SKU]],SKU!A:B,2,0)</f>
        <v>FILEZINHO PEITO CG BDJ SE</v>
      </c>
      <c r="AC1279" s="6" t="str">
        <f>VLOOKUP(Tabela1[[#This Row],[SKU]],SKU!A:C,3,0)</f>
        <v>SASSAMI</v>
      </c>
    </row>
    <row r="1280" spans="1:29" x14ac:dyDescent="0.25">
      <c r="A1280" s="2">
        <f>INT(Tabela1[[#This Row],[Data e Hora2]])</f>
        <v>46296</v>
      </c>
      <c r="B1280" s="6" t="str">
        <f>UPPER(TEXT(Tabela1[[#This Row],[Data Corrigida]],"MMM"))</f>
        <v>OUT</v>
      </c>
      <c r="C1280" t="s">
        <v>2846</v>
      </c>
      <c r="D1280" s="2" t="s">
        <v>2847</v>
      </c>
      <c r="E1280" s="1" t="s">
        <v>2839</v>
      </c>
      <c r="F1280" t="s">
        <v>24</v>
      </c>
      <c r="G1280" s="2" t="s">
        <v>2820</v>
      </c>
      <c r="H1280" t="s">
        <v>26</v>
      </c>
      <c r="I1280" t="s">
        <v>27</v>
      </c>
      <c r="J1280" s="6">
        <v>40762</v>
      </c>
      <c r="K1280" s="16">
        <v>9985</v>
      </c>
      <c r="L1280" s="16">
        <v>10050</v>
      </c>
      <c r="M1280" s="16">
        <v>10025</v>
      </c>
      <c r="N1280" s="16">
        <v>10075</v>
      </c>
      <c r="O1280" s="16">
        <v>9965</v>
      </c>
      <c r="P1280" s="16">
        <v>9930</v>
      </c>
      <c r="Q1280" s="16">
        <v>10010</v>
      </c>
      <c r="R1280" s="16">
        <v>10035</v>
      </c>
      <c r="S1280" s="16">
        <v>10050</v>
      </c>
      <c r="T1280" s="16">
        <v>10050</v>
      </c>
      <c r="U1280" s="15">
        <v>10017.5</v>
      </c>
      <c r="V1280" t="s">
        <v>19</v>
      </c>
      <c r="W1280" t="s">
        <v>28</v>
      </c>
      <c r="X1280">
        <v>30001</v>
      </c>
      <c r="Y1280" s="16">
        <f>VLOOKUP(Tabela1[[#This Row],[SKU]],SKU!A:D,4,0)</f>
        <v>10000</v>
      </c>
      <c r="Z1280" s="18">
        <f>IFERROR((Tabela1[[#This Row],[Média]]-Tabela1[[#This Row],[Meta]])/Tabela1[[#This Row],[Meta]],"")</f>
        <v>1.75E-3</v>
      </c>
      <c r="AA1280" s="31">
        <f>Tabela1[[#This Row],[Média]]-Tabela1[[#This Row],[Meta]]</f>
        <v>17.5</v>
      </c>
      <c r="AB1280" s="6" t="str">
        <f>VLOOKUP(Tabela1[[#This Row],[SKU]],SKU!A:B,2,0)</f>
        <v>COXA SBCX LQ FG LP</v>
      </c>
      <c r="AC1280" s="6" t="str">
        <f>VLOOKUP(Tabela1[[#This Row],[SKU]],SKU!A:C,3,0)</f>
        <v>PERNA</v>
      </c>
    </row>
    <row r="1281" spans="1:29" x14ac:dyDescent="0.25">
      <c r="A1281" s="2">
        <f>INT(Tabela1[[#This Row],[Data e Hora2]])</f>
        <v>46296</v>
      </c>
      <c r="B1281" s="6" t="str">
        <f>UPPER(TEXT(Tabela1[[#This Row],[Data Corrigida]],"MMM"))</f>
        <v>OUT</v>
      </c>
      <c r="C1281" t="s">
        <v>2848</v>
      </c>
      <c r="D1281" s="2" t="s">
        <v>2849</v>
      </c>
      <c r="E1281" s="1" t="s">
        <v>2839</v>
      </c>
      <c r="F1281" t="s">
        <v>24</v>
      </c>
      <c r="G1281" s="2" t="s">
        <v>2820</v>
      </c>
      <c r="H1281" t="s">
        <v>26</v>
      </c>
      <c r="I1281" t="s">
        <v>27</v>
      </c>
      <c r="J1281" s="6">
        <v>15229</v>
      </c>
      <c r="K1281" s="16">
        <v>1001</v>
      </c>
      <c r="L1281" s="16">
        <v>1010</v>
      </c>
      <c r="M1281" s="16">
        <v>1009</v>
      </c>
      <c r="N1281" s="16">
        <v>1004</v>
      </c>
      <c r="O1281" s="16">
        <v>1000</v>
      </c>
      <c r="P1281" s="16">
        <v>1004</v>
      </c>
      <c r="Q1281" s="16">
        <v>1008</v>
      </c>
      <c r="R1281" s="16">
        <v>996</v>
      </c>
      <c r="S1281" s="16">
        <v>1003</v>
      </c>
      <c r="T1281" s="16">
        <v>1004</v>
      </c>
      <c r="U1281" s="15">
        <v>1003.9</v>
      </c>
      <c r="V1281" t="s">
        <v>19</v>
      </c>
      <c r="W1281" t="s">
        <v>28</v>
      </c>
      <c r="X1281">
        <v>125</v>
      </c>
      <c r="Y1281" s="16">
        <f>VLOOKUP(Tabela1[[#This Row],[SKU]],SKU!A:D,4,0)</f>
        <v>1000</v>
      </c>
      <c r="Z1281" s="18">
        <f>IFERROR((Tabela1[[#This Row],[Média]]-Tabela1[[#This Row],[Meta]])/Tabela1[[#This Row],[Meta]],"")</f>
        <v>3.8999999999999773E-3</v>
      </c>
      <c r="AA1281" s="31">
        <f>Tabela1[[#This Row],[Média]]-Tabela1[[#This Row],[Meta]]</f>
        <v>3.8999999999999773</v>
      </c>
      <c r="AB1281" s="6" t="str">
        <f>VLOOKUP(Tabela1[[#This Row],[SKU]],SKU!A:B,2,0)</f>
        <v>COXA CG BDJ SE</v>
      </c>
      <c r="AC1281" s="6" t="str">
        <f>VLOOKUP(Tabela1[[#This Row],[SKU]],SKU!A:C,3,0)</f>
        <v>PERNA</v>
      </c>
    </row>
    <row r="1282" spans="1:29" x14ac:dyDescent="0.25">
      <c r="A1282" s="2">
        <f>INT(Tabela1[[#This Row],[Data e Hora2]])</f>
        <v>46296</v>
      </c>
      <c r="B1282" s="6" t="str">
        <f>UPPER(TEXT(Tabela1[[#This Row],[Data Corrigida]],"MMM"))</f>
        <v>OUT</v>
      </c>
      <c r="C1282" t="s">
        <v>2850</v>
      </c>
      <c r="D1282" s="2" t="s">
        <v>2851</v>
      </c>
      <c r="E1282" s="1" t="s">
        <v>2839</v>
      </c>
      <c r="F1282" t="s">
        <v>24</v>
      </c>
      <c r="G1282" s="2" t="s">
        <v>2820</v>
      </c>
      <c r="H1282" t="s">
        <v>26</v>
      </c>
      <c r="I1282" t="s">
        <v>27</v>
      </c>
      <c r="J1282" s="6">
        <v>42641</v>
      </c>
      <c r="K1282" s="16">
        <v>15070</v>
      </c>
      <c r="L1282" s="16">
        <v>15120</v>
      </c>
      <c r="M1282" s="16">
        <v>15115</v>
      </c>
      <c r="N1282" s="16">
        <v>15105</v>
      </c>
      <c r="O1282" s="16">
        <v>15080</v>
      </c>
      <c r="P1282" s="16">
        <v>15095</v>
      </c>
      <c r="Q1282" s="16">
        <v>15085</v>
      </c>
      <c r="R1282" s="16">
        <v>15060</v>
      </c>
      <c r="S1282" s="16">
        <v>15050</v>
      </c>
      <c r="T1282" s="16">
        <v>15090</v>
      </c>
      <c r="U1282" s="15">
        <v>15087</v>
      </c>
      <c r="V1282" t="s">
        <v>19</v>
      </c>
      <c r="W1282" t="s">
        <v>28</v>
      </c>
      <c r="X1282">
        <v>30646</v>
      </c>
      <c r="Y1282" s="16">
        <f>VLOOKUP(Tabela1[[#This Row],[SKU]],SKU!A:D,4,0)</f>
        <v>15000</v>
      </c>
      <c r="Z1282" s="18">
        <f>IFERROR((Tabela1[[#This Row],[Média]]-Tabela1[[#This Row],[Meta]])/Tabela1[[#This Row],[Meta]],"")</f>
        <v>5.7999999999999996E-3</v>
      </c>
      <c r="AA1282" s="31">
        <f>Tabela1[[#This Row],[Média]]-Tabela1[[#This Row],[Meta]]</f>
        <v>87</v>
      </c>
      <c r="AB1282" s="6" t="str">
        <f>VLOOKUP(Tabela1[[#This Row],[SKU]],SKU!A:B,2,0)</f>
        <v>ASAS FG 100g UP LP</v>
      </c>
      <c r="AC1282" s="6" t="str">
        <f>VLOOKUP(Tabela1[[#This Row],[SKU]],SKU!A:C,3,0)</f>
        <v>ASA</v>
      </c>
    </row>
    <row r="1283" spans="1:29" x14ac:dyDescent="0.25">
      <c r="A1283" s="2">
        <f>INT(Tabela1[[#This Row],[Data e Hora2]])</f>
        <v>46296</v>
      </c>
      <c r="B1283" s="6" t="str">
        <f>UPPER(TEXT(Tabela1[[#This Row],[Data Corrigida]],"MMM"))</f>
        <v>OUT</v>
      </c>
      <c r="C1283" t="s">
        <v>2852</v>
      </c>
      <c r="D1283" s="2" t="s">
        <v>2853</v>
      </c>
      <c r="E1283" s="1" t="s">
        <v>2839</v>
      </c>
      <c r="F1283" t="s">
        <v>24</v>
      </c>
      <c r="G1283" s="2" t="s">
        <v>2820</v>
      </c>
      <c r="H1283" t="s">
        <v>26</v>
      </c>
      <c r="I1283" t="s">
        <v>27</v>
      </c>
      <c r="J1283" s="6">
        <v>15849</v>
      </c>
      <c r="K1283" s="16">
        <v>1009</v>
      </c>
      <c r="L1283" s="16">
        <v>1010</v>
      </c>
      <c r="M1283" s="16">
        <v>1008</v>
      </c>
      <c r="N1283" s="16">
        <v>1016</v>
      </c>
      <c r="O1283" s="16">
        <v>992</v>
      </c>
      <c r="P1283" s="16">
        <v>1008</v>
      </c>
      <c r="Q1283" s="16">
        <v>1013</v>
      </c>
      <c r="R1283" s="16">
        <v>1003</v>
      </c>
      <c r="S1283" s="16">
        <v>1003</v>
      </c>
      <c r="T1283" s="16">
        <v>1003</v>
      </c>
      <c r="U1283" s="15">
        <v>1006.5</v>
      </c>
      <c r="V1283" t="s">
        <v>19</v>
      </c>
      <c r="W1283" t="s">
        <v>28</v>
      </c>
      <c r="X1283">
        <v>30821</v>
      </c>
      <c r="Y1283" s="16">
        <f>VLOOKUP(Tabela1[[#This Row],[SKU]],SKU!A:D,4,0)</f>
        <v>1000</v>
      </c>
      <c r="Z1283" s="18">
        <f>IFERROR((Tabela1[[#This Row],[Média]]-Tabela1[[#This Row],[Meta]])/Tabela1[[#This Row],[Meta]],"")</f>
        <v>6.4999999999999997E-3</v>
      </c>
      <c r="AA1283" s="31">
        <f>Tabela1[[#This Row],[Média]]-Tabela1[[#This Row],[Meta]]</f>
        <v>6.5</v>
      </c>
      <c r="AB1283" s="6" t="str">
        <f>VLOOKUP(Tabela1[[#This Row],[SKU]],SKU!A:B,2,0)</f>
        <v>FILEZINHO PEITO CG BDJ SE</v>
      </c>
      <c r="AC1283" s="6" t="str">
        <f>VLOOKUP(Tabela1[[#This Row],[SKU]],SKU!A:C,3,0)</f>
        <v>SASSAMI</v>
      </c>
    </row>
    <row r="1284" spans="1:29" x14ac:dyDescent="0.25">
      <c r="A1284" s="2">
        <f>INT(Tabela1[[#This Row],[Data e Hora2]])</f>
        <v>46296</v>
      </c>
      <c r="B1284" s="6" t="str">
        <f>UPPER(TEXT(Tabela1[[#This Row],[Data Corrigida]],"MMM"))</f>
        <v>OUT</v>
      </c>
      <c r="C1284" t="s">
        <v>2854</v>
      </c>
      <c r="D1284" s="2" t="s">
        <v>2855</v>
      </c>
      <c r="E1284" s="1" t="s">
        <v>2839</v>
      </c>
      <c r="F1284" t="s">
        <v>24</v>
      </c>
      <c r="G1284" s="2" t="s">
        <v>2820</v>
      </c>
      <c r="H1284" t="s">
        <v>26</v>
      </c>
      <c r="I1284" t="s">
        <v>27</v>
      </c>
      <c r="J1284" s="6">
        <v>15105</v>
      </c>
      <c r="K1284" s="16">
        <v>1011</v>
      </c>
      <c r="L1284" s="16">
        <v>1047</v>
      </c>
      <c r="M1284" s="16">
        <v>1025</v>
      </c>
      <c r="N1284" s="16">
        <v>1057</v>
      </c>
      <c r="O1284" s="16">
        <v>1021</v>
      </c>
      <c r="P1284" s="16">
        <v>1048</v>
      </c>
      <c r="Q1284" s="16">
        <v>1012</v>
      </c>
      <c r="R1284" s="16">
        <v>1063</v>
      </c>
      <c r="S1284" s="16">
        <v>998</v>
      </c>
      <c r="T1284" s="16">
        <v>1008</v>
      </c>
      <c r="U1284" s="15">
        <v>1029</v>
      </c>
      <c r="V1284" t="s">
        <v>19</v>
      </c>
      <c r="W1284" t="s">
        <v>28</v>
      </c>
      <c r="X1284">
        <v>31036</v>
      </c>
      <c r="Y1284" s="16">
        <f>VLOOKUP(Tabela1[[#This Row],[SKU]],SKU!A:D,4,0)</f>
        <v>1000</v>
      </c>
      <c r="Z1284" s="18">
        <f>IFERROR((Tabela1[[#This Row],[Média]]-Tabela1[[#This Row],[Meta]])/Tabela1[[#This Row],[Meta]],"")</f>
        <v>2.9000000000000001E-2</v>
      </c>
      <c r="AA1284" s="31">
        <f>Tabela1[[#This Row],[Média]]-Tabela1[[#This Row],[Meta]]</f>
        <v>29</v>
      </c>
      <c r="AB1284" s="6" t="str">
        <f>VLOOKUP(Tabela1[[#This Row],[SKU]],SKU!A:B,2,0)</f>
        <v>FILE PEITO MET CG BDJ SE</v>
      </c>
      <c r="AC1284" s="6" t="str">
        <f>VLOOKUP(Tabela1[[#This Row],[SKU]],SKU!A:C,3,0)</f>
        <v>PEITO</v>
      </c>
    </row>
    <row r="1285" spans="1:29" x14ac:dyDescent="0.25">
      <c r="A1285" s="2">
        <f>INT(Tabela1[[#This Row],[Data e Hora2]])</f>
        <v>46296</v>
      </c>
      <c r="B1285" s="6" t="str">
        <f>UPPER(TEXT(Tabela1[[#This Row],[Data Corrigida]],"MMM"))</f>
        <v>OUT</v>
      </c>
      <c r="C1285" t="s">
        <v>2856</v>
      </c>
      <c r="D1285" s="2" t="s">
        <v>2857</v>
      </c>
      <c r="E1285" s="1" t="s">
        <v>2858</v>
      </c>
      <c r="F1285" t="s">
        <v>24</v>
      </c>
      <c r="G1285" s="2" t="s">
        <v>2820</v>
      </c>
      <c r="H1285" t="s">
        <v>26</v>
      </c>
      <c r="I1285" t="s">
        <v>57</v>
      </c>
      <c r="J1285" s="6">
        <v>42854</v>
      </c>
      <c r="K1285" s="16">
        <v>2092</v>
      </c>
      <c r="L1285" s="16">
        <v>2086</v>
      </c>
      <c r="M1285" s="16">
        <v>2072</v>
      </c>
      <c r="N1285" s="16">
        <v>2108</v>
      </c>
      <c r="O1285" s="16">
        <v>2012</v>
      </c>
      <c r="P1285" s="16">
        <v>2091</v>
      </c>
      <c r="Q1285" s="16">
        <v>2102</v>
      </c>
      <c r="R1285" s="16">
        <v>2010</v>
      </c>
      <c r="S1285" s="16">
        <v>2022</v>
      </c>
      <c r="T1285" s="16">
        <v>2090</v>
      </c>
      <c r="U1285" s="15">
        <v>2068.5</v>
      </c>
      <c r="V1285" t="s">
        <v>19</v>
      </c>
      <c r="W1285" t="s">
        <v>28</v>
      </c>
      <c r="X1285">
        <v>225</v>
      </c>
      <c r="Y1285" s="16">
        <f>VLOOKUP(Tabela1[[#This Row],[SKU]],SKU!A:D,4,0)</f>
        <v>2080</v>
      </c>
      <c r="Z1285" s="18">
        <f>IFERROR((Tabela1[[#This Row],[Média]]-Tabela1[[#This Row],[Meta]])/Tabela1[[#This Row],[Meta]],"")</f>
        <v>-5.5288461538461542E-3</v>
      </c>
      <c r="AA1285" s="31">
        <f>Tabela1[[#This Row],[Média]]-Tabela1[[#This Row],[Meta]]</f>
        <v>-11.5</v>
      </c>
      <c r="AB1285" s="6" t="str">
        <f>VLOOKUP(Tabela1[[#This Row],[SKU]],SKU!A:B,2,0)</f>
        <v>COXA SBCX S/O FG 260-280g PB</v>
      </c>
      <c r="AC1285" s="6" t="str">
        <f>VLOOKUP(Tabela1[[#This Row],[SKU]],SKU!A:C,3,0)</f>
        <v>PERNA</v>
      </c>
    </row>
    <row r="1286" spans="1:29" x14ac:dyDescent="0.25">
      <c r="A1286" s="2">
        <f>INT(Tabela1[[#This Row],[Data e Hora2]])</f>
        <v>46296</v>
      </c>
      <c r="B1286" s="6" t="str">
        <f>UPPER(TEXT(Tabela1[[#This Row],[Data Corrigida]],"MMM"))</f>
        <v>OUT</v>
      </c>
      <c r="C1286" t="s">
        <v>2859</v>
      </c>
      <c r="D1286" s="2" t="s">
        <v>2860</v>
      </c>
      <c r="E1286" s="1" t="s">
        <v>2858</v>
      </c>
      <c r="F1286" t="s">
        <v>24</v>
      </c>
      <c r="G1286" s="2" t="s">
        <v>2820</v>
      </c>
      <c r="H1286" t="s">
        <v>26</v>
      </c>
      <c r="I1286" t="s">
        <v>57</v>
      </c>
      <c r="J1286" s="6">
        <v>42862</v>
      </c>
      <c r="K1286" s="16">
        <v>2006</v>
      </c>
      <c r="L1286" s="16">
        <v>2004</v>
      </c>
      <c r="M1286" s="16">
        <v>2027</v>
      </c>
      <c r="N1286" s="16">
        <v>2016</v>
      </c>
      <c r="O1286" s="16">
        <v>2020</v>
      </c>
      <c r="P1286" s="16">
        <v>2057</v>
      </c>
      <c r="Q1286" s="16">
        <v>2048</v>
      </c>
      <c r="R1286" s="16">
        <v>2042</v>
      </c>
      <c r="S1286" s="16">
        <v>1995</v>
      </c>
      <c r="T1286" s="16">
        <v>2021</v>
      </c>
      <c r="U1286" s="15">
        <v>2023.6</v>
      </c>
      <c r="V1286" t="s">
        <v>19</v>
      </c>
      <c r="W1286" t="s">
        <v>28</v>
      </c>
      <c r="X1286">
        <v>414</v>
      </c>
      <c r="Y1286" s="16">
        <f>VLOOKUP(Tabela1[[#This Row],[SKU]],SKU!A:D,4,0)</f>
        <v>2000</v>
      </c>
      <c r="Z1286" s="18">
        <f>IFERROR((Tabela1[[#This Row],[Média]]-Tabela1[[#This Row],[Meta]])/Tabela1[[#This Row],[Meta]],"")</f>
        <v>1.1799999999999955E-2</v>
      </c>
      <c r="AA1286" s="31">
        <f>Tabela1[[#This Row],[Média]]-Tabela1[[#This Row],[Meta]]</f>
        <v>23.599999999999909</v>
      </c>
      <c r="AB1286" s="6" t="str">
        <f>VLOOKUP(Tabela1[[#This Row],[SKU]],SKU!A:B,2,0)</f>
        <v>COXA SBCX S/O FG 280-300g PB</v>
      </c>
      <c r="AC1286" s="6" t="str">
        <f>VLOOKUP(Tabela1[[#This Row],[SKU]],SKU!A:C,3,0)</f>
        <v>PERNA</v>
      </c>
    </row>
    <row r="1287" spans="1:29" x14ac:dyDescent="0.25">
      <c r="A1287" s="2">
        <f>INT(Tabela1[[#This Row],[Data e Hora2]])</f>
        <v>46296</v>
      </c>
      <c r="B1287" s="6" t="str">
        <f>UPPER(TEXT(Tabela1[[#This Row],[Data Corrigida]],"MMM"))</f>
        <v>OUT</v>
      </c>
      <c r="C1287" t="s">
        <v>2861</v>
      </c>
      <c r="D1287" s="2" t="s">
        <v>2862</v>
      </c>
      <c r="E1287" s="1" t="s">
        <v>2858</v>
      </c>
      <c r="F1287" t="s">
        <v>24</v>
      </c>
      <c r="G1287" s="2" t="s">
        <v>2820</v>
      </c>
      <c r="H1287" t="s">
        <v>26</v>
      </c>
      <c r="I1287" t="s">
        <v>57</v>
      </c>
      <c r="J1287" s="6">
        <v>42846</v>
      </c>
      <c r="K1287" s="16">
        <v>2007</v>
      </c>
      <c r="L1287" s="16">
        <v>2025</v>
      </c>
      <c r="M1287" s="16">
        <v>2010</v>
      </c>
      <c r="N1287" s="16">
        <v>2009</v>
      </c>
      <c r="O1287" s="16">
        <v>2011</v>
      </c>
      <c r="P1287" s="16">
        <v>2021</v>
      </c>
      <c r="Q1287" s="16">
        <v>2007</v>
      </c>
      <c r="R1287" s="16">
        <v>2000</v>
      </c>
      <c r="S1287" s="16">
        <v>2015</v>
      </c>
      <c r="T1287" s="16">
        <v>2011</v>
      </c>
      <c r="U1287" s="15">
        <v>2011.6</v>
      </c>
      <c r="V1287" t="s">
        <v>19</v>
      </c>
      <c r="W1287" t="s">
        <v>28</v>
      </c>
      <c r="X1287">
        <v>808</v>
      </c>
      <c r="Y1287" s="16">
        <f>VLOOKUP(Tabela1[[#This Row],[SKU]],SKU!A:D,4,0)</f>
        <v>2000</v>
      </c>
      <c r="Z1287" s="18">
        <f>IFERROR((Tabela1[[#This Row],[Média]]-Tabela1[[#This Row],[Meta]])/Tabela1[[#This Row],[Meta]],"")</f>
        <v>5.7999999999999545E-3</v>
      </c>
      <c r="AA1287" s="31">
        <f>Tabela1[[#This Row],[Média]]-Tabela1[[#This Row],[Meta]]</f>
        <v>11.599999999999909</v>
      </c>
      <c r="AB1287" s="6" t="str">
        <f>VLOOKUP(Tabela1[[#This Row],[SKU]],SKU!A:B,2,0)</f>
        <v>COXA SBCX S/O FG 240-260g PB</v>
      </c>
      <c r="AC1287" s="6" t="str">
        <f>VLOOKUP(Tabela1[[#This Row],[SKU]],SKU!A:C,3,0)</f>
        <v>PERNA</v>
      </c>
    </row>
    <row r="1288" spans="1:29" x14ac:dyDescent="0.25">
      <c r="A1288" s="2">
        <f>INT(Tabela1[[#This Row],[Data e Hora2]])</f>
        <v>46296</v>
      </c>
      <c r="B1288" s="6" t="str">
        <f>UPPER(TEXT(Tabela1[[#This Row],[Data Corrigida]],"MMM"))</f>
        <v>OUT</v>
      </c>
      <c r="C1288" t="s">
        <v>2863</v>
      </c>
      <c r="D1288" s="2" t="s">
        <v>2864</v>
      </c>
      <c r="E1288" s="1" t="s">
        <v>2858</v>
      </c>
      <c r="F1288" t="s">
        <v>24</v>
      </c>
      <c r="G1288" s="2" t="s">
        <v>2820</v>
      </c>
      <c r="H1288" t="s">
        <v>26</v>
      </c>
      <c r="I1288" t="s">
        <v>57</v>
      </c>
      <c r="J1288" s="6">
        <v>42838</v>
      </c>
      <c r="K1288" s="16">
        <v>2070</v>
      </c>
      <c r="L1288" s="16">
        <v>2020</v>
      </c>
      <c r="M1288" s="16">
        <v>2015</v>
      </c>
      <c r="N1288" s="16">
        <v>2055</v>
      </c>
      <c r="O1288" s="16">
        <v>2021</v>
      </c>
      <c r="P1288" s="16">
        <v>2033</v>
      </c>
      <c r="Q1288" s="16">
        <v>2031</v>
      </c>
      <c r="R1288" s="16">
        <v>2019</v>
      </c>
      <c r="S1288" s="16">
        <v>2037</v>
      </c>
      <c r="T1288" s="16">
        <v>2059</v>
      </c>
      <c r="U1288" s="15">
        <v>2036</v>
      </c>
      <c r="V1288" t="s">
        <v>19</v>
      </c>
      <c r="W1288" t="s">
        <v>28</v>
      </c>
      <c r="X1288">
        <v>995</v>
      </c>
      <c r="Y1288" s="16">
        <f>VLOOKUP(Tabela1[[#This Row],[SKU]],SKU!A:D,4,0)</f>
        <v>2000</v>
      </c>
      <c r="Z1288" s="18">
        <f>IFERROR((Tabela1[[#This Row],[Média]]-Tabela1[[#This Row],[Meta]])/Tabela1[[#This Row],[Meta]],"")</f>
        <v>1.7999999999999999E-2</v>
      </c>
      <c r="AA1288" s="31">
        <f>Tabela1[[#This Row],[Média]]-Tabela1[[#This Row],[Meta]]</f>
        <v>36</v>
      </c>
      <c r="AB1288" s="6" t="str">
        <f>VLOOKUP(Tabela1[[#This Row],[SKU]],SKU!A:B,2,0)</f>
        <v>COXA SBCX S/O FG 220-240g PB</v>
      </c>
      <c r="AC1288" s="6" t="str">
        <f>VLOOKUP(Tabela1[[#This Row],[SKU]],SKU!A:C,3,0)</f>
        <v>PERNA</v>
      </c>
    </row>
    <row r="1289" spans="1:29" x14ac:dyDescent="0.25">
      <c r="A1289" s="2">
        <f>INT(Tabela1[[#This Row],[Data e Hora2]])</f>
        <v>46296</v>
      </c>
      <c r="B1289" s="6" t="str">
        <f>UPPER(TEXT(Tabela1[[#This Row],[Data Corrigida]],"MMM"))</f>
        <v>OUT</v>
      </c>
      <c r="C1289" t="s">
        <v>2865</v>
      </c>
      <c r="D1289" s="2" t="s">
        <v>2866</v>
      </c>
      <c r="E1289" s="1" t="s">
        <v>2858</v>
      </c>
      <c r="F1289" t="s">
        <v>24</v>
      </c>
      <c r="G1289" s="2" t="s">
        <v>2820</v>
      </c>
      <c r="H1289" t="s">
        <v>26</v>
      </c>
      <c r="I1289" t="s">
        <v>57</v>
      </c>
      <c r="J1289" s="6">
        <v>42820</v>
      </c>
      <c r="K1289" s="16">
        <v>2062</v>
      </c>
      <c r="L1289" s="16">
        <v>2024</v>
      </c>
      <c r="M1289" s="16">
        <v>2050</v>
      </c>
      <c r="N1289" s="16">
        <v>2066</v>
      </c>
      <c r="O1289" s="16">
        <v>2048</v>
      </c>
      <c r="P1289" s="16">
        <v>2035</v>
      </c>
      <c r="Q1289" s="16">
        <v>2040</v>
      </c>
      <c r="R1289" s="16">
        <v>2008</v>
      </c>
      <c r="S1289" s="16">
        <v>2050</v>
      </c>
      <c r="T1289" s="16">
        <v>2010</v>
      </c>
      <c r="U1289" s="15">
        <v>2039.3</v>
      </c>
      <c r="V1289" t="s">
        <v>19</v>
      </c>
      <c r="W1289" t="s">
        <v>28</v>
      </c>
      <c r="X1289">
        <v>1171</v>
      </c>
      <c r="Y1289" s="16">
        <f>VLOOKUP(Tabela1[[#This Row],[SKU]],SKU!A:D,4,0)</f>
        <v>2000</v>
      </c>
      <c r="Z1289" s="18">
        <f>IFERROR((Tabela1[[#This Row],[Média]]-Tabela1[[#This Row],[Meta]])/Tabela1[[#This Row],[Meta]],"")</f>
        <v>1.9649999999999977E-2</v>
      </c>
      <c r="AA1289" s="31">
        <f>Tabela1[[#This Row],[Média]]-Tabela1[[#This Row],[Meta]]</f>
        <v>39.299999999999955</v>
      </c>
      <c r="AB1289" s="6" t="str">
        <f>VLOOKUP(Tabela1[[#This Row],[SKU]],SKU!A:B,2,0)</f>
        <v>COXA SBCX S/O FG 200-220g PB</v>
      </c>
      <c r="AC1289" s="6" t="str">
        <f>VLOOKUP(Tabela1[[#This Row],[SKU]],SKU!A:C,3,0)</f>
        <v>PERNA</v>
      </c>
    </row>
    <row r="1290" spans="1:29" x14ac:dyDescent="0.25">
      <c r="A1290" s="2">
        <f>INT(Tabela1[[#This Row],[Data e Hora2]])</f>
        <v>46296</v>
      </c>
      <c r="B1290" s="6" t="str">
        <f>UPPER(TEXT(Tabela1[[#This Row],[Data Corrigida]],"MMM"))</f>
        <v>OUT</v>
      </c>
      <c r="C1290" t="s">
        <v>2867</v>
      </c>
      <c r="D1290" s="2" t="s">
        <v>2868</v>
      </c>
      <c r="E1290" s="1" t="s">
        <v>2869</v>
      </c>
      <c r="F1290" t="s">
        <v>24</v>
      </c>
      <c r="G1290" s="2" t="s">
        <v>2820</v>
      </c>
      <c r="H1290" t="s">
        <v>26</v>
      </c>
      <c r="I1290" t="s">
        <v>57</v>
      </c>
      <c r="J1290" s="6">
        <v>15105</v>
      </c>
      <c r="K1290" s="16">
        <v>1046</v>
      </c>
      <c r="L1290" s="16">
        <v>1045</v>
      </c>
      <c r="M1290" s="16">
        <v>1038</v>
      </c>
      <c r="N1290" s="16">
        <v>1014</v>
      </c>
      <c r="O1290" s="16">
        <v>1015</v>
      </c>
      <c r="P1290" s="16">
        <v>998</v>
      </c>
      <c r="Q1290" s="16">
        <v>1006</v>
      </c>
      <c r="R1290" s="16">
        <v>1010</v>
      </c>
      <c r="S1290" s="16">
        <v>1000</v>
      </c>
      <c r="T1290" s="16">
        <v>1042</v>
      </c>
      <c r="U1290" s="15">
        <v>1021.4</v>
      </c>
      <c r="V1290" t="s">
        <v>19</v>
      </c>
      <c r="W1290" t="s">
        <v>28</v>
      </c>
      <c r="X1290">
        <v>226</v>
      </c>
      <c r="Y1290" s="16">
        <f>VLOOKUP(Tabela1[[#This Row],[SKU]],SKU!A:D,4,0)</f>
        <v>1000</v>
      </c>
      <c r="Z1290" s="18">
        <f>IFERROR((Tabela1[[#This Row],[Média]]-Tabela1[[#This Row],[Meta]])/Tabela1[[#This Row],[Meta]],"")</f>
        <v>2.1399999999999978E-2</v>
      </c>
      <c r="AA1290" s="31">
        <f>Tabela1[[#This Row],[Média]]-Tabela1[[#This Row],[Meta]]</f>
        <v>21.399999999999977</v>
      </c>
      <c r="AB1290" s="6" t="str">
        <f>VLOOKUP(Tabela1[[#This Row],[SKU]],SKU!A:B,2,0)</f>
        <v>FILE PEITO MET CG BDJ SE</v>
      </c>
      <c r="AC1290" s="6" t="str">
        <f>VLOOKUP(Tabela1[[#This Row],[SKU]],SKU!A:C,3,0)</f>
        <v>PEITO</v>
      </c>
    </row>
    <row r="1291" spans="1:29" x14ac:dyDescent="0.25">
      <c r="A1291" s="2">
        <f>INT(Tabela1[[#This Row],[Data e Hora2]])</f>
        <v>46296</v>
      </c>
      <c r="B1291" s="6" t="str">
        <f>UPPER(TEXT(Tabela1[[#This Row],[Data Corrigida]],"MMM"))</f>
        <v>OUT</v>
      </c>
      <c r="C1291" t="s">
        <v>2870</v>
      </c>
      <c r="D1291" s="2" t="s">
        <v>2871</v>
      </c>
      <c r="E1291" s="1" t="s">
        <v>2872</v>
      </c>
      <c r="F1291" t="s">
        <v>24</v>
      </c>
      <c r="G1291" s="2" t="s">
        <v>2820</v>
      </c>
      <c r="H1291" t="s">
        <v>26</v>
      </c>
      <c r="I1291" t="s">
        <v>57</v>
      </c>
      <c r="J1291" s="6">
        <v>13188</v>
      </c>
      <c r="K1291" s="16">
        <v>994</v>
      </c>
      <c r="L1291" s="16">
        <v>1003</v>
      </c>
      <c r="M1291" s="16">
        <v>1011</v>
      </c>
      <c r="N1291" s="16">
        <v>995</v>
      </c>
      <c r="O1291" s="16">
        <v>1004</v>
      </c>
      <c r="P1291" s="16">
        <v>993</v>
      </c>
      <c r="Q1291" s="16">
        <v>1010</v>
      </c>
      <c r="R1291" s="16">
        <v>995</v>
      </c>
      <c r="S1291" s="16">
        <v>997</v>
      </c>
      <c r="T1291" s="16">
        <v>999</v>
      </c>
      <c r="U1291" s="15">
        <v>1000.1</v>
      </c>
      <c r="V1291" t="s">
        <v>19</v>
      </c>
      <c r="W1291" t="s">
        <v>28</v>
      </c>
      <c r="X1291">
        <v>8318</v>
      </c>
      <c r="Y1291" s="16">
        <f>VLOOKUP(Tabela1[[#This Row],[SKU]],SKU!A:D,4,0)</f>
        <v>1000</v>
      </c>
      <c r="Z1291" s="18">
        <f>IFERROR((Tabela1[[#This Row],[Média]]-Tabela1[[#This Row],[Meta]])/Tabela1[[#This Row],[Meta]],"")</f>
        <v>1.0000000000002273E-4</v>
      </c>
      <c r="AA1291" s="31">
        <f>Tabela1[[#This Row],[Média]]-Tabela1[[#This Row],[Meta]]</f>
        <v>0.10000000000002274</v>
      </c>
      <c r="AB1291" s="6" t="str">
        <f>VLOOKUP(Tabela1[[#This Row],[SKU]],SKU!A:B,2,0)</f>
        <v>SOBRECOXA CG BDJ SE</v>
      </c>
      <c r="AC1291" s="6" t="str">
        <f>VLOOKUP(Tabela1[[#This Row],[SKU]],SKU!A:C,3,0)</f>
        <v>PERNA</v>
      </c>
    </row>
    <row r="1292" spans="1:29" x14ac:dyDescent="0.25">
      <c r="A1292" s="2">
        <f>INT(Tabela1[[#This Row],[Data e Hora2]])</f>
        <v>46296</v>
      </c>
      <c r="B1292" s="6" t="str">
        <f>UPPER(TEXT(Tabela1[[#This Row],[Data Corrigida]],"MMM"))</f>
        <v>OUT</v>
      </c>
      <c r="C1292" t="s">
        <v>2873</v>
      </c>
      <c r="D1292" s="2" t="s">
        <v>2874</v>
      </c>
      <c r="E1292" s="1" t="s">
        <v>2875</v>
      </c>
      <c r="F1292" t="s">
        <v>24</v>
      </c>
      <c r="G1292" s="2" t="s">
        <v>2820</v>
      </c>
      <c r="H1292" t="s">
        <v>26</v>
      </c>
      <c r="I1292" t="s">
        <v>57</v>
      </c>
      <c r="J1292" s="6">
        <v>15105</v>
      </c>
      <c r="K1292" s="16">
        <v>1028</v>
      </c>
      <c r="L1292" s="16">
        <v>1026</v>
      </c>
      <c r="M1292" s="16">
        <v>1010</v>
      </c>
      <c r="N1292" s="16">
        <v>1025</v>
      </c>
      <c r="O1292" s="16">
        <v>988</v>
      </c>
      <c r="P1292" s="16">
        <v>1037</v>
      </c>
      <c r="Q1292" s="16">
        <v>1002</v>
      </c>
      <c r="R1292" s="16">
        <v>1013</v>
      </c>
      <c r="S1292" s="16">
        <v>1009</v>
      </c>
      <c r="T1292" s="16">
        <v>1014</v>
      </c>
      <c r="U1292" s="15">
        <v>1015.2</v>
      </c>
      <c r="V1292" t="s">
        <v>19</v>
      </c>
      <c r="W1292" t="s">
        <v>28</v>
      </c>
      <c r="X1292">
        <v>145</v>
      </c>
      <c r="Y1292" s="16">
        <f>VLOOKUP(Tabela1[[#This Row],[SKU]],SKU!A:D,4,0)</f>
        <v>1000</v>
      </c>
      <c r="Z1292" s="18">
        <f>IFERROR((Tabela1[[#This Row],[Média]]-Tabela1[[#This Row],[Meta]])/Tabela1[[#This Row],[Meta]],"")</f>
        <v>1.5200000000000045E-2</v>
      </c>
      <c r="AA1292" s="31">
        <f>Tabela1[[#This Row],[Média]]-Tabela1[[#This Row],[Meta]]</f>
        <v>15.200000000000045</v>
      </c>
      <c r="AB1292" s="6" t="str">
        <f>VLOOKUP(Tabela1[[#This Row],[SKU]],SKU!A:B,2,0)</f>
        <v>FILE PEITO MET CG BDJ SE</v>
      </c>
      <c r="AC1292" s="6" t="str">
        <f>VLOOKUP(Tabela1[[#This Row],[SKU]],SKU!A:C,3,0)</f>
        <v>PEITO</v>
      </c>
    </row>
    <row r="1293" spans="1:29" x14ac:dyDescent="0.25">
      <c r="A1293" s="2">
        <f>INT(Tabela1[[#This Row],[Data e Hora2]])</f>
        <v>46266</v>
      </c>
      <c r="B1293" s="6" t="str">
        <f>UPPER(TEXT(Tabela1[[#This Row],[Data Corrigida]],"MMM"))</f>
        <v>SET</v>
      </c>
      <c r="C1293" t="s">
        <v>2876</v>
      </c>
      <c r="D1293" s="2" t="s">
        <v>2877</v>
      </c>
      <c r="E1293" s="1" t="s">
        <v>2875</v>
      </c>
      <c r="F1293" t="s">
        <v>24</v>
      </c>
      <c r="G1293" s="2" t="s">
        <v>960</v>
      </c>
      <c r="H1293" t="s">
        <v>26</v>
      </c>
      <c r="I1293" t="s">
        <v>57</v>
      </c>
      <c r="J1293" s="6">
        <v>18163</v>
      </c>
      <c r="K1293" s="16">
        <v>973</v>
      </c>
      <c r="L1293" s="16">
        <v>934</v>
      </c>
      <c r="M1293" s="16">
        <v>995</v>
      </c>
      <c r="N1293" s="16">
        <v>985</v>
      </c>
      <c r="O1293" s="16">
        <v>948</v>
      </c>
      <c r="P1293" s="16">
        <v>971</v>
      </c>
      <c r="Q1293" s="16">
        <v>974</v>
      </c>
      <c r="R1293" s="16">
        <v>970</v>
      </c>
      <c r="S1293" s="16">
        <v>968</v>
      </c>
      <c r="T1293" s="16">
        <v>1000</v>
      </c>
      <c r="U1293" s="15">
        <v>971.8</v>
      </c>
      <c r="V1293" t="s">
        <v>19</v>
      </c>
      <c r="W1293" t="s">
        <v>28</v>
      </c>
      <c r="X1293">
        <v>72864</v>
      </c>
      <c r="Y1293" s="16">
        <f>VLOOKUP(Tabela1[[#This Row],[SKU]],SKU!A:D,4,0)</f>
        <v>1000</v>
      </c>
      <c r="Z1293" s="18">
        <f>IFERROR((Tabela1[[#This Row],[Média]]-Tabela1[[#This Row],[Meta]])/Tabela1[[#This Row],[Meta]],"")</f>
        <v>-2.8200000000000044E-2</v>
      </c>
      <c r="AA1293" s="31">
        <f>Tabela1[[#This Row],[Média]]-Tabela1[[#This Row],[Meta]]</f>
        <v>-28.200000000000045</v>
      </c>
      <c r="AB1293" s="6" t="str">
        <f>VLOOKUP(Tabela1[[#This Row],[SKU]],SKU!A:B,2,0)</f>
        <v>CORACAO FGO CG ALM SE</v>
      </c>
      <c r="AC1293" s="6" t="str">
        <f>VLOOKUP(Tabela1[[#This Row],[SKU]],SKU!A:C,3,0)</f>
        <v>CORAÇÃO</v>
      </c>
    </row>
    <row r="1294" spans="1:29" x14ac:dyDescent="0.25">
      <c r="A1294" s="2">
        <f>INT(Tabela1[[#This Row],[Data e Hora2]])</f>
        <v>46296</v>
      </c>
      <c r="B1294" s="6" t="str">
        <f>UPPER(TEXT(Tabela1[[#This Row],[Data Corrigida]],"MMM"))</f>
        <v>OUT</v>
      </c>
      <c r="C1294" t="s">
        <v>2878</v>
      </c>
      <c r="D1294" s="2" t="s">
        <v>2879</v>
      </c>
      <c r="E1294" s="1" t="s">
        <v>2880</v>
      </c>
      <c r="F1294" t="s">
        <v>24</v>
      </c>
      <c r="G1294" s="2" t="s">
        <v>2820</v>
      </c>
      <c r="H1294" t="s">
        <v>142</v>
      </c>
      <c r="I1294" t="s">
        <v>462</v>
      </c>
      <c r="J1294" s="6">
        <v>15229</v>
      </c>
      <c r="K1294" s="16">
        <v>1098</v>
      </c>
      <c r="L1294" s="16">
        <v>1105</v>
      </c>
      <c r="M1294" s="16">
        <v>1074</v>
      </c>
      <c r="N1294" s="16">
        <v>1026</v>
      </c>
      <c r="O1294" s="16">
        <v>1030</v>
      </c>
      <c r="P1294" s="16">
        <v>1085</v>
      </c>
      <c r="Q1294" s="16">
        <v>1078</v>
      </c>
      <c r="R1294" s="16">
        <v>1061</v>
      </c>
      <c r="S1294" s="16">
        <v>1024</v>
      </c>
      <c r="T1294" s="16">
        <v>1073</v>
      </c>
      <c r="U1294" s="15">
        <v>1065.4000000000001</v>
      </c>
      <c r="V1294" t="s">
        <v>19</v>
      </c>
      <c r="W1294" t="s">
        <v>28</v>
      </c>
      <c r="X1294">
        <v>343</v>
      </c>
      <c r="Y1294" s="16">
        <f>VLOOKUP(Tabela1[[#This Row],[SKU]],SKU!A:D,4,0)</f>
        <v>1000</v>
      </c>
      <c r="Z1294" s="18">
        <f>IFERROR((Tabela1[[#This Row],[Média]]-Tabela1[[#This Row],[Meta]])/Tabela1[[#This Row],[Meta]],"")</f>
        <v>6.5400000000000097E-2</v>
      </c>
      <c r="AA1294" s="31">
        <f>Tabela1[[#This Row],[Média]]-Tabela1[[#This Row],[Meta]]</f>
        <v>65.400000000000091</v>
      </c>
      <c r="AB1294" s="6" t="str">
        <f>VLOOKUP(Tabela1[[#This Row],[SKU]],SKU!A:B,2,0)</f>
        <v>COXA CG BDJ SE</v>
      </c>
      <c r="AC1294" s="6" t="str">
        <f>VLOOKUP(Tabela1[[#This Row],[SKU]],SKU!A:C,3,0)</f>
        <v>PERNA</v>
      </c>
    </row>
    <row r="1295" spans="1:29" x14ac:dyDescent="0.25">
      <c r="A1295" s="2">
        <f>INT(Tabela1[[#This Row],[Data e Hora2]])</f>
        <v>46296</v>
      </c>
      <c r="B1295" s="6" t="str">
        <f>UPPER(TEXT(Tabela1[[#This Row],[Data Corrigida]],"MMM"))</f>
        <v>OUT</v>
      </c>
      <c r="C1295" t="s">
        <v>2881</v>
      </c>
      <c r="D1295" s="2" t="s">
        <v>2882</v>
      </c>
      <c r="E1295" s="1" t="s">
        <v>2880</v>
      </c>
      <c r="F1295" t="s">
        <v>24</v>
      </c>
      <c r="G1295" s="2" t="s">
        <v>2820</v>
      </c>
      <c r="H1295" t="s">
        <v>142</v>
      </c>
      <c r="I1295" t="s">
        <v>462</v>
      </c>
      <c r="J1295" s="6">
        <v>54632</v>
      </c>
      <c r="K1295" s="16">
        <v>1036</v>
      </c>
      <c r="L1295" s="16">
        <v>999</v>
      </c>
      <c r="M1295" s="16">
        <v>987</v>
      </c>
      <c r="N1295" s="16">
        <v>1024</v>
      </c>
      <c r="O1295" s="16">
        <v>1010</v>
      </c>
      <c r="P1295" s="16">
        <v>1020</v>
      </c>
      <c r="Q1295" s="16">
        <v>1027</v>
      </c>
      <c r="R1295" s="16">
        <v>998</v>
      </c>
      <c r="S1295" s="16">
        <v>1004</v>
      </c>
      <c r="T1295" s="16">
        <v>990</v>
      </c>
      <c r="U1295" s="15">
        <v>1009.5</v>
      </c>
      <c r="V1295" t="s">
        <v>19</v>
      </c>
      <c r="W1295" t="s">
        <v>28</v>
      </c>
      <c r="X1295">
        <v>555</v>
      </c>
      <c r="Y1295" s="16">
        <f>VLOOKUP(Tabela1[[#This Row],[SKU]],SKU!A:D,4,0)</f>
        <v>1000</v>
      </c>
      <c r="Z1295" s="18">
        <f>IFERROR((Tabela1[[#This Row],[Média]]-Tabela1[[#This Row],[Meta]])/Tabela1[[#This Row],[Meta]],"")</f>
        <v>9.4999999999999998E-3</v>
      </c>
      <c r="AA1295" s="31">
        <f>Tabela1[[#This Row],[Média]]-Tabela1[[#This Row],[Meta]]</f>
        <v>9.5</v>
      </c>
      <c r="AB1295" s="6" t="str">
        <f>VLOOKUP(Tabela1[[#This Row],[SKU]],SKU!A:B,2,0)</f>
        <v>COXA SBCX S/O BDJ CG</v>
      </c>
      <c r="AC1295" s="6" t="str">
        <f>VLOOKUP(Tabela1[[#This Row],[SKU]],SKU!A:C,3,0)</f>
        <v>PERNA</v>
      </c>
    </row>
    <row r="1296" spans="1:29" x14ac:dyDescent="0.25">
      <c r="A1296" s="2">
        <f>INT(Tabela1[[#This Row],[Data e Hora2]])</f>
        <v>46296</v>
      </c>
      <c r="B1296" s="6" t="str">
        <f>UPPER(TEXT(Tabela1[[#This Row],[Data Corrigida]],"MMM"))</f>
        <v>OUT</v>
      </c>
      <c r="C1296" t="s">
        <v>2883</v>
      </c>
      <c r="D1296" s="2" t="s">
        <v>2884</v>
      </c>
      <c r="E1296" s="1" t="s">
        <v>2880</v>
      </c>
      <c r="F1296" t="s">
        <v>24</v>
      </c>
      <c r="G1296" s="2" t="s">
        <v>2820</v>
      </c>
      <c r="H1296" t="s">
        <v>142</v>
      </c>
      <c r="I1296" t="s">
        <v>462</v>
      </c>
      <c r="J1296" s="6">
        <v>13188</v>
      </c>
      <c r="K1296" s="16">
        <v>1026</v>
      </c>
      <c r="L1296" s="16">
        <v>1050</v>
      </c>
      <c r="M1296" s="16">
        <v>1059</v>
      </c>
      <c r="N1296" s="16">
        <v>1094</v>
      </c>
      <c r="O1296" s="16">
        <v>1044</v>
      </c>
      <c r="P1296" s="16">
        <v>1096</v>
      </c>
      <c r="Q1296" s="16">
        <v>1045</v>
      </c>
      <c r="R1296" s="16">
        <v>1083</v>
      </c>
      <c r="S1296" s="16">
        <v>1084</v>
      </c>
      <c r="T1296" s="16">
        <v>1101</v>
      </c>
      <c r="U1296" s="15">
        <v>1068.2</v>
      </c>
      <c r="V1296" t="s">
        <v>19</v>
      </c>
      <c r="W1296" t="s">
        <v>28</v>
      </c>
      <c r="X1296">
        <v>877</v>
      </c>
      <c r="Y1296" s="16">
        <f>VLOOKUP(Tabela1[[#This Row],[SKU]],SKU!A:D,4,0)</f>
        <v>1000</v>
      </c>
      <c r="Z1296" s="18">
        <f>IFERROR((Tabela1[[#This Row],[Média]]-Tabela1[[#This Row],[Meta]])/Tabela1[[#This Row],[Meta]],"")</f>
        <v>6.8200000000000052E-2</v>
      </c>
      <c r="AA1296" s="31">
        <f>Tabela1[[#This Row],[Média]]-Tabela1[[#This Row],[Meta]]</f>
        <v>68.200000000000045</v>
      </c>
      <c r="AB1296" s="6" t="str">
        <f>VLOOKUP(Tabela1[[#This Row],[SKU]],SKU!A:B,2,0)</f>
        <v>SOBRECOXA CG BDJ SE</v>
      </c>
      <c r="AC1296" s="6" t="str">
        <f>VLOOKUP(Tabela1[[#This Row],[SKU]],SKU!A:C,3,0)</f>
        <v>PERNA</v>
      </c>
    </row>
    <row r="1297" spans="1:29" x14ac:dyDescent="0.25">
      <c r="A1297" s="2">
        <f>INT(Tabela1[[#This Row],[Data e Hora2]])</f>
        <v>46300</v>
      </c>
      <c r="B1297" s="6" t="str">
        <f>UPPER(TEXT(Tabela1[[#This Row],[Data Corrigida]],"MMM"))</f>
        <v>OUT</v>
      </c>
      <c r="C1297" s="26" t="s">
        <v>2886</v>
      </c>
      <c r="D1297" s="2" t="s">
        <v>2887</v>
      </c>
      <c r="E1297" s="1" t="s">
        <v>2888</v>
      </c>
      <c r="F1297" t="s">
        <v>24</v>
      </c>
      <c r="G1297" s="2" t="s">
        <v>2889</v>
      </c>
      <c r="H1297" t="s">
        <v>26</v>
      </c>
      <c r="I1297" t="s">
        <v>27</v>
      </c>
      <c r="J1297" s="6">
        <v>40762</v>
      </c>
      <c r="K1297" s="16">
        <v>10020</v>
      </c>
      <c r="L1297" s="16">
        <v>10035</v>
      </c>
      <c r="M1297" s="16">
        <v>10040</v>
      </c>
      <c r="N1297" s="16">
        <v>10020</v>
      </c>
      <c r="O1297" s="16">
        <v>9985</v>
      </c>
      <c r="P1297" s="16">
        <v>9960</v>
      </c>
      <c r="Q1297" s="16">
        <v>10030</v>
      </c>
      <c r="R1297" s="16">
        <v>9990</v>
      </c>
      <c r="S1297" s="16">
        <v>10005</v>
      </c>
      <c r="T1297" s="16">
        <v>9970</v>
      </c>
      <c r="U1297" s="15">
        <v>10005.5</v>
      </c>
      <c r="V1297" t="s">
        <v>19</v>
      </c>
      <c r="W1297" t="s">
        <v>28</v>
      </c>
      <c r="X1297">
        <v>8797</v>
      </c>
      <c r="Y1297" s="16">
        <f>VLOOKUP(Tabela1[[#This Row],[SKU]],SKU!A:D,4,0)</f>
        <v>10000</v>
      </c>
      <c r="Z1297" s="18">
        <f>IFERROR((Tabela1[[#This Row],[Média]]-Tabela1[[#This Row],[Meta]])/Tabela1[[#This Row],[Meta]],"")</f>
        <v>5.5000000000000003E-4</v>
      </c>
      <c r="AA1297" s="31">
        <f>Tabela1[[#This Row],[Média]]-Tabela1[[#This Row],[Meta]]</f>
        <v>5.5</v>
      </c>
      <c r="AB1297" s="6" t="str">
        <f>VLOOKUP(Tabela1[[#This Row],[SKU]],SKU!A:B,2,0)</f>
        <v>COXA SBCX LQ FG LP</v>
      </c>
      <c r="AC1297" s="6" t="str">
        <f>VLOOKUP(Tabela1[[#This Row],[SKU]],SKU!A:C,3,0)</f>
        <v>PERNA</v>
      </c>
    </row>
    <row r="1298" spans="1:29" x14ac:dyDescent="0.25">
      <c r="A1298" s="2">
        <f>INT(Tabela1[[#This Row],[Data e Hora2]])</f>
        <v>46300</v>
      </c>
      <c r="B1298" s="6" t="str">
        <f>UPPER(TEXT(Tabela1[[#This Row],[Data Corrigida]],"MMM"))</f>
        <v>OUT</v>
      </c>
      <c r="C1298" t="s">
        <v>2890</v>
      </c>
      <c r="D1298" s="2" t="s">
        <v>2891</v>
      </c>
      <c r="E1298" s="1" t="s">
        <v>2888</v>
      </c>
      <c r="F1298" t="s">
        <v>24</v>
      </c>
      <c r="G1298" s="2" t="s">
        <v>2889</v>
      </c>
      <c r="H1298" t="s">
        <v>26</v>
      </c>
      <c r="I1298" t="s">
        <v>27</v>
      </c>
      <c r="J1298" s="6">
        <v>963925</v>
      </c>
      <c r="K1298" s="16">
        <v>18140</v>
      </c>
      <c r="L1298" s="16">
        <v>18250</v>
      </c>
      <c r="M1298" s="16">
        <v>18235</v>
      </c>
      <c r="N1298" s="16">
        <v>18080</v>
      </c>
      <c r="O1298" s="16">
        <v>18170</v>
      </c>
      <c r="P1298" s="16">
        <v>18055</v>
      </c>
      <c r="Q1298" s="16">
        <v>18450</v>
      </c>
      <c r="R1298" s="16">
        <v>18360</v>
      </c>
      <c r="S1298" s="16">
        <v>18120</v>
      </c>
      <c r="T1298" s="16">
        <v>18180</v>
      </c>
      <c r="U1298" s="15">
        <v>18204</v>
      </c>
      <c r="V1298" t="s">
        <v>19</v>
      </c>
      <c r="W1298" t="s">
        <v>28</v>
      </c>
      <c r="X1298">
        <v>9113</v>
      </c>
      <c r="Y1298" s="16">
        <f>VLOOKUP(Tabela1[[#This Row],[SKU]],SKU!A:D,4,0)</f>
        <v>18000</v>
      </c>
      <c r="Z1298" s="18">
        <f>IFERROR((Tabela1[[#This Row],[Média]]-Tabela1[[#This Row],[Meta]])/Tabela1[[#This Row],[Meta]],"")</f>
        <v>1.1333333333333334E-2</v>
      </c>
      <c r="AA1298" s="31">
        <f>Tabela1[[#This Row],[Média]]-Tabela1[[#This Row],[Meta]]</f>
        <v>204</v>
      </c>
      <c r="AB1298" s="6" t="str">
        <f>VLOOKUP(Tabela1[[#This Row],[SKU]],SKU!A:B,2,0)</f>
        <v>COXINHA DA ASA FG CG PCT</v>
      </c>
      <c r="AC1298" s="6" t="str">
        <f>VLOOKUP(Tabela1[[#This Row],[SKU]],SKU!A:C,3,0)</f>
        <v>ASA</v>
      </c>
    </row>
    <row r="1299" spans="1:29" x14ac:dyDescent="0.25">
      <c r="A1299" s="2">
        <f>INT(Tabela1[[#This Row],[Data e Hora2]])</f>
        <v>46300</v>
      </c>
      <c r="B1299" s="6" t="str">
        <f>UPPER(TEXT(Tabela1[[#This Row],[Data Corrigida]],"MMM"))</f>
        <v>OUT</v>
      </c>
      <c r="C1299" t="s">
        <v>2892</v>
      </c>
      <c r="D1299" s="2" t="s">
        <v>2893</v>
      </c>
      <c r="E1299" s="1" t="s">
        <v>2888</v>
      </c>
      <c r="F1299" t="s">
        <v>24</v>
      </c>
      <c r="G1299" s="2" t="s">
        <v>2889</v>
      </c>
      <c r="H1299" t="s">
        <v>26</v>
      </c>
      <c r="I1299" t="s">
        <v>27</v>
      </c>
      <c r="J1299" s="6">
        <v>42641</v>
      </c>
      <c r="K1299" s="16">
        <v>15075</v>
      </c>
      <c r="L1299" s="16">
        <v>15065</v>
      </c>
      <c r="M1299" s="16">
        <v>15030</v>
      </c>
      <c r="N1299" s="16">
        <v>14900</v>
      </c>
      <c r="O1299" s="16">
        <v>15025</v>
      </c>
      <c r="P1299" s="16">
        <v>15055</v>
      </c>
      <c r="Q1299" s="16">
        <v>14935</v>
      </c>
      <c r="R1299" s="16">
        <v>14900</v>
      </c>
      <c r="S1299" s="16">
        <v>15005</v>
      </c>
      <c r="T1299" s="16">
        <v>14950</v>
      </c>
      <c r="U1299" s="15">
        <v>14994</v>
      </c>
      <c r="V1299" t="s">
        <v>19</v>
      </c>
      <c r="W1299" t="s">
        <v>28</v>
      </c>
      <c r="X1299">
        <v>9846</v>
      </c>
      <c r="Y1299" s="16">
        <f>VLOOKUP(Tabela1[[#This Row],[SKU]],SKU!A:D,4,0)</f>
        <v>15000</v>
      </c>
      <c r="Z1299" s="18">
        <f>IFERROR((Tabela1[[#This Row],[Média]]-Tabela1[[#This Row],[Meta]])/Tabela1[[#This Row],[Meta]],"")</f>
        <v>-4.0000000000000002E-4</v>
      </c>
      <c r="AA1299" s="31">
        <f>Tabela1[[#This Row],[Média]]-Tabela1[[#This Row],[Meta]]</f>
        <v>-6</v>
      </c>
      <c r="AB1299" s="6" t="str">
        <f>VLOOKUP(Tabela1[[#This Row],[SKU]],SKU!A:B,2,0)</f>
        <v>ASAS FG 100g UP LP</v>
      </c>
      <c r="AC1299" s="6" t="str">
        <f>VLOOKUP(Tabela1[[#This Row],[SKU]],SKU!A:C,3,0)</f>
        <v>ASA</v>
      </c>
    </row>
    <row r="1300" spans="1:29" x14ac:dyDescent="0.25">
      <c r="A1300" s="2">
        <f>INT(Tabela1[[#This Row],[Data e Hora2]])</f>
        <v>46300</v>
      </c>
      <c r="B1300" s="6" t="str">
        <f>UPPER(TEXT(Tabela1[[#This Row],[Data Corrigida]],"MMM"))</f>
        <v>OUT</v>
      </c>
      <c r="C1300" t="s">
        <v>2894</v>
      </c>
      <c r="D1300" s="2" t="s">
        <v>2895</v>
      </c>
      <c r="E1300" s="1" t="s">
        <v>2888</v>
      </c>
      <c r="F1300" t="s">
        <v>24</v>
      </c>
      <c r="G1300" s="2" t="s">
        <v>2889</v>
      </c>
      <c r="H1300" t="s">
        <v>26</v>
      </c>
      <c r="I1300" t="s">
        <v>27</v>
      </c>
      <c r="J1300" s="6">
        <v>15105</v>
      </c>
      <c r="K1300" s="16">
        <v>1034</v>
      </c>
      <c r="L1300" s="16">
        <v>1033</v>
      </c>
      <c r="M1300" s="16">
        <v>1028</v>
      </c>
      <c r="N1300" s="16">
        <v>1038</v>
      </c>
      <c r="O1300" s="16">
        <v>993</v>
      </c>
      <c r="P1300" s="16">
        <v>850</v>
      </c>
      <c r="Q1300" s="16">
        <v>1012</v>
      </c>
      <c r="R1300" s="16">
        <v>1016</v>
      </c>
      <c r="S1300" s="16">
        <v>1052</v>
      </c>
      <c r="T1300" s="16">
        <v>1028</v>
      </c>
      <c r="U1300" s="15">
        <v>1008.4</v>
      </c>
      <c r="V1300" t="s">
        <v>19</v>
      </c>
      <c r="W1300" t="s">
        <v>19</v>
      </c>
      <c r="X1300">
        <v>10118</v>
      </c>
      <c r="Y1300" s="16">
        <f>VLOOKUP(Tabela1[[#This Row],[SKU]],SKU!A:D,4,0)</f>
        <v>1000</v>
      </c>
      <c r="Z1300" s="18">
        <f>IFERROR((Tabela1[[#This Row],[Média]]-Tabela1[[#This Row],[Meta]])/Tabela1[[#This Row],[Meta]],"")</f>
        <v>8.3999999999999769E-3</v>
      </c>
      <c r="AA1300" s="31">
        <f>Tabela1[[#This Row],[Média]]-Tabela1[[#This Row],[Meta]]</f>
        <v>8.3999999999999773</v>
      </c>
      <c r="AB1300" s="6" t="str">
        <f>VLOOKUP(Tabela1[[#This Row],[SKU]],SKU!A:B,2,0)</f>
        <v>FILE PEITO MET CG BDJ SE</v>
      </c>
      <c r="AC1300" s="6" t="str">
        <f>VLOOKUP(Tabela1[[#This Row],[SKU]],SKU!A:C,3,0)</f>
        <v>PEITO</v>
      </c>
    </row>
    <row r="1301" spans="1:29" x14ac:dyDescent="0.25">
      <c r="A1301" s="2">
        <f>INT(Tabela1[[#This Row],[Data e Hora2]])</f>
        <v>46300</v>
      </c>
      <c r="B1301" s="6" t="str">
        <f>UPPER(TEXT(Tabela1[[#This Row],[Data Corrigida]],"MMM"))</f>
        <v>OUT</v>
      </c>
      <c r="C1301" t="s">
        <v>2896</v>
      </c>
      <c r="D1301" s="2" t="s">
        <v>2897</v>
      </c>
      <c r="E1301" s="1" t="s">
        <v>2888</v>
      </c>
      <c r="F1301" t="s">
        <v>24</v>
      </c>
      <c r="G1301" s="2" t="s">
        <v>2889</v>
      </c>
      <c r="H1301" t="s">
        <v>26</v>
      </c>
      <c r="I1301" t="s">
        <v>27</v>
      </c>
      <c r="J1301" s="6">
        <v>15849</v>
      </c>
      <c r="K1301" s="16">
        <v>1003</v>
      </c>
      <c r="L1301" s="16">
        <v>1012</v>
      </c>
      <c r="M1301" s="16">
        <v>1019</v>
      </c>
      <c r="N1301" s="16">
        <v>1014</v>
      </c>
      <c r="O1301" s="16">
        <v>1005</v>
      </c>
      <c r="P1301" s="16">
        <v>1002</v>
      </c>
      <c r="Q1301" s="16">
        <v>1016</v>
      </c>
      <c r="R1301" s="16">
        <v>1033</v>
      </c>
      <c r="S1301" s="16">
        <v>1015</v>
      </c>
      <c r="T1301" s="16">
        <v>1021</v>
      </c>
      <c r="U1301" s="15">
        <v>1014</v>
      </c>
      <c r="V1301" t="s">
        <v>19</v>
      </c>
      <c r="W1301" t="s">
        <v>28</v>
      </c>
      <c r="X1301">
        <v>10242</v>
      </c>
      <c r="Y1301" s="16">
        <f>VLOOKUP(Tabela1[[#This Row],[SKU]],SKU!A:D,4,0)</f>
        <v>1000</v>
      </c>
      <c r="Z1301" s="18">
        <f>IFERROR((Tabela1[[#This Row],[Média]]-Tabela1[[#This Row],[Meta]])/Tabela1[[#This Row],[Meta]],"")</f>
        <v>1.4E-2</v>
      </c>
      <c r="AA1301" s="31">
        <f>Tabela1[[#This Row],[Média]]-Tabela1[[#This Row],[Meta]]</f>
        <v>14</v>
      </c>
      <c r="AB1301" s="6" t="str">
        <f>VLOOKUP(Tabela1[[#This Row],[SKU]],SKU!A:B,2,0)</f>
        <v>FILEZINHO PEITO CG BDJ SE</v>
      </c>
      <c r="AC1301" s="6" t="str">
        <f>VLOOKUP(Tabela1[[#This Row],[SKU]],SKU!A:C,3,0)</f>
        <v>SASSAMI</v>
      </c>
    </row>
    <row r="1302" spans="1:29" x14ac:dyDescent="0.25">
      <c r="A1302" s="2">
        <f>INT(Tabela1[[#This Row],[Data e Hora2]])</f>
        <v>46300</v>
      </c>
      <c r="B1302" s="6" t="str">
        <f>UPPER(TEXT(Tabela1[[#This Row],[Data Corrigida]],"MMM"))</f>
        <v>OUT</v>
      </c>
      <c r="C1302" t="s">
        <v>2898</v>
      </c>
      <c r="D1302" s="2" t="s">
        <v>2899</v>
      </c>
      <c r="E1302" s="1" t="s">
        <v>2900</v>
      </c>
      <c r="F1302" t="s">
        <v>24</v>
      </c>
      <c r="G1302" s="2" t="s">
        <v>2889</v>
      </c>
      <c r="H1302" t="s">
        <v>26</v>
      </c>
      <c r="I1302" t="s">
        <v>27</v>
      </c>
      <c r="J1302" s="6">
        <v>209129</v>
      </c>
      <c r="K1302" s="16">
        <v>1014</v>
      </c>
      <c r="L1302" s="16">
        <v>1000</v>
      </c>
      <c r="M1302" s="16">
        <v>939</v>
      </c>
      <c r="N1302" s="16">
        <v>1001</v>
      </c>
      <c r="O1302" s="16">
        <v>1010</v>
      </c>
      <c r="P1302" s="16">
        <v>1003</v>
      </c>
      <c r="Q1302" s="16">
        <v>1008</v>
      </c>
      <c r="R1302" s="16">
        <v>996</v>
      </c>
      <c r="S1302" s="16">
        <v>1014</v>
      </c>
      <c r="T1302" s="16">
        <v>1011</v>
      </c>
      <c r="U1302" s="15">
        <v>999.6</v>
      </c>
      <c r="V1302" t="s">
        <v>19</v>
      </c>
      <c r="W1302" t="s">
        <v>28</v>
      </c>
      <c r="X1302">
        <v>20738</v>
      </c>
      <c r="Y1302" s="16">
        <f>VLOOKUP(Tabela1[[#This Row],[SKU]],SKU!A:D,4,0)</f>
        <v>1000</v>
      </c>
      <c r="Z1302" s="18">
        <f>IFERROR((Tabela1[[#This Row],[Média]]-Tabela1[[#This Row],[Meta]])/Tabela1[[#This Row],[Meta]],"")</f>
        <v>-3.9999999999997725E-4</v>
      </c>
      <c r="AA1302" s="31">
        <f>Tabela1[[#This Row],[Média]]-Tabela1[[#This Row],[Meta]]</f>
        <v>-0.39999999999997726</v>
      </c>
      <c r="AB1302" s="6" t="str">
        <f>VLOOKUP(Tabela1[[#This Row],[SKU]],SKU!A:B,2,0)</f>
        <v>FILEZINHO FRANGO IQF ALM</v>
      </c>
      <c r="AC1302" s="6" t="str">
        <f>VLOOKUP(Tabela1[[#This Row],[SKU]],SKU!A:C,3,0)</f>
        <v>SASSAMI</v>
      </c>
    </row>
    <row r="1303" spans="1:29" x14ac:dyDescent="0.25">
      <c r="A1303" s="2">
        <f>INT(Tabela1[[#This Row],[Data e Hora2]])</f>
        <v>46300</v>
      </c>
      <c r="B1303" s="6" t="str">
        <f>UPPER(TEXT(Tabela1[[#This Row],[Data Corrigida]],"MMM"))</f>
        <v>OUT</v>
      </c>
      <c r="C1303" t="s">
        <v>2901</v>
      </c>
      <c r="D1303" s="2" t="s">
        <v>2902</v>
      </c>
      <c r="E1303" s="1" t="s">
        <v>2900</v>
      </c>
      <c r="F1303" t="s">
        <v>24</v>
      </c>
      <c r="G1303" s="2" t="s">
        <v>2889</v>
      </c>
      <c r="H1303" t="s">
        <v>26</v>
      </c>
      <c r="I1303" t="s">
        <v>27</v>
      </c>
      <c r="J1303" s="6">
        <v>15849</v>
      </c>
      <c r="K1303" s="16">
        <v>1015</v>
      </c>
      <c r="L1303" s="16">
        <v>1014</v>
      </c>
      <c r="M1303" s="16">
        <v>1010</v>
      </c>
      <c r="N1303" s="16">
        <v>1008</v>
      </c>
      <c r="O1303" s="16">
        <v>994</v>
      </c>
      <c r="P1303" s="16">
        <v>1011</v>
      </c>
      <c r="Q1303" s="16">
        <v>1001</v>
      </c>
      <c r="R1303" s="16">
        <v>1002</v>
      </c>
      <c r="S1303" s="16">
        <v>1013</v>
      </c>
      <c r="T1303" s="16">
        <v>1012</v>
      </c>
      <c r="U1303" s="15">
        <v>1008</v>
      </c>
      <c r="V1303" t="s">
        <v>19</v>
      </c>
      <c r="W1303" t="s">
        <v>28</v>
      </c>
      <c r="X1303">
        <v>22963</v>
      </c>
      <c r="Y1303" s="16">
        <f>VLOOKUP(Tabela1[[#This Row],[SKU]],SKU!A:D,4,0)</f>
        <v>1000</v>
      </c>
      <c r="Z1303" s="18">
        <f>IFERROR((Tabela1[[#This Row],[Média]]-Tabela1[[#This Row],[Meta]])/Tabela1[[#This Row],[Meta]],"")</f>
        <v>8.0000000000000002E-3</v>
      </c>
      <c r="AA1303" s="31">
        <f>Tabela1[[#This Row],[Média]]-Tabela1[[#This Row],[Meta]]</f>
        <v>8</v>
      </c>
      <c r="AB1303" s="6" t="str">
        <f>VLOOKUP(Tabela1[[#This Row],[SKU]],SKU!A:B,2,0)</f>
        <v>FILEZINHO PEITO CG BDJ SE</v>
      </c>
      <c r="AC1303" s="6" t="str">
        <f>VLOOKUP(Tabela1[[#This Row],[SKU]],SKU!A:C,3,0)</f>
        <v>SASSAMI</v>
      </c>
    </row>
    <row r="1304" spans="1:29" x14ac:dyDescent="0.25">
      <c r="A1304" s="2">
        <f>INT(Tabela1[[#This Row],[Data e Hora2]])</f>
        <v>46300</v>
      </c>
      <c r="B1304" s="6" t="str">
        <f>UPPER(TEXT(Tabela1[[#This Row],[Data Corrigida]],"MMM"))</f>
        <v>OUT</v>
      </c>
      <c r="C1304" t="s">
        <v>2903</v>
      </c>
      <c r="D1304" s="2" t="s">
        <v>2904</v>
      </c>
      <c r="E1304" s="1" t="s">
        <v>2900</v>
      </c>
      <c r="F1304" t="s">
        <v>24</v>
      </c>
      <c r="G1304" s="2" t="s">
        <v>2889</v>
      </c>
      <c r="H1304" t="s">
        <v>26</v>
      </c>
      <c r="I1304" t="s">
        <v>27</v>
      </c>
      <c r="J1304" s="6">
        <v>992093</v>
      </c>
      <c r="K1304" s="16">
        <v>5011</v>
      </c>
      <c r="L1304" s="16">
        <v>5013</v>
      </c>
      <c r="M1304" s="16">
        <v>5006</v>
      </c>
      <c r="N1304" s="16">
        <v>5004</v>
      </c>
      <c r="O1304" s="16">
        <v>5020</v>
      </c>
      <c r="P1304" s="16">
        <v>5010</v>
      </c>
      <c r="Q1304" s="16">
        <v>5001</v>
      </c>
      <c r="R1304" s="16">
        <v>5011</v>
      </c>
      <c r="S1304" s="16">
        <v>5013</v>
      </c>
      <c r="T1304" s="16">
        <v>5009</v>
      </c>
      <c r="U1304" s="15">
        <v>5009.8</v>
      </c>
      <c r="V1304" t="s">
        <v>19</v>
      </c>
      <c r="W1304" t="s">
        <v>28</v>
      </c>
      <c r="X1304">
        <v>179</v>
      </c>
      <c r="Y1304" s="16">
        <f>VLOOKUP(Tabela1[[#This Row],[SKU]],SKU!A:D,4,0)</f>
        <v>5000</v>
      </c>
      <c r="Z1304" s="18">
        <f>IFERROR((Tabela1[[#This Row],[Média]]-Tabela1[[#This Row],[Meta]])/Tabela1[[#This Row],[Meta]],"")</f>
        <v>1.9600000000000364E-3</v>
      </c>
      <c r="AA1304" s="31">
        <f>Tabela1[[#This Row],[Média]]-Tabela1[[#This Row],[Meta]]</f>
        <v>9.8000000000001819</v>
      </c>
      <c r="AB1304" s="6" t="str">
        <f>VLOOKUP(Tabela1[[#This Row],[SKU]],SKU!A:B,2,0)</f>
        <v>PONTA ASA FG PB CG</v>
      </c>
      <c r="AC1304" s="6" t="str">
        <f>VLOOKUP(Tabela1[[#This Row],[SKU]],SKU!A:C,3,0)</f>
        <v>ASA</v>
      </c>
    </row>
    <row r="1305" spans="1:29" x14ac:dyDescent="0.25">
      <c r="A1305" s="2">
        <f>INT(Tabela1[[#This Row],[Data e Hora2]])</f>
        <v>46300</v>
      </c>
      <c r="B1305" s="6" t="str">
        <f>UPPER(TEXT(Tabela1[[#This Row],[Data Corrigida]],"MMM"))</f>
        <v>OUT</v>
      </c>
      <c r="C1305" t="s">
        <v>2905</v>
      </c>
      <c r="D1305" s="2" t="s">
        <v>2906</v>
      </c>
      <c r="E1305" s="1" t="s">
        <v>2900</v>
      </c>
      <c r="F1305" t="s">
        <v>24</v>
      </c>
      <c r="G1305" s="2" t="s">
        <v>2889</v>
      </c>
      <c r="H1305" t="s">
        <v>26</v>
      </c>
      <c r="I1305" t="s">
        <v>27</v>
      </c>
      <c r="J1305" s="6">
        <v>40762</v>
      </c>
      <c r="K1305" s="16">
        <v>10035</v>
      </c>
      <c r="L1305" s="16">
        <v>9975</v>
      </c>
      <c r="M1305" s="16">
        <v>9925</v>
      </c>
      <c r="N1305" s="16">
        <v>9995</v>
      </c>
      <c r="O1305" s="16">
        <v>9955</v>
      </c>
      <c r="P1305" s="16">
        <v>10065</v>
      </c>
      <c r="Q1305" s="16">
        <v>10070</v>
      </c>
      <c r="R1305" s="16">
        <v>10030</v>
      </c>
      <c r="S1305" s="16">
        <v>9975</v>
      </c>
      <c r="T1305" s="16">
        <v>9985</v>
      </c>
      <c r="U1305" s="15">
        <v>10001</v>
      </c>
      <c r="V1305" t="s">
        <v>19</v>
      </c>
      <c r="W1305" t="s">
        <v>28</v>
      </c>
      <c r="X1305">
        <v>23412</v>
      </c>
      <c r="Y1305" s="16">
        <f>VLOOKUP(Tabela1[[#This Row],[SKU]],SKU!A:D,4,0)</f>
        <v>10000</v>
      </c>
      <c r="Z1305" s="18">
        <f>IFERROR((Tabela1[[#This Row],[Média]]-Tabela1[[#This Row],[Meta]])/Tabela1[[#This Row],[Meta]],"")</f>
        <v>1E-4</v>
      </c>
      <c r="AA1305" s="31">
        <f>Tabela1[[#This Row],[Média]]-Tabela1[[#This Row],[Meta]]</f>
        <v>1</v>
      </c>
      <c r="AB1305" s="6" t="str">
        <f>VLOOKUP(Tabela1[[#This Row],[SKU]],SKU!A:B,2,0)</f>
        <v>COXA SBCX LQ FG LP</v>
      </c>
      <c r="AC1305" s="6" t="str">
        <f>VLOOKUP(Tabela1[[#This Row],[SKU]],SKU!A:C,3,0)</f>
        <v>PERNA</v>
      </c>
    </row>
    <row r="1306" spans="1:29" x14ac:dyDescent="0.25">
      <c r="A1306" s="2">
        <f>INT(Tabela1[[#This Row],[Data e Hora2]])</f>
        <v>46300</v>
      </c>
      <c r="B1306" s="6" t="str">
        <f>UPPER(TEXT(Tabela1[[#This Row],[Data Corrigida]],"MMM"))</f>
        <v>OUT</v>
      </c>
      <c r="C1306" t="s">
        <v>2907</v>
      </c>
      <c r="D1306" s="2" t="s">
        <v>2908</v>
      </c>
      <c r="E1306" s="1" t="s">
        <v>2900</v>
      </c>
      <c r="F1306" t="s">
        <v>24</v>
      </c>
      <c r="G1306" s="2" t="s">
        <v>2889</v>
      </c>
      <c r="H1306" t="s">
        <v>26</v>
      </c>
      <c r="I1306" t="s">
        <v>27</v>
      </c>
      <c r="J1306" s="6">
        <v>864048</v>
      </c>
      <c r="K1306" s="16">
        <v>2013</v>
      </c>
      <c r="L1306" s="16">
        <v>2021</v>
      </c>
      <c r="M1306" s="16">
        <v>2003</v>
      </c>
      <c r="N1306" s="16">
        <v>2058</v>
      </c>
      <c r="O1306" s="16">
        <v>2012</v>
      </c>
      <c r="P1306" s="16">
        <v>2015</v>
      </c>
      <c r="Q1306" s="16">
        <v>2024</v>
      </c>
      <c r="R1306" s="16">
        <v>2010</v>
      </c>
      <c r="S1306" s="16">
        <v>2002</v>
      </c>
      <c r="T1306" s="16">
        <v>2003</v>
      </c>
      <c r="U1306" s="15">
        <v>2016.1</v>
      </c>
      <c r="V1306" t="s">
        <v>19</v>
      </c>
      <c r="W1306" t="s">
        <v>28</v>
      </c>
      <c r="X1306">
        <v>23832</v>
      </c>
      <c r="Y1306" s="16">
        <f>VLOOKUP(Tabela1[[#This Row],[SKU]],SKU!A:D,4,0)</f>
        <v>2000</v>
      </c>
      <c r="Z1306" s="18">
        <f>IFERROR((Tabela1[[#This Row],[Média]]-Tabela1[[#This Row],[Meta]])/Tabela1[[#This Row],[Meta]],"")</f>
        <v>8.0499999999999548E-3</v>
      </c>
      <c r="AA1306" s="31">
        <f>Tabela1[[#This Row],[Média]]-Tabela1[[#This Row],[Meta]]</f>
        <v>16.099999999999909</v>
      </c>
      <c r="AB1306" s="6" t="str">
        <f>VLOOKUP(Tabela1[[#This Row],[SKU]],SKU!A:B,2,0)</f>
        <v>COXA SBCX S/O 200g FG UP PB</v>
      </c>
      <c r="AC1306" s="6" t="str">
        <f>VLOOKUP(Tabela1[[#This Row],[SKU]],SKU!A:C,3,0)</f>
        <v>PERNA</v>
      </c>
    </row>
    <row r="1307" spans="1:29" x14ac:dyDescent="0.25">
      <c r="A1307" s="2">
        <f>INT(Tabela1[[#This Row],[Data e Hora2]])</f>
        <v>46300</v>
      </c>
      <c r="B1307" s="6" t="str">
        <f>UPPER(TEXT(Tabela1[[#This Row],[Data Corrigida]],"MMM"))</f>
        <v>OUT</v>
      </c>
      <c r="C1307" t="s">
        <v>2909</v>
      </c>
      <c r="D1307" s="2" t="s">
        <v>2910</v>
      </c>
      <c r="E1307" s="1" t="s">
        <v>2900</v>
      </c>
      <c r="F1307" t="s">
        <v>24</v>
      </c>
      <c r="G1307" s="2" t="s">
        <v>2889</v>
      </c>
      <c r="H1307" t="s">
        <v>26</v>
      </c>
      <c r="I1307" t="s">
        <v>27</v>
      </c>
      <c r="J1307" s="6">
        <v>42854</v>
      </c>
      <c r="K1307" s="16">
        <v>2015</v>
      </c>
      <c r="L1307" s="16">
        <v>2110</v>
      </c>
      <c r="M1307" s="16">
        <v>2095</v>
      </c>
      <c r="N1307" s="16">
        <v>2099</v>
      </c>
      <c r="O1307" s="16">
        <v>2085</v>
      </c>
      <c r="P1307" s="16">
        <v>2082</v>
      </c>
      <c r="Q1307" s="16">
        <v>2005</v>
      </c>
      <c r="R1307" s="16">
        <v>2105</v>
      </c>
      <c r="S1307" s="16">
        <v>2055</v>
      </c>
      <c r="T1307" s="16">
        <v>2078</v>
      </c>
      <c r="U1307" s="15">
        <v>2072.9</v>
      </c>
      <c r="V1307" t="s">
        <v>19</v>
      </c>
      <c r="W1307" t="s">
        <v>28</v>
      </c>
      <c r="X1307">
        <v>23924</v>
      </c>
      <c r="Y1307" s="16">
        <f>VLOOKUP(Tabela1[[#This Row],[SKU]],SKU!A:D,4,0)</f>
        <v>2080</v>
      </c>
      <c r="Z1307" s="18">
        <f>IFERROR((Tabela1[[#This Row],[Média]]-Tabela1[[#This Row],[Meta]])/Tabela1[[#This Row],[Meta]],"")</f>
        <v>-3.4134615384614946E-3</v>
      </c>
      <c r="AA1307" s="31">
        <f>Tabela1[[#This Row],[Média]]-Tabela1[[#This Row],[Meta]]</f>
        <v>-7.0999999999999091</v>
      </c>
      <c r="AB1307" s="6" t="str">
        <f>VLOOKUP(Tabela1[[#This Row],[SKU]],SKU!A:B,2,0)</f>
        <v>COXA SBCX S/O FG 260-280g PB</v>
      </c>
      <c r="AC1307" s="6" t="str">
        <f>VLOOKUP(Tabela1[[#This Row],[SKU]],SKU!A:C,3,0)</f>
        <v>PERNA</v>
      </c>
    </row>
    <row r="1308" spans="1:29" x14ac:dyDescent="0.25">
      <c r="A1308" s="2">
        <f>INT(Tabela1[[#This Row],[Data e Hora2]])</f>
        <v>46300</v>
      </c>
      <c r="B1308" s="6" t="str">
        <f>UPPER(TEXT(Tabela1[[#This Row],[Data Corrigida]],"MMM"))</f>
        <v>OUT</v>
      </c>
      <c r="C1308" t="s">
        <v>2911</v>
      </c>
      <c r="D1308" s="2" t="s">
        <v>2912</v>
      </c>
      <c r="E1308" s="1" t="s">
        <v>2900</v>
      </c>
      <c r="F1308" t="s">
        <v>24</v>
      </c>
      <c r="G1308" s="2" t="s">
        <v>2889</v>
      </c>
      <c r="H1308" t="s">
        <v>26</v>
      </c>
      <c r="I1308" t="s">
        <v>27</v>
      </c>
      <c r="J1308" s="6">
        <v>42862</v>
      </c>
      <c r="K1308" s="16">
        <v>2030</v>
      </c>
      <c r="L1308" s="16">
        <v>1950</v>
      </c>
      <c r="M1308" s="16">
        <v>2015</v>
      </c>
      <c r="N1308" s="16">
        <v>2020</v>
      </c>
      <c r="O1308" s="16">
        <v>2018</v>
      </c>
      <c r="P1308" s="16">
        <v>2006</v>
      </c>
      <c r="Q1308" s="16">
        <v>2013</v>
      </c>
      <c r="R1308" s="16">
        <v>2009</v>
      </c>
      <c r="S1308" s="16">
        <v>2008</v>
      </c>
      <c r="T1308" s="16">
        <v>2021</v>
      </c>
      <c r="U1308" s="15">
        <v>2009</v>
      </c>
      <c r="V1308" t="s">
        <v>19</v>
      </c>
      <c r="W1308" t="s">
        <v>28</v>
      </c>
      <c r="X1308">
        <v>24190</v>
      </c>
      <c r="Y1308" s="16">
        <f>VLOOKUP(Tabela1[[#This Row],[SKU]],SKU!A:D,4,0)</f>
        <v>2000</v>
      </c>
      <c r="Z1308" s="18">
        <f>IFERROR((Tabela1[[#This Row],[Média]]-Tabela1[[#This Row],[Meta]])/Tabela1[[#This Row],[Meta]],"")</f>
        <v>4.4999999999999997E-3</v>
      </c>
      <c r="AA1308" s="31">
        <f>Tabela1[[#This Row],[Média]]-Tabela1[[#This Row],[Meta]]</f>
        <v>9</v>
      </c>
      <c r="AB1308" s="6" t="str">
        <f>VLOOKUP(Tabela1[[#This Row],[SKU]],SKU!A:B,2,0)</f>
        <v>COXA SBCX S/O FG 280-300g PB</v>
      </c>
      <c r="AC1308" s="6" t="str">
        <f>VLOOKUP(Tabela1[[#This Row],[SKU]],SKU!A:C,3,0)</f>
        <v>PERNA</v>
      </c>
    </row>
    <row r="1309" spans="1:29" x14ac:dyDescent="0.25">
      <c r="A1309" s="2">
        <f>INT(Tabela1[[#This Row],[Data e Hora2]])</f>
        <v>46300</v>
      </c>
      <c r="B1309" s="6" t="str">
        <f>UPPER(TEXT(Tabela1[[#This Row],[Data Corrigida]],"MMM"))</f>
        <v>OUT</v>
      </c>
      <c r="C1309" t="s">
        <v>2913</v>
      </c>
      <c r="D1309" s="2" t="s">
        <v>2914</v>
      </c>
      <c r="E1309" s="1" t="s">
        <v>2900</v>
      </c>
      <c r="F1309" t="s">
        <v>24</v>
      </c>
      <c r="G1309" s="2" t="s">
        <v>2889</v>
      </c>
      <c r="H1309" t="s">
        <v>26</v>
      </c>
      <c r="I1309" t="s">
        <v>27</v>
      </c>
      <c r="J1309" s="6">
        <v>42846</v>
      </c>
      <c r="K1309" s="16">
        <v>2023</v>
      </c>
      <c r="L1309" s="16">
        <v>2013</v>
      </c>
      <c r="M1309" s="16">
        <v>2019</v>
      </c>
      <c r="N1309" s="16">
        <v>1995</v>
      </c>
      <c r="O1309" s="16">
        <v>1997</v>
      </c>
      <c r="P1309" s="16">
        <v>2008</v>
      </c>
      <c r="Q1309" s="16">
        <v>2034</v>
      </c>
      <c r="R1309" s="16">
        <v>2011</v>
      </c>
      <c r="S1309" s="16">
        <v>2000</v>
      </c>
      <c r="T1309" s="16">
        <v>2016</v>
      </c>
      <c r="U1309" s="15">
        <v>2011.6</v>
      </c>
      <c r="V1309" t="s">
        <v>19</v>
      </c>
      <c r="W1309" t="s">
        <v>19</v>
      </c>
      <c r="X1309">
        <v>24285</v>
      </c>
      <c r="Y1309" s="16">
        <f>VLOOKUP(Tabela1[[#This Row],[SKU]],SKU!A:D,4,0)</f>
        <v>2000</v>
      </c>
      <c r="Z1309" s="18">
        <f>IFERROR((Tabela1[[#This Row],[Média]]-Tabela1[[#This Row],[Meta]])/Tabela1[[#This Row],[Meta]],"")</f>
        <v>5.7999999999999545E-3</v>
      </c>
      <c r="AA1309" s="31">
        <f>Tabela1[[#This Row],[Média]]-Tabela1[[#This Row],[Meta]]</f>
        <v>11.599999999999909</v>
      </c>
      <c r="AB1309" s="6" t="str">
        <f>VLOOKUP(Tabela1[[#This Row],[SKU]],SKU!A:B,2,0)</f>
        <v>COXA SBCX S/O FG 240-260g PB</v>
      </c>
      <c r="AC1309" s="6" t="str">
        <f>VLOOKUP(Tabela1[[#This Row],[SKU]],SKU!A:C,3,0)</f>
        <v>PERNA</v>
      </c>
    </row>
    <row r="1310" spans="1:29" x14ac:dyDescent="0.25">
      <c r="A1310" s="2">
        <f>INT(Tabela1[[#This Row],[Data e Hora2]])</f>
        <v>46300</v>
      </c>
      <c r="B1310" s="6" t="str">
        <f>UPPER(TEXT(Tabela1[[#This Row],[Data Corrigida]],"MMM"))</f>
        <v>OUT</v>
      </c>
      <c r="C1310" t="s">
        <v>2915</v>
      </c>
      <c r="D1310" s="2" t="s">
        <v>2916</v>
      </c>
      <c r="E1310" s="1" t="s">
        <v>2900</v>
      </c>
      <c r="F1310" t="s">
        <v>24</v>
      </c>
      <c r="G1310" s="2" t="s">
        <v>2889</v>
      </c>
      <c r="H1310" t="s">
        <v>26</v>
      </c>
      <c r="I1310" t="s">
        <v>27</v>
      </c>
      <c r="J1310" s="6">
        <v>42838</v>
      </c>
      <c r="K1310" s="16">
        <v>2061</v>
      </c>
      <c r="L1310" s="16">
        <v>2046</v>
      </c>
      <c r="M1310" s="16">
        <v>2003</v>
      </c>
      <c r="N1310" s="16">
        <v>2026</v>
      </c>
      <c r="O1310" s="16">
        <v>2010</v>
      </c>
      <c r="P1310" s="16">
        <v>2019</v>
      </c>
      <c r="Q1310" s="16">
        <v>2024</v>
      </c>
      <c r="R1310" s="16">
        <v>2021</v>
      </c>
      <c r="S1310" s="16">
        <v>2014</v>
      </c>
      <c r="T1310" s="16">
        <v>2010</v>
      </c>
      <c r="U1310" s="15">
        <v>2023.4</v>
      </c>
      <c r="V1310" t="s">
        <v>19</v>
      </c>
      <c r="W1310" t="s">
        <v>28</v>
      </c>
      <c r="X1310">
        <v>411</v>
      </c>
      <c r="Y1310" s="16">
        <f>VLOOKUP(Tabela1[[#This Row],[SKU]],SKU!A:D,4,0)</f>
        <v>2000</v>
      </c>
      <c r="Z1310" s="18">
        <f>IFERROR((Tabela1[[#This Row],[Média]]-Tabela1[[#This Row],[Meta]])/Tabela1[[#This Row],[Meta]],"")</f>
        <v>1.1700000000000045E-2</v>
      </c>
      <c r="AA1310" s="31">
        <f>Tabela1[[#This Row],[Média]]-Tabela1[[#This Row],[Meta]]</f>
        <v>23.400000000000091</v>
      </c>
      <c r="AB1310" s="6" t="str">
        <f>VLOOKUP(Tabela1[[#This Row],[SKU]],SKU!A:B,2,0)</f>
        <v>COXA SBCX S/O FG 220-240g PB</v>
      </c>
      <c r="AC1310" s="6" t="str">
        <f>VLOOKUP(Tabela1[[#This Row],[SKU]],SKU!A:C,3,0)</f>
        <v>PERNA</v>
      </c>
    </row>
    <row r="1311" spans="1:29" x14ac:dyDescent="0.25">
      <c r="A1311" s="2">
        <f>INT(Tabela1[[#This Row],[Data e Hora2]])</f>
        <v>46300</v>
      </c>
      <c r="B1311" s="6" t="str">
        <f>UPPER(TEXT(Tabela1[[#This Row],[Data Corrigida]],"MMM"))</f>
        <v>OUT</v>
      </c>
      <c r="C1311" t="s">
        <v>2917</v>
      </c>
      <c r="D1311" s="2" t="s">
        <v>2918</v>
      </c>
      <c r="E1311" s="1" t="s">
        <v>2900</v>
      </c>
      <c r="F1311" t="s">
        <v>24</v>
      </c>
      <c r="G1311" s="2" t="s">
        <v>2889</v>
      </c>
      <c r="H1311" t="s">
        <v>26</v>
      </c>
      <c r="I1311" t="s">
        <v>27</v>
      </c>
      <c r="J1311" s="6">
        <v>995638</v>
      </c>
      <c r="K1311" s="16">
        <v>15050</v>
      </c>
      <c r="L1311" s="16">
        <v>15070</v>
      </c>
      <c r="M1311" s="16">
        <v>15065</v>
      </c>
      <c r="N1311" s="16">
        <v>15055</v>
      </c>
      <c r="O1311" s="16">
        <v>15090</v>
      </c>
      <c r="P1311" s="16">
        <v>15065</v>
      </c>
      <c r="Q1311" s="16">
        <v>15085</v>
      </c>
      <c r="R1311" s="16">
        <v>15090</v>
      </c>
      <c r="S1311" s="16">
        <v>15070</v>
      </c>
      <c r="T1311" s="16">
        <v>15065</v>
      </c>
      <c r="U1311" s="15">
        <v>15070.5</v>
      </c>
      <c r="V1311" t="s">
        <v>19</v>
      </c>
      <c r="W1311" t="s">
        <v>28</v>
      </c>
      <c r="X1311">
        <v>26482</v>
      </c>
      <c r="Y1311" s="16">
        <f>VLOOKUP(Tabela1[[#This Row],[SKU]],SKU!A:D,4,0)</f>
        <v>15000</v>
      </c>
      <c r="Z1311" s="18">
        <f>IFERROR((Tabela1[[#This Row],[Média]]-Tabela1[[#This Row],[Meta]])/Tabela1[[#This Row],[Meta]],"")</f>
        <v>4.7000000000000002E-3</v>
      </c>
      <c r="AA1311" s="31">
        <f>Tabela1[[#This Row],[Média]]-Tabela1[[#This Row],[Meta]]</f>
        <v>70.5</v>
      </c>
      <c r="AB1311" s="6" t="str">
        <f>VLOOKUP(Tabela1[[#This Row],[SKU]],SKU!A:B,2,0)</f>
        <v>MEIO DA ASA 40-50G LP</v>
      </c>
      <c r="AC1311" s="6" t="str">
        <f>VLOOKUP(Tabela1[[#This Row],[SKU]],SKU!A:C,3,0)</f>
        <v>ASA</v>
      </c>
    </row>
    <row r="1312" spans="1:29" x14ac:dyDescent="0.25">
      <c r="A1312" s="2">
        <f>INT(Tabela1[[#This Row],[Data e Hora2]])</f>
        <v>46300</v>
      </c>
      <c r="B1312" s="6" t="str">
        <f>UPPER(TEXT(Tabela1[[#This Row],[Data Corrigida]],"MMM"))</f>
        <v>OUT</v>
      </c>
      <c r="C1312" t="s">
        <v>2919</v>
      </c>
      <c r="D1312" s="2" t="s">
        <v>2920</v>
      </c>
      <c r="E1312" s="1" t="s">
        <v>2900</v>
      </c>
      <c r="F1312" t="s">
        <v>24</v>
      </c>
      <c r="G1312" s="2" t="s">
        <v>2889</v>
      </c>
      <c r="H1312" t="s">
        <v>26</v>
      </c>
      <c r="I1312" t="s">
        <v>27</v>
      </c>
      <c r="J1312" s="6">
        <v>42641</v>
      </c>
      <c r="K1312" s="16">
        <v>15040</v>
      </c>
      <c r="L1312" s="16">
        <v>15095</v>
      </c>
      <c r="M1312" s="16">
        <v>15055</v>
      </c>
      <c r="N1312" s="16">
        <v>15045</v>
      </c>
      <c r="O1312" s="16">
        <v>15055</v>
      </c>
      <c r="P1312" s="16">
        <v>15055</v>
      </c>
      <c r="Q1312" s="16">
        <v>15055</v>
      </c>
      <c r="R1312" s="16">
        <v>15010</v>
      </c>
      <c r="S1312" s="16">
        <v>15045</v>
      </c>
      <c r="T1312" s="16">
        <v>15055</v>
      </c>
      <c r="U1312" s="15">
        <v>15051</v>
      </c>
      <c r="V1312" t="s">
        <v>19</v>
      </c>
      <c r="W1312" t="s">
        <v>28</v>
      </c>
      <c r="X1312">
        <v>26599</v>
      </c>
      <c r="Y1312" s="16">
        <f>VLOOKUP(Tabela1[[#This Row],[SKU]],SKU!A:D,4,0)</f>
        <v>15000</v>
      </c>
      <c r="Z1312" s="18">
        <f>IFERROR((Tabela1[[#This Row],[Média]]-Tabela1[[#This Row],[Meta]])/Tabela1[[#This Row],[Meta]],"")</f>
        <v>3.3999999999999998E-3</v>
      </c>
      <c r="AA1312" s="31">
        <f>Tabela1[[#This Row],[Média]]-Tabela1[[#This Row],[Meta]]</f>
        <v>51</v>
      </c>
      <c r="AB1312" s="6" t="str">
        <f>VLOOKUP(Tabela1[[#This Row],[SKU]],SKU!A:B,2,0)</f>
        <v>ASAS FG 100g UP LP</v>
      </c>
      <c r="AC1312" s="6" t="str">
        <f>VLOOKUP(Tabela1[[#This Row],[SKU]],SKU!A:C,3,0)</f>
        <v>ASA</v>
      </c>
    </row>
    <row r="1313" spans="1:29" x14ac:dyDescent="0.25">
      <c r="A1313" s="2">
        <f>INT(Tabela1[[#This Row],[Data e Hora2]])</f>
        <v>46300</v>
      </c>
      <c r="B1313" s="6" t="str">
        <f>UPPER(TEXT(Tabela1[[#This Row],[Data Corrigida]],"MMM"))</f>
        <v>OUT</v>
      </c>
      <c r="C1313" t="s">
        <v>2921</v>
      </c>
      <c r="D1313" s="2" t="s">
        <v>2922</v>
      </c>
      <c r="E1313" s="1" t="s">
        <v>2900</v>
      </c>
      <c r="F1313" t="s">
        <v>24</v>
      </c>
      <c r="G1313" s="2" t="s">
        <v>2889</v>
      </c>
      <c r="H1313" t="s">
        <v>26</v>
      </c>
      <c r="I1313" t="s">
        <v>27</v>
      </c>
      <c r="J1313" s="6">
        <v>15105</v>
      </c>
      <c r="K1313" s="16">
        <v>1030</v>
      </c>
      <c r="L1313" s="16">
        <v>1018</v>
      </c>
      <c r="M1313" s="16">
        <v>1012</v>
      </c>
      <c r="N1313" s="16">
        <v>995</v>
      </c>
      <c r="O1313" s="16">
        <v>990</v>
      </c>
      <c r="P1313" s="16">
        <v>996</v>
      </c>
      <c r="Q1313" s="16">
        <v>1002</v>
      </c>
      <c r="R1313" s="16">
        <v>1015</v>
      </c>
      <c r="S1313" s="16">
        <v>1010</v>
      </c>
      <c r="T1313" s="16">
        <v>1038</v>
      </c>
      <c r="U1313" s="15">
        <v>1010.6</v>
      </c>
      <c r="V1313" t="s">
        <v>19</v>
      </c>
      <c r="W1313" t="s">
        <v>28</v>
      </c>
      <c r="X1313">
        <v>26796</v>
      </c>
      <c r="Y1313" s="16">
        <f>VLOOKUP(Tabela1[[#This Row],[SKU]],SKU!A:D,4,0)</f>
        <v>1000</v>
      </c>
      <c r="Z1313" s="18">
        <f>IFERROR((Tabela1[[#This Row],[Média]]-Tabela1[[#This Row],[Meta]])/Tabela1[[#This Row],[Meta]],"")</f>
        <v>1.0600000000000023E-2</v>
      </c>
      <c r="AA1313" s="31">
        <f>Tabela1[[#This Row],[Média]]-Tabela1[[#This Row],[Meta]]</f>
        <v>10.600000000000023</v>
      </c>
      <c r="AB1313" s="6" t="str">
        <f>VLOOKUP(Tabela1[[#This Row],[SKU]],SKU!A:B,2,0)</f>
        <v>FILE PEITO MET CG BDJ SE</v>
      </c>
      <c r="AC1313" s="6" t="str">
        <f>VLOOKUP(Tabela1[[#This Row],[SKU]],SKU!A:C,3,0)</f>
        <v>PEITO</v>
      </c>
    </row>
    <row r="1314" spans="1:29" x14ac:dyDescent="0.25">
      <c r="A1314" s="2">
        <f>INT(Tabela1[[#This Row],[Data e Hora2]])</f>
        <v>46300</v>
      </c>
      <c r="B1314" s="6" t="str">
        <f>UPPER(TEXT(Tabela1[[#This Row],[Data Corrigida]],"MMM"))</f>
        <v>OUT</v>
      </c>
      <c r="C1314" t="s">
        <v>2923</v>
      </c>
      <c r="D1314" s="2" t="s">
        <v>2924</v>
      </c>
      <c r="E1314" s="1" t="s">
        <v>2925</v>
      </c>
      <c r="F1314" t="s">
        <v>24</v>
      </c>
      <c r="G1314" s="2" t="s">
        <v>2889</v>
      </c>
      <c r="H1314" t="s">
        <v>26</v>
      </c>
      <c r="I1314" t="s">
        <v>57</v>
      </c>
      <c r="J1314" s="6">
        <v>40762</v>
      </c>
      <c r="K1314" s="16">
        <v>10055</v>
      </c>
      <c r="L1314" s="16">
        <v>10005</v>
      </c>
      <c r="M1314" s="16">
        <v>10045</v>
      </c>
      <c r="N1314" s="16">
        <v>9965</v>
      </c>
      <c r="O1314" s="16">
        <v>9980</v>
      </c>
      <c r="P1314" s="16">
        <v>10090</v>
      </c>
      <c r="Q1314" s="16">
        <v>10015</v>
      </c>
      <c r="R1314" s="16">
        <v>10050</v>
      </c>
      <c r="S1314" s="16">
        <v>10055</v>
      </c>
      <c r="T1314" s="16">
        <v>10045</v>
      </c>
      <c r="U1314" s="15">
        <v>10030.5</v>
      </c>
      <c r="V1314" t="s">
        <v>19</v>
      </c>
      <c r="W1314" t="s">
        <v>28</v>
      </c>
      <c r="X1314">
        <v>2159</v>
      </c>
      <c r="Y1314" s="16">
        <f>VLOOKUP(Tabela1[[#This Row],[SKU]],SKU!A:D,4,0)</f>
        <v>10000</v>
      </c>
      <c r="Z1314" s="18">
        <f>IFERROR((Tabela1[[#This Row],[Média]]-Tabela1[[#This Row],[Meta]])/Tabela1[[#This Row],[Meta]],"")</f>
        <v>3.0500000000000002E-3</v>
      </c>
      <c r="AA1314" s="31">
        <f>Tabela1[[#This Row],[Média]]-Tabela1[[#This Row],[Meta]]</f>
        <v>30.5</v>
      </c>
      <c r="AB1314" s="6" t="str">
        <f>VLOOKUP(Tabela1[[#This Row],[SKU]],SKU!A:B,2,0)</f>
        <v>COXA SBCX LQ FG LP</v>
      </c>
      <c r="AC1314" s="6" t="str">
        <f>VLOOKUP(Tabela1[[#This Row],[SKU]],SKU!A:C,3,0)</f>
        <v>PERNA</v>
      </c>
    </row>
    <row r="1315" spans="1:29" x14ac:dyDescent="0.25">
      <c r="A1315" s="2">
        <f>INT(Tabela1[[#This Row],[Data e Hora2]])</f>
        <v>46300</v>
      </c>
      <c r="B1315" s="6" t="str">
        <f>UPPER(TEXT(Tabela1[[#This Row],[Data Corrigida]],"MMM"))</f>
        <v>OUT</v>
      </c>
      <c r="C1315" t="s">
        <v>2926</v>
      </c>
      <c r="D1315" s="2" t="s">
        <v>2927</v>
      </c>
      <c r="E1315" s="1" t="s">
        <v>2928</v>
      </c>
      <c r="F1315" t="s">
        <v>24</v>
      </c>
      <c r="G1315" s="2" t="s">
        <v>2889</v>
      </c>
      <c r="H1315" t="s">
        <v>26</v>
      </c>
      <c r="I1315" t="s">
        <v>57</v>
      </c>
      <c r="J1315" s="6">
        <v>42838</v>
      </c>
      <c r="K1315" s="16">
        <v>2054</v>
      </c>
      <c r="L1315" s="16">
        <v>2020</v>
      </c>
      <c r="M1315" s="16">
        <v>2032</v>
      </c>
      <c r="N1315" s="16">
        <v>2022</v>
      </c>
      <c r="O1315" s="16">
        <v>2030</v>
      </c>
      <c r="P1315" s="16">
        <v>2020</v>
      </c>
      <c r="Q1315" s="16">
        <v>2016</v>
      </c>
      <c r="R1315" s="16">
        <v>2008</v>
      </c>
      <c r="S1315" s="16">
        <v>2023</v>
      </c>
      <c r="T1315" s="16">
        <v>2007</v>
      </c>
      <c r="U1315" s="15">
        <v>2023.2</v>
      </c>
      <c r="V1315" t="s">
        <v>19</v>
      </c>
      <c r="W1315" t="s">
        <v>28</v>
      </c>
      <c r="X1315">
        <v>229</v>
      </c>
      <c r="Y1315" s="16">
        <f>VLOOKUP(Tabela1[[#This Row],[SKU]],SKU!A:D,4,0)</f>
        <v>2000</v>
      </c>
      <c r="Z1315" s="18">
        <f>IFERROR((Tabela1[[#This Row],[Média]]-Tabela1[[#This Row],[Meta]])/Tabela1[[#This Row],[Meta]],"")</f>
        <v>1.1600000000000023E-2</v>
      </c>
      <c r="AA1315" s="31">
        <f>Tabela1[[#This Row],[Média]]-Tabela1[[#This Row],[Meta]]</f>
        <v>23.200000000000045</v>
      </c>
      <c r="AB1315" s="6" t="str">
        <f>VLOOKUP(Tabela1[[#This Row],[SKU]],SKU!A:B,2,0)</f>
        <v>COXA SBCX S/O FG 220-240g PB</v>
      </c>
      <c r="AC1315" s="6" t="str">
        <f>VLOOKUP(Tabela1[[#This Row],[SKU]],SKU!A:C,3,0)</f>
        <v>PERNA</v>
      </c>
    </row>
    <row r="1316" spans="1:29" x14ac:dyDescent="0.25">
      <c r="A1316" s="2">
        <f>INT(Tabela1[[#This Row],[Data e Hora2]])</f>
        <v>46300</v>
      </c>
      <c r="B1316" s="6" t="str">
        <f>UPPER(TEXT(Tabela1[[#This Row],[Data Corrigida]],"MMM"))</f>
        <v>OUT</v>
      </c>
      <c r="C1316" t="s">
        <v>2929</v>
      </c>
      <c r="D1316" s="2" t="s">
        <v>2930</v>
      </c>
      <c r="E1316" s="1" t="s">
        <v>2928</v>
      </c>
      <c r="F1316" t="s">
        <v>24</v>
      </c>
      <c r="G1316" s="2" t="s">
        <v>2889</v>
      </c>
      <c r="H1316" t="s">
        <v>26</v>
      </c>
      <c r="I1316" t="s">
        <v>57</v>
      </c>
      <c r="J1316" s="6">
        <v>42854</v>
      </c>
      <c r="K1316" s="16">
        <v>2110</v>
      </c>
      <c r="L1316" s="16">
        <v>2131</v>
      </c>
      <c r="M1316" s="16">
        <v>2098</v>
      </c>
      <c r="N1316" s="16">
        <v>2117</v>
      </c>
      <c r="O1316" s="16">
        <v>2097</v>
      </c>
      <c r="P1316" s="16">
        <v>2027</v>
      </c>
      <c r="Q1316" s="16">
        <v>2085</v>
      </c>
      <c r="R1316" s="16">
        <v>2075</v>
      </c>
      <c r="S1316" s="16">
        <v>2068</v>
      </c>
      <c r="T1316" s="16">
        <v>2046</v>
      </c>
      <c r="U1316" s="15">
        <v>2085.4</v>
      </c>
      <c r="V1316" t="s">
        <v>19</v>
      </c>
      <c r="W1316" t="s">
        <v>28</v>
      </c>
      <c r="X1316">
        <v>507</v>
      </c>
      <c r="Y1316" s="16">
        <f>VLOOKUP(Tabela1[[#This Row],[SKU]],SKU!A:D,4,0)</f>
        <v>2080</v>
      </c>
      <c r="Z1316" s="18">
        <f>IFERROR((Tabela1[[#This Row],[Média]]-Tabela1[[#This Row],[Meta]])/Tabela1[[#This Row],[Meta]],"")</f>
        <v>2.5961538461538899E-3</v>
      </c>
      <c r="AA1316" s="31">
        <f>Tabela1[[#This Row],[Média]]-Tabela1[[#This Row],[Meta]]</f>
        <v>5.4000000000000909</v>
      </c>
      <c r="AB1316" s="6" t="str">
        <f>VLOOKUP(Tabela1[[#This Row],[SKU]],SKU!A:B,2,0)</f>
        <v>COXA SBCX S/O FG 260-280g PB</v>
      </c>
      <c r="AC1316" s="6" t="str">
        <f>VLOOKUP(Tabela1[[#This Row],[SKU]],SKU!A:C,3,0)</f>
        <v>PERNA</v>
      </c>
    </row>
    <row r="1317" spans="1:29" x14ac:dyDescent="0.25">
      <c r="A1317" s="2">
        <f>INT(Tabela1[[#This Row],[Data e Hora2]])</f>
        <v>46300</v>
      </c>
      <c r="B1317" s="6" t="str">
        <f>UPPER(TEXT(Tabela1[[#This Row],[Data Corrigida]],"MMM"))</f>
        <v>OUT</v>
      </c>
      <c r="C1317" t="s">
        <v>2931</v>
      </c>
      <c r="D1317" s="2" t="s">
        <v>2932</v>
      </c>
      <c r="E1317" s="1" t="s">
        <v>2928</v>
      </c>
      <c r="F1317" t="s">
        <v>24</v>
      </c>
      <c r="G1317" s="2" t="s">
        <v>2889</v>
      </c>
      <c r="H1317" t="s">
        <v>26</v>
      </c>
      <c r="I1317" t="s">
        <v>57</v>
      </c>
      <c r="J1317" s="6">
        <v>42846</v>
      </c>
      <c r="K1317" s="16">
        <v>2015</v>
      </c>
      <c r="L1317" s="16">
        <v>2013</v>
      </c>
      <c r="M1317" s="16">
        <v>2010</v>
      </c>
      <c r="N1317" s="16">
        <v>1999</v>
      </c>
      <c r="O1317" s="16">
        <v>2015</v>
      </c>
      <c r="P1317" s="16">
        <v>2014</v>
      </c>
      <c r="Q1317" s="16">
        <v>2009</v>
      </c>
      <c r="R1317" s="16">
        <v>2012</v>
      </c>
      <c r="S1317" s="16">
        <v>2002</v>
      </c>
      <c r="T1317" s="16">
        <v>2005</v>
      </c>
      <c r="U1317" s="15">
        <v>2009.4</v>
      </c>
      <c r="V1317" t="s">
        <v>19</v>
      </c>
      <c r="W1317" t="s">
        <v>28</v>
      </c>
      <c r="X1317">
        <v>550</v>
      </c>
      <c r="Y1317" s="16">
        <f>VLOOKUP(Tabela1[[#This Row],[SKU]],SKU!A:D,4,0)</f>
        <v>2000</v>
      </c>
      <c r="Z1317" s="18">
        <f>IFERROR((Tabela1[[#This Row],[Média]]-Tabela1[[#This Row],[Meta]])/Tabela1[[#This Row],[Meta]],"")</f>
        <v>4.7000000000000453E-3</v>
      </c>
      <c r="AA1317" s="31">
        <f>Tabela1[[#This Row],[Média]]-Tabela1[[#This Row],[Meta]]</f>
        <v>9.4000000000000909</v>
      </c>
      <c r="AB1317" s="6" t="str">
        <f>VLOOKUP(Tabela1[[#This Row],[SKU]],SKU!A:B,2,0)</f>
        <v>COXA SBCX S/O FG 240-260g PB</v>
      </c>
      <c r="AC1317" s="6" t="str">
        <f>VLOOKUP(Tabela1[[#This Row],[SKU]],SKU!A:C,3,0)</f>
        <v>PERNA</v>
      </c>
    </row>
    <row r="1318" spans="1:29" x14ac:dyDescent="0.25">
      <c r="A1318" s="2">
        <f>INT(Tabela1[[#This Row],[Data e Hora2]])</f>
        <v>46300</v>
      </c>
      <c r="B1318" s="6" t="str">
        <f>UPPER(TEXT(Tabela1[[#This Row],[Data Corrigida]],"MMM"))</f>
        <v>OUT</v>
      </c>
      <c r="C1318" t="s">
        <v>2933</v>
      </c>
      <c r="D1318" s="2" t="s">
        <v>2934</v>
      </c>
      <c r="E1318" s="1" t="s">
        <v>2928</v>
      </c>
      <c r="F1318" t="s">
        <v>24</v>
      </c>
      <c r="G1318" s="2" t="s">
        <v>2889</v>
      </c>
      <c r="H1318" t="s">
        <v>26</v>
      </c>
      <c r="I1318" t="s">
        <v>57</v>
      </c>
      <c r="J1318" s="6">
        <v>42862</v>
      </c>
      <c r="K1318" s="16">
        <v>2023</v>
      </c>
      <c r="L1318" s="16">
        <v>2022</v>
      </c>
      <c r="M1318" s="16">
        <v>2013</v>
      </c>
      <c r="N1318" s="16">
        <v>2019</v>
      </c>
      <c r="O1318" s="16">
        <v>2015</v>
      </c>
      <c r="P1318" s="16">
        <v>2007</v>
      </c>
      <c r="Q1318" s="16">
        <v>2008</v>
      </c>
      <c r="R1318" s="16">
        <v>2006</v>
      </c>
      <c r="S1318" s="16">
        <v>2011</v>
      </c>
      <c r="T1318" s="16">
        <v>2026</v>
      </c>
      <c r="U1318" s="15">
        <v>2015</v>
      </c>
      <c r="V1318" t="s">
        <v>19</v>
      </c>
      <c r="W1318" t="s">
        <v>28</v>
      </c>
      <c r="X1318">
        <v>273</v>
      </c>
      <c r="Y1318" s="16">
        <f>VLOOKUP(Tabela1[[#This Row],[SKU]],SKU!A:D,4,0)</f>
        <v>2000</v>
      </c>
      <c r="Z1318" s="18">
        <f>IFERROR((Tabela1[[#This Row],[Média]]-Tabela1[[#This Row],[Meta]])/Tabela1[[#This Row],[Meta]],"")</f>
        <v>7.4999999999999997E-3</v>
      </c>
      <c r="AA1318" s="31">
        <f>Tabela1[[#This Row],[Média]]-Tabela1[[#This Row],[Meta]]</f>
        <v>15</v>
      </c>
      <c r="AB1318" s="6" t="str">
        <f>VLOOKUP(Tabela1[[#This Row],[SKU]],SKU!A:B,2,0)</f>
        <v>COXA SBCX S/O FG 280-300g PB</v>
      </c>
      <c r="AC1318" s="6" t="str">
        <f>VLOOKUP(Tabela1[[#This Row],[SKU]],SKU!A:C,3,0)</f>
        <v>PERNA</v>
      </c>
    </row>
    <row r="1319" spans="1:29" x14ac:dyDescent="0.25">
      <c r="A1319" s="2">
        <f>INT(Tabela1[[#This Row],[Data e Hora2]])</f>
        <v>46300</v>
      </c>
      <c r="B1319" s="6" t="str">
        <f>UPPER(TEXT(Tabela1[[#This Row],[Data Corrigida]],"MMM"))</f>
        <v>OUT</v>
      </c>
      <c r="C1319" t="s">
        <v>2935</v>
      </c>
      <c r="D1319" s="2" t="s">
        <v>2936</v>
      </c>
      <c r="E1319" s="1" t="s">
        <v>2928</v>
      </c>
      <c r="F1319" t="s">
        <v>24</v>
      </c>
      <c r="G1319" s="2" t="s">
        <v>2889</v>
      </c>
      <c r="H1319" t="s">
        <v>26</v>
      </c>
      <c r="I1319" t="s">
        <v>57</v>
      </c>
      <c r="J1319" s="6">
        <v>42811</v>
      </c>
      <c r="K1319" s="16">
        <v>2062</v>
      </c>
      <c r="L1319" s="16">
        <v>2060</v>
      </c>
      <c r="M1319" s="16">
        <v>2059</v>
      </c>
      <c r="N1319" s="16">
        <v>2054</v>
      </c>
      <c r="O1319" s="16">
        <v>2037</v>
      </c>
      <c r="P1319" s="16">
        <v>2024</v>
      </c>
      <c r="Q1319" s="16">
        <v>2071</v>
      </c>
      <c r="R1319" s="16">
        <v>2078</v>
      </c>
      <c r="S1319" s="16">
        <v>2073</v>
      </c>
      <c r="T1319" s="16">
        <v>2013</v>
      </c>
      <c r="U1319" s="15">
        <v>2053.1</v>
      </c>
      <c r="V1319" t="s">
        <v>19</v>
      </c>
      <c r="W1319" t="s">
        <v>28</v>
      </c>
      <c r="X1319">
        <v>315</v>
      </c>
      <c r="Y1319" s="16">
        <f>VLOOKUP(Tabela1[[#This Row],[SKU]],SKU!A:D,4,0)</f>
        <v>2000</v>
      </c>
      <c r="Z1319" s="18">
        <f>IFERROR((Tabela1[[#This Row],[Média]]-Tabela1[[#This Row],[Meta]])/Tabela1[[#This Row],[Meta]],"")</f>
        <v>2.6549999999999956E-2</v>
      </c>
      <c r="AA1319" s="31">
        <f>Tabela1[[#This Row],[Média]]-Tabela1[[#This Row],[Meta]]</f>
        <v>53.099999999999909</v>
      </c>
      <c r="AB1319" s="6" t="str">
        <f>VLOOKUP(Tabela1[[#This Row],[SKU]],SKU!A:B,2,0)</f>
        <v>COXA SBCX S/O FG 180-200g PB</v>
      </c>
      <c r="AC1319" s="6" t="str">
        <f>VLOOKUP(Tabela1[[#This Row],[SKU]],SKU!A:C,3,0)</f>
        <v>PERNA</v>
      </c>
    </row>
    <row r="1320" spans="1:29" x14ac:dyDescent="0.25">
      <c r="A1320" s="2">
        <f>INT(Tabela1[[#This Row],[Data e Hora2]])</f>
        <v>46300</v>
      </c>
      <c r="B1320" s="6" t="str">
        <f>UPPER(TEXT(Tabela1[[#This Row],[Data Corrigida]],"MMM"))</f>
        <v>OUT</v>
      </c>
      <c r="C1320" t="s">
        <v>2937</v>
      </c>
      <c r="D1320" s="2" t="s">
        <v>2938</v>
      </c>
      <c r="E1320" s="1" t="s">
        <v>2928</v>
      </c>
      <c r="F1320" t="s">
        <v>24</v>
      </c>
      <c r="G1320" s="2" t="s">
        <v>2889</v>
      </c>
      <c r="H1320" t="s">
        <v>26</v>
      </c>
      <c r="I1320" t="s">
        <v>57</v>
      </c>
      <c r="J1320" s="6">
        <v>864048</v>
      </c>
      <c r="K1320" s="16">
        <v>2010</v>
      </c>
      <c r="L1320" s="16">
        <v>2024</v>
      </c>
      <c r="M1320" s="16">
        <v>2035</v>
      </c>
      <c r="N1320" s="16">
        <v>2018</v>
      </c>
      <c r="O1320" s="16">
        <v>2007</v>
      </c>
      <c r="P1320" s="16">
        <v>2018</v>
      </c>
      <c r="Q1320" s="16">
        <v>2016</v>
      </c>
      <c r="R1320" s="16">
        <v>2013</v>
      </c>
      <c r="S1320" s="16">
        <v>2011</v>
      </c>
      <c r="T1320" s="16">
        <v>2029</v>
      </c>
      <c r="U1320" s="15">
        <v>2018.1</v>
      </c>
      <c r="V1320" t="s">
        <v>19</v>
      </c>
      <c r="W1320" t="s">
        <v>28</v>
      </c>
      <c r="X1320">
        <v>223</v>
      </c>
      <c r="Y1320" s="16">
        <f>VLOOKUP(Tabela1[[#This Row],[SKU]],SKU!A:D,4,0)</f>
        <v>2000</v>
      </c>
      <c r="Z1320" s="18">
        <f>IFERROR((Tabela1[[#This Row],[Média]]-Tabela1[[#This Row],[Meta]])/Tabela1[[#This Row],[Meta]],"")</f>
        <v>9.0499999999999539E-3</v>
      </c>
      <c r="AA1320" s="31">
        <f>Tabela1[[#This Row],[Média]]-Tabela1[[#This Row],[Meta]]</f>
        <v>18.099999999999909</v>
      </c>
      <c r="AB1320" s="6" t="str">
        <f>VLOOKUP(Tabela1[[#This Row],[SKU]],SKU!A:B,2,0)</f>
        <v>COXA SBCX S/O 200g FG UP PB</v>
      </c>
      <c r="AC1320" s="6" t="str">
        <f>VLOOKUP(Tabela1[[#This Row],[SKU]],SKU!A:C,3,0)</f>
        <v>PERNA</v>
      </c>
    </row>
    <row r="1321" spans="1:29" x14ac:dyDescent="0.25">
      <c r="A1321" s="2">
        <f>INT(Tabela1[[#This Row],[Data e Hora2]])</f>
        <v>46300</v>
      </c>
      <c r="B1321" s="6" t="str">
        <f>UPPER(TEXT(Tabela1[[#This Row],[Data Corrigida]],"MMM"))</f>
        <v>OUT</v>
      </c>
      <c r="C1321" t="s">
        <v>2939</v>
      </c>
      <c r="D1321" s="2" t="s">
        <v>2940</v>
      </c>
      <c r="E1321" s="1" t="s">
        <v>2941</v>
      </c>
      <c r="F1321" t="s">
        <v>24</v>
      </c>
      <c r="G1321" s="2" t="s">
        <v>2889</v>
      </c>
      <c r="H1321" t="s">
        <v>26</v>
      </c>
      <c r="I1321" t="s">
        <v>57</v>
      </c>
      <c r="J1321" s="6">
        <v>15105</v>
      </c>
      <c r="K1321" s="16">
        <v>1013</v>
      </c>
      <c r="L1321" s="16">
        <v>1008</v>
      </c>
      <c r="M1321" s="16">
        <v>1016</v>
      </c>
      <c r="N1321" s="16">
        <v>1048</v>
      </c>
      <c r="O1321" s="16">
        <v>1054</v>
      </c>
      <c r="P1321" s="16">
        <v>1030</v>
      </c>
      <c r="Q1321" s="16">
        <v>1014</v>
      </c>
      <c r="R1321" s="16">
        <v>1028</v>
      </c>
      <c r="S1321" s="16">
        <v>1010</v>
      </c>
      <c r="T1321" s="16">
        <v>1020</v>
      </c>
      <c r="U1321" s="15">
        <v>1024.0999999999999</v>
      </c>
      <c r="V1321" t="s">
        <v>19</v>
      </c>
      <c r="W1321" t="s">
        <v>28</v>
      </c>
      <c r="X1321">
        <v>186</v>
      </c>
      <c r="Y1321" s="16">
        <f>VLOOKUP(Tabela1[[#This Row],[SKU]],SKU!A:D,4,0)</f>
        <v>1000</v>
      </c>
      <c r="Z1321" s="18">
        <f>IFERROR((Tabela1[[#This Row],[Média]]-Tabela1[[#This Row],[Meta]])/Tabela1[[#This Row],[Meta]],"")</f>
        <v>2.409999999999991E-2</v>
      </c>
      <c r="AA1321" s="31">
        <f>Tabela1[[#This Row],[Média]]-Tabela1[[#This Row],[Meta]]</f>
        <v>24.099999999999909</v>
      </c>
      <c r="AB1321" s="6" t="str">
        <f>VLOOKUP(Tabela1[[#This Row],[SKU]],SKU!A:B,2,0)</f>
        <v>FILE PEITO MET CG BDJ SE</v>
      </c>
      <c r="AC1321" s="6" t="str">
        <f>VLOOKUP(Tabela1[[#This Row],[SKU]],SKU!A:C,3,0)</f>
        <v>PEITO</v>
      </c>
    </row>
    <row r="1322" spans="1:29" x14ac:dyDescent="0.25">
      <c r="A1322" s="2">
        <f>INT(Tabela1[[#This Row],[Data e Hora2]])</f>
        <v>46297</v>
      </c>
      <c r="B1322" s="6" t="str">
        <f>UPPER(TEXT(Tabela1[[#This Row],[Data Corrigida]],"MMM"))</f>
        <v>OUT</v>
      </c>
      <c r="C1322" t="s">
        <v>2942</v>
      </c>
      <c r="D1322" s="2" t="s">
        <v>2943</v>
      </c>
      <c r="E1322" s="1" t="s">
        <v>2944</v>
      </c>
      <c r="F1322" t="s">
        <v>24</v>
      </c>
      <c r="G1322" s="2" t="s">
        <v>2945</v>
      </c>
      <c r="H1322" t="s">
        <v>26</v>
      </c>
      <c r="I1322" t="s">
        <v>27</v>
      </c>
      <c r="J1322" s="6">
        <v>40762</v>
      </c>
      <c r="K1322" s="16">
        <v>9950</v>
      </c>
      <c r="L1322" s="16">
        <v>9890</v>
      </c>
      <c r="M1322" s="16">
        <v>10000</v>
      </c>
      <c r="N1322" s="16">
        <v>9950</v>
      </c>
      <c r="O1322" s="16">
        <v>9860</v>
      </c>
      <c r="P1322" s="16">
        <v>10125</v>
      </c>
      <c r="Q1322" s="16">
        <v>9980</v>
      </c>
      <c r="R1322" s="16">
        <v>10010</v>
      </c>
      <c r="S1322" s="16">
        <v>10020</v>
      </c>
      <c r="T1322" s="16">
        <v>9990</v>
      </c>
      <c r="U1322" s="15">
        <v>9977.5</v>
      </c>
      <c r="V1322" t="s">
        <v>19</v>
      </c>
      <c r="W1322" t="s">
        <v>28</v>
      </c>
      <c r="X1322">
        <v>9348</v>
      </c>
      <c r="Y1322" s="16">
        <f>VLOOKUP(Tabela1[[#This Row],[SKU]],SKU!A:D,4,0)</f>
        <v>10000</v>
      </c>
      <c r="Z1322" s="18">
        <f>IFERROR((Tabela1[[#This Row],[Média]]-Tabela1[[#This Row],[Meta]])/Tabela1[[#This Row],[Meta]],"")</f>
        <v>-2.2499999999999998E-3</v>
      </c>
      <c r="AA1322" s="31">
        <f>Tabela1[[#This Row],[Média]]-Tabela1[[#This Row],[Meta]]</f>
        <v>-22.5</v>
      </c>
      <c r="AB1322" s="6" t="str">
        <f>VLOOKUP(Tabela1[[#This Row],[SKU]],SKU!A:B,2,0)</f>
        <v>COXA SBCX LQ FG LP</v>
      </c>
      <c r="AC1322" s="6" t="str">
        <f>VLOOKUP(Tabela1[[#This Row],[SKU]],SKU!A:C,3,0)</f>
        <v>PERNA</v>
      </c>
    </row>
    <row r="1323" spans="1:29" x14ac:dyDescent="0.25">
      <c r="A1323" s="2">
        <f>INT(Tabela1[[#This Row],[Data e Hora2]])</f>
        <v>46297</v>
      </c>
      <c r="B1323" s="6" t="str">
        <f>UPPER(TEXT(Tabela1[[#This Row],[Data Corrigida]],"MMM"))</f>
        <v>OUT</v>
      </c>
      <c r="C1323" t="s">
        <v>2946</v>
      </c>
      <c r="D1323" s="2" t="s">
        <v>2947</v>
      </c>
      <c r="E1323" s="1" t="s">
        <v>2944</v>
      </c>
      <c r="F1323" t="s">
        <v>24</v>
      </c>
      <c r="G1323" s="2" t="s">
        <v>2945</v>
      </c>
      <c r="H1323" t="s">
        <v>26</v>
      </c>
      <c r="I1323" t="s">
        <v>27</v>
      </c>
      <c r="J1323" s="6">
        <v>963925</v>
      </c>
      <c r="K1323" s="16">
        <v>18000</v>
      </c>
      <c r="L1323" s="16">
        <v>17940</v>
      </c>
      <c r="M1323" s="16">
        <v>17990</v>
      </c>
      <c r="N1323" s="16">
        <v>18375</v>
      </c>
      <c r="O1323" s="16">
        <v>18190</v>
      </c>
      <c r="P1323" s="16">
        <v>18040</v>
      </c>
      <c r="Q1323" s="16">
        <v>18260</v>
      </c>
      <c r="R1323" s="16">
        <v>18145</v>
      </c>
      <c r="S1323" s="16">
        <v>18470</v>
      </c>
      <c r="T1323" s="16">
        <v>17985</v>
      </c>
      <c r="U1323" s="15">
        <v>18139.5</v>
      </c>
      <c r="V1323" t="s">
        <v>19</v>
      </c>
      <c r="W1323" t="s">
        <v>28</v>
      </c>
      <c r="X1323">
        <v>10383</v>
      </c>
      <c r="Y1323" s="16">
        <f>VLOOKUP(Tabela1[[#This Row],[SKU]],SKU!A:D,4,0)</f>
        <v>18000</v>
      </c>
      <c r="Z1323" s="18">
        <f>IFERROR((Tabela1[[#This Row],[Média]]-Tabela1[[#This Row],[Meta]])/Tabela1[[#This Row],[Meta]],"")</f>
        <v>7.7499999999999999E-3</v>
      </c>
      <c r="AA1323" s="31">
        <f>Tabela1[[#This Row],[Média]]-Tabela1[[#This Row],[Meta]]</f>
        <v>139.5</v>
      </c>
      <c r="AB1323" s="6" t="str">
        <f>VLOOKUP(Tabela1[[#This Row],[SKU]],SKU!A:B,2,0)</f>
        <v>COXINHA DA ASA FG CG PCT</v>
      </c>
      <c r="AC1323" s="6" t="str">
        <f>VLOOKUP(Tabela1[[#This Row],[SKU]],SKU!A:C,3,0)</f>
        <v>ASA</v>
      </c>
    </row>
    <row r="1324" spans="1:29" x14ac:dyDescent="0.25">
      <c r="A1324" s="2">
        <f>INT(Tabela1[[#This Row],[Data e Hora2]])</f>
        <v>46297</v>
      </c>
      <c r="B1324" s="6" t="str">
        <f>UPPER(TEXT(Tabela1[[#This Row],[Data Corrigida]],"MMM"))</f>
        <v>OUT</v>
      </c>
      <c r="C1324" t="s">
        <v>2948</v>
      </c>
      <c r="D1324" s="2" t="s">
        <v>2949</v>
      </c>
      <c r="E1324" s="1" t="s">
        <v>2950</v>
      </c>
      <c r="F1324" t="s">
        <v>24</v>
      </c>
      <c r="G1324" s="2" t="s">
        <v>2945</v>
      </c>
      <c r="H1324" t="s">
        <v>26</v>
      </c>
      <c r="I1324" t="s">
        <v>27</v>
      </c>
      <c r="J1324" s="6">
        <v>992014</v>
      </c>
      <c r="K1324" s="16">
        <v>701</v>
      </c>
      <c r="L1324" s="16">
        <v>713</v>
      </c>
      <c r="M1324" s="16">
        <v>699</v>
      </c>
      <c r="N1324" s="16">
        <v>701</v>
      </c>
      <c r="O1324" s="16">
        <v>710</v>
      </c>
      <c r="P1324" s="16">
        <v>710</v>
      </c>
      <c r="Q1324" s="16">
        <v>699</v>
      </c>
      <c r="R1324" s="16">
        <v>705</v>
      </c>
      <c r="S1324" s="16">
        <v>714</v>
      </c>
      <c r="T1324" s="16">
        <v>699</v>
      </c>
      <c r="U1324" s="15">
        <v>705.1</v>
      </c>
      <c r="V1324" t="s">
        <v>19</v>
      </c>
      <c r="W1324" t="s">
        <v>28</v>
      </c>
      <c r="X1324">
        <v>10679</v>
      </c>
      <c r="Y1324" s="16">
        <f>VLOOKUP(Tabela1[[#This Row],[SKU]],SKU!A:D,4,0)</f>
        <v>700</v>
      </c>
      <c r="Z1324" s="18">
        <f>IFERROR((Tabela1[[#This Row],[Média]]-Tabela1[[#This Row],[Meta]])/Tabela1[[#This Row],[Meta]],"")</f>
        <v>7.2857142857143181E-3</v>
      </c>
      <c r="AA1324" s="31">
        <f>Tabela1[[#This Row],[Média]]-Tabela1[[#This Row],[Meta]]</f>
        <v>5.1000000000000227</v>
      </c>
      <c r="AB1324" s="6" t="str">
        <f>VLOOKUP(Tabela1[[#This Row],[SKU]],SKU!A:B,2,0)</f>
        <v>OSTRINHA CG PCT 700G SWIFT</v>
      </c>
      <c r="AC1324" s="6" t="str">
        <f>VLOOKUP(Tabela1[[#This Row],[SKU]],SKU!A:C,3,0)</f>
        <v>PERNA</v>
      </c>
    </row>
    <row r="1325" spans="1:29" x14ac:dyDescent="0.25">
      <c r="A1325" s="2">
        <f>INT(Tabela1[[#This Row],[Data e Hora2]])</f>
        <v>46297</v>
      </c>
      <c r="B1325" s="6" t="str">
        <f>UPPER(TEXT(Tabela1[[#This Row],[Data Corrigida]],"MMM"))</f>
        <v>OUT</v>
      </c>
      <c r="C1325" t="s">
        <v>2951</v>
      </c>
      <c r="D1325" s="2" t="s">
        <v>2952</v>
      </c>
      <c r="E1325" s="1" t="s">
        <v>2950</v>
      </c>
      <c r="F1325" t="s">
        <v>24</v>
      </c>
      <c r="G1325" s="2" t="s">
        <v>2945</v>
      </c>
      <c r="H1325" t="s">
        <v>26</v>
      </c>
      <c r="I1325" t="s">
        <v>27</v>
      </c>
      <c r="J1325" s="6">
        <v>42820</v>
      </c>
      <c r="K1325" s="16">
        <v>2097</v>
      </c>
      <c r="L1325" s="16">
        <v>2050</v>
      </c>
      <c r="M1325" s="16">
        <v>2007</v>
      </c>
      <c r="N1325" s="16">
        <v>2016</v>
      </c>
      <c r="O1325" s="16">
        <v>2064</v>
      </c>
      <c r="P1325" s="16">
        <v>2043</v>
      </c>
      <c r="Q1325" s="16">
        <v>2053</v>
      </c>
      <c r="R1325" s="16">
        <v>2060</v>
      </c>
      <c r="S1325" s="16">
        <v>2017</v>
      </c>
      <c r="T1325" s="16">
        <v>2019</v>
      </c>
      <c r="U1325" s="15">
        <v>2042.6</v>
      </c>
      <c r="V1325" t="s">
        <v>19</v>
      </c>
      <c r="W1325" t="s">
        <v>28</v>
      </c>
      <c r="X1325">
        <v>15744</v>
      </c>
      <c r="Y1325" s="16">
        <f>VLOOKUP(Tabela1[[#This Row],[SKU]],SKU!A:D,4,0)</f>
        <v>2000</v>
      </c>
      <c r="Z1325" s="18">
        <f>IFERROR((Tabela1[[#This Row],[Média]]-Tabela1[[#This Row],[Meta]])/Tabela1[[#This Row],[Meta]],"")</f>
        <v>2.1299999999999954E-2</v>
      </c>
      <c r="AA1325" s="31">
        <f>Tabela1[[#This Row],[Média]]-Tabela1[[#This Row],[Meta]]</f>
        <v>42.599999999999909</v>
      </c>
      <c r="AB1325" s="6" t="str">
        <f>VLOOKUP(Tabela1[[#This Row],[SKU]],SKU!A:B,2,0)</f>
        <v>COXA SBCX S/O FG 200-220g PB</v>
      </c>
      <c r="AC1325" s="6" t="str">
        <f>VLOOKUP(Tabela1[[#This Row],[SKU]],SKU!A:C,3,0)</f>
        <v>PERNA</v>
      </c>
    </row>
    <row r="1326" spans="1:29" x14ac:dyDescent="0.25">
      <c r="A1326" s="2">
        <f>INT(Tabela1[[#This Row],[Data e Hora2]])</f>
        <v>46297</v>
      </c>
      <c r="B1326" s="6" t="str">
        <f>UPPER(TEXT(Tabela1[[#This Row],[Data Corrigida]],"MMM"))</f>
        <v>OUT</v>
      </c>
      <c r="C1326" t="s">
        <v>2953</v>
      </c>
      <c r="D1326" s="2" t="s">
        <v>2954</v>
      </c>
      <c r="E1326" s="1" t="s">
        <v>2950</v>
      </c>
      <c r="F1326" t="s">
        <v>24</v>
      </c>
      <c r="G1326" s="2" t="s">
        <v>2945</v>
      </c>
      <c r="H1326" t="s">
        <v>26</v>
      </c>
      <c r="I1326" t="s">
        <v>27</v>
      </c>
      <c r="J1326" s="6">
        <v>42846</v>
      </c>
      <c r="K1326" s="16">
        <v>2014</v>
      </c>
      <c r="L1326" s="16">
        <v>1996</v>
      </c>
      <c r="M1326" s="16">
        <v>2016</v>
      </c>
      <c r="N1326" s="16">
        <v>2162</v>
      </c>
      <c r="O1326" s="16">
        <v>2033</v>
      </c>
      <c r="P1326" s="16">
        <v>2007</v>
      </c>
      <c r="Q1326" s="16">
        <v>2020</v>
      </c>
      <c r="R1326" s="16">
        <v>2006</v>
      </c>
      <c r="S1326" s="16">
        <v>2045</v>
      </c>
      <c r="T1326" s="16">
        <v>2008</v>
      </c>
      <c r="U1326" s="15">
        <v>2030.7</v>
      </c>
      <c r="V1326" t="s">
        <v>19</v>
      </c>
      <c r="W1326" t="s">
        <v>28</v>
      </c>
      <c r="X1326">
        <v>15937</v>
      </c>
      <c r="Y1326" s="16">
        <f>VLOOKUP(Tabela1[[#This Row],[SKU]],SKU!A:D,4,0)</f>
        <v>2000</v>
      </c>
      <c r="Z1326" s="18">
        <f>IFERROR((Tabela1[[#This Row],[Média]]-Tabela1[[#This Row],[Meta]])/Tabela1[[#This Row],[Meta]],"")</f>
        <v>1.5350000000000023E-2</v>
      </c>
      <c r="AA1326" s="31">
        <f>Tabela1[[#This Row],[Média]]-Tabela1[[#This Row],[Meta]]</f>
        <v>30.700000000000045</v>
      </c>
      <c r="AB1326" s="6" t="str">
        <f>VLOOKUP(Tabela1[[#This Row],[SKU]],SKU!A:B,2,0)</f>
        <v>COXA SBCX S/O FG 240-260g PB</v>
      </c>
      <c r="AC1326" s="6" t="str">
        <f>VLOOKUP(Tabela1[[#This Row],[SKU]],SKU!A:C,3,0)</f>
        <v>PERNA</v>
      </c>
    </row>
    <row r="1327" spans="1:29" x14ac:dyDescent="0.25">
      <c r="A1327" s="2">
        <f>INT(Tabela1[[#This Row],[Data e Hora2]])</f>
        <v>46297</v>
      </c>
      <c r="B1327" s="6" t="str">
        <f>UPPER(TEXT(Tabela1[[#This Row],[Data Corrigida]],"MMM"))</f>
        <v>OUT</v>
      </c>
      <c r="C1327" t="s">
        <v>2955</v>
      </c>
      <c r="D1327" s="2" t="s">
        <v>2956</v>
      </c>
      <c r="E1327" s="1" t="s">
        <v>2950</v>
      </c>
      <c r="F1327" t="s">
        <v>24</v>
      </c>
      <c r="G1327" s="2" t="s">
        <v>2945</v>
      </c>
      <c r="H1327" t="s">
        <v>26</v>
      </c>
      <c r="I1327" t="s">
        <v>27</v>
      </c>
      <c r="J1327" s="6">
        <v>42838</v>
      </c>
      <c r="K1327" s="16">
        <v>2004</v>
      </c>
      <c r="L1327" s="16">
        <v>2029</v>
      </c>
      <c r="M1327" s="16">
        <v>2017</v>
      </c>
      <c r="N1327" s="16">
        <v>2041</v>
      </c>
      <c r="O1327" s="16">
        <v>2083</v>
      </c>
      <c r="P1327" s="16">
        <v>2086</v>
      </c>
      <c r="Q1327" s="16">
        <v>2032</v>
      </c>
      <c r="R1327" s="16">
        <v>2025</v>
      </c>
      <c r="S1327" s="16">
        <v>2004</v>
      </c>
      <c r="T1327" s="16">
        <v>2032</v>
      </c>
      <c r="U1327" s="15">
        <v>2035.3</v>
      </c>
      <c r="V1327" t="s">
        <v>19</v>
      </c>
      <c r="W1327" t="s">
        <v>28</v>
      </c>
      <c r="X1327">
        <v>13028</v>
      </c>
      <c r="Y1327" s="16">
        <f>VLOOKUP(Tabela1[[#This Row],[SKU]],SKU!A:D,4,0)</f>
        <v>2000</v>
      </c>
      <c r="Z1327" s="18">
        <f>IFERROR((Tabela1[[#This Row],[Média]]-Tabela1[[#This Row],[Meta]])/Tabela1[[#This Row],[Meta]],"")</f>
        <v>1.7649999999999978E-2</v>
      </c>
      <c r="AA1327" s="31">
        <f>Tabela1[[#This Row],[Média]]-Tabela1[[#This Row],[Meta]]</f>
        <v>35.299999999999955</v>
      </c>
      <c r="AB1327" s="6" t="str">
        <f>VLOOKUP(Tabela1[[#This Row],[SKU]],SKU!A:B,2,0)</f>
        <v>COXA SBCX S/O FG 220-240g PB</v>
      </c>
      <c r="AC1327" s="6" t="str">
        <f>VLOOKUP(Tabela1[[#This Row],[SKU]],SKU!A:C,3,0)</f>
        <v>PERNA</v>
      </c>
    </row>
    <row r="1328" spans="1:29" x14ac:dyDescent="0.25">
      <c r="A1328" s="2">
        <f>INT(Tabela1[[#This Row],[Data e Hora2]])</f>
        <v>46297</v>
      </c>
      <c r="B1328" s="6" t="str">
        <f>UPPER(TEXT(Tabela1[[#This Row],[Data Corrigida]],"MMM"))</f>
        <v>OUT</v>
      </c>
      <c r="C1328" t="s">
        <v>2957</v>
      </c>
      <c r="D1328" s="2" t="s">
        <v>2958</v>
      </c>
      <c r="E1328" s="1" t="s">
        <v>2950</v>
      </c>
      <c r="F1328" t="s">
        <v>24</v>
      </c>
      <c r="G1328" s="2" t="s">
        <v>2945</v>
      </c>
      <c r="H1328" t="s">
        <v>26</v>
      </c>
      <c r="I1328" t="s">
        <v>27</v>
      </c>
      <c r="J1328" s="6">
        <v>42862</v>
      </c>
      <c r="K1328" s="16">
        <v>2006</v>
      </c>
      <c r="L1328" s="16">
        <v>2007</v>
      </c>
      <c r="M1328" s="16">
        <v>2014</v>
      </c>
      <c r="N1328" s="16">
        <v>2009</v>
      </c>
      <c r="O1328" s="16">
        <v>2016</v>
      </c>
      <c r="P1328" s="16">
        <v>1999</v>
      </c>
      <c r="Q1328" s="16">
        <v>2035</v>
      </c>
      <c r="R1328" s="16">
        <v>2019</v>
      </c>
      <c r="S1328" s="16">
        <v>2011</v>
      </c>
      <c r="T1328" s="16">
        <v>2017</v>
      </c>
      <c r="U1328" s="15">
        <v>2013.3</v>
      </c>
      <c r="V1328" t="s">
        <v>19</v>
      </c>
      <c r="W1328" t="s">
        <v>28</v>
      </c>
      <c r="X1328">
        <v>13129</v>
      </c>
      <c r="Y1328" s="16">
        <f>VLOOKUP(Tabela1[[#This Row],[SKU]],SKU!A:D,4,0)</f>
        <v>2000</v>
      </c>
      <c r="Z1328" s="18">
        <f>IFERROR((Tabela1[[#This Row],[Média]]-Tabela1[[#This Row],[Meta]])/Tabela1[[#This Row],[Meta]],"")</f>
        <v>6.6499999999999771E-3</v>
      </c>
      <c r="AA1328" s="31">
        <f>Tabela1[[#This Row],[Média]]-Tabela1[[#This Row],[Meta]]</f>
        <v>13.299999999999955</v>
      </c>
      <c r="AB1328" s="6" t="str">
        <f>VLOOKUP(Tabela1[[#This Row],[SKU]],SKU!A:B,2,0)</f>
        <v>COXA SBCX S/O FG 280-300g PB</v>
      </c>
      <c r="AC1328" s="6" t="str">
        <f>VLOOKUP(Tabela1[[#This Row],[SKU]],SKU!A:C,3,0)</f>
        <v>PERNA</v>
      </c>
    </row>
    <row r="1329" spans="1:29" x14ac:dyDescent="0.25">
      <c r="A1329" s="2">
        <f>INT(Tabela1[[#This Row],[Data e Hora2]])</f>
        <v>46297</v>
      </c>
      <c r="B1329" s="6" t="str">
        <f>UPPER(TEXT(Tabela1[[#This Row],[Data Corrigida]],"MMM"))</f>
        <v>OUT</v>
      </c>
      <c r="C1329" t="s">
        <v>2959</v>
      </c>
      <c r="D1329" s="2" t="s">
        <v>2960</v>
      </c>
      <c r="E1329" s="1" t="s">
        <v>2950</v>
      </c>
      <c r="F1329" t="s">
        <v>24</v>
      </c>
      <c r="G1329" s="2" t="s">
        <v>2945</v>
      </c>
      <c r="H1329" t="s">
        <v>26</v>
      </c>
      <c r="I1329" t="s">
        <v>27</v>
      </c>
      <c r="J1329" s="6">
        <v>42854</v>
      </c>
      <c r="K1329" s="16">
        <v>2036</v>
      </c>
      <c r="L1329" s="16">
        <v>2102</v>
      </c>
      <c r="M1329" s="16">
        <v>2114</v>
      </c>
      <c r="N1329" s="16">
        <v>2009</v>
      </c>
      <c r="O1329" s="16">
        <v>2074</v>
      </c>
      <c r="P1329" s="16">
        <v>2098</v>
      </c>
      <c r="Q1329" s="16">
        <v>2088</v>
      </c>
      <c r="R1329" s="16">
        <v>2086</v>
      </c>
      <c r="S1329" s="16">
        <v>2097</v>
      </c>
      <c r="T1329" s="16">
        <v>2008</v>
      </c>
      <c r="U1329" s="15">
        <v>2071.1999999999998</v>
      </c>
      <c r="V1329" t="s">
        <v>19</v>
      </c>
      <c r="W1329" t="s">
        <v>28</v>
      </c>
      <c r="X1329">
        <v>13632</v>
      </c>
      <c r="Y1329" s="16">
        <f>VLOOKUP(Tabela1[[#This Row],[SKU]],SKU!A:D,4,0)</f>
        <v>2080</v>
      </c>
      <c r="Z1329" s="18">
        <f>IFERROR((Tabela1[[#This Row],[Média]]-Tabela1[[#This Row],[Meta]])/Tabela1[[#This Row],[Meta]],"")</f>
        <v>-4.2307692307693183E-3</v>
      </c>
      <c r="AA1329" s="31">
        <f>Tabela1[[#This Row],[Média]]-Tabela1[[#This Row],[Meta]]</f>
        <v>-8.8000000000001819</v>
      </c>
      <c r="AB1329" s="6" t="str">
        <f>VLOOKUP(Tabela1[[#This Row],[SKU]],SKU!A:B,2,0)</f>
        <v>COXA SBCX S/O FG 260-280g PB</v>
      </c>
      <c r="AC1329" s="6" t="str">
        <f>VLOOKUP(Tabela1[[#This Row],[SKU]],SKU!A:C,3,0)</f>
        <v>PERNA</v>
      </c>
    </row>
    <row r="1330" spans="1:29" x14ac:dyDescent="0.25">
      <c r="A1330" s="2">
        <f>INT(Tabela1[[#This Row],[Data e Hora2]])</f>
        <v>46297</v>
      </c>
      <c r="B1330" s="6" t="str">
        <f>UPPER(TEXT(Tabela1[[#This Row],[Data Corrigida]],"MMM"))</f>
        <v>OUT</v>
      </c>
      <c r="C1330" t="s">
        <v>2961</v>
      </c>
      <c r="D1330" s="2" t="s">
        <v>2962</v>
      </c>
      <c r="E1330" s="1" t="s">
        <v>2950</v>
      </c>
      <c r="F1330" t="s">
        <v>24</v>
      </c>
      <c r="G1330" s="2" t="s">
        <v>2945</v>
      </c>
      <c r="H1330" t="s">
        <v>26</v>
      </c>
      <c r="I1330" t="s">
        <v>27</v>
      </c>
      <c r="J1330" s="6">
        <v>42641</v>
      </c>
      <c r="K1330" s="16">
        <v>15040</v>
      </c>
      <c r="L1330" s="16">
        <v>15060</v>
      </c>
      <c r="M1330" s="16">
        <v>15055</v>
      </c>
      <c r="N1330" s="16">
        <v>15000</v>
      </c>
      <c r="O1330" s="16">
        <v>15065</v>
      </c>
      <c r="P1330" s="16">
        <v>14930</v>
      </c>
      <c r="Q1330" s="16">
        <v>15140</v>
      </c>
      <c r="R1330" s="16">
        <v>15055</v>
      </c>
      <c r="S1330" s="16">
        <v>15090</v>
      </c>
      <c r="T1330" s="16">
        <v>15085</v>
      </c>
      <c r="U1330" s="15">
        <v>15052</v>
      </c>
      <c r="V1330" t="s">
        <v>19</v>
      </c>
      <c r="W1330" t="s">
        <v>19</v>
      </c>
      <c r="X1330">
        <v>174</v>
      </c>
      <c r="Y1330" s="16">
        <f>VLOOKUP(Tabela1[[#This Row],[SKU]],SKU!A:D,4,0)</f>
        <v>15000</v>
      </c>
      <c r="Z1330" s="18">
        <f>IFERROR((Tabela1[[#This Row],[Média]]-Tabela1[[#This Row],[Meta]])/Tabela1[[#This Row],[Meta]],"")</f>
        <v>3.4666666666666665E-3</v>
      </c>
      <c r="AA1330" s="31">
        <f>Tabela1[[#This Row],[Média]]-Tabela1[[#This Row],[Meta]]</f>
        <v>52</v>
      </c>
      <c r="AB1330" s="6" t="str">
        <f>VLOOKUP(Tabela1[[#This Row],[SKU]],SKU!A:B,2,0)</f>
        <v>ASAS FG 100g UP LP</v>
      </c>
      <c r="AC1330" s="6" t="str">
        <f>VLOOKUP(Tabela1[[#This Row],[SKU]],SKU!A:C,3,0)</f>
        <v>ASA</v>
      </c>
    </row>
    <row r="1331" spans="1:29" x14ac:dyDescent="0.25">
      <c r="A1331" s="2">
        <f>INT(Tabela1[[#This Row],[Data e Hora2]])</f>
        <v>46297</v>
      </c>
      <c r="B1331" s="6" t="str">
        <f>UPPER(TEXT(Tabela1[[#This Row],[Data Corrigida]],"MMM"))</f>
        <v>OUT</v>
      </c>
      <c r="C1331" t="s">
        <v>2963</v>
      </c>
      <c r="D1331" s="2" t="s">
        <v>2964</v>
      </c>
      <c r="E1331" s="1" t="s">
        <v>2950</v>
      </c>
      <c r="F1331" t="s">
        <v>24</v>
      </c>
      <c r="G1331" s="2" t="s">
        <v>2945</v>
      </c>
      <c r="H1331" t="s">
        <v>26</v>
      </c>
      <c r="I1331" t="s">
        <v>27</v>
      </c>
      <c r="J1331" s="6">
        <v>15105</v>
      </c>
      <c r="K1331" s="16">
        <v>1028</v>
      </c>
      <c r="L1331" s="16">
        <v>1034</v>
      </c>
      <c r="M1331" s="16">
        <v>1022</v>
      </c>
      <c r="N1331" s="16">
        <v>1002</v>
      </c>
      <c r="O1331" s="16">
        <v>1025</v>
      </c>
      <c r="P1331" s="16">
        <v>1022</v>
      </c>
      <c r="Q1331" s="16">
        <v>1005</v>
      </c>
      <c r="R1331" s="16">
        <v>1032</v>
      </c>
      <c r="S1331" s="16">
        <v>1038</v>
      </c>
      <c r="T1331" s="16">
        <v>1022</v>
      </c>
      <c r="U1331" s="15">
        <v>1023</v>
      </c>
      <c r="V1331" t="s">
        <v>19</v>
      </c>
      <c r="W1331" t="s">
        <v>28</v>
      </c>
      <c r="X1331">
        <v>16925</v>
      </c>
      <c r="Y1331" s="16">
        <f>VLOOKUP(Tabela1[[#This Row],[SKU]],SKU!A:D,4,0)</f>
        <v>1000</v>
      </c>
      <c r="Z1331" s="18">
        <f>IFERROR((Tabela1[[#This Row],[Média]]-Tabela1[[#This Row],[Meta]])/Tabela1[[#This Row],[Meta]],"")</f>
        <v>2.3E-2</v>
      </c>
      <c r="AA1331" s="31">
        <f>Tabela1[[#This Row],[Média]]-Tabela1[[#This Row],[Meta]]</f>
        <v>23</v>
      </c>
      <c r="AB1331" s="6" t="str">
        <f>VLOOKUP(Tabela1[[#This Row],[SKU]],SKU!A:B,2,0)</f>
        <v>FILE PEITO MET CG BDJ SE</v>
      </c>
      <c r="AC1331" s="6" t="str">
        <f>VLOOKUP(Tabela1[[#This Row],[SKU]],SKU!A:C,3,0)</f>
        <v>PEITO</v>
      </c>
    </row>
    <row r="1332" spans="1:29" x14ac:dyDescent="0.25">
      <c r="A1332" s="2">
        <f>INT(Tabela1[[#This Row],[Data e Hora2]])</f>
        <v>46297</v>
      </c>
      <c r="B1332" s="6" t="str">
        <f>UPPER(TEXT(Tabela1[[#This Row],[Data Corrigida]],"MMM"))</f>
        <v>OUT</v>
      </c>
      <c r="C1332" t="s">
        <v>2965</v>
      </c>
      <c r="D1332" s="2" t="s">
        <v>2966</v>
      </c>
      <c r="E1332" s="1" t="s">
        <v>2950</v>
      </c>
      <c r="F1332" t="s">
        <v>24</v>
      </c>
      <c r="G1332" s="2" t="s">
        <v>2945</v>
      </c>
      <c r="H1332" t="s">
        <v>26</v>
      </c>
      <c r="I1332" t="s">
        <v>27</v>
      </c>
      <c r="J1332" s="6">
        <v>209099</v>
      </c>
      <c r="K1332" s="16">
        <v>1008</v>
      </c>
      <c r="L1332" s="16">
        <v>980</v>
      </c>
      <c r="M1332" s="16">
        <v>1008</v>
      </c>
      <c r="N1332" s="16">
        <v>999</v>
      </c>
      <c r="O1332" s="16">
        <v>1048</v>
      </c>
      <c r="P1332" s="16">
        <v>1008</v>
      </c>
      <c r="Q1332" s="16">
        <v>1023</v>
      </c>
      <c r="R1332" s="16">
        <v>1000</v>
      </c>
      <c r="S1332" s="16">
        <v>1011</v>
      </c>
      <c r="T1332" s="16">
        <v>1028</v>
      </c>
      <c r="U1332" s="15">
        <v>1011.3</v>
      </c>
      <c r="V1332" t="s">
        <v>19</v>
      </c>
      <c r="W1332" t="s">
        <v>28</v>
      </c>
      <c r="X1332">
        <v>19614</v>
      </c>
      <c r="Y1332" s="16">
        <f>VLOOKUP(Tabela1[[#This Row],[SKU]],SKU!A:D,4,0)</f>
        <v>1000</v>
      </c>
      <c r="Z1332" s="18">
        <f>IFERROR((Tabela1[[#This Row],[Média]]-Tabela1[[#This Row],[Meta]])/Tabela1[[#This Row],[Meta]],"")</f>
        <v>1.1299999999999954E-2</v>
      </c>
      <c r="AA1332" s="31">
        <f>Tabela1[[#This Row],[Média]]-Tabela1[[#This Row],[Meta]]</f>
        <v>11.299999999999955</v>
      </c>
      <c r="AB1332" s="6" t="str">
        <f>VLOOKUP(Tabela1[[#This Row],[SKU]],SKU!A:B,2,0)</f>
        <v>FILE DE SOBRECOXA IQF</v>
      </c>
      <c r="AC1332" s="6" t="str">
        <f>VLOOKUP(Tabela1[[#This Row],[SKU]],SKU!A:C,3,0)</f>
        <v>PERNA</v>
      </c>
    </row>
    <row r="1333" spans="1:29" x14ac:dyDescent="0.25">
      <c r="A1333" s="2">
        <f>INT(Tabela1[[#This Row],[Data e Hora2]])</f>
        <v>46297</v>
      </c>
      <c r="B1333" s="6" t="str">
        <f>UPPER(TEXT(Tabela1[[#This Row],[Data Corrigida]],"MMM"))</f>
        <v>OUT</v>
      </c>
      <c r="C1333" t="s">
        <v>2967</v>
      </c>
      <c r="D1333" s="2" t="s">
        <v>2968</v>
      </c>
      <c r="E1333" s="1" t="s">
        <v>2969</v>
      </c>
      <c r="F1333" t="s">
        <v>24</v>
      </c>
      <c r="G1333" s="2" t="s">
        <v>2945</v>
      </c>
      <c r="H1333" t="s">
        <v>26</v>
      </c>
      <c r="I1333" t="s">
        <v>27</v>
      </c>
      <c r="J1333" s="6">
        <v>40762</v>
      </c>
      <c r="K1333" s="16">
        <v>10030</v>
      </c>
      <c r="L1333" s="16">
        <v>10075</v>
      </c>
      <c r="M1333" s="16">
        <v>10055</v>
      </c>
      <c r="N1333" s="16">
        <v>10045</v>
      </c>
      <c r="O1333" s="16">
        <v>10060</v>
      </c>
      <c r="P1333" s="16">
        <v>10020</v>
      </c>
      <c r="Q1333" s="16">
        <v>10040</v>
      </c>
      <c r="R1333" s="16">
        <v>9945</v>
      </c>
      <c r="S1333" s="16">
        <v>10070</v>
      </c>
      <c r="T1333" s="16">
        <v>10055</v>
      </c>
      <c r="U1333" s="15">
        <v>10039.5</v>
      </c>
      <c r="V1333" t="s">
        <v>19</v>
      </c>
      <c r="W1333" t="s">
        <v>28</v>
      </c>
      <c r="X1333">
        <v>31823</v>
      </c>
      <c r="Y1333" s="16">
        <f>VLOOKUP(Tabela1[[#This Row],[SKU]],SKU!A:D,4,0)</f>
        <v>10000</v>
      </c>
      <c r="Z1333" s="18">
        <f>IFERROR((Tabela1[[#This Row],[Média]]-Tabela1[[#This Row],[Meta]])/Tabela1[[#This Row],[Meta]],"")</f>
        <v>3.9500000000000004E-3</v>
      </c>
      <c r="AA1333" s="31">
        <f>Tabela1[[#This Row],[Média]]-Tabela1[[#This Row],[Meta]]</f>
        <v>39.5</v>
      </c>
      <c r="AB1333" s="6" t="str">
        <f>VLOOKUP(Tabela1[[#This Row],[SKU]],SKU!A:B,2,0)</f>
        <v>COXA SBCX LQ FG LP</v>
      </c>
      <c r="AC1333" s="6" t="str">
        <f>VLOOKUP(Tabela1[[#This Row],[SKU]],SKU!A:C,3,0)</f>
        <v>PERNA</v>
      </c>
    </row>
    <row r="1334" spans="1:29" x14ac:dyDescent="0.25">
      <c r="A1334" s="2">
        <f>INT(Tabela1[[#This Row],[Data e Hora2]])</f>
        <v>46297</v>
      </c>
      <c r="B1334" s="6" t="str">
        <f>UPPER(TEXT(Tabela1[[#This Row],[Data Corrigida]],"MMM"))</f>
        <v>OUT</v>
      </c>
      <c r="C1334" t="s">
        <v>2970</v>
      </c>
      <c r="D1334" s="2" t="s">
        <v>2971</v>
      </c>
      <c r="E1334" s="1" t="s">
        <v>2969</v>
      </c>
      <c r="F1334" t="s">
        <v>24</v>
      </c>
      <c r="G1334" s="2" t="s">
        <v>2945</v>
      </c>
      <c r="H1334" t="s">
        <v>26</v>
      </c>
      <c r="I1334" t="s">
        <v>27</v>
      </c>
      <c r="J1334" s="6">
        <v>13188</v>
      </c>
      <c r="K1334" s="16">
        <v>1012</v>
      </c>
      <c r="L1334" s="16">
        <v>1008</v>
      </c>
      <c r="M1334" s="16">
        <v>1012</v>
      </c>
      <c r="N1334" s="16">
        <v>1001</v>
      </c>
      <c r="O1334" s="16">
        <v>1008</v>
      </c>
      <c r="P1334" s="16">
        <v>1012</v>
      </c>
      <c r="Q1334" s="16">
        <v>1004</v>
      </c>
      <c r="R1334" s="16">
        <v>1001</v>
      </c>
      <c r="S1334" s="16">
        <v>1013</v>
      </c>
      <c r="T1334" s="16">
        <v>1000</v>
      </c>
      <c r="U1334" s="15">
        <v>1007.1</v>
      </c>
      <c r="V1334" t="s">
        <v>19</v>
      </c>
      <c r="W1334" t="s">
        <v>19</v>
      </c>
      <c r="X1334">
        <v>32143</v>
      </c>
      <c r="Y1334" s="16">
        <f>VLOOKUP(Tabela1[[#This Row],[SKU]],SKU!A:D,4,0)</f>
        <v>1000</v>
      </c>
      <c r="Z1334" s="18">
        <f>IFERROR((Tabela1[[#This Row],[Média]]-Tabela1[[#This Row],[Meta]])/Tabela1[[#This Row],[Meta]],"")</f>
        <v>7.100000000000023E-3</v>
      </c>
      <c r="AA1334" s="31">
        <f>Tabela1[[#This Row],[Média]]-Tabela1[[#This Row],[Meta]]</f>
        <v>7.1000000000000227</v>
      </c>
      <c r="AB1334" s="6" t="str">
        <f>VLOOKUP(Tabela1[[#This Row],[SKU]],SKU!A:B,2,0)</f>
        <v>SOBRECOXA CG BDJ SE</v>
      </c>
      <c r="AC1334" s="6" t="str">
        <f>VLOOKUP(Tabela1[[#This Row],[SKU]],SKU!A:C,3,0)</f>
        <v>PERNA</v>
      </c>
    </row>
    <row r="1335" spans="1:29" x14ac:dyDescent="0.25">
      <c r="A1335" s="2">
        <f>INT(Tabela1[[#This Row],[Data e Hora2]])</f>
        <v>46297</v>
      </c>
      <c r="B1335" s="6" t="str">
        <f>UPPER(TEXT(Tabela1[[#This Row],[Data Corrigida]],"MMM"))</f>
        <v>OUT</v>
      </c>
      <c r="C1335" t="s">
        <v>2972</v>
      </c>
      <c r="D1335" s="2" t="s">
        <v>2973</v>
      </c>
      <c r="E1335" s="1" t="s">
        <v>2969</v>
      </c>
      <c r="F1335" t="s">
        <v>24</v>
      </c>
      <c r="G1335" s="2" t="s">
        <v>2945</v>
      </c>
      <c r="H1335" t="s">
        <v>26</v>
      </c>
      <c r="I1335" t="s">
        <v>27</v>
      </c>
      <c r="J1335" s="6">
        <v>15229</v>
      </c>
      <c r="K1335" s="16">
        <v>1005</v>
      </c>
      <c r="L1335" s="16">
        <v>1009</v>
      </c>
      <c r="M1335" s="16">
        <v>1016</v>
      </c>
      <c r="N1335" s="16">
        <v>1006</v>
      </c>
      <c r="O1335" s="16">
        <v>1005</v>
      </c>
      <c r="P1335" s="16">
        <v>1009</v>
      </c>
      <c r="Q1335" s="16">
        <v>1015</v>
      </c>
      <c r="R1335" s="16">
        <v>1010</v>
      </c>
      <c r="S1335" s="16">
        <v>1000</v>
      </c>
      <c r="T1335" s="16">
        <v>1007</v>
      </c>
      <c r="U1335" s="15">
        <v>1008.2</v>
      </c>
      <c r="V1335" t="s">
        <v>19</v>
      </c>
      <c r="W1335" t="s">
        <v>28</v>
      </c>
      <c r="X1335">
        <v>32326</v>
      </c>
      <c r="Y1335" s="16">
        <f>VLOOKUP(Tabela1[[#This Row],[SKU]],SKU!A:D,4,0)</f>
        <v>1000</v>
      </c>
      <c r="Z1335" s="18">
        <f>IFERROR((Tabela1[[#This Row],[Média]]-Tabela1[[#This Row],[Meta]])/Tabela1[[#This Row],[Meta]],"")</f>
        <v>8.2000000000000458E-3</v>
      </c>
      <c r="AA1335" s="31">
        <f>Tabela1[[#This Row],[Média]]-Tabela1[[#This Row],[Meta]]</f>
        <v>8.2000000000000455</v>
      </c>
      <c r="AB1335" s="6" t="str">
        <f>VLOOKUP(Tabela1[[#This Row],[SKU]],SKU!A:B,2,0)</f>
        <v>COXA CG BDJ SE</v>
      </c>
      <c r="AC1335" s="6" t="str">
        <f>VLOOKUP(Tabela1[[#This Row],[SKU]],SKU!A:C,3,0)</f>
        <v>PERNA</v>
      </c>
    </row>
    <row r="1336" spans="1:29" x14ac:dyDescent="0.25">
      <c r="A1336" s="2">
        <f>INT(Tabela1[[#This Row],[Data e Hora2]])</f>
        <v>46297</v>
      </c>
      <c r="B1336" s="6" t="str">
        <f>UPPER(TEXT(Tabela1[[#This Row],[Data Corrigida]],"MMM"))</f>
        <v>OUT</v>
      </c>
      <c r="C1336" t="s">
        <v>2974</v>
      </c>
      <c r="D1336" s="2" t="s">
        <v>2975</v>
      </c>
      <c r="E1336" s="1" t="s">
        <v>2969</v>
      </c>
      <c r="F1336" t="s">
        <v>24</v>
      </c>
      <c r="G1336" s="2" t="s">
        <v>2945</v>
      </c>
      <c r="H1336" t="s">
        <v>26</v>
      </c>
      <c r="I1336" t="s">
        <v>27</v>
      </c>
      <c r="J1336" s="6">
        <v>995638</v>
      </c>
      <c r="K1336" s="16">
        <v>15035</v>
      </c>
      <c r="L1336" s="16">
        <v>15130</v>
      </c>
      <c r="M1336" s="16">
        <v>15065</v>
      </c>
      <c r="N1336" s="16">
        <v>15005</v>
      </c>
      <c r="O1336" s="16">
        <v>15035</v>
      </c>
      <c r="P1336" s="16">
        <v>15015</v>
      </c>
      <c r="Q1336" s="16">
        <v>15025</v>
      </c>
      <c r="R1336" s="16">
        <v>15040</v>
      </c>
      <c r="S1336" s="16">
        <v>15005</v>
      </c>
      <c r="T1336" s="16">
        <v>15050</v>
      </c>
      <c r="U1336" s="15">
        <v>15040.5</v>
      </c>
      <c r="V1336" t="s">
        <v>19</v>
      </c>
      <c r="W1336" t="s">
        <v>28</v>
      </c>
      <c r="X1336">
        <v>33221</v>
      </c>
      <c r="Y1336" s="16">
        <f>VLOOKUP(Tabela1[[#This Row],[SKU]],SKU!A:D,4,0)</f>
        <v>15000</v>
      </c>
      <c r="Z1336" s="18">
        <f>IFERROR((Tabela1[[#This Row],[Média]]-Tabela1[[#This Row],[Meta]])/Tabela1[[#This Row],[Meta]],"")</f>
        <v>2.7000000000000001E-3</v>
      </c>
      <c r="AA1336" s="31">
        <f>Tabela1[[#This Row],[Média]]-Tabela1[[#This Row],[Meta]]</f>
        <v>40.5</v>
      </c>
      <c r="AB1336" s="6" t="str">
        <f>VLOOKUP(Tabela1[[#This Row],[SKU]],SKU!A:B,2,0)</f>
        <v>MEIO DA ASA 40-50G LP</v>
      </c>
      <c r="AC1336" s="6" t="str">
        <f>VLOOKUP(Tabela1[[#This Row],[SKU]],SKU!A:C,3,0)</f>
        <v>ASA</v>
      </c>
    </row>
    <row r="1337" spans="1:29" x14ac:dyDescent="0.25">
      <c r="A1337" s="2">
        <f>INT(Tabela1[[#This Row],[Data e Hora2]])</f>
        <v>46297</v>
      </c>
      <c r="B1337" s="6" t="str">
        <f>UPPER(TEXT(Tabela1[[#This Row],[Data Corrigida]],"MMM"))</f>
        <v>OUT</v>
      </c>
      <c r="C1337" t="s">
        <v>2976</v>
      </c>
      <c r="D1337" s="2" t="s">
        <v>2977</v>
      </c>
      <c r="E1337" s="1" t="s">
        <v>2969</v>
      </c>
      <c r="F1337" t="s">
        <v>24</v>
      </c>
      <c r="G1337" s="2" t="s">
        <v>2945</v>
      </c>
      <c r="H1337" t="s">
        <v>26</v>
      </c>
      <c r="I1337" t="s">
        <v>27</v>
      </c>
      <c r="J1337" s="6">
        <v>15105</v>
      </c>
      <c r="K1337" s="16">
        <v>1019</v>
      </c>
      <c r="L1337" s="16">
        <v>1013</v>
      </c>
      <c r="M1337" s="16">
        <v>1006</v>
      </c>
      <c r="N1337" s="16">
        <v>1015</v>
      </c>
      <c r="O1337" s="16">
        <v>1002</v>
      </c>
      <c r="P1337" s="16">
        <v>1004</v>
      </c>
      <c r="Q1337" s="16">
        <v>997</v>
      </c>
      <c r="R1337" s="16">
        <v>996</v>
      </c>
      <c r="S1337" s="16">
        <v>994</v>
      </c>
      <c r="T1337" s="16">
        <v>1032</v>
      </c>
      <c r="U1337" s="15">
        <v>1007.8</v>
      </c>
      <c r="V1337" t="s">
        <v>19</v>
      </c>
      <c r="W1337" t="s">
        <v>28</v>
      </c>
      <c r="X1337">
        <v>33463</v>
      </c>
      <c r="Y1337" s="16">
        <f>VLOOKUP(Tabela1[[#This Row],[SKU]],SKU!A:D,4,0)</f>
        <v>1000</v>
      </c>
      <c r="Z1337" s="18">
        <f>IFERROR((Tabela1[[#This Row],[Média]]-Tabela1[[#This Row],[Meta]])/Tabela1[[#This Row],[Meta]],"")</f>
        <v>7.7999999999999545E-3</v>
      </c>
      <c r="AA1337" s="31">
        <f>Tabela1[[#This Row],[Média]]-Tabela1[[#This Row],[Meta]]</f>
        <v>7.7999999999999545</v>
      </c>
      <c r="AB1337" s="6" t="str">
        <f>VLOOKUP(Tabela1[[#This Row],[SKU]],SKU!A:B,2,0)</f>
        <v>FILE PEITO MET CG BDJ SE</v>
      </c>
      <c r="AC1337" s="6" t="str">
        <f>VLOOKUP(Tabela1[[#This Row],[SKU]],SKU!A:C,3,0)</f>
        <v>PEITO</v>
      </c>
    </row>
    <row r="1338" spans="1:29" x14ac:dyDescent="0.25">
      <c r="A1338" s="2">
        <f>INT(Tabela1[[#This Row],[Data e Hora2]])</f>
        <v>46297</v>
      </c>
      <c r="B1338" s="6" t="str">
        <f>UPPER(TEXT(Tabela1[[#This Row],[Data Corrigida]],"MMM"))</f>
        <v>OUT</v>
      </c>
      <c r="C1338" t="s">
        <v>2978</v>
      </c>
      <c r="D1338" s="2" t="s">
        <v>2979</v>
      </c>
      <c r="E1338" s="1" t="s">
        <v>2980</v>
      </c>
      <c r="F1338" t="s">
        <v>24</v>
      </c>
      <c r="G1338" s="2" t="s">
        <v>2945</v>
      </c>
      <c r="H1338" t="s">
        <v>26</v>
      </c>
      <c r="I1338" t="s">
        <v>57</v>
      </c>
      <c r="J1338" s="6">
        <v>864048</v>
      </c>
      <c r="K1338" s="16">
        <v>2059</v>
      </c>
      <c r="L1338" s="16">
        <v>2029</v>
      </c>
      <c r="M1338" s="16">
        <v>2075</v>
      </c>
      <c r="N1338" s="16">
        <v>2073</v>
      </c>
      <c r="O1338" s="16">
        <v>2028</v>
      </c>
      <c r="P1338" s="16">
        <v>2010</v>
      </c>
      <c r="Q1338" s="16">
        <v>2028</v>
      </c>
      <c r="R1338" s="16">
        <v>2006</v>
      </c>
      <c r="S1338" s="16">
        <v>2006</v>
      </c>
      <c r="T1338" s="16">
        <v>2058</v>
      </c>
      <c r="U1338" s="15">
        <v>2037.2</v>
      </c>
      <c r="V1338" t="s">
        <v>19</v>
      </c>
      <c r="W1338" t="s">
        <v>28</v>
      </c>
      <c r="X1338">
        <v>403</v>
      </c>
      <c r="Y1338" s="16">
        <f>VLOOKUP(Tabela1[[#This Row],[SKU]],SKU!A:D,4,0)</f>
        <v>2000</v>
      </c>
      <c r="Z1338" s="18">
        <f>IFERROR((Tabela1[[#This Row],[Média]]-Tabela1[[#This Row],[Meta]])/Tabela1[[#This Row],[Meta]],"")</f>
        <v>1.8600000000000023E-2</v>
      </c>
      <c r="AA1338" s="31">
        <f>Tabela1[[#This Row],[Média]]-Tabela1[[#This Row],[Meta]]</f>
        <v>37.200000000000045</v>
      </c>
      <c r="AB1338" s="6" t="str">
        <f>VLOOKUP(Tabela1[[#This Row],[SKU]],SKU!A:B,2,0)</f>
        <v>COXA SBCX S/O 200g FG UP PB</v>
      </c>
      <c r="AC1338" s="6" t="str">
        <f>VLOOKUP(Tabela1[[#This Row],[SKU]],SKU!A:C,3,0)</f>
        <v>PERNA</v>
      </c>
    </row>
    <row r="1339" spans="1:29" x14ac:dyDescent="0.25">
      <c r="A1339" s="2">
        <f>INT(Tabela1[[#This Row],[Data e Hora2]])</f>
        <v>46297</v>
      </c>
      <c r="B1339" s="6" t="str">
        <f>UPPER(TEXT(Tabela1[[#This Row],[Data Corrigida]],"MMM"))</f>
        <v>OUT</v>
      </c>
      <c r="C1339" t="s">
        <v>2981</v>
      </c>
      <c r="D1339" s="2" t="s">
        <v>2982</v>
      </c>
      <c r="E1339" s="1" t="s">
        <v>2980</v>
      </c>
      <c r="F1339" t="s">
        <v>24</v>
      </c>
      <c r="G1339" s="2" t="s">
        <v>2945</v>
      </c>
      <c r="H1339" t="s">
        <v>26</v>
      </c>
      <c r="I1339" t="s">
        <v>57</v>
      </c>
      <c r="J1339" s="6">
        <v>42820</v>
      </c>
      <c r="K1339" s="16">
        <v>2053</v>
      </c>
      <c r="L1339" s="16">
        <v>2013</v>
      </c>
      <c r="M1339" s="16">
        <v>2068</v>
      </c>
      <c r="N1339" s="16">
        <v>2006</v>
      </c>
      <c r="O1339" s="16">
        <v>2047</v>
      </c>
      <c r="P1339" s="16">
        <v>2043</v>
      </c>
      <c r="Q1339" s="16">
        <v>2049</v>
      </c>
      <c r="R1339" s="16">
        <v>2067</v>
      </c>
      <c r="S1339" s="16">
        <v>2012</v>
      </c>
      <c r="T1339" s="16">
        <v>2032</v>
      </c>
      <c r="U1339" s="15">
        <v>2039</v>
      </c>
      <c r="V1339" t="s">
        <v>19</v>
      </c>
      <c r="W1339" t="s">
        <v>28</v>
      </c>
      <c r="X1339">
        <v>485</v>
      </c>
      <c r="Y1339" s="16">
        <f>VLOOKUP(Tabela1[[#This Row],[SKU]],SKU!A:D,4,0)</f>
        <v>2000</v>
      </c>
      <c r="Z1339" s="18">
        <f>IFERROR((Tabela1[[#This Row],[Média]]-Tabela1[[#This Row],[Meta]])/Tabela1[[#This Row],[Meta]],"")</f>
        <v>1.95E-2</v>
      </c>
      <c r="AA1339" s="31">
        <f>Tabela1[[#This Row],[Média]]-Tabela1[[#This Row],[Meta]]</f>
        <v>39</v>
      </c>
      <c r="AB1339" s="6" t="str">
        <f>VLOOKUP(Tabela1[[#This Row],[SKU]],SKU!A:B,2,0)</f>
        <v>COXA SBCX S/O FG 200-220g PB</v>
      </c>
      <c r="AC1339" s="6" t="str">
        <f>VLOOKUP(Tabela1[[#This Row],[SKU]],SKU!A:C,3,0)</f>
        <v>PERNA</v>
      </c>
    </row>
    <row r="1340" spans="1:29" x14ac:dyDescent="0.25">
      <c r="A1340" s="2">
        <f>INT(Tabela1[[#This Row],[Data e Hora2]])</f>
        <v>46297</v>
      </c>
      <c r="B1340" s="6" t="str">
        <f>UPPER(TEXT(Tabela1[[#This Row],[Data Corrigida]],"MMM"))</f>
        <v>OUT</v>
      </c>
      <c r="C1340" t="s">
        <v>2983</v>
      </c>
      <c r="D1340" s="2" t="s">
        <v>2984</v>
      </c>
      <c r="E1340" s="1" t="s">
        <v>2985</v>
      </c>
      <c r="F1340" t="s">
        <v>24</v>
      </c>
      <c r="G1340" s="2" t="s">
        <v>2945</v>
      </c>
      <c r="H1340" t="s">
        <v>26</v>
      </c>
      <c r="I1340" t="s">
        <v>57</v>
      </c>
      <c r="J1340" s="6">
        <v>40762</v>
      </c>
      <c r="K1340" s="16">
        <v>9945</v>
      </c>
      <c r="L1340" s="16">
        <v>9950</v>
      </c>
      <c r="M1340" s="16">
        <v>9995</v>
      </c>
      <c r="N1340" s="16">
        <v>10000</v>
      </c>
      <c r="O1340" s="16">
        <v>10020</v>
      </c>
      <c r="P1340" s="16">
        <v>10010</v>
      </c>
      <c r="Q1340" s="16">
        <v>10035</v>
      </c>
      <c r="R1340" s="16">
        <v>10030</v>
      </c>
      <c r="S1340" s="16">
        <v>10020</v>
      </c>
      <c r="T1340" s="16">
        <v>10080</v>
      </c>
      <c r="U1340" s="15">
        <v>10008.5</v>
      </c>
      <c r="V1340" t="s">
        <v>19</v>
      </c>
      <c r="W1340" t="s">
        <v>28</v>
      </c>
      <c r="X1340">
        <v>742</v>
      </c>
      <c r="Y1340" s="16">
        <f>VLOOKUP(Tabela1[[#This Row],[SKU]],SKU!A:D,4,0)</f>
        <v>10000</v>
      </c>
      <c r="Z1340" s="18">
        <f>IFERROR((Tabela1[[#This Row],[Média]]-Tabela1[[#This Row],[Meta]])/Tabela1[[#This Row],[Meta]],"")</f>
        <v>8.4999999999999995E-4</v>
      </c>
      <c r="AA1340" s="31">
        <f>Tabela1[[#This Row],[Média]]-Tabela1[[#This Row],[Meta]]</f>
        <v>8.5</v>
      </c>
      <c r="AB1340" s="6" t="str">
        <f>VLOOKUP(Tabela1[[#This Row],[SKU]],SKU!A:B,2,0)</f>
        <v>COXA SBCX LQ FG LP</v>
      </c>
      <c r="AC1340" s="6" t="str">
        <f>VLOOKUP(Tabela1[[#This Row],[SKU]],SKU!A:C,3,0)</f>
        <v>PERNA</v>
      </c>
    </row>
    <row r="1341" spans="1:29" x14ac:dyDescent="0.25">
      <c r="A1341" s="2">
        <f>INT(Tabela1[[#This Row],[Data e Hora2]])</f>
        <v>46297</v>
      </c>
      <c r="B1341" s="6" t="str">
        <f>UPPER(TEXT(Tabela1[[#This Row],[Data Corrigida]],"MMM"))</f>
        <v>OUT</v>
      </c>
      <c r="C1341" t="s">
        <v>2986</v>
      </c>
      <c r="D1341" s="2" t="s">
        <v>2987</v>
      </c>
      <c r="E1341" s="1" t="s">
        <v>2988</v>
      </c>
      <c r="F1341" t="s">
        <v>24</v>
      </c>
      <c r="G1341" s="2" t="s">
        <v>2945</v>
      </c>
      <c r="H1341" t="s">
        <v>26</v>
      </c>
      <c r="I1341" t="s">
        <v>57</v>
      </c>
      <c r="J1341" s="6">
        <v>42862</v>
      </c>
      <c r="K1341" s="16">
        <v>2073</v>
      </c>
      <c r="L1341" s="16">
        <v>2016</v>
      </c>
      <c r="M1341" s="16">
        <v>2023</v>
      </c>
      <c r="N1341" s="16">
        <v>1998</v>
      </c>
      <c r="O1341" s="16">
        <v>1985</v>
      </c>
      <c r="P1341" s="16">
        <v>2016</v>
      </c>
      <c r="Q1341" s="16">
        <v>2020</v>
      </c>
      <c r="R1341" s="16">
        <v>2008</v>
      </c>
      <c r="S1341" s="16">
        <v>2023</v>
      </c>
      <c r="T1341" s="16">
        <v>2009</v>
      </c>
      <c r="U1341" s="15">
        <v>2017.1</v>
      </c>
      <c r="V1341" t="s">
        <v>19</v>
      </c>
      <c r="W1341" t="s">
        <v>28</v>
      </c>
      <c r="X1341">
        <v>2315</v>
      </c>
      <c r="Y1341" s="16">
        <f>VLOOKUP(Tabela1[[#This Row],[SKU]],SKU!A:D,4,0)</f>
        <v>2000</v>
      </c>
      <c r="Z1341" s="18">
        <f>IFERROR((Tabela1[[#This Row],[Média]]-Tabela1[[#This Row],[Meta]])/Tabela1[[#This Row],[Meta]],"")</f>
        <v>8.5499999999999552E-3</v>
      </c>
      <c r="AA1341" s="31">
        <f>Tabela1[[#This Row],[Média]]-Tabela1[[#This Row],[Meta]]</f>
        <v>17.099999999999909</v>
      </c>
      <c r="AB1341" s="6" t="str">
        <f>VLOOKUP(Tabela1[[#This Row],[SKU]],SKU!A:B,2,0)</f>
        <v>COXA SBCX S/O FG 280-300g PB</v>
      </c>
      <c r="AC1341" s="6" t="str">
        <f>VLOOKUP(Tabela1[[#This Row],[SKU]],SKU!A:C,3,0)</f>
        <v>PERNA</v>
      </c>
    </row>
    <row r="1342" spans="1:29" x14ac:dyDescent="0.25">
      <c r="A1342" s="2">
        <f>INT(Tabela1[[#This Row],[Data e Hora2]])</f>
        <v>46297</v>
      </c>
      <c r="B1342" s="6" t="str">
        <f>UPPER(TEXT(Tabela1[[#This Row],[Data Corrigida]],"MMM"))</f>
        <v>OUT</v>
      </c>
      <c r="C1342" t="s">
        <v>2989</v>
      </c>
      <c r="D1342" s="2" t="s">
        <v>2990</v>
      </c>
      <c r="E1342" s="1" t="s">
        <v>2991</v>
      </c>
      <c r="F1342" t="s">
        <v>24</v>
      </c>
      <c r="G1342" s="2" t="s">
        <v>2945</v>
      </c>
      <c r="H1342" t="s">
        <v>26</v>
      </c>
      <c r="I1342" t="s">
        <v>57</v>
      </c>
      <c r="J1342" s="6">
        <v>15229</v>
      </c>
      <c r="K1342" s="16">
        <v>1008</v>
      </c>
      <c r="L1342" s="16">
        <v>1012</v>
      </c>
      <c r="M1342" s="16">
        <v>1001</v>
      </c>
      <c r="N1342" s="16">
        <v>1004</v>
      </c>
      <c r="O1342" s="16">
        <v>1007</v>
      </c>
      <c r="P1342" s="16">
        <v>1006</v>
      </c>
      <c r="Q1342" s="16">
        <v>1000</v>
      </c>
      <c r="R1342" s="16">
        <v>1012</v>
      </c>
      <c r="S1342" s="16">
        <v>1014</v>
      </c>
      <c r="T1342" s="16">
        <v>1010</v>
      </c>
      <c r="U1342" s="15">
        <v>1007.4</v>
      </c>
      <c r="V1342" t="s">
        <v>19</v>
      </c>
      <c r="W1342" t="s">
        <v>19</v>
      </c>
      <c r="X1342">
        <v>162</v>
      </c>
      <c r="Y1342" s="16">
        <f>VLOOKUP(Tabela1[[#This Row],[SKU]],SKU!A:D,4,0)</f>
        <v>1000</v>
      </c>
      <c r="Z1342" s="18">
        <f>IFERROR((Tabela1[[#This Row],[Média]]-Tabela1[[#This Row],[Meta]])/Tabela1[[#This Row],[Meta]],"")</f>
        <v>7.3999999999999769E-3</v>
      </c>
      <c r="AA1342" s="31">
        <f>Tabela1[[#This Row],[Média]]-Tabela1[[#This Row],[Meta]]</f>
        <v>7.3999999999999773</v>
      </c>
      <c r="AB1342" s="6" t="str">
        <f>VLOOKUP(Tabela1[[#This Row],[SKU]],SKU!A:B,2,0)</f>
        <v>COXA CG BDJ SE</v>
      </c>
      <c r="AC1342" s="6" t="str">
        <f>VLOOKUP(Tabela1[[#This Row],[SKU]],SKU!A:C,3,0)</f>
        <v>PERNA</v>
      </c>
    </row>
    <row r="1343" spans="1:29" x14ac:dyDescent="0.25">
      <c r="A1343" s="2">
        <f>INT(Tabela1[[#This Row],[Data e Hora2]])</f>
        <v>46297</v>
      </c>
      <c r="B1343" s="6" t="str">
        <f>UPPER(TEXT(Tabela1[[#This Row],[Data Corrigida]],"MMM"))</f>
        <v>OUT</v>
      </c>
      <c r="C1343" t="s">
        <v>2992</v>
      </c>
      <c r="D1343" s="2" t="s">
        <v>2993</v>
      </c>
      <c r="E1343" s="1" t="s">
        <v>2991</v>
      </c>
      <c r="F1343" t="s">
        <v>24</v>
      </c>
      <c r="G1343" s="2" t="s">
        <v>2945</v>
      </c>
      <c r="H1343" t="s">
        <v>26</v>
      </c>
      <c r="I1343" t="s">
        <v>57</v>
      </c>
      <c r="J1343" s="6">
        <v>13188</v>
      </c>
      <c r="K1343" s="16">
        <v>990</v>
      </c>
      <c r="L1343" s="16">
        <v>984</v>
      </c>
      <c r="M1343" s="16">
        <v>996</v>
      </c>
      <c r="N1343" s="16">
        <v>1005</v>
      </c>
      <c r="O1343" s="16">
        <v>995</v>
      </c>
      <c r="P1343" s="16">
        <v>994</v>
      </c>
      <c r="Q1343" s="16">
        <v>988</v>
      </c>
      <c r="R1343" s="16">
        <v>999</v>
      </c>
      <c r="S1343" s="16">
        <v>995</v>
      </c>
      <c r="T1343" s="16">
        <v>995</v>
      </c>
      <c r="U1343" s="15">
        <v>994.1</v>
      </c>
      <c r="V1343" t="s">
        <v>19</v>
      </c>
      <c r="W1343" t="s">
        <v>19</v>
      </c>
      <c r="X1343">
        <v>137</v>
      </c>
      <c r="Y1343" s="16">
        <f>VLOOKUP(Tabela1[[#This Row],[SKU]],SKU!A:D,4,0)</f>
        <v>1000</v>
      </c>
      <c r="Z1343" s="18">
        <f>IFERROR((Tabela1[[#This Row],[Média]]-Tabela1[[#This Row],[Meta]])/Tabela1[[#This Row],[Meta]],"")</f>
        <v>-5.8999999999999773E-3</v>
      </c>
      <c r="AA1343" s="31">
        <f>Tabela1[[#This Row],[Média]]-Tabela1[[#This Row],[Meta]]</f>
        <v>-5.8999999999999773</v>
      </c>
      <c r="AB1343" s="6" t="str">
        <f>VLOOKUP(Tabela1[[#This Row],[SKU]],SKU!A:B,2,0)</f>
        <v>SOBRECOXA CG BDJ SE</v>
      </c>
      <c r="AC1343" s="6" t="str">
        <f>VLOOKUP(Tabela1[[#This Row],[SKU]],SKU!A:C,3,0)</f>
        <v>PERNA</v>
      </c>
    </row>
    <row r="1344" spans="1:29" x14ac:dyDescent="0.25">
      <c r="A1344" s="2">
        <f>INT(Tabela1[[#This Row],[Data e Hora2]])</f>
        <v>46297</v>
      </c>
      <c r="B1344" s="6" t="str">
        <f>UPPER(TEXT(Tabela1[[#This Row],[Data Corrigida]],"MMM"))</f>
        <v>OUT</v>
      </c>
      <c r="C1344" t="s">
        <v>2994</v>
      </c>
      <c r="D1344" s="2" t="s">
        <v>2995</v>
      </c>
      <c r="E1344" s="1" t="s">
        <v>2991</v>
      </c>
      <c r="F1344" t="s">
        <v>24</v>
      </c>
      <c r="G1344" s="2" t="s">
        <v>2945</v>
      </c>
      <c r="H1344" t="s">
        <v>26</v>
      </c>
      <c r="I1344" t="s">
        <v>57</v>
      </c>
      <c r="J1344" s="6">
        <v>42838</v>
      </c>
      <c r="K1344" s="16">
        <v>2021</v>
      </c>
      <c r="L1344" s="16">
        <v>2045</v>
      </c>
      <c r="M1344" s="16">
        <v>2021</v>
      </c>
      <c r="N1344" s="16">
        <v>2016</v>
      </c>
      <c r="O1344" s="16">
        <v>2019</v>
      </c>
      <c r="P1344" s="16">
        <v>2007</v>
      </c>
      <c r="Q1344" s="16">
        <v>2039</v>
      </c>
      <c r="R1344" s="16">
        <v>2017</v>
      </c>
      <c r="S1344" s="16">
        <v>2028</v>
      </c>
      <c r="T1344" s="16">
        <v>2011</v>
      </c>
      <c r="U1344" s="15">
        <v>2022.4</v>
      </c>
      <c r="V1344" t="s">
        <v>19</v>
      </c>
      <c r="W1344" t="s">
        <v>19</v>
      </c>
      <c r="X1344">
        <v>149</v>
      </c>
      <c r="Y1344" s="16">
        <f>VLOOKUP(Tabela1[[#This Row],[SKU]],SKU!A:D,4,0)</f>
        <v>2000</v>
      </c>
      <c r="Z1344" s="18">
        <f>IFERROR((Tabela1[[#This Row],[Média]]-Tabela1[[#This Row],[Meta]])/Tabela1[[#This Row],[Meta]],"")</f>
        <v>1.1200000000000045E-2</v>
      </c>
      <c r="AA1344" s="31">
        <f>Tabela1[[#This Row],[Média]]-Tabela1[[#This Row],[Meta]]</f>
        <v>22.400000000000091</v>
      </c>
      <c r="AB1344" s="6" t="str">
        <f>VLOOKUP(Tabela1[[#This Row],[SKU]],SKU!A:B,2,0)</f>
        <v>COXA SBCX S/O FG 220-240g PB</v>
      </c>
      <c r="AC1344" s="6" t="str">
        <f>VLOOKUP(Tabela1[[#This Row],[SKU]],SKU!A:C,3,0)</f>
        <v>PERNA</v>
      </c>
    </row>
    <row r="1345" spans="1:29" x14ac:dyDescent="0.25">
      <c r="A1345" s="2">
        <f>INT(Tabela1[[#This Row],[Data e Hora2]])</f>
        <v>46297</v>
      </c>
      <c r="B1345" s="6" t="str">
        <f>UPPER(TEXT(Tabela1[[#This Row],[Data Corrigida]],"MMM"))</f>
        <v>OUT</v>
      </c>
      <c r="C1345" t="s">
        <v>2996</v>
      </c>
      <c r="D1345" s="2" t="s">
        <v>2997</v>
      </c>
      <c r="E1345" s="1" t="s">
        <v>2991</v>
      </c>
      <c r="F1345" t="s">
        <v>24</v>
      </c>
      <c r="G1345" s="2" t="s">
        <v>2945</v>
      </c>
      <c r="H1345" t="s">
        <v>26</v>
      </c>
      <c r="I1345" t="s">
        <v>57</v>
      </c>
      <c r="J1345" s="6">
        <v>42846</v>
      </c>
      <c r="K1345" s="16">
        <v>1998</v>
      </c>
      <c r="L1345" s="16">
        <v>2002</v>
      </c>
      <c r="M1345" s="16">
        <v>2006</v>
      </c>
      <c r="N1345" s="16">
        <v>2018</v>
      </c>
      <c r="O1345" s="16">
        <v>2020</v>
      </c>
      <c r="P1345" s="16">
        <v>2009</v>
      </c>
      <c r="Q1345" s="16">
        <v>1999</v>
      </c>
      <c r="R1345" s="16">
        <v>2007</v>
      </c>
      <c r="S1345" s="16">
        <v>2001</v>
      </c>
      <c r="T1345" s="16">
        <v>1998</v>
      </c>
      <c r="U1345" s="15">
        <v>2005.8</v>
      </c>
      <c r="V1345" t="s">
        <v>19</v>
      </c>
      <c r="W1345" t="s">
        <v>19</v>
      </c>
      <c r="X1345">
        <v>163</v>
      </c>
      <c r="Y1345" s="16">
        <f>VLOOKUP(Tabela1[[#This Row],[SKU]],SKU!A:D,4,0)</f>
        <v>2000</v>
      </c>
      <c r="Z1345" s="18">
        <f>IFERROR((Tabela1[[#This Row],[Média]]-Tabela1[[#This Row],[Meta]])/Tabela1[[#This Row],[Meta]],"")</f>
        <v>2.8999999999999772E-3</v>
      </c>
      <c r="AA1345" s="31">
        <f>Tabela1[[#This Row],[Média]]-Tabela1[[#This Row],[Meta]]</f>
        <v>5.7999999999999545</v>
      </c>
      <c r="AB1345" s="6" t="str">
        <f>VLOOKUP(Tabela1[[#This Row],[SKU]],SKU!A:B,2,0)</f>
        <v>COXA SBCX S/O FG 240-260g PB</v>
      </c>
      <c r="AC1345" s="6" t="str">
        <f>VLOOKUP(Tabela1[[#This Row],[SKU]],SKU!A:C,3,0)</f>
        <v>PERNA</v>
      </c>
    </row>
    <row r="1346" spans="1:29" x14ac:dyDescent="0.25">
      <c r="A1346" s="2">
        <f>INT(Tabela1[[#This Row],[Data e Hora2]])</f>
        <v>46297</v>
      </c>
      <c r="B1346" s="6" t="str">
        <f>UPPER(TEXT(Tabela1[[#This Row],[Data Corrigida]],"MMM"))</f>
        <v>OUT</v>
      </c>
      <c r="C1346" t="s">
        <v>2998</v>
      </c>
      <c r="D1346" s="2" t="s">
        <v>2999</v>
      </c>
      <c r="E1346" s="1" t="s">
        <v>2991</v>
      </c>
      <c r="F1346" t="s">
        <v>24</v>
      </c>
      <c r="G1346" s="2" t="s">
        <v>2945</v>
      </c>
      <c r="H1346" t="s">
        <v>26</v>
      </c>
      <c r="I1346" t="s">
        <v>57</v>
      </c>
      <c r="J1346" s="6">
        <v>42854</v>
      </c>
      <c r="K1346" s="16">
        <v>2115</v>
      </c>
      <c r="L1346" s="16">
        <v>2074</v>
      </c>
      <c r="M1346" s="16">
        <v>2093</v>
      </c>
      <c r="N1346" s="16">
        <v>2106</v>
      </c>
      <c r="O1346" s="16">
        <v>2099</v>
      </c>
      <c r="P1346" s="16">
        <v>2080</v>
      </c>
      <c r="Q1346" s="16">
        <v>2083</v>
      </c>
      <c r="R1346" s="16">
        <v>2086</v>
      </c>
      <c r="S1346" s="16">
        <v>2098</v>
      </c>
      <c r="T1346" s="16">
        <v>2123</v>
      </c>
      <c r="U1346" s="15">
        <v>2095.6999999999998</v>
      </c>
      <c r="V1346" t="s">
        <v>19</v>
      </c>
      <c r="W1346" t="s">
        <v>19</v>
      </c>
      <c r="X1346">
        <v>101</v>
      </c>
      <c r="Y1346" s="16">
        <f>VLOOKUP(Tabela1[[#This Row],[SKU]],SKU!A:D,4,0)</f>
        <v>2080</v>
      </c>
      <c r="Z1346" s="18">
        <f>IFERROR((Tabela1[[#This Row],[Média]]-Tabela1[[#This Row],[Meta]])/Tabela1[[#This Row],[Meta]],"")</f>
        <v>7.5480769230768354E-3</v>
      </c>
      <c r="AA1346" s="31">
        <f>Tabela1[[#This Row],[Média]]-Tabela1[[#This Row],[Meta]]</f>
        <v>15.699999999999818</v>
      </c>
      <c r="AB1346" s="6" t="str">
        <f>VLOOKUP(Tabela1[[#This Row],[SKU]],SKU!A:B,2,0)</f>
        <v>COXA SBCX S/O FG 260-280g PB</v>
      </c>
      <c r="AC1346" s="6" t="str">
        <f>VLOOKUP(Tabela1[[#This Row],[SKU]],SKU!A:C,3,0)</f>
        <v>PERNA</v>
      </c>
    </row>
    <row r="1347" spans="1:29" x14ac:dyDescent="0.25">
      <c r="A1347" s="2">
        <f>INT(Tabela1[[#This Row],[Data e Hora2]])</f>
        <v>46297</v>
      </c>
      <c r="B1347" s="6" t="str">
        <f>UPPER(TEXT(Tabela1[[#This Row],[Data Corrigida]],"MMM"))</f>
        <v>OUT</v>
      </c>
      <c r="C1347" t="s">
        <v>3000</v>
      </c>
      <c r="D1347" s="2" t="s">
        <v>3001</v>
      </c>
      <c r="E1347" s="1" t="s">
        <v>2991</v>
      </c>
      <c r="F1347" t="s">
        <v>24</v>
      </c>
      <c r="G1347" s="2" t="s">
        <v>2945</v>
      </c>
      <c r="H1347" t="s">
        <v>26</v>
      </c>
      <c r="I1347" t="s">
        <v>57</v>
      </c>
      <c r="J1347" s="6">
        <v>15105</v>
      </c>
      <c r="K1347" s="16">
        <v>1009</v>
      </c>
      <c r="L1347" s="16">
        <v>1002</v>
      </c>
      <c r="M1347" s="16">
        <v>980</v>
      </c>
      <c r="N1347" s="16">
        <v>995</v>
      </c>
      <c r="O1347" s="16">
        <v>1027</v>
      </c>
      <c r="P1347" s="16">
        <v>1027</v>
      </c>
      <c r="Q1347" s="16">
        <v>1013</v>
      </c>
      <c r="R1347" s="16">
        <v>976</v>
      </c>
      <c r="S1347" s="16">
        <v>1032</v>
      </c>
      <c r="T1347" s="16">
        <v>987</v>
      </c>
      <c r="U1347" s="15">
        <v>1004.8</v>
      </c>
      <c r="V1347" t="s">
        <v>19</v>
      </c>
      <c r="W1347" t="s">
        <v>28</v>
      </c>
      <c r="X1347">
        <v>205</v>
      </c>
      <c r="Y1347" s="16">
        <f>VLOOKUP(Tabela1[[#This Row],[SKU]],SKU!A:D,4,0)</f>
        <v>1000</v>
      </c>
      <c r="Z1347" s="18">
        <f>IFERROR((Tabela1[[#This Row],[Média]]-Tabela1[[#This Row],[Meta]])/Tabela1[[#This Row],[Meta]],"")</f>
        <v>4.7999999999999545E-3</v>
      </c>
      <c r="AA1347" s="31">
        <f>Tabela1[[#This Row],[Média]]-Tabela1[[#This Row],[Meta]]</f>
        <v>4.7999999999999545</v>
      </c>
      <c r="AB1347" s="6" t="str">
        <f>VLOOKUP(Tabela1[[#This Row],[SKU]],SKU!A:B,2,0)</f>
        <v>FILE PEITO MET CG BDJ SE</v>
      </c>
      <c r="AC1347" s="6" t="str">
        <f>VLOOKUP(Tabela1[[#This Row],[SKU]],SKU!A:C,3,0)</f>
        <v>PEITO</v>
      </c>
    </row>
    <row r="1348" spans="1:29" x14ac:dyDescent="0.25">
      <c r="A1348" s="2">
        <f>INT(Tabela1[[#This Row],[Data e Hora2]])</f>
        <v>46297</v>
      </c>
      <c r="B1348" s="6" t="str">
        <f>UPPER(TEXT(Tabela1[[#This Row],[Data Corrigida]],"MMM"))</f>
        <v>OUT</v>
      </c>
      <c r="C1348" t="s">
        <v>3002</v>
      </c>
      <c r="D1348" s="2" t="s">
        <v>3003</v>
      </c>
      <c r="E1348" s="1" t="s">
        <v>3004</v>
      </c>
      <c r="F1348" t="s">
        <v>24</v>
      </c>
      <c r="G1348" s="2" t="s">
        <v>2945</v>
      </c>
      <c r="H1348" t="s">
        <v>26</v>
      </c>
      <c r="I1348" t="s">
        <v>57</v>
      </c>
      <c r="J1348" s="6">
        <v>13188</v>
      </c>
      <c r="K1348" s="16">
        <v>999</v>
      </c>
      <c r="L1348" s="16">
        <v>1013</v>
      </c>
      <c r="M1348" s="16">
        <v>1019</v>
      </c>
      <c r="N1348" s="16">
        <v>1015</v>
      </c>
      <c r="O1348" s="16">
        <v>1001</v>
      </c>
      <c r="P1348" s="16">
        <v>1010</v>
      </c>
      <c r="Q1348" s="16">
        <v>997</v>
      </c>
      <c r="R1348" s="16">
        <v>994</v>
      </c>
      <c r="S1348" s="16">
        <v>1003</v>
      </c>
      <c r="T1348" s="16">
        <v>1011</v>
      </c>
      <c r="U1348" s="15">
        <v>1006.2</v>
      </c>
      <c r="V1348" t="s">
        <v>19</v>
      </c>
      <c r="W1348" t="s">
        <v>28</v>
      </c>
      <c r="X1348">
        <v>646</v>
      </c>
      <c r="Y1348" s="16">
        <f>VLOOKUP(Tabela1[[#This Row],[SKU]],SKU!A:D,4,0)</f>
        <v>1000</v>
      </c>
      <c r="Z1348" s="18">
        <f>IFERROR((Tabela1[[#This Row],[Média]]-Tabela1[[#This Row],[Meta]])/Tabela1[[#This Row],[Meta]],"")</f>
        <v>6.2000000000000458E-3</v>
      </c>
      <c r="AA1348" s="31">
        <f>Tabela1[[#This Row],[Média]]-Tabela1[[#This Row],[Meta]]</f>
        <v>6.2000000000000455</v>
      </c>
      <c r="AB1348" s="6" t="str">
        <f>VLOOKUP(Tabela1[[#This Row],[SKU]],SKU!A:B,2,0)</f>
        <v>SOBRECOXA CG BDJ SE</v>
      </c>
      <c r="AC1348" s="6" t="str">
        <f>VLOOKUP(Tabela1[[#This Row],[SKU]],SKU!A:C,3,0)</f>
        <v>PERNA</v>
      </c>
    </row>
    <row r="1349" spans="1:29" x14ac:dyDescent="0.25">
      <c r="A1349" s="2">
        <f>INT(Tabela1[[#This Row],[Data e Hora2]])</f>
        <v>46297</v>
      </c>
      <c r="B1349" s="6" t="str">
        <f>UPPER(TEXT(Tabela1[[#This Row],[Data Corrigida]],"MMM"))</f>
        <v>OUT</v>
      </c>
      <c r="C1349" t="s">
        <v>3005</v>
      </c>
      <c r="D1349" s="2" t="s">
        <v>3006</v>
      </c>
      <c r="E1349" s="1" t="s">
        <v>3004</v>
      </c>
      <c r="F1349" t="s">
        <v>24</v>
      </c>
      <c r="G1349" s="2" t="s">
        <v>2945</v>
      </c>
      <c r="H1349" t="s">
        <v>26</v>
      </c>
      <c r="I1349" t="s">
        <v>57</v>
      </c>
      <c r="J1349" s="6">
        <v>40762</v>
      </c>
      <c r="K1349" s="16">
        <v>9995</v>
      </c>
      <c r="L1349" s="16">
        <v>10055</v>
      </c>
      <c r="M1349" s="16">
        <v>10010</v>
      </c>
      <c r="N1349" s="16">
        <v>10010</v>
      </c>
      <c r="O1349" s="16">
        <v>9995</v>
      </c>
      <c r="P1349" s="16">
        <v>10055</v>
      </c>
      <c r="Q1349" s="16">
        <v>10010</v>
      </c>
      <c r="R1349" s="16">
        <v>10125</v>
      </c>
      <c r="S1349" s="16">
        <v>10005</v>
      </c>
      <c r="T1349" s="16">
        <v>10090</v>
      </c>
      <c r="U1349" s="15">
        <v>10035</v>
      </c>
      <c r="V1349" t="s">
        <v>19</v>
      </c>
      <c r="W1349" t="s">
        <v>28</v>
      </c>
      <c r="X1349">
        <v>1316</v>
      </c>
      <c r="Y1349" s="16">
        <f>VLOOKUP(Tabela1[[#This Row],[SKU]],SKU!A:D,4,0)</f>
        <v>10000</v>
      </c>
      <c r="Z1349" s="18">
        <f>IFERROR((Tabela1[[#This Row],[Média]]-Tabela1[[#This Row],[Meta]])/Tabela1[[#This Row],[Meta]],"")</f>
        <v>3.5000000000000001E-3</v>
      </c>
      <c r="AA1349" s="31">
        <f>Tabela1[[#This Row],[Média]]-Tabela1[[#This Row],[Meta]]</f>
        <v>35</v>
      </c>
      <c r="AB1349" s="6" t="str">
        <f>VLOOKUP(Tabela1[[#This Row],[SKU]],SKU!A:B,2,0)</f>
        <v>COXA SBCX LQ FG LP</v>
      </c>
      <c r="AC1349" s="6" t="str">
        <f>VLOOKUP(Tabela1[[#This Row],[SKU]],SKU!A:C,3,0)</f>
        <v>PERNA</v>
      </c>
    </row>
    <row r="1350" spans="1:29" x14ac:dyDescent="0.25">
      <c r="A1350" s="2">
        <f>INT(Tabela1[[#This Row],[Data e Hora2]])</f>
        <v>46297</v>
      </c>
      <c r="B1350" s="6" t="str">
        <f>UPPER(TEXT(Tabela1[[#This Row],[Data Corrigida]],"MMM"))</f>
        <v>OUT</v>
      </c>
      <c r="C1350" t="s">
        <v>3007</v>
      </c>
      <c r="D1350" s="2" t="s">
        <v>3008</v>
      </c>
      <c r="E1350" s="1" t="s">
        <v>3004</v>
      </c>
      <c r="F1350" t="s">
        <v>24</v>
      </c>
      <c r="G1350" s="2" t="s">
        <v>2945</v>
      </c>
      <c r="H1350" t="s">
        <v>26</v>
      </c>
      <c r="I1350" t="s">
        <v>57</v>
      </c>
      <c r="J1350" s="6">
        <v>963925</v>
      </c>
      <c r="K1350" s="16">
        <v>17980</v>
      </c>
      <c r="L1350" s="16">
        <v>18085</v>
      </c>
      <c r="M1350" s="16">
        <v>17995</v>
      </c>
      <c r="N1350" s="16">
        <v>17885</v>
      </c>
      <c r="O1350" s="16">
        <v>18110</v>
      </c>
      <c r="P1350" s="16">
        <v>18015</v>
      </c>
      <c r="Q1350" s="16">
        <v>18365</v>
      </c>
      <c r="R1350" s="16">
        <v>18325</v>
      </c>
      <c r="S1350" s="16">
        <v>17835</v>
      </c>
      <c r="T1350" s="16">
        <v>17995</v>
      </c>
      <c r="U1350" s="15">
        <v>18059</v>
      </c>
      <c r="V1350" t="s">
        <v>19</v>
      </c>
      <c r="W1350" t="s">
        <v>28</v>
      </c>
      <c r="X1350">
        <v>11847</v>
      </c>
      <c r="Y1350" s="16">
        <f>VLOOKUP(Tabela1[[#This Row],[SKU]],SKU!A:D,4,0)</f>
        <v>18000</v>
      </c>
      <c r="Z1350" s="18">
        <f>IFERROR((Tabela1[[#This Row],[Média]]-Tabela1[[#This Row],[Meta]])/Tabela1[[#This Row],[Meta]],"")</f>
        <v>3.2777777777777779E-3</v>
      </c>
      <c r="AA1350" s="31">
        <f>Tabela1[[#This Row],[Média]]-Tabela1[[#This Row],[Meta]]</f>
        <v>59</v>
      </c>
      <c r="AB1350" s="6" t="str">
        <f>VLOOKUP(Tabela1[[#This Row],[SKU]],SKU!A:B,2,0)</f>
        <v>COXINHA DA ASA FG CG PCT</v>
      </c>
      <c r="AC1350" s="6" t="str">
        <f>VLOOKUP(Tabela1[[#This Row],[SKU]],SKU!A:C,3,0)</f>
        <v>ASA</v>
      </c>
    </row>
    <row r="1351" spans="1:29" x14ac:dyDescent="0.25">
      <c r="A1351" s="2">
        <f>INT(Tabela1[[#This Row],[Data e Hora2]])</f>
        <v>46297</v>
      </c>
      <c r="B1351" s="6" t="str">
        <f>UPPER(TEXT(Tabela1[[#This Row],[Data Corrigida]],"MMM"))</f>
        <v>OUT</v>
      </c>
      <c r="C1351" t="s">
        <v>3009</v>
      </c>
      <c r="D1351" s="2" t="s">
        <v>3010</v>
      </c>
      <c r="E1351" s="1" t="s">
        <v>3011</v>
      </c>
      <c r="F1351" t="s">
        <v>24</v>
      </c>
      <c r="G1351" s="2" t="s">
        <v>2945</v>
      </c>
      <c r="H1351" t="s">
        <v>142</v>
      </c>
      <c r="I1351" t="s">
        <v>462</v>
      </c>
      <c r="J1351" s="6">
        <v>15105</v>
      </c>
      <c r="K1351" s="16">
        <v>990</v>
      </c>
      <c r="L1351" s="16">
        <v>1003</v>
      </c>
      <c r="M1351" s="16">
        <v>1020</v>
      </c>
      <c r="N1351" s="16">
        <v>1009</v>
      </c>
      <c r="O1351" s="16">
        <v>984</v>
      </c>
      <c r="P1351" s="16">
        <v>1048</v>
      </c>
      <c r="Q1351" s="16">
        <v>1013</v>
      </c>
      <c r="R1351" s="16">
        <v>1023</v>
      </c>
      <c r="S1351" s="16">
        <v>1000</v>
      </c>
      <c r="T1351" s="16">
        <v>999</v>
      </c>
      <c r="U1351" s="15">
        <v>1008.9</v>
      </c>
      <c r="V1351" t="s">
        <v>19</v>
      </c>
      <c r="W1351" t="s">
        <v>19</v>
      </c>
      <c r="X1351">
        <v>15168</v>
      </c>
      <c r="Y1351" s="16">
        <f>VLOOKUP(Tabela1[[#This Row],[SKU]],SKU!A:D,4,0)</f>
        <v>1000</v>
      </c>
      <c r="Z1351" s="18">
        <f>IFERROR((Tabela1[[#This Row],[Média]]-Tabela1[[#This Row],[Meta]])/Tabela1[[#This Row],[Meta]],"")</f>
        <v>8.8999999999999774E-3</v>
      </c>
      <c r="AA1351" s="31">
        <f>Tabela1[[#This Row],[Média]]-Tabela1[[#This Row],[Meta]]</f>
        <v>8.8999999999999773</v>
      </c>
      <c r="AB1351" s="6" t="str">
        <f>VLOOKUP(Tabela1[[#This Row],[SKU]],SKU!A:B,2,0)</f>
        <v>FILE PEITO MET CG BDJ SE</v>
      </c>
      <c r="AC1351" s="6" t="str">
        <f>VLOOKUP(Tabela1[[#This Row],[SKU]],SKU!A:C,3,0)</f>
        <v>PEITO</v>
      </c>
    </row>
    <row r="1352" spans="1:29" x14ac:dyDescent="0.25">
      <c r="A1352" s="2">
        <f>INT(Tabela1[[#This Row],[Data e Hora2]])</f>
        <v>46297</v>
      </c>
      <c r="B1352" s="6" t="str">
        <f>UPPER(TEXT(Tabela1[[#This Row],[Data Corrigida]],"MMM"))</f>
        <v>OUT</v>
      </c>
      <c r="C1352" t="s">
        <v>3012</v>
      </c>
      <c r="D1352" s="2" t="s">
        <v>3013</v>
      </c>
      <c r="E1352" s="1" t="s">
        <v>3014</v>
      </c>
      <c r="F1352" t="s">
        <v>24</v>
      </c>
      <c r="G1352" s="2" t="s">
        <v>2945</v>
      </c>
      <c r="H1352" t="s">
        <v>142</v>
      </c>
      <c r="I1352" t="s">
        <v>462</v>
      </c>
      <c r="J1352" s="6">
        <v>209039</v>
      </c>
      <c r="K1352" s="16">
        <v>1008</v>
      </c>
      <c r="L1352" s="16">
        <v>1004</v>
      </c>
      <c r="M1352" s="16">
        <v>1004</v>
      </c>
      <c r="N1352" s="16">
        <v>1005</v>
      </c>
      <c r="O1352" s="16">
        <v>1033</v>
      </c>
      <c r="P1352" s="16">
        <v>1172</v>
      </c>
      <c r="Q1352" s="16">
        <v>1001</v>
      </c>
      <c r="R1352" s="16">
        <v>1030</v>
      </c>
      <c r="S1352" s="16">
        <v>989</v>
      </c>
      <c r="T1352" s="16">
        <v>1003</v>
      </c>
      <c r="U1352" s="15">
        <v>1024.9000000000001</v>
      </c>
      <c r="V1352" t="s">
        <v>19</v>
      </c>
      <c r="W1352" t="s">
        <v>28</v>
      </c>
      <c r="X1352">
        <v>130</v>
      </c>
      <c r="Y1352" s="16">
        <f>VLOOKUP(Tabela1[[#This Row],[SKU]],SKU!A:D,4,0)</f>
        <v>1000</v>
      </c>
      <c r="Z1352" s="18">
        <f>IFERROR((Tabela1[[#This Row],[Média]]-Tabela1[[#This Row],[Meta]])/Tabela1[[#This Row],[Meta]],"")</f>
        <v>2.4900000000000092E-2</v>
      </c>
      <c r="AA1352" s="31">
        <f>Tabela1[[#This Row],[Média]]-Tabela1[[#This Row],[Meta]]</f>
        <v>24.900000000000091</v>
      </c>
      <c r="AB1352" s="6" t="str">
        <f>VLOOKUP(Tabela1[[#This Row],[SKU]],SKU!A:B,2,0)</f>
        <v>COXINHA ASA IQF ALM 1KG</v>
      </c>
      <c r="AC1352" s="6" t="str">
        <f>VLOOKUP(Tabela1[[#This Row],[SKU]],SKU!A:C,3,0)</f>
        <v>ASA</v>
      </c>
    </row>
    <row r="1353" spans="1:29" x14ac:dyDescent="0.25">
      <c r="A1353" s="2">
        <f>INT(Tabela1[[#This Row],[Data e Hora2]])</f>
        <v>46297</v>
      </c>
      <c r="B1353" s="6" t="str">
        <f>UPPER(TEXT(Tabela1[[#This Row],[Data Corrigida]],"MMM"))</f>
        <v>OUT</v>
      </c>
      <c r="C1353" t="s">
        <v>3015</v>
      </c>
      <c r="D1353" s="2" t="s">
        <v>3016</v>
      </c>
      <c r="E1353" s="1" t="s">
        <v>3017</v>
      </c>
      <c r="F1353" t="s">
        <v>24</v>
      </c>
      <c r="G1353" s="2" t="s">
        <v>2945</v>
      </c>
      <c r="H1353" t="s">
        <v>142</v>
      </c>
      <c r="I1353" t="s">
        <v>462</v>
      </c>
      <c r="J1353" s="6">
        <v>50580</v>
      </c>
      <c r="K1353" s="16">
        <v>1987</v>
      </c>
      <c r="L1353" s="16">
        <v>2005</v>
      </c>
      <c r="M1353" s="16">
        <v>2028</v>
      </c>
      <c r="N1353" s="16">
        <v>2027</v>
      </c>
      <c r="O1353" s="16">
        <v>2065</v>
      </c>
      <c r="P1353" s="16">
        <v>2091</v>
      </c>
      <c r="Q1353" s="16">
        <v>2104</v>
      </c>
      <c r="R1353" s="16">
        <v>1995</v>
      </c>
      <c r="S1353" s="16">
        <v>2088</v>
      </c>
      <c r="T1353" s="16">
        <v>2084</v>
      </c>
      <c r="U1353" s="15">
        <v>2047.4</v>
      </c>
      <c r="V1353" t="s">
        <v>19</v>
      </c>
      <c r="W1353" t="s">
        <v>28</v>
      </c>
      <c r="X1353">
        <v>16022</v>
      </c>
      <c r="Y1353" s="16">
        <f>VLOOKUP(Tabela1[[#This Row],[SKU]],SKU!A:D,4,0)</f>
        <v>2000</v>
      </c>
      <c r="Z1353" s="18">
        <f>IFERROR((Tabela1[[#This Row],[Média]]-Tabela1[[#This Row],[Meta]])/Tabela1[[#This Row],[Meta]],"")</f>
        <v>2.3700000000000044E-2</v>
      </c>
      <c r="AA1353" s="31">
        <f>Tabela1[[#This Row],[Média]]-Tabela1[[#This Row],[Meta]]</f>
        <v>47.400000000000091</v>
      </c>
      <c r="AB1353" s="6" t="str">
        <f>VLOOKUP(Tabela1[[#This Row],[SKU]],SKU!A:B,2,0)</f>
        <v>COXA SBCX S/O FG 200g UP PB</v>
      </c>
      <c r="AC1353" s="6" t="str">
        <f>VLOOKUP(Tabela1[[#This Row],[SKU]],SKU!A:C,3,0)</f>
        <v>PERNA</v>
      </c>
    </row>
    <row r="1354" spans="1:29" x14ac:dyDescent="0.25">
      <c r="A1354" s="2">
        <f>INT(Tabela1[[#This Row],[Data e Hora2]])</f>
        <v>46297</v>
      </c>
      <c r="B1354" s="6" t="str">
        <f>UPPER(TEXT(Tabela1[[#This Row],[Data Corrigida]],"MMM"))</f>
        <v>OUT</v>
      </c>
      <c r="C1354" t="s">
        <v>3018</v>
      </c>
      <c r="D1354" s="2" t="s">
        <v>3019</v>
      </c>
      <c r="E1354" s="1" t="s">
        <v>3017</v>
      </c>
      <c r="F1354" t="s">
        <v>24</v>
      </c>
      <c r="G1354" s="2" t="s">
        <v>2945</v>
      </c>
      <c r="H1354" t="s">
        <v>142</v>
      </c>
      <c r="I1354" t="s">
        <v>462</v>
      </c>
      <c r="J1354" s="6">
        <v>42862</v>
      </c>
      <c r="K1354" s="16">
        <v>2046</v>
      </c>
      <c r="L1354" s="16">
        <v>2054</v>
      </c>
      <c r="M1354" s="16">
        <v>2016</v>
      </c>
      <c r="N1354" s="16">
        <v>2016</v>
      </c>
      <c r="O1354" s="16">
        <v>2024</v>
      </c>
      <c r="P1354" s="16">
        <v>2029</v>
      </c>
      <c r="Q1354" s="16">
        <v>2038</v>
      </c>
      <c r="R1354" s="16">
        <v>2066</v>
      </c>
      <c r="S1354" s="16">
        <v>2025</v>
      </c>
      <c r="T1354" s="16">
        <v>2068</v>
      </c>
      <c r="U1354" s="15">
        <v>2038.2</v>
      </c>
      <c r="V1354" t="s">
        <v>19</v>
      </c>
      <c r="W1354" t="s">
        <v>28</v>
      </c>
      <c r="X1354">
        <v>16364</v>
      </c>
      <c r="Y1354" s="16">
        <f>VLOOKUP(Tabela1[[#This Row],[SKU]],SKU!A:D,4,0)</f>
        <v>2000</v>
      </c>
      <c r="Z1354" s="18">
        <f>IFERROR((Tabela1[[#This Row],[Média]]-Tabela1[[#This Row],[Meta]])/Tabela1[[#This Row],[Meta]],"")</f>
        <v>1.9100000000000023E-2</v>
      </c>
      <c r="AA1354" s="31">
        <f>Tabela1[[#This Row],[Média]]-Tabela1[[#This Row],[Meta]]</f>
        <v>38.200000000000045</v>
      </c>
      <c r="AB1354" s="6" t="str">
        <f>VLOOKUP(Tabela1[[#This Row],[SKU]],SKU!A:B,2,0)</f>
        <v>COXA SBCX S/O FG 280-300g PB</v>
      </c>
      <c r="AC1354" s="6" t="str">
        <f>VLOOKUP(Tabela1[[#This Row],[SKU]],SKU!A:C,3,0)</f>
        <v>PERNA</v>
      </c>
    </row>
    <row r="1355" spans="1:29" x14ac:dyDescent="0.25">
      <c r="A1355" s="2">
        <f>INT(Tabela1[[#This Row],[Data e Hora2]])</f>
        <v>46296</v>
      </c>
      <c r="B1355" s="6" t="str">
        <f>UPPER(TEXT(Tabela1[[#This Row],[Data Corrigida]],"MMM"))</f>
        <v>OUT</v>
      </c>
      <c r="C1355" t="s">
        <v>3020</v>
      </c>
      <c r="D1355" s="2" t="s">
        <v>3021</v>
      </c>
      <c r="E1355" s="1" t="s">
        <v>3017</v>
      </c>
      <c r="F1355" t="s">
        <v>24</v>
      </c>
      <c r="G1355" s="2" t="s">
        <v>2820</v>
      </c>
      <c r="H1355" t="s">
        <v>142</v>
      </c>
      <c r="I1355" t="s">
        <v>462</v>
      </c>
      <c r="J1355" s="6">
        <v>864048</v>
      </c>
      <c r="K1355" s="16">
        <v>2003</v>
      </c>
      <c r="L1355" s="16">
        <v>2023</v>
      </c>
      <c r="M1355" s="16">
        <v>2055</v>
      </c>
      <c r="N1355" s="16">
        <v>2016</v>
      </c>
      <c r="O1355" s="16">
        <v>2013</v>
      </c>
      <c r="P1355" s="16">
        <v>2072</v>
      </c>
      <c r="Q1355" s="16">
        <v>2069</v>
      </c>
      <c r="R1355" s="16">
        <v>2002</v>
      </c>
      <c r="S1355" s="16">
        <v>2113</v>
      </c>
      <c r="T1355" s="16">
        <v>2025</v>
      </c>
      <c r="U1355" s="15">
        <v>2039.1</v>
      </c>
      <c r="V1355" t="s">
        <v>19</v>
      </c>
      <c r="W1355" t="s">
        <v>28</v>
      </c>
      <c r="X1355">
        <v>96030</v>
      </c>
      <c r="Y1355" s="16">
        <f>VLOOKUP(Tabela1[[#This Row],[SKU]],SKU!A:D,4,0)</f>
        <v>2000</v>
      </c>
      <c r="Z1355" s="18">
        <f>IFERROR((Tabela1[[#This Row],[Média]]-Tabela1[[#This Row],[Meta]])/Tabela1[[#This Row],[Meta]],"")</f>
        <v>1.9549999999999953E-2</v>
      </c>
      <c r="AA1355" s="31">
        <f>Tabela1[[#This Row],[Média]]-Tabela1[[#This Row],[Meta]]</f>
        <v>39.099999999999909</v>
      </c>
      <c r="AB1355" s="6" t="str">
        <f>VLOOKUP(Tabela1[[#This Row],[SKU]],SKU!A:B,2,0)</f>
        <v>COXA SBCX S/O 200g FG UP PB</v>
      </c>
      <c r="AC1355" s="6" t="str">
        <f>VLOOKUP(Tabela1[[#This Row],[SKU]],SKU!A:C,3,0)</f>
        <v>PERNA</v>
      </c>
    </row>
    <row r="1356" spans="1:29" x14ac:dyDescent="0.25">
      <c r="A1356" s="2">
        <f>INT(Tabela1[[#This Row],[Data e Hora2]])</f>
        <v>46296</v>
      </c>
      <c r="B1356" s="6" t="str">
        <f>UPPER(TEXT(Tabela1[[#This Row],[Data Corrigida]],"MMM"))</f>
        <v>OUT</v>
      </c>
      <c r="C1356" t="s">
        <v>3022</v>
      </c>
      <c r="D1356" s="2" t="s">
        <v>3023</v>
      </c>
      <c r="E1356" s="1" t="s">
        <v>3017</v>
      </c>
      <c r="F1356" t="s">
        <v>24</v>
      </c>
      <c r="G1356" s="2" t="s">
        <v>2820</v>
      </c>
      <c r="H1356" t="s">
        <v>142</v>
      </c>
      <c r="I1356" t="s">
        <v>462</v>
      </c>
      <c r="J1356" s="6">
        <v>42862</v>
      </c>
      <c r="K1356" s="16">
        <v>2086</v>
      </c>
      <c r="L1356" s="16">
        <v>2031</v>
      </c>
      <c r="M1356" s="16">
        <v>2043</v>
      </c>
      <c r="N1356" s="16">
        <v>2027</v>
      </c>
      <c r="O1356" s="16">
        <v>2040</v>
      </c>
      <c r="P1356" s="16">
        <v>2025</v>
      </c>
      <c r="Q1356" s="16">
        <v>2059</v>
      </c>
      <c r="R1356" s="16">
        <v>2034</v>
      </c>
      <c r="S1356" s="16">
        <v>2048</v>
      </c>
      <c r="T1356" s="16">
        <v>2078</v>
      </c>
      <c r="U1356" s="15">
        <v>2047.1</v>
      </c>
      <c r="V1356" t="s">
        <v>19</v>
      </c>
      <c r="W1356" t="s">
        <v>28</v>
      </c>
      <c r="X1356">
        <v>96289</v>
      </c>
      <c r="Y1356" s="16">
        <f>VLOOKUP(Tabela1[[#This Row],[SKU]],SKU!A:D,4,0)</f>
        <v>2000</v>
      </c>
      <c r="Z1356" s="18">
        <f>IFERROR((Tabela1[[#This Row],[Média]]-Tabela1[[#This Row],[Meta]])/Tabela1[[#This Row],[Meta]],"")</f>
        <v>2.3549999999999953E-2</v>
      </c>
      <c r="AA1356" s="31">
        <f>Tabela1[[#This Row],[Média]]-Tabela1[[#This Row],[Meta]]</f>
        <v>47.099999999999909</v>
      </c>
      <c r="AB1356" s="6" t="str">
        <f>VLOOKUP(Tabela1[[#This Row],[SKU]],SKU!A:B,2,0)</f>
        <v>COXA SBCX S/O FG 280-300g PB</v>
      </c>
      <c r="AC1356" s="6" t="str">
        <f>VLOOKUP(Tabela1[[#This Row],[SKU]],SKU!A:C,3,0)</f>
        <v>PERNA</v>
      </c>
    </row>
    <row r="1357" spans="1:29" x14ac:dyDescent="0.25">
      <c r="A1357" s="2">
        <f>INT(Tabela1[[#This Row],[Data e Hora2]])</f>
        <v>46297</v>
      </c>
      <c r="B1357" s="6" t="str">
        <f>UPPER(TEXT(Tabela1[[#This Row],[Data Corrigida]],"MMM"))</f>
        <v>OUT</v>
      </c>
      <c r="C1357" t="s">
        <v>3024</v>
      </c>
      <c r="D1357" s="2" t="s">
        <v>3025</v>
      </c>
      <c r="E1357" s="1" t="s">
        <v>3026</v>
      </c>
      <c r="F1357" t="s">
        <v>24</v>
      </c>
      <c r="G1357" s="2" t="s">
        <v>2945</v>
      </c>
      <c r="H1357" t="s">
        <v>142</v>
      </c>
      <c r="I1357" t="s">
        <v>462</v>
      </c>
      <c r="J1357" s="6">
        <v>42846</v>
      </c>
      <c r="K1357" s="16">
        <v>2039</v>
      </c>
      <c r="L1357" s="16">
        <v>2011</v>
      </c>
      <c r="M1357" s="16">
        <v>2016</v>
      </c>
      <c r="N1357" s="16">
        <v>2070</v>
      </c>
      <c r="O1357" s="16">
        <v>2037</v>
      </c>
      <c r="P1357" s="16">
        <v>2060</v>
      </c>
      <c r="Q1357" s="16">
        <v>2005</v>
      </c>
      <c r="R1357" s="16">
        <v>2001</v>
      </c>
      <c r="S1357" s="16">
        <v>1987</v>
      </c>
      <c r="T1357" s="16">
        <v>1990</v>
      </c>
      <c r="U1357" s="15">
        <v>2021.6</v>
      </c>
      <c r="V1357" t="s">
        <v>19</v>
      </c>
      <c r="W1357" t="s">
        <v>28</v>
      </c>
      <c r="X1357">
        <v>499</v>
      </c>
      <c r="Y1357" s="16">
        <f>VLOOKUP(Tabela1[[#This Row],[SKU]],SKU!A:D,4,0)</f>
        <v>2000</v>
      </c>
      <c r="Z1357" s="18">
        <f>IFERROR((Tabela1[[#This Row],[Média]]-Tabela1[[#This Row],[Meta]])/Tabela1[[#This Row],[Meta]],"")</f>
        <v>1.0799999999999954E-2</v>
      </c>
      <c r="AA1357" s="31">
        <f>Tabela1[[#This Row],[Média]]-Tabela1[[#This Row],[Meta]]</f>
        <v>21.599999999999909</v>
      </c>
      <c r="AB1357" s="6" t="str">
        <f>VLOOKUP(Tabela1[[#This Row],[SKU]],SKU!A:B,2,0)</f>
        <v>COXA SBCX S/O FG 240-260g PB</v>
      </c>
      <c r="AC1357" s="6" t="str">
        <f>VLOOKUP(Tabela1[[#This Row],[SKU]],SKU!A:C,3,0)</f>
        <v>PERNA</v>
      </c>
    </row>
    <row r="1358" spans="1:29" x14ac:dyDescent="0.25">
      <c r="A1358" s="2">
        <f>INT(Tabela1[[#This Row],[Data e Hora2]])</f>
        <v>46297</v>
      </c>
      <c r="B1358" s="6" t="str">
        <f>UPPER(TEXT(Tabela1[[#This Row],[Data Corrigida]],"MMM"))</f>
        <v>OUT</v>
      </c>
      <c r="C1358" t="s">
        <v>3027</v>
      </c>
      <c r="D1358" s="2" t="s">
        <v>3028</v>
      </c>
      <c r="E1358" s="1" t="s">
        <v>3026</v>
      </c>
      <c r="F1358" t="s">
        <v>24</v>
      </c>
      <c r="G1358" s="2" t="s">
        <v>2945</v>
      </c>
      <c r="H1358" t="s">
        <v>142</v>
      </c>
      <c r="I1358" t="s">
        <v>462</v>
      </c>
      <c r="J1358" s="6">
        <v>42854</v>
      </c>
      <c r="K1358" s="16">
        <v>2159</v>
      </c>
      <c r="L1358" s="16">
        <v>2124</v>
      </c>
      <c r="M1358" s="16">
        <v>2003</v>
      </c>
      <c r="N1358" s="16">
        <v>2150</v>
      </c>
      <c r="O1358" s="16">
        <v>2130</v>
      </c>
      <c r="P1358" s="16">
        <v>1864</v>
      </c>
      <c r="Q1358" s="16">
        <v>2170</v>
      </c>
      <c r="R1358" s="16">
        <v>2223</v>
      </c>
      <c r="S1358" s="16">
        <v>2154</v>
      </c>
      <c r="T1358" s="16">
        <v>2189</v>
      </c>
      <c r="U1358" s="15">
        <v>2116.6</v>
      </c>
      <c r="V1358" t="s">
        <v>19</v>
      </c>
      <c r="W1358" t="s">
        <v>28</v>
      </c>
      <c r="X1358">
        <v>822</v>
      </c>
      <c r="Y1358" s="16">
        <f>VLOOKUP(Tabela1[[#This Row],[SKU]],SKU!A:D,4,0)</f>
        <v>2080</v>
      </c>
      <c r="Z1358" s="18">
        <f>IFERROR((Tabela1[[#This Row],[Média]]-Tabela1[[#This Row],[Meta]])/Tabela1[[#This Row],[Meta]],"")</f>
        <v>1.7596153846153803E-2</v>
      </c>
      <c r="AA1358" s="31">
        <f>Tabela1[[#This Row],[Média]]-Tabela1[[#This Row],[Meta]]</f>
        <v>36.599999999999909</v>
      </c>
      <c r="AB1358" s="6" t="str">
        <f>VLOOKUP(Tabela1[[#This Row],[SKU]],SKU!A:B,2,0)</f>
        <v>COXA SBCX S/O FG 260-280g PB</v>
      </c>
      <c r="AC1358" s="6" t="str">
        <f>VLOOKUP(Tabela1[[#This Row],[SKU]],SKU!A:C,3,0)</f>
        <v>PERNA</v>
      </c>
    </row>
    <row r="1359" spans="1:29" x14ac:dyDescent="0.25">
      <c r="A1359" s="2">
        <f>INT(Tabela1[[#This Row],[Data e Hora2]])</f>
        <v>46297</v>
      </c>
      <c r="B1359" s="6" t="str">
        <f>UPPER(TEXT(Tabela1[[#This Row],[Data Corrigida]],"MMM"))</f>
        <v>OUT</v>
      </c>
      <c r="C1359" t="s">
        <v>3029</v>
      </c>
      <c r="D1359" s="2" t="s">
        <v>3030</v>
      </c>
      <c r="E1359" s="1" t="s">
        <v>3026</v>
      </c>
      <c r="F1359" t="s">
        <v>24</v>
      </c>
      <c r="G1359" s="2" t="s">
        <v>2945</v>
      </c>
      <c r="H1359" t="s">
        <v>142</v>
      </c>
      <c r="I1359" t="s">
        <v>462</v>
      </c>
      <c r="J1359" s="6">
        <v>54632</v>
      </c>
      <c r="K1359" s="16">
        <v>999</v>
      </c>
      <c r="L1359" s="16">
        <v>1008</v>
      </c>
      <c r="M1359" s="16">
        <v>993</v>
      </c>
      <c r="N1359" s="16">
        <v>992</v>
      </c>
      <c r="O1359" s="16">
        <v>1014</v>
      </c>
      <c r="P1359" s="16">
        <v>1013</v>
      </c>
      <c r="Q1359" s="16">
        <v>991</v>
      </c>
      <c r="R1359" s="16">
        <v>1021</v>
      </c>
      <c r="S1359" s="16">
        <v>1012</v>
      </c>
      <c r="T1359" s="16">
        <v>1017</v>
      </c>
      <c r="U1359" s="15">
        <v>1006</v>
      </c>
      <c r="V1359" t="s">
        <v>19</v>
      </c>
      <c r="W1359" t="s">
        <v>28</v>
      </c>
      <c r="X1359">
        <v>1153</v>
      </c>
      <c r="Y1359" s="16">
        <f>VLOOKUP(Tabela1[[#This Row],[SKU]],SKU!A:D,4,0)</f>
        <v>1000</v>
      </c>
      <c r="Z1359" s="18">
        <f>IFERROR((Tabela1[[#This Row],[Média]]-Tabela1[[#This Row],[Meta]])/Tabela1[[#This Row],[Meta]],"")</f>
        <v>6.0000000000000001E-3</v>
      </c>
      <c r="AA1359" s="31">
        <f>Tabela1[[#This Row],[Média]]-Tabela1[[#This Row],[Meta]]</f>
        <v>6</v>
      </c>
      <c r="AB1359" s="6" t="str">
        <f>VLOOKUP(Tabela1[[#This Row],[SKU]],SKU!A:B,2,0)</f>
        <v>COXA SBCX S/O BDJ CG</v>
      </c>
      <c r="AC1359" s="6" t="str">
        <f>VLOOKUP(Tabela1[[#This Row],[SKU]],SKU!A:C,3,0)</f>
        <v>PERNA</v>
      </c>
    </row>
    <row r="1360" spans="1:29" x14ac:dyDescent="0.25">
      <c r="A1360" s="2">
        <f>INT(Tabela1[[#This Row],[Data e Hora2]])</f>
        <v>46297</v>
      </c>
      <c r="B1360" s="6" t="str">
        <f>UPPER(TEXT(Tabela1[[#This Row],[Data Corrigida]],"MMM"))</f>
        <v>OUT</v>
      </c>
      <c r="C1360" t="s">
        <v>3031</v>
      </c>
      <c r="D1360" s="2" t="s">
        <v>3032</v>
      </c>
      <c r="E1360" s="1" t="s">
        <v>3026</v>
      </c>
      <c r="F1360" t="s">
        <v>24</v>
      </c>
      <c r="G1360" s="2" t="s">
        <v>2945</v>
      </c>
      <c r="H1360" t="s">
        <v>142</v>
      </c>
      <c r="I1360" t="s">
        <v>462</v>
      </c>
      <c r="J1360" s="6">
        <v>54632</v>
      </c>
      <c r="K1360" s="16">
        <v>992</v>
      </c>
      <c r="L1360" s="16">
        <v>1010</v>
      </c>
      <c r="M1360" s="16">
        <v>1009</v>
      </c>
      <c r="N1360" s="16">
        <v>1011</v>
      </c>
      <c r="O1360" s="16">
        <v>996</v>
      </c>
      <c r="P1360" s="16">
        <v>997</v>
      </c>
      <c r="Q1360" s="16">
        <v>1003</v>
      </c>
      <c r="R1360" s="16">
        <v>1025</v>
      </c>
      <c r="S1360" s="16">
        <v>1009</v>
      </c>
      <c r="T1360" s="16">
        <v>1007</v>
      </c>
      <c r="U1360" s="15">
        <v>1005.9</v>
      </c>
      <c r="V1360" t="s">
        <v>19</v>
      </c>
      <c r="W1360" t="s">
        <v>28</v>
      </c>
      <c r="X1360">
        <v>1334</v>
      </c>
      <c r="Y1360" s="16">
        <f>VLOOKUP(Tabela1[[#This Row],[SKU]],SKU!A:D,4,0)</f>
        <v>1000</v>
      </c>
      <c r="Z1360" s="18">
        <f>IFERROR((Tabela1[[#This Row],[Média]]-Tabela1[[#This Row],[Meta]])/Tabela1[[#This Row],[Meta]],"")</f>
        <v>5.8999999999999773E-3</v>
      </c>
      <c r="AA1360" s="31">
        <f>Tabela1[[#This Row],[Média]]-Tabela1[[#This Row],[Meta]]</f>
        <v>5.8999999999999773</v>
      </c>
      <c r="AB1360" s="6" t="str">
        <f>VLOOKUP(Tabela1[[#This Row],[SKU]],SKU!A:B,2,0)</f>
        <v>COXA SBCX S/O BDJ CG</v>
      </c>
      <c r="AC1360" s="6" t="str">
        <f>VLOOKUP(Tabela1[[#This Row],[SKU]],SKU!A:C,3,0)</f>
        <v>PERNA</v>
      </c>
    </row>
    <row r="1361" spans="1:29" x14ac:dyDescent="0.25">
      <c r="A1361" s="2">
        <f>INT(Tabela1[[#This Row],[Data e Hora2]])</f>
        <v>46296</v>
      </c>
      <c r="B1361" s="6" t="str">
        <f>UPPER(TEXT(Tabela1[[#This Row],[Data Corrigida]],"MMM"))</f>
        <v>OUT</v>
      </c>
      <c r="C1361" t="s">
        <v>3033</v>
      </c>
      <c r="D1361" s="2" t="s">
        <v>3034</v>
      </c>
      <c r="E1361" s="1" t="s">
        <v>3026</v>
      </c>
      <c r="F1361" t="s">
        <v>24</v>
      </c>
      <c r="G1361" s="2" t="s">
        <v>2820</v>
      </c>
      <c r="H1361" t="s">
        <v>142</v>
      </c>
      <c r="I1361" t="s">
        <v>462</v>
      </c>
      <c r="J1361" s="6">
        <v>209039</v>
      </c>
      <c r="K1361" s="16">
        <v>1001</v>
      </c>
      <c r="L1361" s="16">
        <v>1002</v>
      </c>
      <c r="M1361" s="16">
        <v>1000</v>
      </c>
      <c r="N1361" s="16">
        <v>1023</v>
      </c>
      <c r="O1361" s="16">
        <v>1004</v>
      </c>
      <c r="P1361" s="16">
        <v>1002</v>
      </c>
      <c r="Q1361" s="16">
        <v>1001</v>
      </c>
      <c r="R1361" s="16">
        <v>997</v>
      </c>
      <c r="S1361" s="16">
        <v>1002</v>
      </c>
      <c r="T1361" s="16">
        <v>1002</v>
      </c>
      <c r="U1361" s="15">
        <v>1003.4</v>
      </c>
      <c r="V1361" t="s">
        <v>19</v>
      </c>
      <c r="W1361" t="s">
        <v>28</v>
      </c>
      <c r="X1361">
        <v>262</v>
      </c>
      <c r="Y1361" s="16">
        <f>VLOOKUP(Tabela1[[#This Row],[SKU]],SKU!A:D,4,0)</f>
        <v>1000</v>
      </c>
      <c r="Z1361" s="18">
        <f>IFERROR((Tabela1[[#This Row],[Média]]-Tabela1[[#This Row],[Meta]])/Tabela1[[#This Row],[Meta]],"")</f>
        <v>3.3999999999999773E-3</v>
      </c>
      <c r="AA1361" s="31">
        <f>Tabela1[[#This Row],[Média]]-Tabela1[[#This Row],[Meta]]</f>
        <v>3.3999999999999773</v>
      </c>
      <c r="AB1361" s="6" t="str">
        <f>VLOOKUP(Tabela1[[#This Row],[SKU]],SKU!A:B,2,0)</f>
        <v>COXINHA ASA IQF ALM 1KG</v>
      </c>
      <c r="AC1361" s="6" t="str">
        <f>VLOOKUP(Tabela1[[#This Row],[SKU]],SKU!A:C,3,0)</f>
        <v>ASA</v>
      </c>
    </row>
    <row r="1362" spans="1:29" x14ac:dyDescent="0.25">
      <c r="A1362" s="2">
        <f>INT(Tabela1[[#This Row],[Data e Hora2]])</f>
        <v>46303</v>
      </c>
      <c r="B1362" s="6" t="str">
        <f>UPPER(TEXT(Tabela1[[#This Row],[Data Corrigida]],"MMM"))</f>
        <v>OUT</v>
      </c>
      <c r="C1362" t="s">
        <v>3035</v>
      </c>
      <c r="D1362" s="2" t="s">
        <v>3036</v>
      </c>
      <c r="E1362" s="1" t="s">
        <v>3037</v>
      </c>
      <c r="F1362" t="s">
        <v>24</v>
      </c>
      <c r="G1362" s="2" t="s">
        <v>3038</v>
      </c>
      <c r="H1362" t="s">
        <v>142</v>
      </c>
      <c r="I1362" t="s">
        <v>462</v>
      </c>
      <c r="J1362" s="6">
        <v>13188</v>
      </c>
      <c r="K1362" s="16">
        <v>1007</v>
      </c>
      <c r="L1362" s="16">
        <v>993</v>
      </c>
      <c r="M1362" s="16">
        <v>1007</v>
      </c>
      <c r="N1362" s="16">
        <v>1006</v>
      </c>
      <c r="O1362" s="16">
        <v>1017</v>
      </c>
      <c r="P1362" s="16">
        <v>1018</v>
      </c>
      <c r="Q1362" s="16">
        <v>1007</v>
      </c>
      <c r="R1362" s="16">
        <v>989</v>
      </c>
      <c r="S1362" s="16">
        <v>1020</v>
      </c>
      <c r="T1362" s="16">
        <v>1006</v>
      </c>
      <c r="U1362" s="15">
        <v>1007</v>
      </c>
      <c r="V1362" t="s">
        <v>19</v>
      </c>
      <c r="W1362" t="s">
        <v>28</v>
      </c>
      <c r="X1362">
        <v>201</v>
      </c>
      <c r="Y1362" s="16">
        <f>VLOOKUP(Tabela1[[#This Row],[SKU]],SKU!A:D,4,0)</f>
        <v>1000</v>
      </c>
      <c r="Z1362" s="18">
        <f>IFERROR((Tabela1[[#This Row],[Média]]-Tabela1[[#This Row],[Meta]])/Tabela1[[#This Row],[Meta]],"")</f>
        <v>7.0000000000000001E-3</v>
      </c>
      <c r="AA1362" s="31">
        <f>Tabela1[[#This Row],[Média]]-Tabela1[[#This Row],[Meta]]</f>
        <v>7</v>
      </c>
      <c r="AB1362" s="6" t="str">
        <f>VLOOKUP(Tabela1[[#This Row],[SKU]],SKU!A:B,2,0)</f>
        <v>SOBRECOXA CG BDJ SE</v>
      </c>
      <c r="AC1362" s="6" t="str">
        <f>VLOOKUP(Tabela1[[#This Row],[SKU]],SKU!A:C,3,0)</f>
        <v>PERNA</v>
      </c>
    </row>
    <row r="1363" spans="1:29" x14ac:dyDescent="0.25">
      <c r="A1363" s="2">
        <f>INT(Tabela1[[#This Row],[Data e Hora2]])</f>
        <v>46303</v>
      </c>
      <c r="B1363" s="6" t="str">
        <f>UPPER(TEXT(Tabela1[[#This Row],[Data Corrigida]],"MMM"))</f>
        <v>OUT</v>
      </c>
      <c r="C1363" t="s">
        <v>3039</v>
      </c>
      <c r="D1363" s="2" t="s">
        <v>3040</v>
      </c>
      <c r="E1363" s="1" t="s">
        <v>3037</v>
      </c>
      <c r="F1363" t="s">
        <v>24</v>
      </c>
      <c r="G1363" s="2" t="s">
        <v>3038</v>
      </c>
      <c r="H1363" t="s">
        <v>142</v>
      </c>
      <c r="I1363" t="s">
        <v>462</v>
      </c>
      <c r="J1363" s="6">
        <v>793124</v>
      </c>
      <c r="K1363" s="16">
        <v>2010</v>
      </c>
      <c r="L1363" s="16">
        <v>2001</v>
      </c>
      <c r="M1363" s="16">
        <v>2003</v>
      </c>
      <c r="N1363" s="16">
        <v>2007</v>
      </c>
      <c r="O1363" s="16">
        <v>2007</v>
      </c>
      <c r="P1363" s="16">
        <v>2006</v>
      </c>
      <c r="Q1363" s="16">
        <v>2000</v>
      </c>
      <c r="R1363" s="16">
        <v>1999</v>
      </c>
      <c r="S1363" s="16">
        <v>2002</v>
      </c>
      <c r="T1363" s="16">
        <v>1998</v>
      </c>
      <c r="U1363" s="15">
        <v>2003.3</v>
      </c>
      <c r="V1363" t="s">
        <v>19</v>
      </c>
      <c r="W1363" t="s">
        <v>28</v>
      </c>
      <c r="X1363">
        <v>436</v>
      </c>
      <c r="Y1363" s="16">
        <f>VLOOKUP(Tabela1[[#This Row],[SKU]],SKU!A:D,4,0)</f>
        <v>2000</v>
      </c>
      <c r="Z1363" s="18">
        <f>IFERROR((Tabela1[[#This Row],[Média]]-Tabela1[[#This Row],[Meta]])/Tabela1[[#This Row],[Meta]],"")</f>
        <v>1.6499999999999772E-3</v>
      </c>
      <c r="AA1363" s="31">
        <f>Tabela1[[#This Row],[Média]]-Tabela1[[#This Row],[Meta]]</f>
        <v>3.2999999999999545</v>
      </c>
      <c r="AB1363" s="6" t="str">
        <f>VLOOKUP(Tabela1[[#This Row],[SKU]],SKU!A:B,2,0)</f>
        <v>CARTILAGEM JOELHO FG PB</v>
      </c>
      <c r="AC1363" s="6" t="str">
        <f>VLOOKUP(Tabela1[[#This Row],[SKU]],SKU!A:C,3,0)</f>
        <v>CARTILAGEM PERNA</v>
      </c>
    </row>
    <row r="1364" spans="1:29" x14ac:dyDescent="0.25">
      <c r="A1364" s="2">
        <f>INT(Tabela1[[#This Row],[Data e Hora2]])</f>
        <v>46303</v>
      </c>
      <c r="B1364" s="6" t="str">
        <f>UPPER(TEXT(Tabela1[[#This Row],[Data Corrigida]],"MMM"))</f>
        <v>OUT</v>
      </c>
      <c r="C1364" t="s">
        <v>3041</v>
      </c>
      <c r="D1364" s="2" t="s">
        <v>3042</v>
      </c>
      <c r="E1364" s="1" t="s">
        <v>3037</v>
      </c>
      <c r="F1364" t="s">
        <v>24</v>
      </c>
      <c r="G1364" s="2" t="s">
        <v>3038</v>
      </c>
      <c r="H1364" t="s">
        <v>142</v>
      </c>
      <c r="I1364" t="s">
        <v>462</v>
      </c>
      <c r="J1364" s="6">
        <v>42846</v>
      </c>
      <c r="K1364" s="16">
        <v>2006</v>
      </c>
      <c r="L1364" s="16">
        <v>2003</v>
      </c>
      <c r="M1364" s="16">
        <v>2003</v>
      </c>
      <c r="N1364" s="16">
        <v>1994</v>
      </c>
      <c r="O1364" s="16">
        <v>2012</v>
      </c>
      <c r="P1364" s="16">
        <v>2004</v>
      </c>
      <c r="Q1364" s="16">
        <v>1993</v>
      </c>
      <c r="R1364" s="16">
        <v>2068</v>
      </c>
      <c r="S1364" s="16">
        <v>2022</v>
      </c>
      <c r="T1364" s="16">
        <v>2016</v>
      </c>
      <c r="U1364" s="15">
        <v>2012.1</v>
      </c>
      <c r="V1364" t="s">
        <v>19</v>
      </c>
      <c r="W1364" t="s">
        <v>28</v>
      </c>
      <c r="X1364">
        <v>758</v>
      </c>
      <c r="Y1364" s="16">
        <f>VLOOKUP(Tabela1[[#This Row],[SKU]],SKU!A:D,4,0)</f>
        <v>2000</v>
      </c>
      <c r="Z1364" s="18">
        <f>IFERROR((Tabela1[[#This Row],[Média]]-Tabela1[[#This Row],[Meta]])/Tabela1[[#This Row],[Meta]],"")</f>
        <v>6.0499999999999547E-3</v>
      </c>
      <c r="AA1364" s="31">
        <f>Tabela1[[#This Row],[Média]]-Tabela1[[#This Row],[Meta]]</f>
        <v>12.099999999999909</v>
      </c>
      <c r="AB1364" s="6" t="str">
        <f>VLOOKUP(Tabela1[[#This Row],[SKU]],SKU!A:B,2,0)</f>
        <v>COXA SBCX S/O FG 240-260g PB</v>
      </c>
      <c r="AC1364" s="6" t="str">
        <f>VLOOKUP(Tabela1[[#This Row],[SKU]],SKU!A:C,3,0)</f>
        <v>PERNA</v>
      </c>
    </row>
    <row r="1365" spans="1:29" x14ac:dyDescent="0.25">
      <c r="A1365" s="2">
        <f>INT(Tabela1[[#This Row],[Data e Hora2]])</f>
        <v>46303</v>
      </c>
      <c r="B1365" s="6" t="str">
        <f>UPPER(TEXT(Tabela1[[#This Row],[Data Corrigida]],"MMM"))</f>
        <v>OUT</v>
      </c>
      <c r="C1365" t="s">
        <v>3043</v>
      </c>
      <c r="D1365" s="2" t="s">
        <v>3044</v>
      </c>
      <c r="E1365" s="1" t="s">
        <v>3037</v>
      </c>
      <c r="F1365" t="s">
        <v>24</v>
      </c>
      <c r="G1365" s="2" t="s">
        <v>3038</v>
      </c>
      <c r="H1365" t="s">
        <v>142</v>
      </c>
      <c r="I1365" t="s">
        <v>462</v>
      </c>
      <c r="J1365" s="6">
        <v>42838</v>
      </c>
      <c r="K1365" s="16">
        <v>2100</v>
      </c>
      <c r="L1365" s="16">
        <v>2075</v>
      </c>
      <c r="M1365" s="16">
        <v>2074</v>
      </c>
      <c r="N1365" s="16">
        <v>2064</v>
      </c>
      <c r="O1365" s="16">
        <v>2091</v>
      </c>
      <c r="P1365" s="16">
        <v>2078</v>
      </c>
      <c r="Q1365" s="16">
        <v>2078</v>
      </c>
      <c r="R1365" s="16">
        <v>2082</v>
      </c>
      <c r="S1365" s="16">
        <v>2097</v>
      </c>
      <c r="T1365" s="16">
        <v>2053</v>
      </c>
      <c r="U1365" s="15">
        <v>2079.1999999999998</v>
      </c>
      <c r="V1365" t="s">
        <v>19</v>
      </c>
      <c r="W1365" t="s">
        <v>28</v>
      </c>
      <c r="X1365">
        <v>1076</v>
      </c>
      <c r="Y1365" s="16">
        <f>VLOOKUP(Tabela1[[#This Row],[SKU]],SKU!A:D,4,0)</f>
        <v>2000</v>
      </c>
      <c r="Z1365" s="18">
        <f>IFERROR((Tabela1[[#This Row],[Média]]-Tabela1[[#This Row],[Meta]])/Tabela1[[#This Row],[Meta]],"")</f>
        <v>3.9599999999999906E-2</v>
      </c>
      <c r="AA1365" s="31">
        <f>Tabela1[[#This Row],[Média]]-Tabela1[[#This Row],[Meta]]</f>
        <v>79.199999999999818</v>
      </c>
      <c r="AB1365" s="6" t="str">
        <f>VLOOKUP(Tabela1[[#This Row],[SKU]],SKU!A:B,2,0)</f>
        <v>COXA SBCX S/O FG 220-240g PB</v>
      </c>
      <c r="AC1365" s="6" t="str">
        <f>VLOOKUP(Tabela1[[#This Row],[SKU]],SKU!A:C,3,0)</f>
        <v>PERNA</v>
      </c>
    </row>
    <row r="1366" spans="1:29" x14ac:dyDescent="0.25">
      <c r="A1366" s="2">
        <f>INT(Tabela1[[#This Row],[Data e Hora2]])</f>
        <v>46303</v>
      </c>
      <c r="B1366" s="6" t="str">
        <f>UPPER(TEXT(Tabela1[[#This Row],[Data Corrigida]],"MMM"))</f>
        <v>OUT</v>
      </c>
      <c r="C1366" t="s">
        <v>3045</v>
      </c>
      <c r="D1366" s="2" t="s">
        <v>3046</v>
      </c>
      <c r="E1366" s="1" t="s">
        <v>3037</v>
      </c>
      <c r="F1366" t="s">
        <v>24</v>
      </c>
      <c r="G1366" s="2" t="s">
        <v>3038</v>
      </c>
      <c r="H1366" t="s">
        <v>142</v>
      </c>
      <c r="I1366" t="s">
        <v>462</v>
      </c>
      <c r="J1366" s="6">
        <v>42854</v>
      </c>
      <c r="K1366" s="16">
        <v>2165</v>
      </c>
      <c r="L1366" s="16">
        <v>2185</v>
      </c>
      <c r="M1366" s="16">
        <v>2177</v>
      </c>
      <c r="N1366" s="16">
        <v>2137</v>
      </c>
      <c r="O1366" s="16">
        <v>2056</v>
      </c>
      <c r="P1366" s="16">
        <v>2003</v>
      </c>
      <c r="Q1366" s="16">
        <v>2125</v>
      </c>
      <c r="R1366" s="16">
        <v>2108</v>
      </c>
      <c r="S1366" s="16">
        <v>2133</v>
      </c>
      <c r="T1366" s="16">
        <v>2148</v>
      </c>
      <c r="U1366" s="15">
        <v>2123.6999999999998</v>
      </c>
      <c r="V1366" t="s">
        <v>19</v>
      </c>
      <c r="W1366" t="s">
        <v>28</v>
      </c>
      <c r="X1366">
        <v>1487</v>
      </c>
      <c r="Y1366" s="16">
        <f>VLOOKUP(Tabela1[[#This Row],[SKU]],SKU!A:D,4,0)</f>
        <v>2080</v>
      </c>
      <c r="Z1366" s="18">
        <f>IFERROR((Tabela1[[#This Row],[Média]]-Tabela1[[#This Row],[Meta]])/Tabela1[[#This Row],[Meta]],"")</f>
        <v>2.1009615384615297E-2</v>
      </c>
      <c r="AA1366" s="31">
        <f>Tabela1[[#This Row],[Média]]-Tabela1[[#This Row],[Meta]]</f>
        <v>43.699999999999818</v>
      </c>
      <c r="AB1366" s="6" t="str">
        <f>VLOOKUP(Tabela1[[#This Row],[SKU]],SKU!A:B,2,0)</f>
        <v>COXA SBCX S/O FG 260-280g PB</v>
      </c>
      <c r="AC1366" s="6" t="str">
        <f>VLOOKUP(Tabela1[[#This Row],[SKU]],SKU!A:C,3,0)</f>
        <v>PERNA</v>
      </c>
    </row>
    <row r="1367" spans="1:29" x14ac:dyDescent="0.25">
      <c r="A1367" s="2">
        <f>INT(Tabela1[[#This Row],[Data e Hora2]])</f>
        <v>46303</v>
      </c>
      <c r="B1367" s="6" t="str">
        <f>UPPER(TEXT(Tabela1[[#This Row],[Data Corrigida]],"MMM"))</f>
        <v>OUT</v>
      </c>
      <c r="C1367" t="s">
        <v>3047</v>
      </c>
      <c r="D1367" s="2" t="s">
        <v>3048</v>
      </c>
      <c r="E1367" s="1" t="s">
        <v>3037</v>
      </c>
      <c r="F1367" t="s">
        <v>24</v>
      </c>
      <c r="G1367" s="2" t="s">
        <v>3038</v>
      </c>
      <c r="H1367" t="s">
        <v>142</v>
      </c>
      <c r="I1367" t="s">
        <v>462</v>
      </c>
      <c r="J1367" s="6">
        <v>42862</v>
      </c>
      <c r="K1367" s="16">
        <v>2033</v>
      </c>
      <c r="L1367" s="16">
        <v>2061</v>
      </c>
      <c r="M1367" s="16">
        <v>2039</v>
      </c>
      <c r="N1367" s="16">
        <v>2033</v>
      </c>
      <c r="O1367" s="16">
        <v>2073</v>
      </c>
      <c r="P1367" s="16">
        <v>2004</v>
      </c>
      <c r="Q1367" s="16">
        <v>2091</v>
      </c>
      <c r="R1367" s="16">
        <v>2053</v>
      </c>
      <c r="S1367" s="16">
        <v>2047</v>
      </c>
      <c r="T1367" s="16">
        <v>2053</v>
      </c>
      <c r="U1367" s="15">
        <v>2048.6999999999998</v>
      </c>
      <c r="V1367" t="s">
        <v>19</v>
      </c>
      <c r="W1367" t="s">
        <v>28</v>
      </c>
      <c r="X1367">
        <v>1671</v>
      </c>
      <c r="Y1367" s="16">
        <f>VLOOKUP(Tabela1[[#This Row],[SKU]],SKU!A:D,4,0)</f>
        <v>2000</v>
      </c>
      <c r="Z1367" s="18">
        <f>IFERROR((Tabela1[[#This Row],[Média]]-Tabela1[[#This Row],[Meta]])/Tabela1[[#This Row],[Meta]],"")</f>
        <v>2.434999999999991E-2</v>
      </c>
      <c r="AA1367" s="31">
        <f>Tabela1[[#This Row],[Média]]-Tabela1[[#This Row],[Meta]]</f>
        <v>48.699999999999818</v>
      </c>
      <c r="AB1367" s="6" t="str">
        <f>VLOOKUP(Tabela1[[#This Row],[SKU]],SKU!A:B,2,0)</f>
        <v>COXA SBCX S/O FG 280-300g PB</v>
      </c>
      <c r="AC1367" s="6" t="str">
        <f>VLOOKUP(Tabela1[[#This Row],[SKU]],SKU!A:C,3,0)</f>
        <v>PERNA</v>
      </c>
    </row>
    <row r="1368" spans="1:29" x14ac:dyDescent="0.25">
      <c r="A1368" s="2">
        <f>INT(Tabela1[[#This Row],[Data e Hora2]])</f>
        <v>46303</v>
      </c>
      <c r="B1368" s="6" t="str">
        <f>UPPER(TEXT(Tabela1[[#This Row],[Data Corrigida]],"MMM"))</f>
        <v>OUT</v>
      </c>
      <c r="C1368" t="s">
        <v>3049</v>
      </c>
      <c r="D1368" s="2" t="s">
        <v>3050</v>
      </c>
      <c r="E1368" s="1" t="s">
        <v>3051</v>
      </c>
      <c r="F1368" t="s">
        <v>24</v>
      </c>
      <c r="G1368" s="2" t="s">
        <v>3038</v>
      </c>
      <c r="H1368" t="s">
        <v>142</v>
      </c>
      <c r="I1368" t="s">
        <v>462</v>
      </c>
      <c r="J1368" s="6">
        <v>43784</v>
      </c>
      <c r="K1368" s="16">
        <v>999</v>
      </c>
      <c r="L1368" s="16">
        <v>998</v>
      </c>
      <c r="M1368" s="16">
        <v>1000</v>
      </c>
      <c r="N1368" s="16">
        <v>999</v>
      </c>
      <c r="O1368" s="16">
        <v>995</v>
      </c>
      <c r="P1368" s="16">
        <v>998</v>
      </c>
      <c r="Q1368" s="16">
        <v>999</v>
      </c>
      <c r="R1368" s="16">
        <v>1000</v>
      </c>
      <c r="S1368" s="16">
        <v>1002</v>
      </c>
      <c r="T1368" s="16">
        <v>1000</v>
      </c>
      <c r="U1368" s="15">
        <v>999</v>
      </c>
      <c r="V1368" t="s">
        <v>19</v>
      </c>
      <c r="W1368" t="s">
        <v>28</v>
      </c>
      <c r="X1368">
        <v>11411</v>
      </c>
      <c r="Y1368" s="16">
        <f>VLOOKUP(Tabela1[[#This Row],[SKU]],SKU!A:D,4,0)</f>
        <v>1000</v>
      </c>
      <c r="Z1368" s="18">
        <f>IFERROR((Tabela1[[#This Row],[Média]]-Tabela1[[#This Row],[Meta]])/Tabela1[[#This Row],[Meta]],"")</f>
        <v>-1E-3</v>
      </c>
      <c r="AA1368" s="31">
        <f>Tabela1[[#This Row],[Média]]-Tabela1[[#This Row],[Meta]]</f>
        <v>-1</v>
      </c>
      <c r="AB1368" s="6" t="str">
        <f>VLOOKUP(Tabela1[[#This Row],[SKU]],SKU!A:B,2,0)</f>
        <v>CARTILAGEM PEITO FG PB</v>
      </c>
      <c r="AC1368" s="6" t="str">
        <f>VLOOKUP(Tabela1[[#This Row],[SKU]],SKU!A:C,3,0)</f>
        <v>CARTILAGEM PEITO</v>
      </c>
    </row>
    <row r="1369" spans="1:29" x14ac:dyDescent="0.25">
      <c r="A1369" s="2">
        <f>INT(Tabela1[[#This Row],[Data e Hora2]])</f>
        <v>46303</v>
      </c>
      <c r="B1369" s="6" t="str">
        <f>UPPER(TEXT(Tabela1[[#This Row],[Data Corrigida]],"MMM"))</f>
        <v>OUT</v>
      </c>
      <c r="C1369" t="s">
        <v>3052</v>
      </c>
      <c r="D1369" s="2" t="s">
        <v>3053</v>
      </c>
      <c r="E1369" s="1" t="s">
        <v>3051</v>
      </c>
      <c r="F1369" t="s">
        <v>24</v>
      </c>
      <c r="G1369" s="2" t="s">
        <v>3038</v>
      </c>
      <c r="H1369" t="s">
        <v>142</v>
      </c>
      <c r="I1369" t="s">
        <v>462</v>
      </c>
      <c r="J1369" s="6">
        <v>992014</v>
      </c>
      <c r="K1369" s="16">
        <v>669</v>
      </c>
      <c r="L1369" s="16">
        <v>668</v>
      </c>
      <c r="M1369" s="16">
        <v>700</v>
      </c>
      <c r="N1369" s="16">
        <v>665</v>
      </c>
      <c r="O1369" s="16">
        <v>669</v>
      </c>
      <c r="P1369" s="16">
        <v>668</v>
      </c>
      <c r="Q1369" s="16">
        <v>700</v>
      </c>
      <c r="R1369" s="16">
        <v>663</v>
      </c>
      <c r="S1369" s="16">
        <v>668</v>
      </c>
      <c r="T1369" s="16">
        <v>669</v>
      </c>
      <c r="U1369" s="15">
        <v>673.9</v>
      </c>
      <c r="V1369" t="s">
        <v>19</v>
      </c>
      <c r="W1369" t="s">
        <v>28</v>
      </c>
      <c r="X1369">
        <v>11552</v>
      </c>
      <c r="Y1369" s="16">
        <f>VLOOKUP(Tabela1[[#This Row],[SKU]],SKU!A:D,4,0)</f>
        <v>700</v>
      </c>
      <c r="Z1369" s="18">
        <f>IFERROR((Tabela1[[#This Row],[Média]]-Tabela1[[#This Row],[Meta]])/Tabela1[[#This Row],[Meta]],"")</f>
        <v>-3.7285714285714318E-2</v>
      </c>
      <c r="AA1369" s="31">
        <f>Tabela1[[#This Row],[Média]]-Tabela1[[#This Row],[Meta]]</f>
        <v>-26.100000000000023</v>
      </c>
      <c r="AB1369" s="6" t="str">
        <f>VLOOKUP(Tabela1[[#This Row],[SKU]],SKU!A:B,2,0)</f>
        <v>OSTRINHA CG PCT 700G SWIFT</v>
      </c>
      <c r="AC1369" s="6" t="str">
        <f>VLOOKUP(Tabela1[[#This Row],[SKU]],SKU!A:C,3,0)</f>
        <v>PERNA</v>
      </c>
    </row>
    <row r="1370" spans="1:29" x14ac:dyDescent="0.25">
      <c r="A1370" s="2">
        <f>INT(Tabela1[[#This Row],[Data e Hora2]])</f>
        <v>46303</v>
      </c>
      <c r="B1370" s="6" t="str">
        <f>UPPER(TEXT(Tabela1[[#This Row],[Data Corrigida]],"MMM"))</f>
        <v>OUT</v>
      </c>
      <c r="C1370" t="s">
        <v>3054</v>
      </c>
      <c r="D1370" s="2" t="s">
        <v>3055</v>
      </c>
      <c r="E1370" s="1" t="s">
        <v>3056</v>
      </c>
      <c r="F1370" t="s">
        <v>24</v>
      </c>
      <c r="G1370" s="2" t="s">
        <v>3038</v>
      </c>
      <c r="H1370" t="s">
        <v>142</v>
      </c>
      <c r="I1370" t="s">
        <v>462</v>
      </c>
      <c r="J1370" s="6">
        <v>197734</v>
      </c>
      <c r="K1370" s="16">
        <v>1020</v>
      </c>
      <c r="L1370" s="16">
        <v>1028</v>
      </c>
      <c r="M1370" s="16">
        <v>1019</v>
      </c>
      <c r="N1370" s="16">
        <v>1018</v>
      </c>
      <c r="O1370" s="16">
        <v>1019</v>
      </c>
      <c r="P1370" s="16">
        <v>1023</v>
      </c>
      <c r="Q1370" s="16">
        <v>1020</v>
      </c>
      <c r="R1370" s="16">
        <v>1057</v>
      </c>
      <c r="S1370" s="16">
        <v>1022</v>
      </c>
      <c r="T1370" s="16">
        <v>1022</v>
      </c>
      <c r="U1370" s="15">
        <v>1024.8</v>
      </c>
      <c r="V1370" t="s">
        <v>19</v>
      </c>
      <c r="W1370" t="s">
        <v>28</v>
      </c>
      <c r="X1370">
        <v>130</v>
      </c>
      <c r="Y1370" s="16">
        <f>VLOOKUP(Tabela1[[#This Row],[SKU]],SKU!A:D,4,0)</f>
        <v>1000</v>
      </c>
      <c r="Z1370" s="18">
        <f>IFERROR((Tabela1[[#This Row],[Média]]-Tabela1[[#This Row],[Meta]])/Tabela1[[#This Row],[Meta]],"")</f>
        <v>2.4799999999999954E-2</v>
      </c>
      <c r="AA1370" s="31">
        <f>Tabela1[[#This Row],[Média]]-Tabela1[[#This Row],[Meta]]</f>
        <v>24.799999999999955</v>
      </c>
      <c r="AB1370" s="6" t="str">
        <f>VLOOKUP(Tabela1[[#This Row],[SKU]],SKU!A:B,2,0)</f>
        <v>FILEZINHO FRANGO IQF ALM SE</v>
      </c>
      <c r="AC1370" s="6" t="str">
        <f>VLOOKUP(Tabela1[[#This Row],[SKU]],SKU!A:C,3,0)</f>
        <v>SASSAMI</v>
      </c>
    </row>
    <row r="1371" spans="1:29" x14ac:dyDescent="0.25">
      <c r="A1371" s="2">
        <f>INT(Tabela1[[#This Row],[Data e Hora2]])</f>
        <v>46302</v>
      </c>
      <c r="B1371" s="6" t="str">
        <f>UPPER(TEXT(Tabela1[[#This Row],[Data Corrigida]],"MMM"))</f>
        <v>OUT</v>
      </c>
      <c r="C1371" t="s">
        <v>3057</v>
      </c>
      <c r="D1371" s="2" t="s">
        <v>3058</v>
      </c>
      <c r="E1371" s="1" t="s">
        <v>3059</v>
      </c>
      <c r="F1371" t="s">
        <v>24</v>
      </c>
      <c r="G1371" s="2" t="s">
        <v>3060</v>
      </c>
      <c r="H1371" t="s">
        <v>142</v>
      </c>
      <c r="I1371" t="s">
        <v>462</v>
      </c>
      <c r="J1371" s="6">
        <v>992014</v>
      </c>
      <c r="K1371" s="16">
        <v>700</v>
      </c>
      <c r="L1371" s="16">
        <v>699</v>
      </c>
      <c r="M1371" s="16">
        <v>698</v>
      </c>
      <c r="N1371" s="16">
        <v>699</v>
      </c>
      <c r="O1371" s="16">
        <v>696</v>
      </c>
      <c r="P1371" s="16">
        <v>698</v>
      </c>
      <c r="Q1371" s="16">
        <v>700</v>
      </c>
      <c r="R1371" s="16">
        <v>698</v>
      </c>
      <c r="S1371" s="16">
        <v>699</v>
      </c>
      <c r="T1371" s="16">
        <v>700</v>
      </c>
      <c r="U1371" s="15">
        <v>698.7</v>
      </c>
      <c r="V1371" t="s">
        <v>19</v>
      </c>
      <c r="W1371" t="s">
        <v>28</v>
      </c>
      <c r="X1371">
        <v>75715</v>
      </c>
      <c r="Y1371" s="16">
        <f>VLOOKUP(Tabela1[[#This Row],[SKU]],SKU!A:D,4,0)</f>
        <v>700</v>
      </c>
      <c r="Z1371" s="18">
        <f>IFERROR((Tabela1[[#This Row],[Média]]-Tabela1[[#This Row],[Meta]])/Tabela1[[#This Row],[Meta]],"")</f>
        <v>-1.8571428571427923E-3</v>
      </c>
      <c r="AA1371" s="31">
        <f>Tabela1[[#This Row],[Média]]-Tabela1[[#This Row],[Meta]]</f>
        <v>-1.2999999999999545</v>
      </c>
      <c r="AB1371" s="6" t="str">
        <f>VLOOKUP(Tabela1[[#This Row],[SKU]],SKU!A:B,2,0)</f>
        <v>OSTRINHA CG PCT 700G SWIFT</v>
      </c>
      <c r="AC1371" s="6" t="str">
        <f>VLOOKUP(Tabela1[[#This Row],[SKU]],SKU!A:C,3,0)</f>
        <v>PERNA</v>
      </c>
    </row>
    <row r="1372" spans="1:29" x14ac:dyDescent="0.25">
      <c r="A1372" s="2">
        <f>INT(Tabela1[[#This Row],[Data e Hora2]])</f>
        <v>46302</v>
      </c>
      <c r="B1372" s="6" t="str">
        <f>UPPER(TEXT(Tabela1[[#This Row],[Data Corrigida]],"MMM"))</f>
        <v>OUT</v>
      </c>
      <c r="C1372" t="s">
        <v>3061</v>
      </c>
      <c r="D1372" s="2" t="s">
        <v>3062</v>
      </c>
      <c r="E1372" s="1" t="s">
        <v>3063</v>
      </c>
      <c r="F1372" t="s">
        <v>24</v>
      </c>
      <c r="G1372" s="2" t="s">
        <v>3060</v>
      </c>
      <c r="H1372" t="s">
        <v>142</v>
      </c>
      <c r="I1372" t="s">
        <v>462</v>
      </c>
      <c r="J1372" s="6">
        <v>43784</v>
      </c>
      <c r="K1372" s="16">
        <v>1000</v>
      </c>
      <c r="L1372" s="16">
        <v>999</v>
      </c>
      <c r="M1372" s="16">
        <v>997</v>
      </c>
      <c r="N1372" s="16">
        <v>999</v>
      </c>
      <c r="O1372" s="16">
        <v>1000</v>
      </c>
      <c r="P1372" s="16">
        <v>998</v>
      </c>
      <c r="Q1372" s="16">
        <v>996</v>
      </c>
      <c r="R1372" s="16">
        <v>999</v>
      </c>
      <c r="S1372" s="16">
        <v>996</v>
      </c>
      <c r="T1372" s="16">
        <v>999</v>
      </c>
      <c r="U1372" s="15">
        <v>998.3</v>
      </c>
      <c r="V1372" t="s">
        <v>19</v>
      </c>
      <c r="W1372" t="s">
        <v>28</v>
      </c>
      <c r="X1372">
        <v>75514</v>
      </c>
      <c r="Y1372" s="16">
        <f>VLOOKUP(Tabela1[[#This Row],[SKU]],SKU!A:D,4,0)</f>
        <v>1000</v>
      </c>
      <c r="Z1372" s="18">
        <f>IFERROR((Tabela1[[#This Row],[Média]]-Tabela1[[#This Row],[Meta]])/Tabela1[[#This Row],[Meta]],"")</f>
        <v>-1.7000000000000454E-3</v>
      </c>
      <c r="AA1372" s="31">
        <f>Tabela1[[#This Row],[Média]]-Tabela1[[#This Row],[Meta]]</f>
        <v>-1.7000000000000455</v>
      </c>
      <c r="AB1372" s="6" t="str">
        <f>VLOOKUP(Tabela1[[#This Row],[SKU]],SKU!A:B,2,0)</f>
        <v>CARTILAGEM PEITO FG PB</v>
      </c>
      <c r="AC1372" s="6" t="str">
        <f>VLOOKUP(Tabela1[[#This Row],[SKU]],SKU!A:C,3,0)</f>
        <v>CARTILAGEM PEITO</v>
      </c>
    </row>
    <row r="1373" spans="1:29" x14ac:dyDescent="0.25">
      <c r="A1373" s="2">
        <f>INT(Tabela1[[#This Row],[Data e Hora2]])</f>
        <v>46303</v>
      </c>
      <c r="B1373" s="6" t="str">
        <f>UPPER(TEXT(Tabela1[[#This Row],[Data Corrigida]],"MMM"))</f>
        <v>OUT</v>
      </c>
      <c r="C1373" t="s">
        <v>3064</v>
      </c>
      <c r="D1373" s="2" t="s">
        <v>3065</v>
      </c>
      <c r="E1373" s="1" t="s">
        <v>3066</v>
      </c>
      <c r="F1373" t="s">
        <v>24</v>
      </c>
      <c r="G1373" s="2" t="s">
        <v>3038</v>
      </c>
      <c r="H1373" t="s">
        <v>142</v>
      </c>
      <c r="I1373" t="s">
        <v>462</v>
      </c>
      <c r="J1373" s="6">
        <v>15105</v>
      </c>
      <c r="K1373" s="16">
        <v>1022</v>
      </c>
      <c r="L1373" s="16">
        <v>1036</v>
      </c>
      <c r="M1373" s="16">
        <v>1000</v>
      </c>
      <c r="N1373" s="16">
        <v>1002</v>
      </c>
      <c r="O1373" s="16">
        <v>1026</v>
      </c>
      <c r="P1373" s="16">
        <v>1011</v>
      </c>
      <c r="Q1373" s="16">
        <v>991</v>
      </c>
      <c r="R1373" s="16">
        <v>1014</v>
      </c>
      <c r="S1373" s="16">
        <v>1021</v>
      </c>
      <c r="T1373" s="16">
        <v>1017</v>
      </c>
      <c r="U1373" s="15">
        <v>1014</v>
      </c>
      <c r="V1373" t="s">
        <v>19</v>
      </c>
      <c r="W1373" t="s">
        <v>28</v>
      </c>
      <c r="X1373">
        <v>215</v>
      </c>
      <c r="Y1373" s="16">
        <f>VLOOKUP(Tabela1[[#This Row],[SKU]],SKU!A:D,4,0)</f>
        <v>1000</v>
      </c>
      <c r="Z1373" s="18">
        <f>IFERROR((Tabela1[[#This Row],[Média]]-Tabela1[[#This Row],[Meta]])/Tabela1[[#This Row],[Meta]],"")</f>
        <v>1.4E-2</v>
      </c>
      <c r="AA1373" s="31">
        <f>Tabela1[[#This Row],[Média]]-Tabela1[[#This Row],[Meta]]</f>
        <v>14</v>
      </c>
      <c r="AB1373" s="6" t="str">
        <f>VLOOKUP(Tabela1[[#This Row],[SKU]],SKU!A:B,2,0)</f>
        <v>FILE PEITO MET CG BDJ SE</v>
      </c>
      <c r="AC1373" s="6" t="str">
        <f>VLOOKUP(Tabela1[[#This Row],[SKU]],SKU!A:C,3,0)</f>
        <v>PEITO</v>
      </c>
    </row>
    <row r="1374" spans="1:29" x14ac:dyDescent="0.25">
      <c r="A1374" s="2">
        <f>INT(Tabela1[[#This Row],[Data e Hora2]])</f>
        <v>46302</v>
      </c>
      <c r="B1374" s="6" t="str">
        <f>UPPER(TEXT(Tabela1[[#This Row],[Data Corrigida]],"MMM"))</f>
        <v>OUT</v>
      </c>
      <c r="C1374" t="s">
        <v>3067</v>
      </c>
      <c r="D1374" s="2" t="s">
        <v>3068</v>
      </c>
      <c r="E1374" s="1" t="s">
        <v>3066</v>
      </c>
      <c r="F1374" t="s">
        <v>24</v>
      </c>
      <c r="G1374" s="2" t="s">
        <v>3060</v>
      </c>
      <c r="H1374" t="s">
        <v>142</v>
      </c>
      <c r="I1374" t="s">
        <v>462</v>
      </c>
      <c r="J1374" s="6">
        <v>15105</v>
      </c>
      <c r="K1374" s="16">
        <v>995</v>
      </c>
      <c r="L1374" s="16">
        <v>1014</v>
      </c>
      <c r="M1374" s="16">
        <v>1044</v>
      </c>
      <c r="N1374" s="16">
        <v>1040</v>
      </c>
      <c r="O1374" s="16">
        <v>994</v>
      </c>
      <c r="P1374" s="16">
        <v>1019</v>
      </c>
      <c r="Q1374" s="16">
        <v>1016</v>
      </c>
      <c r="R1374" s="16">
        <v>1041</v>
      </c>
      <c r="S1374" s="16">
        <v>1000</v>
      </c>
      <c r="T1374" s="16">
        <v>998</v>
      </c>
      <c r="U1374" s="15">
        <v>1016.1</v>
      </c>
      <c r="V1374" t="s">
        <v>19</v>
      </c>
      <c r="W1374" t="s">
        <v>28</v>
      </c>
      <c r="X1374">
        <v>205</v>
      </c>
      <c r="Y1374" s="16">
        <f>VLOOKUP(Tabela1[[#This Row],[SKU]],SKU!A:D,4,0)</f>
        <v>1000</v>
      </c>
      <c r="Z1374" s="18">
        <f>IFERROR((Tabela1[[#This Row],[Média]]-Tabela1[[#This Row],[Meta]])/Tabela1[[#This Row],[Meta]],"")</f>
        <v>1.6100000000000024E-2</v>
      </c>
      <c r="AA1374" s="31">
        <f>Tabela1[[#This Row],[Média]]-Tabela1[[#This Row],[Meta]]</f>
        <v>16.100000000000023</v>
      </c>
      <c r="AB1374" s="6" t="str">
        <f>VLOOKUP(Tabela1[[#This Row],[SKU]],SKU!A:B,2,0)</f>
        <v>FILE PEITO MET CG BDJ SE</v>
      </c>
      <c r="AC1374" s="6" t="str">
        <f>VLOOKUP(Tabela1[[#This Row],[SKU]],SKU!A:C,3,0)</f>
        <v>PEITO</v>
      </c>
    </row>
    <row r="1375" spans="1:29" x14ac:dyDescent="0.25">
      <c r="A1375" s="2">
        <f>INT(Tabela1[[#This Row],[Data e Hora2]])</f>
        <v>46302</v>
      </c>
      <c r="B1375" s="6" t="str">
        <f>UPPER(TEXT(Tabela1[[#This Row],[Data Corrigida]],"MMM"))</f>
        <v>OUT</v>
      </c>
      <c r="C1375" t="s">
        <v>3069</v>
      </c>
      <c r="D1375" s="2" t="s">
        <v>3070</v>
      </c>
      <c r="E1375" s="1" t="s">
        <v>3071</v>
      </c>
      <c r="F1375" t="s">
        <v>24</v>
      </c>
      <c r="G1375" s="2" t="s">
        <v>3060</v>
      </c>
      <c r="H1375" t="s">
        <v>26</v>
      </c>
      <c r="I1375" t="s">
        <v>27</v>
      </c>
      <c r="J1375" s="6">
        <v>992014</v>
      </c>
      <c r="K1375" s="16">
        <v>702</v>
      </c>
      <c r="L1375" s="16">
        <v>700</v>
      </c>
      <c r="M1375" s="16">
        <v>700</v>
      </c>
      <c r="N1375" s="16">
        <v>702</v>
      </c>
      <c r="O1375" s="16">
        <v>700</v>
      </c>
      <c r="P1375" s="16">
        <v>701</v>
      </c>
      <c r="Q1375" s="16">
        <v>703</v>
      </c>
      <c r="R1375" s="16">
        <v>700</v>
      </c>
      <c r="S1375" s="16">
        <v>705</v>
      </c>
      <c r="T1375" s="16">
        <v>706</v>
      </c>
      <c r="U1375" s="15">
        <v>701.9</v>
      </c>
      <c r="V1375" t="s">
        <v>19</v>
      </c>
      <c r="W1375" t="s">
        <v>28</v>
      </c>
      <c r="X1375">
        <v>4538</v>
      </c>
      <c r="Y1375" s="16">
        <f>VLOOKUP(Tabela1[[#This Row],[SKU]],SKU!A:D,4,0)</f>
        <v>700</v>
      </c>
      <c r="Z1375" s="18">
        <f>IFERROR((Tabela1[[#This Row],[Média]]-Tabela1[[#This Row],[Meta]])/Tabela1[[#This Row],[Meta]],"")</f>
        <v>2.7142857142856817E-3</v>
      </c>
      <c r="AA1375" s="31">
        <f>Tabela1[[#This Row],[Média]]-Tabela1[[#This Row],[Meta]]</f>
        <v>1.8999999999999773</v>
      </c>
      <c r="AB1375" s="6" t="str">
        <f>VLOOKUP(Tabela1[[#This Row],[SKU]],SKU!A:B,2,0)</f>
        <v>OSTRINHA CG PCT 700G SWIFT</v>
      </c>
      <c r="AC1375" s="6" t="str">
        <f>VLOOKUP(Tabela1[[#This Row],[SKU]],SKU!A:C,3,0)</f>
        <v>PERNA</v>
      </c>
    </row>
    <row r="1376" spans="1:29" x14ac:dyDescent="0.25">
      <c r="A1376" s="2">
        <f>INT(Tabela1[[#This Row],[Data e Hora2]])</f>
        <v>46302</v>
      </c>
      <c r="B1376" s="6" t="str">
        <f>UPPER(TEXT(Tabela1[[#This Row],[Data Corrigida]],"MMM"))</f>
        <v>OUT</v>
      </c>
      <c r="C1376" t="s">
        <v>3072</v>
      </c>
      <c r="D1376" s="2" t="s">
        <v>3073</v>
      </c>
      <c r="E1376" s="1" t="s">
        <v>3074</v>
      </c>
      <c r="F1376" t="s">
        <v>24</v>
      </c>
      <c r="G1376" s="2" t="s">
        <v>3060</v>
      </c>
      <c r="H1376" t="s">
        <v>26</v>
      </c>
      <c r="I1376" t="s">
        <v>27</v>
      </c>
      <c r="J1376" s="6">
        <v>995638</v>
      </c>
      <c r="K1376" s="16">
        <v>15015</v>
      </c>
      <c r="L1376" s="16">
        <v>15045</v>
      </c>
      <c r="M1376" s="16">
        <v>15040</v>
      </c>
      <c r="N1376" s="16">
        <v>15018</v>
      </c>
      <c r="O1376" s="16">
        <v>15020</v>
      </c>
      <c r="P1376" s="16">
        <v>15015</v>
      </c>
      <c r="Q1376" s="16">
        <v>15005</v>
      </c>
      <c r="R1376" s="16">
        <v>15030</v>
      </c>
      <c r="S1376" s="16">
        <v>14995</v>
      </c>
      <c r="T1376" s="16">
        <v>15010</v>
      </c>
      <c r="U1376" s="15">
        <v>15019.3</v>
      </c>
      <c r="V1376" t="s">
        <v>19</v>
      </c>
      <c r="W1376" t="s">
        <v>28</v>
      </c>
      <c r="X1376">
        <v>31082</v>
      </c>
      <c r="Y1376" s="16">
        <f>VLOOKUP(Tabela1[[#This Row],[SKU]],SKU!A:D,4,0)</f>
        <v>15000</v>
      </c>
      <c r="Z1376" s="18">
        <f>IFERROR((Tabela1[[#This Row],[Média]]-Tabela1[[#This Row],[Meta]])/Tabela1[[#This Row],[Meta]],"")</f>
        <v>1.2866666666666181E-3</v>
      </c>
      <c r="AA1376" s="31">
        <f>Tabela1[[#This Row],[Média]]-Tabela1[[#This Row],[Meta]]</f>
        <v>19.299999999999272</v>
      </c>
      <c r="AB1376" s="6" t="str">
        <f>VLOOKUP(Tabela1[[#This Row],[SKU]],SKU!A:B,2,0)</f>
        <v>MEIO DA ASA 40-50G LP</v>
      </c>
      <c r="AC1376" s="6" t="str">
        <f>VLOOKUP(Tabela1[[#This Row],[SKU]],SKU!A:C,3,0)</f>
        <v>ASA</v>
      </c>
    </row>
    <row r="1377" spans="1:29" x14ac:dyDescent="0.25">
      <c r="A1377" s="2">
        <f>INT(Tabela1[[#This Row],[Data e Hora2]])</f>
        <v>46302</v>
      </c>
      <c r="B1377" s="6" t="str">
        <f>UPPER(TEXT(Tabela1[[#This Row],[Data Corrigida]],"MMM"))</f>
        <v>OUT</v>
      </c>
      <c r="C1377" t="s">
        <v>3075</v>
      </c>
      <c r="D1377" s="2" t="s">
        <v>3076</v>
      </c>
      <c r="E1377" s="1" t="s">
        <v>3077</v>
      </c>
      <c r="F1377" t="s">
        <v>24</v>
      </c>
      <c r="G1377" s="2" t="s">
        <v>3060</v>
      </c>
      <c r="H1377" t="s">
        <v>26</v>
      </c>
      <c r="I1377" t="s">
        <v>27</v>
      </c>
      <c r="J1377" s="6">
        <v>963925</v>
      </c>
      <c r="K1377" s="16">
        <v>18250</v>
      </c>
      <c r="L1377" s="16">
        <v>18205</v>
      </c>
      <c r="M1377" s="16">
        <v>18195</v>
      </c>
      <c r="N1377" s="16">
        <v>18010</v>
      </c>
      <c r="O1377" s="16">
        <v>18045</v>
      </c>
      <c r="P1377" s="16">
        <v>18105</v>
      </c>
      <c r="Q1377" s="16">
        <v>18155</v>
      </c>
      <c r="R1377" s="16">
        <v>18140</v>
      </c>
      <c r="S1377" s="16">
        <v>18170</v>
      </c>
      <c r="T1377" s="16">
        <v>18000</v>
      </c>
      <c r="U1377" s="15">
        <v>18127.5</v>
      </c>
      <c r="V1377" t="s">
        <v>19</v>
      </c>
      <c r="W1377" t="s">
        <v>28</v>
      </c>
      <c r="X1377">
        <v>4210</v>
      </c>
      <c r="Y1377" s="16">
        <f>VLOOKUP(Tabela1[[#This Row],[SKU]],SKU!A:D,4,0)</f>
        <v>18000</v>
      </c>
      <c r="Z1377" s="18">
        <f>IFERROR((Tabela1[[#This Row],[Média]]-Tabela1[[#This Row],[Meta]])/Tabela1[[#This Row],[Meta]],"")</f>
        <v>7.083333333333333E-3</v>
      </c>
      <c r="AA1377" s="31">
        <f>Tabela1[[#This Row],[Média]]-Tabela1[[#This Row],[Meta]]</f>
        <v>127.5</v>
      </c>
      <c r="AB1377" s="6" t="str">
        <f>VLOOKUP(Tabela1[[#This Row],[SKU]],SKU!A:B,2,0)</f>
        <v>COXINHA DA ASA FG CG PCT</v>
      </c>
      <c r="AC1377" s="6" t="str">
        <f>VLOOKUP(Tabela1[[#This Row],[SKU]],SKU!A:C,3,0)</f>
        <v>ASA</v>
      </c>
    </row>
    <row r="1378" spans="1:29" x14ac:dyDescent="0.25">
      <c r="A1378" s="2">
        <f>INT(Tabela1[[#This Row],[Data e Hora2]])</f>
        <v>46302</v>
      </c>
      <c r="B1378" s="6" t="str">
        <f>UPPER(TEXT(Tabela1[[#This Row],[Data Corrigida]],"MMM"))</f>
        <v>OUT</v>
      </c>
      <c r="C1378" t="s">
        <v>3078</v>
      </c>
      <c r="D1378" s="2" t="s">
        <v>3079</v>
      </c>
      <c r="E1378" s="1" t="s">
        <v>3077</v>
      </c>
      <c r="F1378" t="s">
        <v>24</v>
      </c>
      <c r="G1378" s="2" t="s">
        <v>3060</v>
      </c>
      <c r="H1378" t="s">
        <v>26</v>
      </c>
      <c r="I1378" t="s">
        <v>27</v>
      </c>
      <c r="J1378" s="6">
        <v>209069</v>
      </c>
      <c r="K1378" s="16">
        <v>1095</v>
      </c>
      <c r="L1378" s="16">
        <v>1099</v>
      </c>
      <c r="M1378" s="16">
        <v>1092</v>
      </c>
      <c r="N1378" s="16">
        <v>1000</v>
      </c>
      <c r="O1378" s="16">
        <v>1006</v>
      </c>
      <c r="P1378" s="16">
        <v>1000</v>
      </c>
      <c r="Q1378" s="16">
        <v>1000</v>
      </c>
      <c r="R1378" s="16">
        <v>1073</v>
      </c>
      <c r="S1378" s="16">
        <v>1078</v>
      </c>
      <c r="T1378" s="16">
        <v>1074</v>
      </c>
      <c r="U1378" s="15">
        <v>1051.7</v>
      </c>
      <c r="V1378" t="s">
        <v>19</v>
      </c>
      <c r="W1378" t="s">
        <v>28</v>
      </c>
      <c r="X1378">
        <v>5022</v>
      </c>
      <c r="Y1378" s="16">
        <f>VLOOKUP(Tabela1[[#This Row],[SKU]],SKU!A:D,4,0)</f>
        <v>1000</v>
      </c>
      <c r="Z1378" s="18">
        <f>IFERROR((Tabela1[[#This Row],[Média]]-Tabela1[[#This Row],[Meta]])/Tabela1[[#This Row],[Meta]],"")</f>
        <v>5.1700000000000045E-2</v>
      </c>
      <c r="AA1378" s="31">
        <f>Tabela1[[#This Row],[Média]]-Tabela1[[#This Row],[Meta]]</f>
        <v>51.700000000000045</v>
      </c>
      <c r="AB1378" s="6" t="str">
        <f>VLOOKUP(Tabela1[[#This Row],[SKU]],SKU!A:B,2,0)</f>
        <v>FILE PEITO CG IQF1KG</v>
      </c>
      <c r="AC1378" s="6" t="str">
        <f>VLOOKUP(Tabela1[[#This Row],[SKU]],SKU!A:C,3,0)</f>
        <v>PEITO</v>
      </c>
    </row>
    <row r="1379" spans="1:29" x14ac:dyDescent="0.25">
      <c r="A1379" s="2">
        <f>INT(Tabela1[[#This Row],[Data e Hora2]])</f>
        <v>46302</v>
      </c>
      <c r="B1379" s="6" t="str">
        <f>UPPER(TEXT(Tabela1[[#This Row],[Data Corrigida]],"MMM"))</f>
        <v>OUT</v>
      </c>
      <c r="C1379" t="s">
        <v>3080</v>
      </c>
      <c r="D1379" s="2" t="s">
        <v>3081</v>
      </c>
      <c r="E1379" s="1" t="s">
        <v>3077</v>
      </c>
      <c r="F1379" t="s">
        <v>24</v>
      </c>
      <c r="G1379" s="2" t="s">
        <v>3060</v>
      </c>
      <c r="H1379" t="s">
        <v>26</v>
      </c>
      <c r="I1379" t="s">
        <v>27</v>
      </c>
      <c r="J1379" s="6">
        <v>209319</v>
      </c>
      <c r="K1379" s="16">
        <v>1051</v>
      </c>
      <c r="L1379" s="16">
        <v>1002</v>
      </c>
      <c r="M1379" s="16">
        <v>1001</v>
      </c>
      <c r="N1379" s="16">
        <v>1062</v>
      </c>
      <c r="O1379" s="16">
        <v>1014</v>
      </c>
      <c r="P1379" s="16">
        <v>1020</v>
      </c>
      <c r="Q1379" s="16">
        <v>1023</v>
      </c>
      <c r="R1379" s="16">
        <v>1027</v>
      </c>
      <c r="S1379" s="16">
        <v>1002</v>
      </c>
      <c r="T1379" s="16">
        <v>1037</v>
      </c>
      <c r="U1379" s="15">
        <v>1023.9</v>
      </c>
      <c r="V1379" t="s">
        <v>19</v>
      </c>
      <c r="W1379" t="s">
        <v>28</v>
      </c>
      <c r="X1379">
        <v>15158</v>
      </c>
      <c r="Y1379" s="16">
        <f>VLOOKUP(Tabela1[[#This Row],[SKU]],SKU!A:D,4,0)</f>
        <v>1000</v>
      </c>
      <c r="Z1379" s="18">
        <f>IFERROR((Tabela1[[#This Row],[Média]]-Tabela1[[#This Row],[Meta]])/Tabela1[[#This Row],[Meta]],"")</f>
        <v>2.3899999999999977E-2</v>
      </c>
      <c r="AA1379" s="31">
        <f>Tabela1[[#This Row],[Média]]-Tabela1[[#This Row],[Meta]]</f>
        <v>23.899999999999977</v>
      </c>
      <c r="AB1379" s="6" t="str">
        <f>VLOOKUP(Tabela1[[#This Row],[SKU]],SKU!A:B,2,0)</f>
        <v>SOBRECOXA IQF ALM 1KG</v>
      </c>
      <c r="AC1379" s="6" t="str">
        <f>VLOOKUP(Tabela1[[#This Row],[SKU]],SKU!A:C,3,0)</f>
        <v>PERNA</v>
      </c>
    </row>
    <row r="1380" spans="1:29" x14ac:dyDescent="0.25">
      <c r="A1380" s="2">
        <f>INT(Tabela1[[#This Row],[Data e Hora2]])</f>
        <v>46302</v>
      </c>
      <c r="B1380" s="6" t="str">
        <f>UPPER(TEXT(Tabela1[[#This Row],[Data Corrigida]],"MMM"))</f>
        <v>OUT</v>
      </c>
      <c r="C1380" t="s">
        <v>3082</v>
      </c>
      <c r="D1380" s="2" t="s">
        <v>3083</v>
      </c>
      <c r="E1380" s="1" t="s">
        <v>3077</v>
      </c>
      <c r="F1380" t="s">
        <v>24</v>
      </c>
      <c r="G1380" s="2" t="s">
        <v>3060</v>
      </c>
      <c r="H1380" t="s">
        <v>26</v>
      </c>
      <c r="I1380" t="s">
        <v>27</v>
      </c>
      <c r="J1380" s="6">
        <v>963925</v>
      </c>
      <c r="K1380" s="16">
        <v>18025</v>
      </c>
      <c r="L1380" s="16">
        <v>18330</v>
      </c>
      <c r="M1380" s="16">
        <v>18440</v>
      </c>
      <c r="N1380" s="16">
        <v>18425</v>
      </c>
      <c r="O1380" s="16">
        <v>18305</v>
      </c>
      <c r="P1380" s="16">
        <v>18020</v>
      </c>
      <c r="Q1380" s="16">
        <v>18055</v>
      </c>
      <c r="R1380" s="16">
        <v>18085</v>
      </c>
      <c r="S1380" s="16">
        <v>18110</v>
      </c>
      <c r="T1380" s="16">
        <v>18095</v>
      </c>
      <c r="U1380" s="15">
        <v>18189</v>
      </c>
      <c r="V1380" t="s">
        <v>19</v>
      </c>
      <c r="W1380" t="s">
        <v>28</v>
      </c>
      <c r="X1380">
        <v>16103</v>
      </c>
      <c r="Y1380" s="16">
        <f>VLOOKUP(Tabela1[[#This Row],[SKU]],SKU!A:D,4,0)</f>
        <v>18000</v>
      </c>
      <c r="Z1380" s="18">
        <f>IFERROR((Tabela1[[#This Row],[Média]]-Tabela1[[#This Row],[Meta]])/Tabela1[[#This Row],[Meta]],"")</f>
        <v>1.0500000000000001E-2</v>
      </c>
      <c r="AA1380" s="31">
        <f>Tabela1[[#This Row],[Média]]-Tabela1[[#This Row],[Meta]]</f>
        <v>189</v>
      </c>
      <c r="AB1380" s="6" t="str">
        <f>VLOOKUP(Tabela1[[#This Row],[SKU]],SKU!A:B,2,0)</f>
        <v>COXINHA DA ASA FG CG PCT</v>
      </c>
      <c r="AC1380" s="6" t="str">
        <f>VLOOKUP(Tabela1[[#This Row],[SKU]],SKU!A:C,3,0)</f>
        <v>ASA</v>
      </c>
    </row>
    <row r="1381" spans="1:29" x14ac:dyDescent="0.25">
      <c r="A1381" s="2">
        <f>INT(Tabela1[[#This Row],[Data e Hora2]])</f>
        <v>46302</v>
      </c>
      <c r="B1381" s="6" t="str">
        <f>UPPER(TEXT(Tabela1[[#This Row],[Data Corrigida]],"MMM"))</f>
        <v>OUT</v>
      </c>
      <c r="C1381" t="s">
        <v>3084</v>
      </c>
      <c r="D1381" s="2" t="s">
        <v>3085</v>
      </c>
      <c r="E1381" s="1" t="s">
        <v>3077</v>
      </c>
      <c r="F1381" t="s">
        <v>24</v>
      </c>
      <c r="G1381" s="2" t="s">
        <v>3060</v>
      </c>
      <c r="H1381" t="s">
        <v>26</v>
      </c>
      <c r="I1381" t="s">
        <v>27</v>
      </c>
      <c r="J1381" s="6">
        <v>40762</v>
      </c>
      <c r="K1381" s="16">
        <v>10040</v>
      </c>
      <c r="L1381" s="16">
        <v>9985</v>
      </c>
      <c r="M1381" s="16">
        <v>10035</v>
      </c>
      <c r="N1381" s="16">
        <v>10000</v>
      </c>
      <c r="O1381" s="16">
        <v>10025</v>
      </c>
      <c r="P1381" s="16">
        <v>10115</v>
      </c>
      <c r="Q1381" s="16">
        <v>10005</v>
      </c>
      <c r="R1381" s="16">
        <v>10100</v>
      </c>
      <c r="S1381" s="16">
        <v>10055</v>
      </c>
      <c r="T1381" s="16">
        <v>9965</v>
      </c>
      <c r="U1381" s="15">
        <v>10032.5</v>
      </c>
      <c r="V1381" t="s">
        <v>19</v>
      </c>
      <c r="W1381" t="s">
        <v>28</v>
      </c>
      <c r="X1381">
        <v>176</v>
      </c>
      <c r="Y1381" s="16">
        <f>VLOOKUP(Tabela1[[#This Row],[SKU]],SKU!A:D,4,0)</f>
        <v>10000</v>
      </c>
      <c r="Z1381" s="18">
        <f>IFERROR((Tabela1[[#This Row],[Média]]-Tabela1[[#This Row],[Meta]])/Tabela1[[#This Row],[Meta]],"")</f>
        <v>3.2499999999999999E-3</v>
      </c>
      <c r="AA1381" s="31">
        <f>Tabela1[[#This Row],[Média]]-Tabela1[[#This Row],[Meta]]</f>
        <v>32.5</v>
      </c>
      <c r="AB1381" s="6" t="str">
        <f>VLOOKUP(Tabela1[[#This Row],[SKU]],SKU!A:B,2,0)</f>
        <v>COXA SBCX LQ FG LP</v>
      </c>
      <c r="AC1381" s="6" t="str">
        <f>VLOOKUP(Tabela1[[#This Row],[SKU]],SKU!A:C,3,0)</f>
        <v>PERNA</v>
      </c>
    </row>
    <row r="1382" spans="1:29" x14ac:dyDescent="0.25">
      <c r="A1382" s="2">
        <f>INT(Tabela1[[#This Row],[Data e Hora2]])</f>
        <v>46302</v>
      </c>
      <c r="B1382" s="6" t="str">
        <f>UPPER(TEXT(Tabela1[[#This Row],[Data Corrigida]],"MMM"))</f>
        <v>OUT</v>
      </c>
      <c r="C1382" t="s">
        <v>3086</v>
      </c>
      <c r="D1382" s="2" t="s">
        <v>3087</v>
      </c>
      <c r="E1382" s="1" t="s">
        <v>3077</v>
      </c>
      <c r="F1382" t="s">
        <v>24</v>
      </c>
      <c r="G1382" s="2" t="s">
        <v>3060</v>
      </c>
      <c r="H1382" t="s">
        <v>26</v>
      </c>
      <c r="I1382" t="s">
        <v>27</v>
      </c>
      <c r="J1382" s="6">
        <v>40762</v>
      </c>
      <c r="K1382" s="16">
        <v>9985</v>
      </c>
      <c r="L1382" s="16">
        <v>10055</v>
      </c>
      <c r="M1382" s="16">
        <v>10005</v>
      </c>
      <c r="N1382" s="16">
        <v>9965</v>
      </c>
      <c r="O1382" s="16">
        <v>10050</v>
      </c>
      <c r="P1382" s="16">
        <v>9970</v>
      </c>
      <c r="Q1382" s="16">
        <v>10000</v>
      </c>
      <c r="R1382" s="16">
        <v>9975</v>
      </c>
      <c r="S1382" s="16">
        <v>10055</v>
      </c>
      <c r="T1382" s="16">
        <v>10025</v>
      </c>
      <c r="U1382" s="15">
        <v>10008.5</v>
      </c>
      <c r="V1382" t="s">
        <v>19</v>
      </c>
      <c r="W1382" t="s">
        <v>28</v>
      </c>
      <c r="X1382">
        <v>16589</v>
      </c>
      <c r="Y1382" s="16">
        <f>VLOOKUP(Tabela1[[#This Row],[SKU]],SKU!A:D,4,0)</f>
        <v>10000</v>
      </c>
      <c r="Z1382" s="18">
        <f>IFERROR((Tabela1[[#This Row],[Média]]-Tabela1[[#This Row],[Meta]])/Tabela1[[#This Row],[Meta]],"")</f>
        <v>8.4999999999999995E-4</v>
      </c>
      <c r="AA1382" s="31">
        <f>Tabela1[[#This Row],[Média]]-Tabela1[[#This Row],[Meta]]</f>
        <v>8.5</v>
      </c>
      <c r="AB1382" s="6" t="str">
        <f>VLOOKUP(Tabela1[[#This Row],[SKU]],SKU!A:B,2,0)</f>
        <v>COXA SBCX LQ FG LP</v>
      </c>
      <c r="AC1382" s="6" t="str">
        <f>VLOOKUP(Tabela1[[#This Row],[SKU]],SKU!A:C,3,0)</f>
        <v>PERNA</v>
      </c>
    </row>
    <row r="1383" spans="1:29" x14ac:dyDescent="0.25">
      <c r="A1383" s="2">
        <f>INT(Tabela1[[#This Row],[Data e Hora2]])</f>
        <v>46302</v>
      </c>
      <c r="B1383" s="6" t="str">
        <f>UPPER(TEXT(Tabela1[[#This Row],[Data Corrigida]],"MMM"))</f>
        <v>OUT</v>
      </c>
      <c r="C1383" t="s">
        <v>3088</v>
      </c>
      <c r="D1383" s="2" t="s">
        <v>3089</v>
      </c>
      <c r="E1383" s="1" t="s">
        <v>3077</v>
      </c>
      <c r="F1383" t="s">
        <v>24</v>
      </c>
      <c r="G1383" s="2" t="s">
        <v>3060</v>
      </c>
      <c r="H1383" t="s">
        <v>26</v>
      </c>
      <c r="I1383" t="s">
        <v>27</v>
      </c>
      <c r="J1383" s="6">
        <v>15105</v>
      </c>
      <c r="K1383" s="16">
        <v>1010</v>
      </c>
      <c r="L1383" s="16">
        <v>1049</v>
      </c>
      <c r="M1383" s="16">
        <v>1038</v>
      </c>
      <c r="N1383" s="16">
        <v>1017</v>
      </c>
      <c r="O1383" s="16">
        <v>1053</v>
      </c>
      <c r="P1383" s="16">
        <v>1004</v>
      </c>
      <c r="Q1383" s="16">
        <v>1014</v>
      </c>
      <c r="R1383" s="16">
        <v>1006</v>
      </c>
      <c r="S1383" s="16">
        <v>1003</v>
      </c>
      <c r="T1383" s="16">
        <v>1047</v>
      </c>
      <c r="U1383" s="15">
        <v>1024.0999999999999</v>
      </c>
      <c r="V1383" t="s">
        <v>19</v>
      </c>
      <c r="W1383" t="s">
        <v>19</v>
      </c>
      <c r="X1383">
        <v>16809</v>
      </c>
      <c r="Y1383" s="16">
        <f>VLOOKUP(Tabela1[[#This Row],[SKU]],SKU!A:D,4,0)</f>
        <v>1000</v>
      </c>
      <c r="Z1383" s="18">
        <f>IFERROR((Tabela1[[#This Row],[Média]]-Tabela1[[#This Row],[Meta]])/Tabela1[[#This Row],[Meta]],"")</f>
        <v>2.409999999999991E-2</v>
      </c>
      <c r="AA1383" s="31">
        <f>Tabela1[[#This Row],[Média]]-Tabela1[[#This Row],[Meta]]</f>
        <v>24.099999999999909</v>
      </c>
      <c r="AB1383" s="6" t="str">
        <f>VLOOKUP(Tabela1[[#This Row],[SKU]],SKU!A:B,2,0)</f>
        <v>FILE PEITO MET CG BDJ SE</v>
      </c>
      <c r="AC1383" s="6" t="str">
        <f>VLOOKUP(Tabela1[[#This Row],[SKU]],SKU!A:C,3,0)</f>
        <v>PEITO</v>
      </c>
    </row>
    <row r="1384" spans="1:29" x14ac:dyDescent="0.25">
      <c r="A1384" s="2">
        <f>INT(Tabela1[[#This Row],[Data e Hora2]])</f>
        <v>46302</v>
      </c>
      <c r="B1384" s="6" t="str">
        <f>UPPER(TEXT(Tabela1[[#This Row],[Data Corrigida]],"MMM"))</f>
        <v>OUT</v>
      </c>
      <c r="C1384" t="s">
        <v>3090</v>
      </c>
      <c r="D1384" s="2" t="s">
        <v>3091</v>
      </c>
      <c r="E1384" s="1" t="s">
        <v>3077</v>
      </c>
      <c r="F1384" t="s">
        <v>24</v>
      </c>
      <c r="G1384" s="2" t="s">
        <v>3060</v>
      </c>
      <c r="H1384" t="s">
        <v>26</v>
      </c>
      <c r="I1384" t="s">
        <v>27</v>
      </c>
      <c r="J1384" s="6">
        <v>42641</v>
      </c>
      <c r="K1384" s="16">
        <v>15000</v>
      </c>
      <c r="L1384" s="16">
        <v>15005</v>
      </c>
      <c r="M1384" s="16">
        <v>15045</v>
      </c>
      <c r="N1384" s="16">
        <v>15025</v>
      </c>
      <c r="O1384" s="16">
        <v>15025</v>
      </c>
      <c r="P1384" s="16">
        <v>15065</v>
      </c>
      <c r="Q1384" s="16">
        <v>15060</v>
      </c>
      <c r="R1384" s="16">
        <v>15040</v>
      </c>
      <c r="S1384" s="16">
        <v>15015</v>
      </c>
      <c r="T1384" s="16">
        <v>15055</v>
      </c>
      <c r="U1384" s="15">
        <v>15033.5</v>
      </c>
      <c r="V1384" t="s">
        <v>19</v>
      </c>
      <c r="W1384" t="s">
        <v>28</v>
      </c>
      <c r="X1384">
        <v>17096</v>
      </c>
      <c r="Y1384" s="16">
        <f>VLOOKUP(Tabela1[[#This Row],[SKU]],SKU!A:D,4,0)</f>
        <v>15000</v>
      </c>
      <c r="Z1384" s="18">
        <f>IFERROR((Tabela1[[#This Row],[Média]]-Tabela1[[#This Row],[Meta]])/Tabela1[[#This Row],[Meta]],"")</f>
        <v>2.2333333333333333E-3</v>
      </c>
      <c r="AA1384" s="31">
        <f>Tabela1[[#This Row],[Média]]-Tabela1[[#This Row],[Meta]]</f>
        <v>33.5</v>
      </c>
      <c r="AB1384" s="6" t="str">
        <f>VLOOKUP(Tabela1[[#This Row],[SKU]],SKU!A:B,2,0)</f>
        <v>ASAS FG 100g UP LP</v>
      </c>
      <c r="AC1384" s="6" t="str">
        <f>VLOOKUP(Tabela1[[#This Row],[SKU]],SKU!A:C,3,0)</f>
        <v>ASA</v>
      </c>
    </row>
    <row r="1385" spans="1:29" x14ac:dyDescent="0.25">
      <c r="A1385" s="2">
        <f>INT(Tabela1[[#This Row],[Data e Hora2]])</f>
        <v>46302</v>
      </c>
      <c r="B1385" s="6" t="str">
        <f>UPPER(TEXT(Tabela1[[#This Row],[Data Corrigida]],"MMM"))</f>
        <v>OUT</v>
      </c>
      <c r="C1385" t="s">
        <v>3092</v>
      </c>
      <c r="D1385" s="2" t="s">
        <v>3093</v>
      </c>
      <c r="E1385" s="1" t="s">
        <v>3077</v>
      </c>
      <c r="F1385" t="s">
        <v>24</v>
      </c>
      <c r="G1385" s="2" t="s">
        <v>3060</v>
      </c>
      <c r="H1385" t="s">
        <v>26</v>
      </c>
      <c r="I1385" t="s">
        <v>27</v>
      </c>
      <c r="J1385" s="6">
        <v>42820</v>
      </c>
      <c r="K1385" s="16">
        <v>2018</v>
      </c>
      <c r="L1385" s="16">
        <v>2048</v>
      </c>
      <c r="M1385" s="16">
        <v>2025</v>
      </c>
      <c r="N1385" s="16">
        <v>2028</v>
      </c>
      <c r="O1385" s="16">
        <v>2022</v>
      </c>
      <c r="P1385" s="16">
        <v>2018</v>
      </c>
      <c r="Q1385" s="16">
        <v>2024</v>
      </c>
      <c r="R1385" s="16">
        <v>2042</v>
      </c>
      <c r="S1385" s="16">
        <v>2040</v>
      </c>
      <c r="T1385" s="16">
        <v>2045</v>
      </c>
      <c r="U1385" s="15">
        <v>2031</v>
      </c>
      <c r="V1385" t="s">
        <v>19</v>
      </c>
      <c r="W1385" t="s">
        <v>19</v>
      </c>
      <c r="X1385">
        <v>19934</v>
      </c>
      <c r="Y1385" s="16">
        <f>VLOOKUP(Tabela1[[#This Row],[SKU]],SKU!A:D,4,0)</f>
        <v>2000</v>
      </c>
      <c r="Z1385" s="18">
        <f>IFERROR((Tabela1[[#This Row],[Média]]-Tabela1[[#This Row],[Meta]])/Tabela1[[#This Row],[Meta]],"")</f>
        <v>1.55E-2</v>
      </c>
      <c r="AA1385" s="31">
        <f>Tabela1[[#This Row],[Média]]-Tabela1[[#This Row],[Meta]]</f>
        <v>31</v>
      </c>
      <c r="AB1385" s="6" t="str">
        <f>VLOOKUP(Tabela1[[#This Row],[SKU]],SKU!A:B,2,0)</f>
        <v>COXA SBCX S/O FG 200-220g PB</v>
      </c>
      <c r="AC1385" s="6" t="str">
        <f>VLOOKUP(Tabela1[[#This Row],[SKU]],SKU!A:C,3,0)</f>
        <v>PERNA</v>
      </c>
    </row>
    <row r="1386" spans="1:29" x14ac:dyDescent="0.25">
      <c r="A1386" s="2">
        <f>INT(Tabela1[[#This Row],[Data e Hora2]])</f>
        <v>46302</v>
      </c>
      <c r="B1386" s="6" t="str">
        <f>UPPER(TEXT(Tabela1[[#This Row],[Data Corrigida]],"MMM"))</f>
        <v>OUT</v>
      </c>
      <c r="C1386" t="s">
        <v>3094</v>
      </c>
      <c r="D1386" s="2" t="s">
        <v>3095</v>
      </c>
      <c r="E1386" s="1" t="s">
        <v>3077</v>
      </c>
      <c r="F1386" t="s">
        <v>24</v>
      </c>
      <c r="G1386" s="2" t="s">
        <v>3060</v>
      </c>
      <c r="H1386" t="s">
        <v>26</v>
      </c>
      <c r="I1386" t="s">
        <v>27</v>
      </c>
      <c r="J1386" s="6">
        <v>42862</v>
      </c>
      <c r="K1386" s="16">
        <v>2038</v>
      </c>
      <c r="L1386" s="16">
        <v>2006</v>
      </c>
      <c r="M1386" s="16">
        <v>2008</v>
      </c>
      <c r="N1386" s="16">
        <v>2023</v>
      </c>
      <c r="O1386" s="16">
        <v>2013</v>
      </c>
      <c r="P1386" s="16">
        <v>2004</v>
      </c>
      <c r="Q1386" s="16">
        <v>2020</v>
      </c>
      <c r="R1386" s="16">
        <v>2012</v>
      </c>
      <c r="S1386" s="16">
        <v>2017</v>
      </c>
      <c r="T1386" s="16">
        <v>2023</v>
      </c>
      <c r="U1386" s="15">
        <v>2016.4</v>
      </c>
      <c r="V1386" t="s">
        <v>19</v>
      </c>
      <c r="W1386" t="s">
        <v>28</v>
      </c>
      <c r="X1386">
        <v>20049</v>
      </c>
      <c r="Y1386" s="16">
        <f>VLOOKUP(Tabela1[[#This Row],[SKU]],SKU!A:D,4,0)</f>
        <v>2000</v>
      </c>
      <c r="Z1386" s="18">
        <f>IFERROR((Tabela1[[#This Row],[Média]]-Tabela1[[#This Row],[Meta]])/Tabela1[[#This Row],[Meta]],"")</f>
        <v>8.2000000000000458E-3</v>
      </c>
      <c r="AA1386" s="31">
        <f>Tabela1[[#This Row],[Média]]-Tabela1[[#This Row],[Meta]]</f>
        <v>16.400000000000091</v>
      </c>
      <c r="AB1386" s="6" t="str">
        <f>VLOOKUP(Tabela1[[#This Row],[SKU]],SKU!A:B,2,0)</f>
        <v>COXA SBCX S/O FG 280-300g PB</v>
      </c>
      <c r="AC1386" s="6" t="str">
        <f>VLOOKUP(Tabela1[[#This Row],[SKU]],SKU!A:C,3,0)</f>
        <v>PERNA</v>
      </c>
    </row>
    <row r="1387" spans="1:29" x14ac:dyDescent="0.25">
      <c r="A1387" s="2">
        <f>INT(Tabela1[[#This Row],[Data e Hora2]])</f>
        <v>46302</v>
      </c>
      <c r="B1387" s="6" t="str">
        <f>UPPER(TEXT(Tabela1[[#This Row],[Data Corrigida]],"MMM"))</f>
        <v>OUT</v>
      </c>
      <c r="C1387" t="s">
        <v>3096</v>
      </c>
      <c r="D1387" s="2" t="s">
        <v>3097</v>
      </c>
      <c r="E1387" s="1" t="s">
        <v>3098</v>
      </c>
      <c r="F1387" t="s">
        <v>24</v>
      </c>
      <c r="G1387" s="2" t="s">
        <v>3060</v>
      </c>
      <c r="H1387" t="s">
        <v>26</v>
      </c>
      <c r="I1387" t="s">
        <v>27</v>
      </c>
      <c r="J1387" s="6">
        <v>42854</v>
      </c>
      <c r="K1387" s="16">
        <v>2040</v>
      </c>
      <c r="L1387" s="16">
        <v>2087</v>
      </c>
      <c r="M1387" s="16">
        <v>2011</v>
      </c>
      <c r="N1387" s="16">
        <v>2095</v>
      </c>
      <c r="O1387" s="16">
        <v>2002</v>
      </c>
      <c r="P1387" s="16">
        <v>2091</v>
      </c>
      <c r="Q1387" s="16">
        <v>2095</v>
      </c>
      <c r="R1387" s="16">
        <v>2106</v>
      </c>
      <c r="S1387" s="16">
        <v>2100</v>
      </c>
      <c r="T1387" s="16">
        <v>2064</v>
      </c>
      <c r="U1387" s="15">
        <v>2069.1</v>
      </c>
      <c r="V1387" t="s">
        <v>19</v>
      </c>
      <c r="W1387" t="s">
        <v>28</v>
      </c>
      <c r="X1387">
        <v>20185</v>
      </c>
      <c r="Y1387" s="16">
        <f>VLOOKUP(Tabela1[[#This Row],[SKU]],SKU!A:D,4,0)</f>
        <v>2080</v>
      </c>
      <c r="Z1387" s="18">
        <f>IFERROR((Tabela1[[#This Row],[Média]]-Tabela1[[#This Row],[Meta]])/Tabela1[[#This Row],[Meta]],"")</f>
        <v>-5.2403846153846589E-3</v>
      </c>
      <c r="AA1387" s="31">
        <f>Tabela1[[#This Row],[Média]]-Tabela1[[#This Row],[Meta]]</f>
        <v>-10.900000000000091</v>
      </c>
      <c r="AB1387" s="6" t="str">
        <f>VLOOKUP(Tabela1[[#This Row],[SKU]],SKU!A:B,2,0)</f>
        <v>COXA SBCX S/O FG 260-280g PB</v>
      </c>
      <c r="AC1387" s="6" t="str">
        <f>VLOOKUP(Tabela1[[#This Row],[SKU]],SKU!A:C,3,0)</f>
        <v>PERNA</v>
      </c>
    </row>
    <row r="1388" spans="1:29" x14ac:dyDescent="0.25">
      <c r="A1388" s="2">
        <f>INT(Tabela1[[#This Row],[Data e Hora2]])</f>
        <v>46302</v>
      </c>
      <c r="B1388" s="6" t="str">
        <f>UPPER(TEXT(Tabela1[[#This Row],[Data Corrigida]],"MMM"))</f>
        <v>OUT</v>
      </c>
      <c r="C1388" t="s">
        <v>3099</v>
      </c>
      <c r="D1388" s="2" t="s">
        <v>3100</v>
      </c>
      <c r="E1388" s="1" t="s">
        <v>3098</v>
      </c>
      <c r="F1388" t="s">
        <v>24</v>
      </c>
      <c r="G1388" s="2" t="s">
        <v>3060</v>
      </c>
      <c r="H1388" t="s">
        <v>26</v>
      </c>
      <c r="I1388" t="s">
        <v>27</v>
      </c>
      <c r="J1388" s="6">
        <v>42846</v>
      </c>
      <c r="K1388" s="16">
        <v>2017</v>
      </c>
      <c r="L1388" s="16">
        <v>2046</v>
      </c>
      <c r="M1388" s="16">
        <v>2000</v>
      </c>
      <c r="N1388" s="16">
        <v>2033</v>
      </c>
      <c r="O1388" s="16">
        <v>2006</v>
      </c>
      <c r="P1388" s="16">
        <v>2001</v>
      </c>
      <c r="Q1388" s="16">
        <v>2012</v>
      </c>
      <c r="R1388" s="16">
        <v>2010</v>
      </c>
      <c r="S1388" s="16">
        <v>2019</v>
      </c>
      <c r="T1388" s="16">
        <v>2013</v>
      </c>
      <c r="U1388" s="15">
        <v>2015.7</v>
      </c>
      <c r="V1388" t="s">
        <v>19</v>
      </c>
      <c r="W1388" t="s">
        <v>19</v>
      </c>
      <c r="X1388">
        <v>20301</v>
      </c>
      <c r="Y1388" s="16">
        <f>VLOOKUP(Tabela1[[#This Row],[SKU]],SKU!A:D,4,0)</f>
        <v>2000</v>
      </c>
      <c r="Z1388" s="18">
        <f>IFERROR((Tabela1[[#This Row],[Média]]-Tabela1[[#This Row],[Meta]])/Tabela1[[#This Row],[Meta]],"")</f>
        <v>7.8500000000000219E-3</v>
      </c>
      <c r="AA1388" s="31">
        <f>Tabela1[[#This Row],[Média]]-Tabela1[[#This Row],[Meta]]</f>
        <v>15.700000000000045</v>
      </c>
      <c r="AB1388" s="6" t="str">
        <f>VLOOKUP(Tabela1[[#This Row],[SKU]],SKU!A:B,2,0)</f>
        <v>COXA SBCX S/O FG 240-260g PB</v>
      </c>
      <c r="AC1388" s="6" t="str">
        <f>VLOOKUP(Tabela1[[#This Row],[SKU]],SKU!A:C,3,0)</f>
        <v>PERNA</v>
      </c>
    </row>
    <row r="1389" spans="1:29" x14ac:dyDescent="0.25">
      <c r="A1389" s="2">
        <f>INT(Tabela1[[#This Row],[Data e Hora2]])</f>
        <v>46302</v>
      </c>
      <c r="B1389" s="6" t="str">
        <f>UPPER(TEXT(Tabela1[[#This Row],[Data Corrigida]],"MMM"))</f>
        <v>OUT</v>
      </c>
      <c r="C1389" t="s">
        <v>3101</v>
      </c>
      <c r="D1389" s="2" t="s">
        <v>3102</v>
      </c>
      <c r="E1389" s="1" t="s">
        <v>3098</v>
      </c>
      <c r="F1389" t="s">
        <v>24</v>
      </c>
      <c r="G1389" s="2" t="s">
        <v>3060</v>
      </c>
      <c r="H1389" t="s">
        <v>26</v>
      </c>
      <c r="I1389" t="s">
        <v>27</v>
      </c>
      <c r="J1389" s="6">
        <v>42838</v>
      </c>
      <c r="K1389" s="16">
        <v>2020</v>
      </c>
      <c r="L1389" s="16">
        <v>2017</v>
      </c>
      <c r="M1389" s="16">
        <v>2020</v>
      </c>
      <c r="N1389" s="16">
        <v>2018</v>
      </c>
      <c r="O1389" s="16">
        <v>2075</v>
      </c>
      <c r="P1389" s="16">
        <v>2005</v>
      </c>
      <c r="Q1389" s="16">
        <v>2028</v>
      </c>
      <c r="R1389" s="16">
        <v>2012</v>
      </c>
      <c r="S1389" s="16">
        <v>2045</v>
      </c>
      <c r="T1389" s="16">
        <v>2041</v>
      </c>
      <c r="U1389" s="15">
        <v>2028.1</v>
      </c>
      <c r="V1389" t="s">
        <v>19</v>
      </c>
      <c r="W1389" t="s">
        <v>28</v>
      </c>
      <c r="X1389">
        <v>20380</v>
      </c>
      <c r="Y1389" s="16">
        <f>VLOOKUP(Tabela1[[#This Row],[SKU]],SKU!A:D,4,0)</f>
        <v>2000</v>
      </c>
      <c r="Z1389" s="18">
        <f>IFERROR((Tabela1[[#This Row],[Média]]-Tabela1[[#This Row],[Meta]])/Tabela1[[#This Row],[Meta]],"")</f>
        <v>1.4049999999999955E-2</v>
      </c>
      <c r="AA1389" s="31">
        <f>Tabela1[[#This Row],[Média]]-Tabela1[[#This Row],[Meta]]</f>
        <v>28.099999999999909</v>
      </c>
      <c r="AB1389" s="6" t="str">
        <f>VLOOKUP(Tabela1[[#This Row],[SKU]],SKU!A:B,2,0)</f>
        <v>COXA SBCX S/O FG 220-240g PB</v>
      </c>
      <c r="AC1389" s="6" t="str">
        <f>VLOOKUP(Tabela1[[#This Row],[SKU]],SKU!A:C,3,0)</f>
        <v>PERNA</v>
      </c>
    </row>
    <row r="1390" spans="1:29" x14ac:dyDescent="0.25">
      <c r="A1390" s="2">
        <f>INT(Tabela1[[#This Row],[Data e Hora2]])</f>
        <v>46302</v>
      </c>
      <c r="B1390" s="6" t="str">
        <f>UPPER(TEXT(Tabela1[[#This Row],[Data Corrigida]],"MMM"))</f>
        <v>OUT</v>
      </c>
      <c r="C1390" t="s">
        <v>3103</v>
      </c>
      <c r="D1390" s="2" t="s">
        <v>3104</v>
      </c>
      <c r="E1390" s="1" t="s">
        <v>3098</v>
      </c>
      <c r="F1390" t="s">
        <v>24</v>
      </c>
      <c r="G1390" s="2" t="s">
        <v>3060</v>
      </c>
      <c r="H1390" t="s">
        <v>26</v>
      </c>
      <c r="I1390" t="s">
        <v>27</v>
      </c>
      <c r="J1390" s="6">
        <v>15105</v>
      </c>
      <c r="K1390" s="16">
        <v>1014</v>
      </c>
      <c r="L1390" s="16">
        <v>1008</v>
      </c>
      <c r="M1390" s="16">
        <v>999</v>
      </c>
      <c r="N1390" s="16">
        <v>990</v>
      </c>
      <c r="O1390" s="16">
        <v>1038</v>
      </c>
      <c r="P1390" s="16">
        <v>1006</v>
      </c>
      <c r="Q1390" s="16">
        <v>1070</v>
      </c>
      <c r="R1390" s="16">
        <v>1006</v>
      </c>
      <c r="S1390" s="16">
        <v>1021</v>
      </c>
      <c r="T1390" s="16">
        <v>1021</v>
      </c>
      <c r="U1390" s="15">
        <v>1017.3</v>
      </c>
      <c r="V1390" t="s">
        <v>19</v>
      </c>
      <c r="W1390" t="s">
        <v>28</v>
      </c>
      <c r="X1390">
        <v>31245</v>
      </c>
      <c r="Y1390" s="16">
        <f>VLOOKUP(Tabela1[[#This Row],[SKU]],SKU!A:D,4,0)</f>
        <v>1000</v>
      </c>
      <c r="Z1390" s="18">
        <f>IFERROR((Tabela1[[#This Row],[Média]]-Tabela1[[#This Row],[Meta]])/Tabela1[[#This Row],[Meta]],"")</f>
        <v>1.7299999999999954E-2</v>
      </c>
      <c r="AA1390" s="31">
        <f>Tabela1[[#This Row],[Média]]-Tabela1[[#This Row],[Meta]]</f>
        <v>17.299999999999955</v>
      </c>
      <c r="AB1390" s="6" t="str">
        <f>VLOOKUP(Tabela1[[#This Row],[SKU]],SKU!A:B,2,0)</f>
        <v>FILE PEITO MET CG BDJ SE</v>
      </c>
      <c r="AC1390" s="6" t="str">
        <f>VLOOKUP(Tabela1[[#This Row],[SKU]],SKU!A:C,3,0)</f>
        <v>PEITO</v>
      </c>
    </row>
    <row r="1391" spans="1:29" x14ac:dyDescent="0.25">
      <c r="A1391" s="2">
        <f>INT(Tabela1[[#This Row],[Data e Hora2]])</f>
        <v>46302</v>
      </c>
      <c r="B1391" s="6" t="str">
        <f>UPPER(TEXT(Tabela1[[#This Row],[Data Corrigida]],"MMM"))</f>
        <v>OUT</v>
      </c>
      <c r="C1391" t="s">
        <v>3105</v>
      </c>
      <c r="D1391" s="2" t="s">
        <v>3106</v>
      </c>
      <c r="E1391" s="1" t="s">
        <v>3107</v>
      </c>
      <c r="F1391" t="s">
        <v>24</v>
      </c>
      <c r="G1391" s="2" t="s">
        <v>3060</v>
      </c>
      <c r="H1391" t="s">
        <v>142</v>
      </c>
      <c r="I1391" t="s">
        <v>462</v>
      </c>
      <c r="J1391" s="6">
        <v>209039</v>
      </c>
      <c r="K1391" s="16">
        <v>1015</v>
      </c>
      <c r="L1391" s="16">
        <v>1025</v>
      </c>
      <c r="M1391" s="16">
        <v>993</v>
      </c>
      <c r="N1391" s="16">
        <v>990</v>
      </c>
      <c r="O1391" s="16">
        <v>1016</v>
      </c>
      <c r="P1391" s="16">
        <v>1030</v>
      </c>
      <c r="Q1391" s="16">
        <v>995</v>
      </c>
      <c r="R1391" s="16">
        <v>1010</v>
      </c>
      <c r="S1391" s="16">
        <v>1011</v>
      </c>
      <c r="T1391" s="16">
        <v>1004</v>
      </c>
      <c r="U1391" s="15">
        <v>1008.9</v>
      </c>
      <c r="V1391" t="s">
        <v>19</v>
      </c>
      <c r="W1391" t="s">
        <v>28</v>
      </c>
      <c r="X1391">
        <v>219</v>
      </c>
      <c r="Y1391" s="16">
        <f>VLOOKUP(Tabela1[[#This Row],[SKU]],SKU!A:D,4,0)</f>
        <v>1000</v>
      </c>
      <c r="Z1391" s="18">
        <f>IFERROR((Tabela1[[#This Row],[Média]]-Tabela1[[#This Row],[Meta]])/Tabela1[[#This Row],[Meta]],"")</f>
        <v>8.8999999999999774E-3</v>
      </c>
      <c r="AA1391" s="31">
        <f>Tabela1[[#This Row],[Média]]-Tabela1[[#This Row],[Meta]]</f>
        <v>8.8999999999999773</v>
      </c>
      <c r="AB1391" s="6" t="str">
        <f>VLOOKUP(Tabela1[[#This Row],[SKU]],SKU!A:B,2,0)</f>
        <v>COXINHA ASA IQF ALM 1KG</v>
      </c>
      <c r="AC1391" s="6" t="str">
        <f>VLOOKUP(Tabela1[[#This Row],[SKU]],SKU!A:C,3,0)</f>
        <v>ASA</v>
      </c>
    </row>
    <row r="1392" spans="1:29" x14ac:dyDescent="0.25">
      <c r="A1392" s="2">
        <f>INT(Tabela1[[#This Row],[Data e Hora2]])</f>
        <v>46302</v>
      </c>
      <c r="B1392" s="6" t="str">
        <f>UPPER(TEXT(Tabela1[[#This Row],[Data Corrigida]],"MMM"))</f>
        <v>OUT</v>
      </c>
      <c r="C1392" t="s">
        <v>3108</v>
      </c>
      <c r="D1392" s="2" t="s">
        <v>3109</v>
      </c>
      <c r="E1392" s="1" t="s">
        <v>3110</v>
      </c>
      <c r="F1392" t="s">
        <v>24</v>
      </c>
      <c r="G1392" s="2" t="s">
        <v>3060</v>
      </c>
      <c r="H1392" t="s">
        <v>142</v>
      </c>
      <c r="I1392" t="s">
        <v>462</v>
      </c>
      <c r="J1392" s="6">
        <v>18228</v>
      </c>
      <c r="K1392" s="16">
        <v>1001</v>
      </c>
      <c r="L1392" s="16">
        <v>1006</v>
      </c>
      <c r="M1392" s="16">
        <v>999</v>
      </c>
      <c r="N1392" s="16">
        <v>1005</v>
      </c>
      <c r="O1392" s="16">
        <v>1003</v>
      </c>
      <c r="P1392" s="16">
        <v>1000</v>
      </c>
      <c r="Q1392" s="16">
        <v>995</v>
      </c>
      <c r="R1392" s="16">
        <v>1000</v>
      </c>
      <c r="S1392" s="16">
        <v>1004</v>
      </c>
      <c r="T1392" s="16">
        <v>1006</v>
      </c>
      <c r="U1392" s="15">
        <v>1001.9</v>
      </c>
      <c r="V1392" t="s">
        <v>19</v>
      </c>
      <c r="W1392" t="s">
        <v>28</v>
      </c>
      <c r="X1392">
        <v>1284</v>
      </c>
      <c r="Y1392" s="16">
        <f>VLOOKUP(Tabela1[[#This Row],[SKU]],SKU!A:D,4,0)</f>
        <v>1000</v>
      </c>
      <c r="Z1392" s="18">
        <f>IFERROR((Tabela1[[#This Row],[Média]]-Tabela1[[#This Row],[Meta]])/Tabela1[[#This Row],[Meta]],"")</f>
        <v>1.8999999999999772E-3</v>
      </c>
      <c r="AA1392" s="31">
        <f>Tabela1[[#This Row],[Média]]-Tabela1[[#This Row],[Meta]]</f>
        <v>1.8999999999999773</v>
      </c>
      <c r="AB1392" s="6" t="str">
        <f>VLOOKUP(Tabela1[[#This Row],[SKU]],SKU!A:B,2,0)</f>
        <v>MOELA FRANGO CG ALM SE</v>
      </c>
      <c r="AC1392" s="6" t="str">
        <f>VLOOKUP(Tabela1[[#This Row],[SKU]],SKU!A:C,3,0)</f>
        <v>MOELA</v>
      </c>
    </row>
    <row r="1393" spans="1:29" x14ac:dyDescent="0.25">
      <c r="A1393" s="2">
        <f>INT(Tabela1[[#This Row],[Data e Hora2]])</f>
        <v>46302</v>
      </c>
      <c r="B1393" s="6" t="str">
        <f>UPPER(TEXT(Tabela1[[#This Row],[Data Corrigida]],"MMM"))</f>
        <v>OUT</v>
      </c>
      <c r="C1393" t="s">
        <v>3111</v>
      </c>
      <c r="D1393" s="2" t="s">
        <v>3112</v>
      </c>
      <c r="E1393" s="1" t="s">
        <v>3113</v>
      </c>
      <c r="F1393" t="s">
        <v>24</v>
      </c>
      <c r="G1393" s="2" t="s">
        <v>3060</v>
      </c>
      <c r="H1393" t="s">
        <v>142</v>
      </c>
      <c r="I1393" t="s">
        <v>462</v>
      </c>
      <c r="J1393" s="6">
        <v>15105</v>
      </c>
      <c r="K1393" s="16">
        <v>1034</v>
      </c>
      <c r="L1393" s="16">
        <v>998</v>
      </c>
      <c r="M1393" s="16">
        <v>993</v>
      </c>
      <c r="N1393" s="16">
        <v>1014</v>
      </c>
      <c r="O1393" s="16">
        <v>1009</v>
      </c>
      <c r="P1393" s="16">
        <v>999</v>
      </c>
      <c r="Q1393" s="16">
        <v>999</v>
      </c>
      <c r="R1393" s="16">
        <v>1057</v>
      </c>
      <c r="S1393" s="16">
        <v>1029</v>
      </c>
      <c r="T1393" s="16">
        <v>999</v>
      </c>
      <c r="U1393" s="15">
        <v>1013.1</v>
      </c>
      <c r="V1393" t="s">
        <v>19</v>
      </c>
      <c r="W1393" t="s">
        <v>28</v>
      </c>
      <c r="X1393">
        <v>255</v>
      </c>
      <c r="Y1393" s="16">
        <f>VLOOKUP(Tabela1[[#This Row],[SKU]],SKU!A:D,4,0)</f>
        <v>1000</v>
      </c>
      <c r="Z1393" s="18">
        <f>IFERROR((Tabela1[[#This Row],[Média]]-Tabela1[[#This Row],[Meta]])/Tabela1[[#This Row],[Meta]],"")</f>
        <v>1.3100000000000023E-2</v>
      </c>
      <c r="AA1393" s="31">
        <f>Tabela1[[#This Row],[Média]]-Tabela1[[#This Row],[Meta]]</f>
        <v>13.100000000000023</v>
      </c>
      <c r="AB1393" s="6" t="str">
        <f>VLOOKUP(Tabela1[[#This Row],[SKU]],SKU!A:B,2,0)</f>
        <v>FILE PEITO MET CG BDJ SE</v>
      </c>
      <c r="AC1393" s="6" t="str">
        <f>VLOOKUP(Tabela1[[#This Row],[SKU]],SKU!A:C,3,0)</f>
        <v>PEITO</v>
      </c>
    </row>
    <row r="1394" spans="1:29" x14ac:dyDescent="0.25">
      <c r="A1394" s="2">
        <f>INT(Tabela1[[#This Row],[Data e Hora2]])</f>
        <v>46302</v>
      </c>
      <c r="B1394" s="6" t="str">
        <f>UPPER(TEXT(Tabela1[[#This Row],[Data Corrigida]],"MMM"))</f>
        <v>OUT</v>
      </c>
      <c r="C1394" t="s">
        <v>3114</v>
      </c>
      <c r="D1394" s="2" t="s">
        <v>3115</v>
      </c>
      <c r="E1394" s="1" t="s">
        <v>3116</v>
      </c>
      <c r="F1394" t="s">
        <v>24</v>
      </c>
      <c r="G1394" s="2" t="s">
        <v>3060</v>
      </c>
      <c r="H1394" t="s">
        <v>142</v>
      </c>
      <c r="I1394" t="s">
        <v>462</v>
      </c>
      <c r="J1394" s="6">
        <v>54632</v>
      </c>
      <c r="K1394" s="16">
        <v>1017</v>
      </c>
      <c r="L1394" s="16">
        <v>997</v>
      </c>
      <c r="M1394" s="16">
        <v>1006</v>
      </c>
      <c r="N1394" s="16">
        <v>1025</v>
      </c>
      <c r="O1394" s="16">
        <v>1036</v>
      </c>
      <c r="P1394" s="16">
        <v>1010</v>
      </c>
      <c r="Q1394" s="16">
        <v>1025</v>
      </c>
      <c r="R1394" s="16">
        <v>1031</v>
      </c>
      <c r="S1394" s="16">
        <v>1015</v>
      </c>
      <c r="T1394" s="16">
        <v>1001</v>
      </c>
      <c r="U1394" s="15">
        <v>1016.3</v>
      </c>
      <c r="V1394" t="s">
        <v>19</v>
      </c>
      <c r="W1394" t="s">
        <v>28</v>
      </c>
      <c r="X1394">
        <v>695</v>
      </c>
      <c r="Y1394" s="16">
        <f>VLOOKUP(Tabela1[[#This Row],[SKU]],SKU!A:D,4,0)</f>
        <v>1000</v>
      </c>
      <c r="Z1394" s="18">
        <f>IFERROR((Tabela1[[#This Row],[Média]]-Tabela1[[#This Row],[Meta]])/Tabela1[[#This Row],[Meta]],"")</f>
        <v>1.6299999999999953E-2</v>
      </c>
      <c r="AA1394" s="31">
        <f>Tabela1[[#This Row],[Média]]-Tabela1[[#This Row],[Meta]]</f>
        <v>16.299999999999955</v>
      </c>
      <c r="AB1394" s="6" t="str">
        <f>VLOOKUP(Tabela1[[#This Row],[SKU]],SKU!A:B,2,0)</f>
        <v>COXA SBCX S/O BDJ CG</v>
      </c>
      <c r="AC1394" s="6" t="str">
        <f>VLOOKUP(Tabela1[[#This Row],[SKU]],SKU!A:C,3,0)</f>
        <v>PERNA</v>
      </c>
    </row>
    <row r="1395" spans="1:29" x14ac:dyDescent="0.25">
      <c r="A1395" s="2">
        <f>INT(Tabela1[[#This Row],[Data e Hora2]])</f>
        <v>46302</v>
      </c>
      <c r="B1395" s="6" t="str">
        <f>UPPER(TEXT(Tabela1[[#This Row],[Data Corrigida]],"MMM"))</f>
        <v>OUT</v>
      </c>
      <c r="C1395" t="s">
        <v>3117</v>
      </c>
      <c r="D1395" s="2" t="s">
        <v>3118</v>
      </c>
      <c r="E1395" s="1" t="s">
        <v>3119</v>
      </c>
      <c r="F1395" t="s">
        <v>24</v>
      </c>
      <c r="G1395" s="2" t="s">
        <v>3060</v>
      </c>
      <c r="H1395" t="s">
        <v>142</v>
      </c>
      <c r="I1395" t="s">
        <v>462</v>
      </c>
      <c r="J1395" s="6">
        <v>42854</v>
      </c>
      <c r="K1395" s="16">
        <v>2141</v>
      </c>
      <c r="L1395" s="16">
        <v>2154</v>
      </c>
      <c r="M1395" s="16">
        <v>2168</v>
      </c>
      <c r="N1395" s="16">
        <v>2150</v>
      </c>
      <c r="O1395" s="16">
        <v>2153</v>
      </c>
      <c r="P1395" s="16">
        <v>2154</v>
      </c>
      <c r="Q1395" s="16">
        <v>2142</v>
      </c>
      <c r="R1395" s="16">
        <v>2137</v>
      </c>
      <c r="S1395" s="16">
        <v>2153</v>
      </c>
      <c r="T1395" s="16">
        <v>2096</v>
      </c>
      <c r="U1395" s="15">
        <v>2144.8000000000002</v>
      </c>
      <c r="V1395" t="s">
        <v>19</v>
      </c>
      <c r="W1395" t="s">
        <v>28</v>
      </c>
      <c r="X1395">
        <v>408</v>
      </c>
      <c r="Y1395" s="16">
        <f>VLOOKUP(Tabela1[[#This Row],[SKU]],SKU!A:D,4,0)</f>
        <v>2080</v>
      </c>
      <c r="Z1395" s="18">
        <f>IFERROR((Tabela1[[#This Row],[Média]]-Tabela1[[#This Row],[Meta]])/Tabela1[[#This Row],[Meta]],"")</f>
        <v>3.115384615384624E-2</v>
      </c>
      <c r="AA1395" s="31">
        <f>Tabela1[[#This Row],[Média]]-Tabela1[[#This Row],[Meta]]</f>
        <v>64.800000000000182</v>
      </c>
      <c r="AB1395" s="6" t="str">
        <f>VLOOKUP(Tabela1[[#This Row],[SKU]],SKU!A:B,2,0)</f>
        <v>COXA SBCX S/O FG 260-280g PB</v>
      </c>
      <c r="AC1395" s="6" t="str">
        <f>VLOOKUP(Tabela1[[#This Row],[SKU]],SKU!A:C,3,0)</f>
        <v>PERNA</v>
      </c>
    </row>
    <row r="1396" spans="1:29" x14ac:dyDescent="0.25">
      <c r="A1396" s="2">
        <f>INT(Tabela1[[#This Row],[Data e Hora2]])</f>
        <v>46301</v>
      </c>
      <c r="B1396" s="6" t="str">
        <f>UPPER(TEXT(Tabela1[[#This Row],[Data Corrigida]],"MMM"))</f>
        <v>OUT</v>
      </c>
      <c r="C1396" t="s">
        <v>3120</v>
      </c>
      <c r="D1396" s="2" t="s">
        <v>3121</v>
      </c>
      <c r="E1396" s="1" t="s">
        <v>3122</v>
      </c>
      <c r="F1396" t="s">
        <v>24</v>
      </c>
      <c r="G1396" s="2" t="s">
        <v>3123</v>
      </c>
      <c r="H1396" t="s">
        <v>26</v>
      </c>
      <c r="I1396" t="s">
        <v>27</v>
      </c>
      <c r="J1396" s="6">
        <v>209039</v>
      </c>
      <c r="K1396" s="16">
        <v>1023</v>
      </c>
      <c r="L1396" s="16">
        <v>1024</v>
      </c>
      <c r="M1396" s="16">
        <v>1051</v>
      </c>
      <c r="N1396" s="16">
        <v>997</v>
      </c>
      <c r="O1396" s="16">
        <v>1004</v>
      </c>
      <c r="P1396" s="16">
        <v>1002</v>
      </c>
      <c r="Q1396" s="16">
        <v>930</v>
      </c>
      <c r="R1396" s="16">
        <v>1026</v>
      </c>
      <c r="S1396" s="16">
        <v>1077</v>
      </c>
      <c r="T1396" s="16">
        <v>1006</v>
      </c>
      <c r="U1396" s="15">
        <v>1014</v>
      </c>
      <c r="V1396" t="s">
        <v>19</v>
      </c>
      <c r="W1396" t="s">
        <v>28</v>
      </c>
      <c r="X1396">
        <v>8158</v>
      </c>
      <c r="Y1396" s="16">
        <f>VLOOKUP(Tabela1[[#This Row],[SKU]],SKU!A:D,4,0)</f>
        <v>1000</v>
      </c>
      <c r="Z1396" s="18">
        <f>IFERROR((Tabela1[[#This Row],[Média]]-Tabela1[[#This Row],[Meta]])/Tabela1[[#This Row],[Meta]],"")</f>
        <v>1.4E-2</v>
      </c>
      <c r="AA1396" s="31">
        <f>Tabela1[[#This Row],[Média]]-Tabela1[[#This Row],[Meta]]</f>
        <v>14</v>
      </c>
      <c r="AB1396" s="6" t="str">
        <f>VLOOKUP(Tabela1[[#This Row],[SKU]],SKU!A:B,2,0)</f>
        <v>COXINHA ASA IQF ALM 1KG</v>
      </c>
      <c r="AC1396" s="6" t="str">
        <f>VLOOKUP(Tabela1[[#This Row],[SKU]],SKU!A:C,3,0)</f>
        <v>ASA</v>
      </c>
    </row>
    <row r="1397" spans="1:29" x14ac:dyDescent="0.25">
      <c r="A1397" s="2">
        <f>INT(Tabela1[[#This Row],[Data e Hora2]])</f>
        <v>46301</v>
      </c>
      <c r="B1397" s="6" t="str">
        <f>UPPER(TEXT(Tabela1[[#This Row],[Data Corrigida]],"MMM"))</f>
        <v>OUT</v>
      </c>
      <c r="C1397" t="s">
        <v>3124</v>
      </c>
      <c r="D1397" s="2" t="s">
        <v>3125</v>
      </c>
      <c r="E1397" s="1" t="s">
        <v>3122</v>
      </c>
      <c r="F1397" t="s">
        <v>24</v>
      </c>
      <c r="G1397" s="2" t="s">
        <v>3123</v>
      </c>
      <c r="H1397" t="s">
        <v>26</v>
      </c>
      <c r="I1397" t="s">
        <v>27</v>
      </c>
      <c r="J1397" s="6">
        <v>40762</v>
      </c>
      <c r="K1397" s="16">
        <v>10020</v>
      </c>
      <c r="L1397" s="16">
        <v>10050</v>
      </c>
      <c r="M1397" s="16">
        <v>9985</v>
      </c>
      <c r="N1397" s="16">
        <v>10080</v>
      </c>
      <c r="O1397" s="16">
        <v>10035</v>
      </c>
      <c r="P1397" s="16">
        <v>10010</v>
      </c>
      <c r="Q1397" s="16">
        <v>9960</v>
      </c>
      <c r="R1397" s="16">
        <v>10050</v>
      </c>
      <c r="S1397" s="16">
        <v>10005</v>
      </c>
      <c r="T1397" s="16">
        <v>9990</v>
      </c>
      <c r="U1397" s="15">
        <v>10018.5</v>
      </c>
      <c r="V1397" t="s">
        <v>19</v>
      </c>
      <c r="W1397" t="s">
        <v>28</v>
      </c>
      <c r="X1397">
        <v>11739</v>
      </c>
      <c r="Y1397" s="16">
        <f>VLOOKUP(Tabela1[[#This Row],[SKU]],SKU!A:D,4,0)</f>
        <v>10000</v>
      </c>
      <c r="Z1397" s="18">
        <f>IFERROR((Tabela1[[#This Row],[Média]]-Tabela1[[#This Row],[Meta]])/Tabela1[[#This Row],[Meta]],"")</f>
        <v>1.8500000000000001E-3</v>
      </c>
      <c r="AA1397" s="31">
        <f>Tabela1[[#This Row],[Média]]-Tabela1[[#This Row],[Meta]]</f>
        <v>18.5</v>
      </c>
      <c r="AB1397" s="6" t="str">
        <f>VLOOKUP(Tabela1[[#This Row],[SKU]],SKU!A:B,2,0)</f>
        <v>COXA SBCX LQ FG LP</v>
      </c>
      <c r="AC1397" s="6" t="str">
        <f>VLOOKUP(Tabela1[[#This Row],[SKU]],SKU!A:C,3,0)</f>
        <v>PERNA</v>
      </c>
    </row>
    <row r="1398" spans="1:29" x14ac:dyDescent="0.25">
      <c r="A1398" s="2">
        <f>INT(Tabela1[[#This Row],[Data e Hora2]])</f>
        <v>46301</v>
      </c>
      <c r="B1398" s="6" t="str">
        <f>UPPER(TEXT(Tabela1[[#This Row],[Data Corrigida]],"MMM"))</f>
        <v>OUT</v>
      </c>
      <c r="C1398" t="s">
        <v>3126</v>
      </c>
      <c r="D1398" s="2" t="s">
        <v>3127</v>
      </c>
      <c r="E1398" s="1" t="s">
        <v>3122</v>
      </c>
      <c r="F1398" t="s">
        <v>24</v>
      </c>
      <c r="G1398" s="2" t="s">
        <v>3123</v>
      </c>
      <c r="H1398" t="s">
        <v>26</v>
      </c>
      <c r="I1398" t="s">
        <v>27</v>
      </c>
      <c r="J1398" s="6">
        <v>963925</v>
      </c>
      <c r="K1398" s="16">
        <v>18090</v>
      </c>
      <c r="L1398" s="16">
        <v>18045</v>
      </c>
      <c r="M1398" s="16">
        <v>18315</v>
      </c>
      <c r="N1398" s="16">
        <v>18570</v>
      </c>
      <c r="O1398" s="16">
        <v>18130</v>
      </c>
      <c r="P1398" s="16">
        <v>18115</v>
      </c>
      <c r="Q1398" s="16">
        <v>18230</v>
      </c>
      <c r="R1398" s="16">
        <v>18260</v>
      </c>
      <c r="S1398" s="16">
        <v>18405</v>
      </c>
      <c r="T1398" s="16">
        <v>18445</v>
      </c>
      <c r="U1398" s="15">
        <v>18260.5</v>
      </c>
      <c r="V1398" t="s">
        <v>19</v>
      </c>
      <c r="W1398" t="s">
        <v>28</v>
      </c>
      <c r="X1398">
        <v>12411</v>
      </c>
      <c r="Y1398" s="16">
        <f>VLOOKUP(Tabela1[[#This Row],[SKU]],SKU!A:D,4,0)</f>
        <v>18000</v>
      </c>
      <c r="Z1398" s="18">
        <f>IFERROR((Tabela1[[#This Row],[Média]]-Tabela1[[#This Row],[Meta]])/Tabela1[[#This Row],[Meta]],"")</f>
        <v>1.4472222222222221E-2</v>
      </c>
      <c r="AA1398" s="31">
        <f>Tabela1[[#This Row],[Média]]-Tabela1[[#This Row],[Meta]]</f>
        <v>260.5</v>
      </c>
      <c r="AB1398" s="6" t="str">
        <f>VLOOKUP(Tabela1[[#This Row],[SKU]],SKU!A:B,2,0)</f>
        <v>COXINHA DA ASA FG CG PCT</v>
      </c>
      <c r="AC1398" s="6" t="str">
        <f>VLOOKUP(Tabela1[[#This Row],[SKU]],SKU!A:C,3,0)</f>
        <v>ASA</v>
      </c>
    </row>
    <row r="1399" spans="1:29" x14ac:dyDescent="0.25">
      <c r="A1399" s="2">
        <f>INT(Tabela1[[#This Row],[Data e Hora2]])</f>
        <v>46301</v>
      </c>
      <c r="B1399" s="6" t="str">
        <f>UPPER(TEXT(Tabela1[[#This Row],[Data Corrigida]],"MMM"))</f>
        <v>OUT</v>
      </c>
      <c r="C1399" t="s">
        <v>3128</v>
      </c>
      <c r="D1399" s="2" t="s">
        <v>3129</v>
      </c>
      <c r="E1399" s="1" t="s">
        <v>3122</v>
      </c>
      <c r="F1399" t="s">
        <v>24</v>
      </c>
      <c r="G1399" s="2" t="s">
        <v>3123</v>
      </c>
      <c r="H1399" t="s">
        <v>26</v>
      </c>
      <c r="I1399" t="s">
        <v>27</v>
      </c>
      <c r="J1399" s="6">
        <v>992014</v>
      </c>
      <c r="K1399" s="16">
        <v>710</v>
      </c>
      <c r="L1399" s="16">
        <v>710</v>
      </c>
      <c r="M1399" s="16">
        <v>709</v>
      </c>
      <c r="N1399" s="16">
        <v>702</v>
      </c>
      <c r="O1399" s="16">
        <v>702</v>
      </c>
      <c r="P1399" s="16">
        <v>713</v>
      </c>
      <c r="Q1399" s="16">
        <v>716</v>
      </c>
      <c r="R1399" s="16">
        <v>696</v>
      </c>
      <c r="S1399" s="16">
        <v>705</v>
      </c>
      <c r="T1399" s="16">
        <v>699</v>
      </c>
      <c r="U1399" s="15">
        <v>706.2</v>
      </c>
      <c r="V1399" t="s">
        <v>19</v>
      </c>
      <c r="W1399" t="s">
        <v>28</v>
      </c>
      <c r="X1399">
        <v>12613</v>
      </c>
      <c r="Y1399" s="16">
        <f>VLOOKUP(Tabela1[[#This Row],[SKU]],SKU!A:D,4,0)</f>
        <v>700</v>
      </c>
      <c r="Z1399" s="18">
        <f>IFERROR((Tabela1[[#This Row],[Média]]-Tabela1[[#This Row],[Meta]])/Tabela1[[#This Row],[Meta]],"")</f>
        <v>8.8571428571429228E-3</v>
      </c>
      <c r="AA1399" s="31">
        <f>Tabela1[[#This Row],[Média]]-Tabela1[[#This Row],[Meta]]</f>
        <v>6.2000000000000455</v>
      </c>
      <c r="AB1399" s="6" t="str">
        <f>VLOOKUP(Tabela1[[#This Row],[SKU]],SKU!A:B,2,0)</f>
        <v>OSTRINHA CG PCT 700G SWIFT</v>
      </c>
      <c r="AC1399" s="6" t="str">
        <f>VLOOKUP(Tabela1[[#This Row],[SKU]],SKU!A:C,3,0)</f>
        <v>PERNA</v>
      </c>
    </row>
    <row r="1400" spans="1:29" x14ac:dyDescent="0.25">
      <c r="A1400" s="2">
        <f>INT(Tabela1[[#This Row],[Data e Hora2]])</f>
        <v>46301</v>
      </c>
      <c r="B1400" s="6" t="str">
        <f>UPPER(TEXT(Tabela1[[#This Row],[Data Corrigida]],"MMM"))</f>
        <v>OUT</v>
      </c>
      <c r="C1400" t="s">
        <v>3130</v>
      </c>
      <c r="D1400" s="2" t="s">
        <v>3131</v>
      </c>
      <c r="E1400" s="1" t="s">
        <v>3122</v>
      </c>
      <c r="F1400" t="s">
        <v>24</v>
      </c>
      <c r="G1400" s="2" t="s">
        <v>3123</v>
      </c>
      <c r="H1400" t="s">
        <v>26</v>
      </c>
      <c r="I1400" t="s">
        <v>27</v>
      </c>
      <c r="J1400" s="6">
        <v>15105</v>
      </c>
      <c r="K1400" s="16">
        <v>1000</v>
      </c>
      <c r="L1400" s="16">
        <v>1005</v>
      </c>
      <c r="M1400" s="16">
        <v>996</v>
      </c>
      <c r="N1400" s="16">
        <v>1004</v>
      </c>
      <c r="O1400" s="16">
        <v>1028</v>
      </c>
      <c r="P1400" s="16">
        <v>1019</v>
      </c>
      <c r="Q1400" s="16">
        <v>1008</v>
      </c>
      <c r="R1400" s="16">
        <v>1014</v>
      </c>
      <c r="S1400" s="16">
        <v>1000</v>
      </c>
      <c r="T1400" s="16">
        <v>1022</v>
      </c>
      <c r="U1400" s="15">
        <v>1009.6</v>
      </c>
      <c r="V1400" t="s">
        <v>19</v>
      </c>
      <c r="W1400" t="s">
        <v>28</v>
      </c>
      <c r="X1400">
        <v>12730</v>
      </c>
      <c r="Y1400" s="16">
        <f>VLOOKUP(Tabela1[[#This Row],[SKU]],SKU!A:D,4,0)</f>
        <v>1000</v>
      </c>
      <c r="Z1400" s="18">
        <f>IFERROR((Tabela1[[#This Row],[Média]]-Tabela1[[#This Row],[Meta]])/Tabela1[[#This Row],[Meta]],"")</f>
        <v>9.6000000000000234E-3</v>
      </c>
      <c r="AA1400" s="31">
        <f>Tabela1[[#This Row],[Média]]-Tabela1[[#This Row],[Meta]]</f>
        <v>9.6000000000000227</v>
      </c>
      <c r="AB1400" s="6" t="str">
        <f>VLOOKUP(Tabela1[[#This Row],[SKU]],SKU!A:B,2,0)</f>
        <v>FILE PEITO MET CG BDJ SE</v>
      </c>
      <c r="AC1400" s="6" t="str">
        <f>VLOOKUP(Tabela1[[#This Row],[SKU]],SKU!A:C,3,0)</f>
        <v>PEITO</v>
      </c>
    </row>
    <row r="1401" spans="1:29" x14ac:dyDescent="0.25">
      <c r="A1401" s="2">
        <f>INT(Tabela1[[#This Row],[Data e Hora2]])</f>
        <v>46301</v>
      </c>
      <c r="B1401" s="6" t="str">
        <f>UPPER(TEXT(Tabela1[[#This Row],[Data Corrigida]],"MMM"))</f>
        <v>OUT</v>
      </c>
      <c r="C1401" t="s">
        <v>3132</v>
      </c>
      <c r="D1401" s="2" t="s">
        <v>3133</v>
      </c>
      <c r="E1401" s="1" t="s">
        <v>3134</v>
      </c>
      <c r="F1401" t="s">
        <v>24</v>
      </c>
      <c r="G1401" s="2" t="s">
        <v>3123</v>
      </c>
      <c r="H1401" t="s">
        <v>26</v>
      </c>
      <c r="I1401" t="s">
        <v>27</v>
      </c>
      <c r="J1401" s="6">
        <v>197734</v>
      </c>
      <c r="K1401" s="16">
        <v>1015</v>
      </c>
      <c r="L1401" s="16">
        <v>1014</v>
      </c>
      <c r="M1401" s="16">
        <v>1016</v>
      </c>
      <c r="N1401" s="16">
        <v>1035</v>
      </c>
      <c r="O1401" s="16">
        <v>1007</v>
      </c>
      <c r="P1401" s="16">
        <v>1003</v>
      </c>
      <c r="Q1401" s="16">
        <v>1009</v>
      </c>
      <c r="R1401" s="16">
        <v>1002</v>
      </c>
      <c r="S1401" s="16">
        <v>1051</v>
      </c>
      <c r="T1401" s="16">
        <v>1011</v>
      </c>
      <c r="U1401" s="15">
        <v>1016.3</v>
      </c>
      <c r="V1401" t="s">
        <v>19</v>
      </c>
      <c r="W1401" t="s">
        <v>28</v>
      </c>
      <c r="X1401">
        <v>23227</v>
      </c>
      <c r="Y1401" s="16">
        <f>VLOOKUP(Tabela1[[#This Row],[SKU]],SKU!A:D,4,0)</f>
        <v>1000</v>
      </c>
      <c r="Z1401" s="18">
        <f>IFERROR((Tabela1[[#This Row],[Média]]-Tabela1[[#This Row],[Meta]])/Tabela1[[#This Row],[Meta]],"")</f>
        <v>1.6299999999999953E-2</v>
      </c>
      <c r="AA1401" s="31">
        <f>Tabela1[[#This Row],[Média]]-Tabela1[[#This Row],[Meta]]</f>
        <v>16.299999999999955</v>
      </c>
      <c r="AB1401" s="6" t="str">
        <f>VLOOKUP(Tabela1[[#This Row],[SKU]],SKU!A:B,2,0)</f>
        <v>FILEZINHO FRANGO IQF ALM SE</v>
      </c>
      <c r="AC1401" s="6" t="str">
        <f>VLOOKUP(Tabela1[[#This Row],[SKU]],SKU!A:C,3,0)</f>
        <v>SASSAMI</v>
      </c>
    </row>
    <row r="1402" spans="1:29" x14ac:dyDescent="0.25">
      <c r="A1402" s="2">
        <f>INT(Tabela1[[#This Row],[Data e Hora2]])</f>
        <v>46301</v>
      </c>
      <c r="B1402" s="6" t="str">
        <f>UPPER(TEXT(Tabela1[[#This Row],[Data Corrigida]],"MMM"))</f>
        <v>OUT</v>
      </c>
      <c r="C1402" t="s">
        <v>3135</v>
      </c>
      <c r="D1402" s="2" t="s">
        <v>3136</v>
      </c>
      <c r="E1402" s="1" t="s">
        <v>3134</v>
      </c>
      <c r="F1402" t="s">
        <v>24</v>
      </c>
      <c r="G1402" s="2" t="s">
        <v>3123</v>
      </c>
      <c r="H1402" t="s">
        <v>26</v>
      </c>
      <c r="I1402" t="s">
        <v>27</v>
      </c>
      <c r="J1402" s="6">
        <v>42820</v>
      </c>
      <c r="K1402" s="16">
        <v>2047</v>
      </c>
      <c r="L1402" s="16">
        <v>2072</v>
      </c>
      <c r="M1402" s="16">
        <v>2032</v>
      </c>
      <c r="N1402" s="16">
        <v>2033</v>
      </c>
      <c r="O1402" s="16">
        <v>2152</v>
      </c>
      <c r="P1402" s="16">
        <v>2079</v>
      </c>
      <c r="Q1402" s="16">
        <v>2008</v>
      </c>
      <c r="R1402" s="16">
        <v>2080</v>
      </c>
      <c r="S1402" s="16">
        <v>2038</v>
      </c>
      <c r="T1402" s="16">
        <v>2007</v>
      </c>
      <c r="U1402" s="15">
        <v>2054.8000000000002</v>
      </c>
      <c r="V1402" t="s">
        <v>19</v>
      </c>
      <c r="W1402" t="s">
        <v>28</v>
      </c>
      <c r="X1402">
        <v>23818</v>
      </c>
      <c r="Y1402" s="16">
        <f>VLOOKUP(Tabela1[[#This Row],[SKU]],SKU!A:D,4,0)</f>
        <v>2000</v>
      </c>
      <c r="Z1402" s="18">
        <f>IFERROR((Tabela1[[#This Row],[Média]]-Tabela1[[#This Row],[Meta]])/Tabela1[[#This Row],[Meta]],"")</f>
        <v>2.7400000000000091E-2</v>
      </c>
      <c r="AA1402" s="31">
        <f>Tabela1[[#This Row],[Média]]-Tabela1[[#This Row],[Meta]]</f>
        <v>54.800000000000182</v>
      </c>
      <c r="AB1402" s="6" t="str">
        <f>VLOOKUP(Tabela1[[#This Row],[SKU]],SKU!A:B,2,0)</f>
        <v>COXA SBCX S/O FG 200-220g PB</v>
      </c>
      <c r="AC1402" s="6" t="str">
        <f>VLOOKUP(Tabela1[[#This Row],[SKU]],SKU!A:C,3,0)</f>
        <v>PERNA</v>
      </c>
    </row>
    <row r="1403" spans="1:29" x14ac:dyDescent="0.25">
      <c r="A1403" s="2">
        <f>INT(Tabela1[[#This Row],[Data e Hora2]])</f>
        <v>46301</v>
      </c>
      <c r="B1403" s="6" t="str">
        <f>UPPER(TEXT(Tabela1[[#This Row],[Data Corrigida]],"MMM"))</f>
        <v>OUT</v>
      </c>
      <c r="C1403" t="s">
        <v>3137</v>
      </c>
      <c r="D1403" s="2" t="s">
        <v>3138</v>
      </c>
      <c r="E1403" s="1" t="s">
        <v>3134</v>
      </c>
      <c r="F1403" t="s">
        <v>24</v>
      </c>
      <c r="G1403" s="2" t="s">
        <v>3123</v>
      </c>
      <c r="H1403" t="s">
        <v>26</v>
      </c>
      <c r="I1403" t="s">
        <v>27</v>
      </c>
      <c r="J1403" s="6">
        <v>42811</v>
      </c>
      <c r="K1403" s="16">
        <v>2027</v>
      </c>
      <c r="L1403" s="16">
        <v>2007</v>
      </c>
      <c r="M1403" s="16">
        <v>2072</v>
      </c>
      <c r="N1403" s="16">
        <v>2059</v>
      </c>
      <c r="O1403" s="16">
        <v>2044</v>
      </c>
      <c r="P1403" s="16">
        <v>2005</v>
      </c>
      <c r="Q1403" s="16">
        <v>2075</v>
      </c>
      <c r="R1403" s="16">
        <v>2008</v>
      </c>
      <c r="S1403" s="16">
        <v>2017</v>
      </c>
      <c r="T1403" s="16">
        <v>2012</v>
      </c>
      <c r="U1403" s="15">
        <v>2032.6</v>
      </c>
      <c r="V1403" t="s">
        <v>19</v>
      </c>
      <c r="W1403" t="s">
        <v>28</v>
      </c>
      <c r="X1403">
        <v>24063</v>
      </c>
      <c r="Y1403" s="16">
        <f>VLOOKUP(Tabela1[[#This Row],[SKU]],SKU!A:D,4,0)</f>
        <v>2000</v>
      </c>
      <c r="Z1403" s="18">
        <f>IFERROR((Tabela1[[#This Row],[Média]]-Tabela1[[#This Row],[Meta]])/Tabela1[[#This Row],[Meta]],"")</f>
        <v>1.6299999999999953E-2</v>
      </c>
      <c r="AA1403" s="31">
        <f>Tabela1[[#This Row],[Média]]-Tabela1[[#This Row],[Meta]]</f>
        <v>32.599999999999909</v>
      </c>
      <c r="AB1403" s="6" t="str">
        <f>VLOOKUP(Tabela1[[#This Row],[SKU]],SKU!A:B,2,0)</f>
        <v>COXA SBCX S/O FG 180-200g PB</v>
      </c>
      <c r="AC1403" s="6" t="str">
        <f>VLOOKUP(Tabela1[[#This Row],[SKU]],SKU!A:C,3,0)</f>
        <v>PERNA</v>
      </c>
    </row>
    <row r="1404" spans="1:29" x14ac:dyDescent="0.25">
      <c r="A1404" s="2">
        <f>INT(Tabela1[[#This Row],[Data e Hora2]])</f>
        <v>46301</v>
      </c>
      <c r="B1404" s="6" t="str">
        <f>UPPER(TEXT(Tabela1[[#This Row],[Data Corrigida]],"MMM"))</f>
        <v>OUT</v>
      </c>
      <c r="C1404" t="s">
        <v>3139</v>
      </c>
      <c r="D1404" s="2" t="s">
        <v>3140</v>
      </c>
      <c r="E1404" s="1" t="s">
        <v>3134</v>
      </c>
      <c r="F1404" t="s">
        <v>24</v>
      </c>
      <c r="G1404" s="2" t="s">
        <v>3123</v>
      </c>
      <c r="H1404" t="s">
        <v>26</v>
      </c>
      <c r="I1404" t="s">
        <v>27</v>
      </c>
      <c r="J1404" s="6">
        <v>42838</v>
      </c>
      <c r="K1404" s="16">
        <v>2038</v>
      </c>
      <c r="L1404" s="16">
        <v>2023</v>
      </c>
      <c r="M1404" s="16">
        <v>2028</v>
      </c>
      <c r="N1404" s="16">
        <v>2021</v>
      </c>
      <c r="O1404" s="16">
        <v>2014</v>
      </c>
      <c r="P1404" s="16">
        <v>2020</v>
      </c>
      <c r="Q1404" s="16">
        <v>2028</v>
      </c>
      <c r="R1404" s="16">
        <v>2018</v>
      </c>
      <c r="S1404" s="16">
        <v>2021</v>
      </c>
      <c r="T1404" s="16">
        <v>2018</v>
      </c>
      <c r="U1404" s="15">
        <v>2022.9</v>
      </c>
      <c r="V1404" t="s">
        <v>19</v>
      </c>
      <c r="W1404" t="s">
        <v>28</v>
      </c>
      <c r="X1404">
        <v>24204</v>
      </c>
      <c r="Y1404" s="16">
        <f>VLOOKUP(Tabela1[[#This Row],[SKU]],SKU!A:D,4,0)</f>
        <v>2000</v>
      </c>
      <c r="Z1404" s="18">
        <f>IFERROR((Tabela1[[#This Row],[Média]]-Tabela1[[#This Row],[Meta]])/Tabela1[[#This Row],[Meta]],"")</f>
        <v>1.1450000000000045E-2</v>
      </c>
      <c r="AA1404" s="31">
        <f>Tabela1[[#This Row],[Média]]-Tabela1[[#This Row],[Meta]]</f>
        <v>22.900000000000091</v>
      </c>
      <c r="AB1404" s="6" t="str">
        <f>VLOOKUP(Tabela1[[#This Row],[SKU]],SKU!A:B,2,0)</f>
        <v>COXA SBCX S/O FG 220-240g PB</v>
      </c>
      <c r="AC1404" s="6" t="str">
        <f>VLOOKUP(Tabela1[[#This Row],[SKU]],SKU!A:C,3,0)</f>
        <v>PERNA</v>
      </c>
    </row>
    <row r="1405" spans="1:29" x14ac:dyDescent="0.25">
      <c r="A1405" s="2">
        <f>INT(Tabela1[[#This Row],[Data e Hora2]])</f>
        <v>46301</v>
      </c>
      <c r="B1405" s="6" t="str">
        <f>UPPER(TEXT(Tabela1[[#This Row],[Data Corrigida]],"MMM"))</f>
        <v>OUT</v>
      </c>
      <c r="C1405" t="s">
        <v>3141</v>
      </c>
      <c r="D1405" s="2" t="s">
        <v>3142</v>
      </c>
      <c r="E1405" s="1" t="s">
        <v>3134</v>
      </c>
      <c r="F1405" t="s">
        <v>24</v>
      </c>
      <c r="G1405" s="2" t="s">
        <v>3123</v>
      </c>
      <c r="H1405" t="s">
        <v>26</v>
      </c>
      <c r="I1405" t="s">
        <v>27</v>
      </c>
      <c r="J1405" s="6">
        <v>42846</v>
      </c>
      <c r="K1405" s="16">
        <v>2013</v>
      </c>
      <c r="L1405" s="16">
        <v>2005</v>
      </c>
      <c r="M1405" s="16">
        <v>2007</v>
      </c>
      <c r="N1405" s="16">
        <v>2019</v>
      </c>
      <c r="O1405" s="16">
        <v>1999</v>
      </c>
      <c r="P1405" s="16">
        <v>1999</v>
      </c>
      <c r="Q1405" s="16">
        <v>2021</v>
      </c>
      <c r="R1405" s="16">
        <v>2114</v>
      </c>
      <c r="S1405" s="16">
        <v>1992</v>
      </c>
      <c r="T1405" s="16">
        <v>2012</v>
      </c>
      <c r="U1405" s="15">
        <v>2018.1</v>
      </c>
      <c r="V1405" t="s">
        <v>19</v>
      </c>
      <c r="W1405" t="s">
        <v>28</v>
      </c>
      <c r="X1405">
        <v>24260</v>
      </c>
      <c r="Y1405" s="16">
        <f>VLOOKUP(Tabela1[[#This Row],[SKU]],SKU!A:D,4,0)</f>
        <v>2000</v>
      </c>
      <c r="Z1405" s="18">
        <f>IFERROR((Tabela1[[#This Row],[Média]]-Tabela1[[#This Row],[Meta]])/Tabela1[[#This Row],[Meta]],"")</f>
        <v>9.0499999999999539E-3</v>
      </c>
      <c r="AA1405" s="31">
        <f>Tabela1[[#This Row],[Média]]-Tabela1[[#This Row],[Meta]]</f>
        <v>18.099999999999909</v>
      </c>
      <c r="AB1405" s="6" t="str">
        <f>VLOOKUP(Tabela1[[#This Row],[SKU]],SKU!A:B,2,0)</f>
        <v>COXA SBCX S/O FG 240-260g PB</v>
      </c>
      <c r="AC1405" s="6" t="str">
        <f>VLOOKUP(Tabela1[[#This Row],[SKU]],SKU!A:C,3,0)</f>
        <v>PERNA</v>
      </c>
    </row>
    <row r="1406" spans="1:29" x14ac:dyDescent="0.25">
      <c r="A1406" s="2">
        <f>INT(Tabela1[[#This Row],[Data e Hora2]])</f>
        <v>46301</v>
      </c>
      <c r="B1406" s="6" t="str">
        <f>UPPER(TEXT(Tabela1[[#This Row],[Data Corrigida]],"MMM"))</f>
        <v>OUT</v>
      </c>
      <c r="C1406" t="s">
        <v>3143</v>
      </c>
      <c r="D1406" s="2" t="s">
        <v>3144</v>
      </c>
      <c r="E1406" s="1" t="s">
        <v>3134</v>
      </c>
      <c r="F1406" t="s">
        <v>24</v>
      </c>
      <c r="G1406" s="2" t="s">
        <v>3123</v>
      </c>
      <c r="H1406" t="s">
        <v>26</v>
      </c>
      <c r="I1406" t="s">
        <v>27</v>
      </c>
      <c r="J1406" s="6">
        <v>42862</v>
      </c>
      <c r="K1406" s="16">
        <v>2006</v>
      </c>
      <c r="L1406" s="16">
        <v>2005</v>
      </c>
      <c r="M1406" s="16">
        <v>2012</v>
      </c>
      <c r="N1406" s="16">
        <v>2020</v>
      </c>
      <c r="O1406" s="16">
        <v>2011</v>
      </c>
      <c r="P1406" s="16">
        <v>2027</v>
      </c>
      <c r="Q1406" s="16">
        <v>2000</v>
      </c>
      <c r="R1406" s="16">
        <v>2001</v>
      </c>
      <c r="S1406" s="16">
        <v>2017</v>
      </c>
      <c r="T1406" s="16">
        <v>2011</v>
      </c>
      <c r="U1406" s="15">
        <v>2011</v>
      </c>
      <c r="V1406" t="s">
        <v>19</v>
      </c>
      <c r="W1406" t="s">
        <v>28</v>
      </c>
      <c r="X1406">
        <v>24342</v>
      </c>
      <c r="Y1406" s="16">
        <f>VLOOKUP(Tabela1[[#This Row],[SKU]],SKU!A:D,4,0)</f>
        <v>2000</v>
      </c>
      <c r="Z1406" s="18">
        <f>IFERROR((Tabela1[[#This Row],[Média]]-Tabela1[[#This Row],[Meta]])/Tabela1[[#This Row],[Meta]],"")</f>
        <v>5.4999999999999997E-3</v>
      </c>
      <c r="AA1406" s="31">
        <f>Tabela1[[#This Row],[Média]]-Tabela1[[#This Row],[Meta]]</f>
        <v>11</v>
      </c>
      <c r="AB1406" s="6" t="str">
        <f>VLOOKUP(Tabela1[[#This Row],[SKU]],SKU!A:B,2,0)</f>
        <v>COXA SBCX S/O FG 280-300g PB</v>
      </c>
      <c r="AC1406" s="6" t="str">
        <f>VLOOKUP(Tabela1[[#This Row],[SKU]],SKU!A:C,3,0)</f>
        <v>PERNA</v>
      </c>
    </row>
    <row r="1407" spans="1:29" x14ac:dyDescent="0.25">
      <c r="A1407" s="2">
        <f>INT(Tabela1[[#This Row],[Data e Hora2]])</f>
        <v>46301</v>
      </c>
      <c r="B1407" s="6" t="str">
        <f>UPPER(TEXT(Tabela1[[#This Row],[Data Corrigida]],"MMM"))</f>
        <v>OUT</v>
      </c>
      <c r="C1407" t="s">
        <v>3145</v>
      </c>
      <c r="D1407" s="2" t="s">
        <v>3146</v>
      </c>
      <c r="E1407" s="1" t="s">
        <v>3134</v>
      </c>
      <c r="F1407" t="s">
        <v>24</v>
      </c>
      <c r="G1407" s="2" t="s">
        <v>3123</v>
      </c>
      <c r="H1407" t="s">
        <v>26</v>
      </c>
      <c r="I1407" t="s">
        <v>27</v>
      </c>
      <c r="J1407" s="6">
        <v>42854</v>
      </c>
      <c r="K1407" s="16">
        <v>2110</v>
      </c>
      <c r="L1407" s="16">
        <v>2093</v>
      </c>
      <c r="M1407" s="16">
        <v>2031</v>
      </c>
      <c r="N1407" s="16">
        <v>2098</v>
      </c>
      <c r="O1407" s="16">
        <v>2107</v>
      </c>
      <c r="P1407" s="16">
        <v>2105</v>
      </c>
      <c r="Q1407" s="16">
        <v>2107</v>
      </c>
      <c r="R1407" s="16">
        <v>2112</v>
      </c>
      <c r="S1407" s="16">
        <v>2111</v>
      </c>
      <c r="T1407" s="16">
        <v>2106</v>
      </c>
      <c r="U1407" s="15">
        <v>2098</v>
      </c>
      <c r="V1407" t="s">
        <v>19</v>
      </c>
      <c r="W1407" t="s">
        <v>28</v>
      </c>
      <c r="X1407">
        <v>24446</v>
      </c>
      <c r="Y1407" s="16">
        <f>VLOOKUP(Tabela1[[#This Row],[SKU]],SKU!A:D,4,0)</f>
        <v>2080</v>
      </c>
      <c r="Z1407" s="18">
        <f>IFERROR((Tabela1[[#This Row],[Média]]-Tabela1[[#This Row],[Meta]])/Tabela1[[#This Row],[Meta]],"")</f>
        <v>8.6538461538461543E-3</v>
      </c>
      <c r="AA1407" s="31">
        <f>Tabela1[[#This Row],[Média]]-Tabela1[[#This Row],[Meta]]</f>
        <v>18</v>
      </c>
      <c r="AB1407" s="6" t="str">
        <f>VLOOKUP(Tabela1[[#This Row],[SKU]],SKU!A:B,2,0)</f>
        <v>COXA SBCX S/O FG 260-280g PB</v>
      </c>
      <c r="AC1407" s="6" t="str">
        <f>VLOOKUP(Tabela1[[#This Row],[SKU]],SKU!A:C,3,0)</f>
        <v>PERNA</v>
      </c>
    </row>
    <row r="1408" spans="1:29" x14ac:dyDescent="0.25">
      <c r="A1408" s="2">
        <f>INT(Tabela1[[#This Row],[Data e Hora2]])</f>
        <v>46301</v>
      </c>
      <c r="B1408" s="6" t="str">
        <f>UPPER(TEXT(Tabela1[[#This Row],[Data Corrigida]],"MMM"))</f>
        <v>OUT</v>
      </c>
      <c r="C1408" t="s">
        <v>3147</v>
      </c>
      <c r="D1408" s="2" t="s">
        <v>3148</v>
      </c>
      <c r="E1408" s="1" t="s">
        <v>3149</v>
      </c>
      <c r="F1408" t="s">
        <v>24</v>
      </c>
      <c r="G1408" s="2" t="s">
        <v>3123</v>
      </c>
      <c r="H1408" t="s">
        <v>26</v>
      </c>
      <c r="I1408" t="s">
        <v>27</v>
      </c>
      <c r="J1408" s="6">
        <v>40762</v>
      </c>
      <c r="K1408" s="16">
        <v>9965</v>
      </c>
      <c r="L1408" s="16">
        <v>10025</v>
      </c>
      <c r="M1408" s="16">
        <v>9995</v>
      </c>
      <c r="N1408" s="16">
        <v>9935</v>
      </c>
      <c r="O1408" s="16">
        <v>9915</v>
      </c>
      <c r="P1408" s="16">
        <v>10030</v>
      </c>
      <c r="Q1408" s="16">
        <v>9995</v>
      </c>
      <c r="R1408" s="16">
        <v>10010</v>
      </c>
      <c r="S1408" s="16">
        <v>9815</v>
      </c>
      <c r="T1408" s="16">
        <v>10015</v>
      </c>
      <c r="U1408" s="15">
        <v>9970</v>
      </c>
      <c r="V1408" t="s">
        <v>19</v>
      </c>
      <c r="W1408" t="s">
        <v>28</v>
      </c>
      <c r="X1408">
        <v>29956</v>
      </c>
      <c r="Y1408" s="16">
        <f>VLOOKUP(Tabela1[[#This Row],[SKU]],SKU!A:D,4,0)</f>
        <v>10000</v>
      </c>
      <c r="Z1408" s="18">
        <f>IFERROR((Tabela1[[#This Row],[Média]]-Tabela1[[#This Row],[Meta]])/Tabela1[[#This Row],[Meta]],"")</f>
        <v>-3.0000000000000001E-3</v>
      </c>
      <c r="AA1408" s="31">
        <f>Tabela1[[#This Row],[Média]]-Tabela1[[#This Row],[Meta]]</f>
        <v>-30</v>
      </c>
      <c r="AB1408" s="6" t="str">
        <f>VLOOKUP(Tabela1[[#This Row],[SKU]],SKU!A:B,2,0)</f>
        <v>COXA SBCX LQ FG LP</v>
      </c>
      <c r="AC1408" s="6" t="str">
        <f>VLOOKUP(Tabela1[[#This Row],[SKU]],SKU!A:C,3,0)</f>
        <v>PERNA</v>
      </c>
    </row>
    <row r="1409" spans="1:29" x14ac:dyDescent="0.25">
      <c r="A1409" s="2">
        <f>INT(Tabela1[[#This Row],[Data e Hora2]])</f>
        <v>46301</v>
      </c>
      <c r="B1409" s="6" t="str">
        <f>UPPER(TEXT(Tabela1[[#This Row],[Data Corrigida]],"MMM"))</f>
        <v>OUT</v>
      </c>
      <c r="C1409" t="s">
        <v>3150</v>
      </c>
      <c r="D1409" s="2" t="s">
        <v>3151</v>
      </c>
      <c r="E1409" s="1" t="s">
        <v>3149</v>
      </c>
      <c r="F1409" t="s">
        <v>24</v>
      </c>
      <c r="G1409" s="2" t="s">
        <v>3123</v>
      </c>
      <c r="H1409" t="s">
        <v>26</v>
      </c>
      <c r="I1409" t="s">
        <v>27</v>
      </c>
      <c r="J1409" s="6">
        <v>995638</v>
      </c>
      <c r="K1409" s="16">
        <v>15030</v>
      </c>
      <c r="L1409" s="16">
        <v>15035</v>
      </c>
      <c r="M1409" s="16">
        <v>15050</v>
      </c>
      <c r="N1409" s="16">
        <v>15025</v>
      </c>
      <c r="O1409" s="16">
        <v>15035</v>
      </c>
      <c r="P1409" s="16">
        <v>15030</v>
      </c>
      <c r="Q1409" s="16">
        <v>15040</v>
      </c>
      <c r="R1409" s="16">
        <v>15045</v>
      </c>
      <c r="S1409" s="16">
        <v>15040</v>
      </c>
      <c r="T1409" s="16">
        <v>15005</v>
      </c>
      <c r="U1409" s="15">
        <v>15033.5</v>
      </c>
      <c r="V1409" t="s">
        <v>19</v>
      </c>
      <c r="W1409" t="s">
        <v>28</v>
      </c>
      <c r="X1409">
        <v>30432</v>
      </c>
      <c r="Y1409" s="16">
        <f>VLOOKUP(Tabela1[[#This Row],[SKU]],SKU!A:D,4,0)</f>
        <v>15000</v>
      </c>
      <c r="Z1409" s="18">
        <f>IFERROR((Tabela1[[#This Row],[Média]]-Tabela1[[#This Row],[Meta]])/Tabela1[[#This Row],[Meta]],"")</f>
        <v>2.2333333333333333E-3</v>
      </c>
      <c r="AA1409" s="31">
        <f>Tabela1[[#This Row],[Média]]-Tabela1[[#This Row],[Meta]]</f>
        <v>33.5</v>
      </c>
      <c r="AB1409" s="6" t="str">
        <f>VLOOKUP(Tabela1[[#This Row],[SKU]],SKU!A:B,2,0)</f>
        <v>MEIO DA ASA 40-50G LP</v>
      </c>
      <c r="AC1409" s="6" t="str">
        <f>VLOOKUP(Tabela1[[#This Row],[SKU]],SKU!A:C,3,0)</f>
        <v>ASA</v>
      </c>
    </row>
    <row r="1410" spans="1:29" x14ac:dyDescent="0.25">
      <c r="A1410" s="2">
        <f>INT(Tabela1[[#This Row],[Data e Hora2]])</f>
        <v>46301</v>
      </c>
      <c r="B1410" s="6" t="str">
        <f>UPPER(TEXT(Tabela1[[#This Row],[Data Corrigida]],"MMM"))</f>
        <v>OUT</v>
      </c>
      <c r="C1410" t="s">
        <v>3152</v>
      </c>
      <c r="D1410" s="2" t="s">
        <v>3153</v>
      </c>
      <c r="E1410" s="1" t="s">
        <v>3149</v>
      </c>
      <c r="F1410" t="s">
        <v>24</v>
      </c>
      <c r="G1410" s="2" t="s">
        <v>3123</v>
      </c>
      <c r="H1410" t="s">
        <v>26</v>
      </c>
      <c r="I1410" t="s">
        <v>27</v>
      </c>
      <c r="J1410" s="6">
        <v>15105</v>
      </c>
      <c r="K1410" s="16">
        <v>1002</v>
      </c>
      <c r="L1410" s="16">
        <v>1038</v>
      </c>
      <c r="M1410" s="16">
        <v>1014</v>
      </c>
      <c r="N1410" s="16">
        <v>1041</v>
      </c>
      <c r="O1410" s="16">
        <v>1003</v>
      </c>
      <c r="P1410" s="16">
        <v>1038</v>
      </c>
      <c r="Q1410" s="16">
        <v>996</v>
      </c>
      <c r="R1410" s="16">
        <v>1033</v>
      </c>
      <c r="S1410" s="16">
        <v>995</v>
      </c>
      <c r="T1410" s="16">
        <v>1013</v>
      </c>
      <c r="U1410" s="15">
        <v>1017.3</v>
      </c>
      <c r="V1410" t="s">
        <v>19</v>
      </c>
      <c r="W1410" t="s">
        <v>28</v>
      </c>
      <c r="X1410">
        <v>30694</v>
      </c>
      <c r="Y1410" s="16">
        <f>VLOOKUP(Tabela1[[#This Row],[SKU]],SKU!A:D,4,0)</f>
        <v>1000</v>
      </c>
      <c r="Z1410" s="18">
        <f>IFERROR((Tabela1[[#This Row],[Média]]-Tabela1[[#This Row],[Meta]])/Tabela1[[#This Row],[Meta]],"")</f>
        <v>1.7299999999999954E-2</v>
      </c>
      <c r="AA1410" s="31">
        <f>Tabela1[[#This Row],[Média]]-Tabela1[[#This Row],[Meta]]</f>
        <v>17.299999999999955</v>
      </c>
      <c r="AB1410" s="6" t="str">
        <f>VLOOKUP(Tabela1[[#This Row],[SKU]],SKU!A:B,2,0)</f>
        <v>FILE PEITO MET CG BDJ SE</v>
      </c>
      <c r="AC1410" s="6" t="str">
        <f>VLOOKUP(Tabela1[[#This Row],[SKU]],SKU!A:C,3,0)</f>
        <v>PEITO</v>
      </c>
    </row>
    <row r="1411" spans="1:29" x14ac:dyDescent="0.25">
      <c r="A1411" s="2">
        <f>INT(Tabela1[[#This Row],[Data e Hora2]])</f>
        <v>46302</v>
      </c>
      <c r="B1411" s="6" t="str">
        <f>UPPER(TEXT(Tabela1[[#This Row],[Data Corrigida]],"MMM"))</f>
        <v>OUT</v>
      </c>
      <c r="C1411" t="s">
        <v>3154</v>
      </c>
      <c r="D1411" s="2" t="s">
        <v>3155</v>
      </c>
      <c r="E1411" s="1" t="s">
        <v>3156</v>
      </c>
      <c r="F1411" t="s">
        <v>24</v>
      </c>
      <c r="G1411" s="2" t="s">
        <v>3060</v>
      </c>
      <c r="H1411" t="s">
        <v>26</v>
      </c>
      <c r="I1411" t="s">
        <v>57</v>
      </c>
      <c r="J1411" s="6">
        <v>42838</v>
      </c>
      <c r="K1411" s="16">
        <v>2012</v>
      </c>
      <c r="L1411" s="16">
        <v>2029</v>
      </c>
      <c r="M1411" s="16">
        <v>2023</v>
      </c>
      <c r="N1411" s="16">
        <v>2020</v>
      </c>
      <c r="O1411" s="16">
        <v>2026</v>
      </c>
      <c r="P1411" s="16">
        <v>2029</v>
      </c>
      <c r="Q1411" s="16">
        <v>2030</v>
      </c>
      <c r="R1411" s="16">
        <v>2019</v>
      </c>
      <c r="S1411" s="16">
        <v>2017</v>
      </c>
      <c r="T1411" s="16">
        <v>2024</v>
      </c>
      <c r="U1411" s="15">
        <v>2022.9</v>
      </c>
      <c r="V1411" t="s">
        <v>19</v>
      </c>
      <c r="W1411" t="s">
        <v>28</v>
      </c>
      <c r="X1411">
        <v>293</v>
      </c>
      <c r="Y1411" s="16">
        <f>VLOOKUP(Tabela1[[#This Row],[SKU]],SKU!A:D,4,0)</f>
        <v>2000</v>
      </c>
      <c r="Z1411" s="18">
        <f>IFERROR((Tabela1[[#This Row],[Média]]-Tabela1[[#This Row],[Meta]])/Tabela1[[#This Row],[Meta]],"")</f>
        <v>1.1450000000000045E-2</v>
      </c>
      <c r="AA1411" s="31">
        <f>Tabela1[[#This Row],[Média]]-Tabela1[[#This Row],[Meta]]</f>
        <v>22.900000000000091</v>
      </c>
      <c r="AB1411" s="6" t="str">
        <f>VLOOKUP(Tabela1[[#This Row],[SKU]],SKU!A:B,2,0)</f>
        <v>COXA SBCX S/O FG 220-240g PB</v>
      </c>
      <c r="AC1411" s="6" t="str">
        <f>VLOOKUP(Tabela1[[#This Row],[SKU]],SKU!A:C,3,0)</f>
        <v>PERNA</v>
      </c>
    </row>
    <row r="1412" spans="1:29" x14ac:dyDescent="0.25">
      <c r="A1412" s="2">
        <f>INT(Tabela1[[#This Row],[Data e Hora2]])</f>
        <v>46302</v>
      </c>
      <c r="B1412" s="6" t="str">
        <f>UPPER(TEXT(Tabela1[[#This Row],[Data Corrigida]],"MMM"))</f>
        <v>OUT</v>
      </c>
      <c r="C1412" t="s">
        <v>3157</v>
      </c>
      <c r="D1412" s="2" t="s">
        <v>3158</v>
      </c>
      <c r="E1412" s="1" t="s">
        <v>3156</v>
      </c>
      <c r="F1412" t="s">
        <v>24</v>
      </c>
      <c r="G1412" s="2" t="s">
        <v>3060</v>
      </c>
      <c r="H1412" t="s">
        <v>26</v>
      </c>
      <c r="I1412" t="s">
        <v>57</v>
      </c>
      <c r="J1412" s="6">
        <v>42846</v>
      </c>
      <c r="K1412" s="16">
        <v>2008</v>
      </c>
      <c r="L1412" s="16">
        <v>2005</v>
      </c>
      <c r="M1412" s="16">
        <v>2015</v>
      </c>
      <c r="N1412" s="16">
        <v>2016</v>
      </c>
      <c r="O1412" s="16">
        <v>2001</v>
      </c>
      <c r="P1412" s="16">
        <v>2012</v>
      </c>
      <c r="Q1412" s="16">
        <v>1992</v>
      </c>
      <c r="R1412" s="16">
        <v>2004</v>
      </c>
      <c r="S1412" s="16">
        <v>2007</v>
      </c>
      <c r="T1412" s="16">
        <v>2000</v>
      </c>
      <c r="U1412" s="15">
        <v>2006</v>
      </c>
      <c r="V1412" t="s">
        <v>19</v>
      </c>
      <c r="W1412" t="s">
        <v>28</v>
      </c>
      <c r="X1412">
        <v>410</v>
      </c>
      <c r="Y1412" s="16">
        <f>VLOOKUP(Tabela1[[#This Row],[SKU]],SKU!A:D,4,0)</f>
        <v>2000</v>
      </c>
      <c r="Z1412" s="18">
        <f>IFERROR((Tabela1[[#This Row],[Média]]-Tabela1[[#This Row],[Meta]])/Tabela1[[#This Row],[Meta]],"")</f>
        <v>3.0000000000000001E-3</v>
      </c>
      <c r="AA1412" s="31">
        <f>Tabela1[[#This Row],[Média]]-Tabela1[[#This Row],[Meta]]</f>
        <v>6</v>
      </c>
      <c r="AB1412" s="6" t="str">
        <f>VLOOKUP(Tabela1[[#This Row],[SKU]],SKU!A:B,2,0)</f>
        <v>COXA SBCX S/O FG 240-260g PB</v>
      </c>
      <c r="AC1412" s="6" t="str">
        <f>VLOOKUP(Tabela1[[#This Row],[SKU]],SKU!A:C,3,0)</f>
        <v>PERNA</v>
      </c>
    </row>
    <row r="1413" spans="1:29" x14ac:dyDescent="0.25">
      <c r="A1413" s="2">
        <f>INT(Tabela1[[#This Row],[Data e Hora2]])</f>
        <v>46302</v>
      </c>
      <c r="B1413" s="6" t="str">
        <f>UPPER(TEXT(Tabela1[[#This Row],[Data Corrigida]],"MMM"))</f>
        <v>OUT</v>
      </c>
      <c r="C1413" t="s">
        <v>3159</v>
      </c>
      <c r="D1413" s="2" t="s">
        <v>3160</v>
      </c>
      <c r="E1413" s="1" t="s">
        <v>3156</v>
      </c>
      <c r="F1413" t="s">
        <v>24</v>
      </c>
      <c r="G1413" s="2" t="s">
        <v>3060</v>
      </c>
      <c r="H1413" t="s">
        <v>26</v>
      </c>
      <c r="I1413" t="s">
        <v>57</v>
      </c>
      <c r="J1413" s="6">
        <v>42854</v>
      </c>
      <c r="K1413" s="16">
        <v>2115</v>
      </c>
      <c r="L1413" s="16">
        <v>2089</v>
      </c>
      <c r="M1413" s="16">
        <v>2096</v>
      </c>
      <c r="N1413" s="16">
        <v>2088</v>
      </c>
      <c r="O1413" s="16">
        <v>2095</v>
      </c>
      <c r="P1413" s="16">
        <v>2075</v>
      </c>
      <c r="Q1413" s="16">
        <v>2117</v>
      </c>
      <c r="R1413" s="16">
        <v>2108</v>
      </c>
      <c r="S1413" s="16">
        <v>2113</v>
      </c>
      <c r="T1413" s="16">
        <v>2112</v>
      </c>
      <c r="U1413" s="15">
        <v>2100.8000000000002</v>
      </c>
      <c r="V1413" t="s">
        <v>19</v>
      </c>
      <c r="W1413" t="s">
        <v>28</v>
      </c>
      <c r="X1413">
        <v>601</v>
      </c>
      <c r="Y1413" s="16">
        <f>VLOOKUP(Tabela1[[#This Row],[SKU]],SKU!A:D,4,0)</f>
        <v>2080</v>
      </c>
      <c r="Z1413" s="18">
        <f>IFERROR((Tabela1[[#This Row],[Média]]-Tabela1[[#This Row],[Meta]])/Tabela1[[#This Row],[Meta]],"")</f>
        <v>1.0000000000000087E-2</v>
      </c>
      <c r="AA1413" s="31">
        <f>Tabela1[[#This Row],[Média]]-Tabela1[[#This Row],[Meta]]</f>
        <v>20.800000000000182</v>
      </c>
      <c r="AB1413" s="6" t="str">
        <f>VLOOKUP(Tabela1[[#This Row],[SKU]],SKU!A:B,2,0)</f>
        <v>COXA SBCX S/O FG 260-280g PB</v>
      </c>
      <c r="AC1413" s="6" t="str">
        <f>VLOOKUP(Tabela1[[#This Row],[SKU]],SKU!A:C,3,0)</f>
        <v>PERNA</v>
      </c>
    </row>
    <row r="1414" spans="1:29" x14ac:dyDescent="0.25">
      <c r="A1414" s="2">
        <f>INT(Tabela1[[#This Row],[Data e Hora2]])</f>
        <v>46302</v>
      </c>
      <c r="B1414" s="6" t="str">
        <f>UPPER(TEXT(Tabela1[[#This Row],[Data Corrigida]],"MMM"))</f>
        <v>OUT</v>
      </c>
      <c r="C1414" t="s">
        <v>3161</v>
      </c>
      <c r="D1414" s="2" t="s">
        <v>3162</v>
      </c>
      <c r="E1414" s="1" t="s">
        <v>3156</v>
      </c>
      <c r="F1414" t="s">
        <v>24</v>
      </c>
      <c r="G1414" s="2" t="s">
        <v>3060</v>
      </c>
      <c r="H1414" t="s">
        <v>26</v>
      </c>
      <c r="I1414" t="s">
        <v>57</v>
      </c>
      <c r="J1414" s="6">
        <v>42862</v>
      </c>
      <c r="K1414" s="16">
        <v>2005</v>
      </c>
      <c r="L1414" s="16">
        <v>2013</v>
      </c>
      <c r="M1414" s="16">
        <v>2016</v>
      </c>
      <c r="N1414" s="16">
        <v>2022</v>
      </c>
      <c r="O1414" s="16">
        <v>1993</v>
      </c>
      <c r="P1414" s="16">
        <v>2008</v>
      </c>
      <c r="Q1414" s="16">
        <v>1989</v>
      </c>
      <c r="R1414" s="16">
        <v>2007</v>
      </c>
      <c r="S1414" s="16">
        <v>1998</v>
      </c>
      <c r="T1414" s="16">
        <v>2013</v>
      </c>
      <c r="U1414" s="15">
        <v>2006.4</v>
      </c>
      <c r="V1414" t="s">
        <v>19</v>
      </c>
      <c r="W1414" t="s">
        <v>28</v>
      </c>
      <c r="X1414">
        <v>742</v>
      </c>
      <c r="Y1414" s="16">
        <f>VLOOKUP(Tabela1[[#This Row],[SKU]],SKU!A:D,4,0)</f>
        <v>2000</v>
      </c>
      <c r="Z1414" s="18">
        <f>IFERROR((Tabela1[[#This Row],[Média]]-Tabela1[[#This Row],[Meta]])/Tabela1[[#This Row],[Meta]],"")</f>
        <v>3.2000000000000457E-3</v>
      </c>
      <c r="AA1414" s="31">
        <f>Tabela1[[#This Row],[Média]]-Tabela1[[#This Row],[Meta]]</f>
        <v>6.4000000000000909</v>
      </c>
      <c r="AB1414" s="6" t="str">
        <f>VLOOKUP(Tabela1[[#This Row],[SKU]],SKU!A:B,2,0)</f>
        <v>COXA SBCX S/O FG 280-300g PB</v>
      </c>
      <c r="AC1414" s="6" t="str">
        <f>VLOOKUP(Tabela1[[#This Row],[SKU]],SKU!A:C,3,0)</f>
        <v>PERNA</v>
      </c>
    </row>
    <row r="1415" spans="1:29" x14ac:dyDescent="0.25">
      <c r="A1415" s="2">
        <f>INT(Tabela1[[#This Row],[Data e Hora2]])</f>
        <v>46302</v>
      </c>
      <c r="B1415" s="6" t="str">
        <f>UPPER(TEXT(Tabela1[[#This Row],[Data Corrigida]],"MMM"))</f>
        <v>OUT</v>
      </c>
      <c r="C1415" t="s">
        <v>3163</v>
      </c>
      <c r="D1415" s="2" t="s">
        <v>3164</v>
      </c>
      <c r="E1415" s="1" t="s">
        <v>3165</v>
      </c>
      <c r="F1415" t="s">
        <v>24</v>
      </c>
      <c r="G1415" s="2" t="s">
        <v>3060</v>
      </c>
      <c r="H1415" t="s">
        <v>26</v>
      </c>
      <c r="I1415" t="s">
        <v>57</v>
      </c>
      <c r="J1415" s="6">
        <v>40762</v>
      </c>
      <c r="K1415" s="16">
        <v>9990</v>
      </c>
      <c r="L1415" s="16">
        <v>10060</v>
      </c>
      <c r="M1415" s="16">
        <v>10115</v>
      </c>
      <c r="N1415" s="16">
        <v>10050</v>
      </c>
      <c r="O1415" s="16">
        <v>10035</v>
      </c>
      <c r="P1415" s="16">
        <v>10000</v>
      </c>
      <c r="Q1415" s="16">
        <v>10040</v>
      </c>
      <c r="R1415" s="16">
        <v>9975</v>
      </c>
      <c r="S1415" s="16">
        <v>9995</v>
      </c>
      <c r="T1415" s="16">
        <v>10075</v>
      </c>
      <c r="U1415" s="15">
        <v>10033.5</v>
      </c>
      <c r="V1415" t="s">
        <v>19</v>
      </c>
      <c r="W1415" t="s">
        <v>28</v>
      </c>
      <c r="X1415">
        <v>1154</v>
      </c>
      <c r="Y1415" s="16">
        <f>VLOOKUP(Tabela1[[#This Row],[SKU]],SKU!A:D,4,0)</f>
        <v>10000</v>
      </c>
      <c r="Z1415" s="18">
        <f>IFERROR((Tabela1[[#This Row],[Média]]-Tabela1[[#This Row],[Meta]])/Tabela1[[#This Row],[Meta]],"")</f>
        <v>3.3500000000000001E-3</v>
      </c>
      <c r="AA1415" s="31">
        <f>Tabela1[[#This Row],[Média]]-Tabela1[[#This Row],[Meta]]</f>
        <v>33.5</v>
      </c>
      <c r="AB1415" s="6" t="str">
        <f>VLOOKUP(Tabela1[[#This Row],[SKU]],SKU!A:B,2,0)</f>
        <v>COXA SBCX LQ FG LP</v>
      </c>
      <c r="AC1415" s="6" t="str">
        <f>VLOOKUP(Tabela1[[#This Row],[SKU]],SKU!A:C,3,0)</f>
        <v>PERNA</v>
      </c>
    </row>
    <row r="1416" spans="1:29" x14ac:dyDescent="0.25">
      <c r="A1416" s="2">
        <f>INT(Tabela1[[#This Row],[Data e Hora2]])</f>
        <v>46301</v>
      </c>
      <c r="B1416" s="6" t="str">
        <f>UPPER(TEXT(Tabela1[[#This Row],[Data Corrigida]],"MMM"))</f>
        <v>OUT</v>
      </c>
      <c r="C1416" t="s">
        <v>3166</v>
      </c>
      <c r="D1416" s="2" t="s">
        <v>3167</v>
      </c>
      <c r="E1416" s="1" t="s">
        <v>3165</v>
      </c>
      <c r="F1416" t="s">
        <v>24</v>
      </c>
      <c r="G1416" s="2" t="s">
        <v>3123</v>
      </c>
      <c r="H1416" t="s">
        <v>26</v>
      </c>
      <c r="I1416" t="s">
        <v>57</v>
      </c>
      <c r="J1416" s="6">
        <v>15105</v>
      </c>
      <c r="K1416" s="16">
        <v>1026</v>
      </c>
      <c r="L1416" s="16">
        <v>937</v>
      </c>
      <c r="M1416" s="16">
        <v>1198</v>
      </c>
      <c r="N1416" s="16">
        <v>1011</v>
      </c>
      <c r="O1416" s="16">
        <v>1045</v>
      </c>
      <c r="P1416" s="16">
        <v>1006</v>
      </c>
      <c r="Q1416" s="16">
        <v>1050</v>
      </c>
      <c r="R1416" s="16">
        <v>1015</v>
      </c>
      <c r="S1416" s="16">
        <v>1007</v>
      </c>
      <c r="T1416" s="16">
        <v>1007</v>
      </c>
      <c r="U1416" s="15">
        <v>1030.2</v>
      </c>
      <c r="V1416" t="s">
        <v>19</v>
      </c>
      <c r="W1416" t="s">
        <v>28</v>
      </c>
      <c r="X1416">
        <v>784</v>
      </c>
      <c r="Y1416" s="16">
        <f>VLOOKUP(Tabela1[[#This Row],[SKU]],SKU!A:D,4,0)</f>
        <v>1000</v>
      </c>
      <c r="Z1416" s="18">
        <f>IFERROR((Tabela1[[#This Row],[Média]]-Tabela1[[#This Row],[Meta]])/Tabela1[[#This Row],[Meta]],"")</f>
        <v>3.0200000000000046E-2</v>
      </c>
      <c r="AA1416" s="31">
        <f>Tabela1[[#This Row],[Média]]-Tabela1[[#This Row],[Meta]]</f>
        <v>30.200000000000045</v>
      </c>
      <c r="AB1416" s="6" t="str">
        <f>VLOOKUP(Tabela1[[#This Row],[SKU]],SKU!A:B,2,0)</f>
        <v>FILE PEITO MET CG BDJ SE</v>
      </c>
      <c r="AC1416" s="6" t="str">
        <f>VLOOKUP(Tabela1[[#This Row],[SKU]],SKU!A:C,3,0)</f>
        <v>PEITO</v>
      </c>
    </row>
    <row r="1417" spans="1:29" x14ac:dyDescent="0.25">
      <c r="A1417" s="2">
        <f>INT(Tabela1[[#This Row],[Data e Hora2]])</f>
        <v>46301</v>
      </c>
      <c r="B1417" s="6" t="str">
        <f>UPPER(TEXT(Tabela1[[#This Row],[Data Corrigida]],"MMM"))</f>
        <v>OUT</v>
      </c>
      <c r="C1417" t="s">
        <v>3168</v>
      </c>
      <c r="D1417" s="2" t="s">
        <v>3169</v>
      </c>
      <c r="E1417" s="1" t="s">
        <v>3170</v>
      </c>
      <c r="F1417" t="s">
        <v>24</v>
      </c>
      <c r="G1417" s="2" t="s">
        <v>3123</v>
      </c>
      <c r="H1417" t="s">
        <v>142</v>
      </c>
      <c r="I1417" t="s">
        <v>462</v>
      </c>
      <c r="J1417" s="6">
        <v>992014</v>
      </c>
      <c r="K1417" s="16">
        <v>689</v>
      </c>
      <c r="L1417" s="16">
        <v>699</v>
      </c>
      <c r="M1417" s="16">
        <v>700</v>
      </c>
      <c r="N1417" s="16">
        <v>700</v>
      </c>
      <c r="O1417" s="16">
        <v>693</v>
      </c>
      <c r="P1417" s="16">
        <v>699</v>
      </c>
      <c r="Q1417" s="16">
        <v>686</v>
      </c>
      <c r="R1417" s="16">
        <v>700</v>
      </c>
      <c r="S1417" s="16">
        <v>699</v>
      </c>
      <c r="T1417" s="16">
        <v>697</v>
      </c>
      <c r="U1417" s="15">
        <v>696.2</v>
      </c>
      <c r="V1417" t="s">
        <v>19</v>
      </c>
      <c r="W1417" t="s">
        <v>28</v>
      </c>
      <c r="X1417">
        <v>12303</v>
      </c>
      <c r="Y1417" s="16">
        <f>VLOOKUP(Tabela1[[#This Row],[SKU]],SKU!A:D,4,0)</f>
        <v>700</v>
      </c>
      <c r="Z1417" s="18">
        <f>IFERROR((Tabela1[[#This Row],[Média]]-Tabela1[[#This Row],[Meta]])/Tabela1[[#This Row],[Meta]],"")</f>
        <v>-5.4285714285713634E-3</v>
      </c>
      <c r="AA1417" s="31">
        <f>Tabela1[[#This Row],[Média]]-Tabela1[[#This Row],[Meta]]</f>
        <v>-3.7999999999999545</v>
      </c>
      <c r="AB1417" s="6" t="str">
        <f>VLOOKUP(Tabela1[[#This Row],[SKU]],SKU!A:B,2,0)</f>
        <v>OSTRINHA CG PCT 700G SWIFT</v>
      </c>
      <c r="AC1417" s="6" t="str">
        <f>VLOOKUP(Tabela1[[#This Row],[SKU]],SKU!A:C,3,0)</f>
        <v>PERNA</v>
      </c>
    </row>
    <row r="1418" spans="1:29" x14ac:dyDescent="0.25">
      <c r="A1418" s="2">
        <f>INT(Tabela1[[#This Row],[Data e Hora2]])</f>
        <v>46301</v>
      </c>
      <c r="B1418" s="6" t="str">
        <f>UPPER(TEXT(Tabela1[[#This Row],[Data Corrigida]],"MMM"))</f>
        <v>OUT</v>
      </c>
      <c r="C1418" t="s">
        <v>3171</v>
      </c>
      <c r="D1418" s="2" t="s">
        <v>3172</v>
      </c>
      <c r="E1418" s="1" t="s">
        <v>3170</v>
      </c>
      <c r="F1418" t="s">
        <v>24</v>
      </c>
      <c r="G1418" s="2" t="s">
        <v>3123</v>
      </c>
      <c r="H1418" t="s">
        <v>142</v>
      </c>
      <c r="I1418" t="s">
        <v>462</v>
      </c>
      <c r="J1418" s="6">
        <v>15105</v>
      </c>
      <c r="K1418" s="16">
        <v>1028</v>
      </c>
      <c r="L1418" s="16">
        <v>836</v>
      </c>
      <c r="M1418" s="16">
        <v>1015</v>
      </c>
      <c r="N1418" s="16">
        <v>823</v>
      </c>
      <c r="O1418" s="16">
        <v>942</v>
      </c>
      <c r="P1418" s="16">
        <v>998</v>
      </c>
      <c r="Q1418" s="16">
        <v>1002</v>
      </c>
      <c r="R1418" s="16">
        <v>985</v>
      </c>
      <c r="S1418" s="16">
        <v>994</v>
      </c>
      <c r="T1418" s="16">
        <v>1001</v>
      </c>
      <c r="U1418" s="15">
        <v>962.4</v>
      </c>
      <c r="V1418" t="s">
        <v>19</v>
      </c>
      <c r="W1418" t="s">
        <v>28</v>
      </c>
      <c r="X1418">
        <v>12725</v>
      </c>
      <c r="Y1418" s="16">
        <f>VLOOKUP(Tabela1[[#This Row],[SKU]],SKU!A:D,4,0)</f>
        <v>1000</v>
      </c>
      <c r="Z1418" s="18">
        <f>IFERROR((Tabela1[[#This Row],[Média]]-Tabela1[[#This Row],[Meta]])/Tabela1[[#This Row],[Meta]],"")</f>
        <v>-3.7600000000000022E-2</v>
      </c>
      <c r="AA1418" s="31">
        <f>Tabela1[[#This Row],[Média]]-Tabela1[[#This Row],[Meta]]</f>
        <v>-37.600000000000023</v>
      </c>
      <c r="AB1418" s="6" t="str">
        <f>VLOOKUP(Tabela1[[#This Row],[SKU]],SKU!A:B,2,0)</f>
        <v>FILE PEITO MET CG BDJ SE</v>
      </c>
      <c r="AC1418" s="6" t="str">
        <f>VLOOKUP(Tabela1[[#This Row],[SKU]],SKU!A:C,3,0)</f>
        <v>PEITO</v>
      </c>
    </row>
    <row r="1419" spans="1:29" x14ac:dyDescent="0.25">
      <c r="A1419" s="2">
        <f>INT(Tabela1[[#This Row],[Data e Hora2]])</f>
        <v>46301</v>
      </c>
      <c r="B1419" s="6" t="str">
        <f>UPPER(TEXT(Tabela1[[#This Row],[Data Corrigida]],"MMM"))</f>
        <v>OUT</v>
      </c>
      <c r="C1419" t="s">
        <v>3173</v>
      </c>
      <c r="D1419" s="2" t="s">
        <v>3174</v>
      </c>
      <c r="E1419" s="1" t="s">
        <v>3170</v>
      </c>
      <c r="F1419" t="s">
        <v>24</v>
      </c>
      <c r="G1419" s="2" t="s">
        <v>3123</v>
      </c>
      <c r="H1419" t="s">
        <v>142</v>
      </c>
      <c r="I1419" t="s">
        <v>462</v>
      </c>
      <c r="J1419" s="6">
        <v>42862</v>
      </c>
      <c r="K1419" s="16">
        <v>2061</v>
      </c>
      <c r="L1419" s="16">
        <v>2045</v>
      </c>
      <c r="M1419" s="16">
        <v>1972</v>
      </c>
      <c r="N1419" s="16">
        <v>1991</v>
      </c>
      <c r="O1419" s="16">
        <v>2012</v>
      </c>
      <c r="P1419" s="16">
        <v>2038</v>
      </c>
      <c r="Q1419" s="16">
        <v>2078</v>
      </c>
      <c r="R1419" s="16">
        <v>2008</v>
      </c>
      <c r="S1419" s="16">
        <v>2040</v>
      </c>
      <c r="T1419" s="16">
        <v>2058</v>
      </c>
      <c r="U1419" s="15">
        <v>2030.3</v>
      </c>
      <c r="V1419" t="s">
        <v>19</v>
      </c>
      <c r="W1419" t="s">
        <v>28</v>
      </c>
      <c r="X1419">
        <v>13424</v>
      </c>
      <c r="Y1419" s="16">
        <f>VLOOKUP(Tabela1[[#This Row],[SKU]],SKU!A:D,4,0)</f>
        <v>2000</v>
      </c>
      <c r="Z1419" s="18">
        <f>IFERROR((Tabela1[[#This Row],[Média]]-Tabela1[[#This Row],[Meta]])/Tabela1[[#This Row],[Meta]],"")</f>
        <v>1.5149999999999978E-2</v>
      </c>
      <c r="AA1419" s="31">
        <f>Tabela1[[#This Row],[Média]]-Tabela1[[#This Row],[Meta]]</f>
        <v>30.299999999999955</v>
      </c>
      <c r="AB1419" s="6" t="str">
        <f>VLOOKUP(Tabela1[[#This Row],[SKU]],SKU!A:B,2,0)</f>
        <v>COXA SBCX S/O FG 280-300g PB</v>
      </c>
      <c r="AC1419" s="6" t="str">
        <f>VLOOKUP(Tabela1[[#This Row],[SKU]],SKU!A:C,3,0)</f>
        <v>PERNA</v>
      </c>
    </row>
    <row r="1420" spans="1:29" x14ac:dyDescent="0.25">
      <c r="A1420" s="2">
        <f>INT(Tabela1[[#This Row],[Data e Hora2]])</f>
        <v>46301</v>
      </c>
      <c r="B1420" s="6" t="str">
        <f>UPPER(TEXT(Tabela1[[#This Row],[Data Corrigida]],"MMM"))</f>
        <v>OUT</v>
      </c>
      <c r="C1420" t="s">
        <v>3175</v>
      </c>
      <c r="D1420" s="2" t="s">
        <v>3176</v>
      </c>
      <c r="E1420" s="1" t="s">
        <v>3170</v>
      </c>
      <c r="F1420" t="s">
        <v>24</v>
      </c>
      <c r="G1420" s="2" t="s">
        <v>3123</v>
      </c>
      <c r="H1420" t="s">
        <v>142</v>
      </c>
      <c r="I1420" t="s">
        <v>462</v>
      </c>
      <c r="J1420" s="6">
        <v>15105</v>
      </c>
      <c r="K1420" s="16">
        <v>1048</v>
      </c>
      <c r="L1420" s="16">
        <v>999</v>
      </c>
      <c r="M1420" s="16">
        <v>1005</v>
      </c>
      <c r="N1420" s="16">
        <v>1023</v>
      </c>
      <c r="O1420" s="16">
        <v>1042</v>
      </c>
      <c r="P1420" s="16">
        <v>999</v>
      </c>
      <c r="Q1420" s="16">
        <v>1029</v>
      </c>
      <c r="R1420" s="16">
        <v>1013</v>
      </c>
      <c r="S1420" s="16">
        <v>1038</v>
      </c>
      <c r="T1420" s="16">
        <v>1006</v>
      </c>
      <c r="U1420" s="15">
        <v>1020.2</v>
      </c>
      <c r="V1420" t="s">
        <v>19</v>
      </c>
      <c r="W1420" t="s">
        <v>28</v>
      </c>
      <c r="X1420">
        <v>23292</v>
      </c>
      <c r="Y1420" s="16">
        <f>VLOOKUP(Tabela1[[#This Row],[SKU]],SKU!A:D,4,0)</f>
        <v>1000</v>
      </c>
      <c r="Z1420" s="18">
        <f>IFERROR((Tabela1[[#This Row],[Média]]-Tabela1[[#This Row],[Meta]])/Tabela1[[#This Row],[Meta]],"")</f>
        <v>2.0200000000000044E-2</v>
      </c>
      <c r="AA1420" s="31">
        <f>Tabela1[[#This Row],[Média]]-Tabela1[[#This Row],[Meta]]</f>
        <v>20.200000000000045</v>
      </c>
      <c r="AB1420" s="6" t="str">
        <f>VLOOKUP(Tabela1[[#This Row],[SKU]],SKU!A:B,2,0)</f>
        <v>FILE PEITO MET CG BDJ SE</v>
      </c>
      <c r="AC1420" s="6" t="str">
        <f>VLOOKUP(Tabela1[[#This Row],[SKU]],SKU!A:C,3,0)</f>
        <v>PEITO</v>
      </c>
    </row>
    <row r="1421" spans="1:29" x14ac:dyDescent="0.25">
      <c r="A1421" s="2">
        <f>INT(Tabela1[[#This Row],[Data e Hora2]])</f>
        <v>46301</v>
      </c>
      <c r="B1421" s="6" t="str">
        <f>UPPER(TEXT(Tabela1[[#This Row],[Data Corrigida]],"MMM"))</f>
        <v>OUT</v>
      </c>
      <c r="C1421" t="s">
        <v>3177</v>
      </c>
      <c r="D1421" s="2" t="s">
        <v>3178</v>
      </c>
      <c r="E1421" s="1" t="s">
        <v>3179</v>
      </c>
      <c r="F1421" t="s">
        <v>24</v>
      </c>
      <c r="G1421" s="2" t="s">
        <v>3123</v>
      </c>
      <c r="H1421" t="s">
        <v>142</v>
      </c>
      <c r="I1421" t="s">
        <v>462</v>
      </c>
      <c r="J1421" s="6">
        <v>42846</v>
      </c>
      <c r="K1421" s="16">
        <v>2006</v>
      </c>
      <c r="L1421" s="16">
        <v>1982</v>
      </c>
      <c r="M1421" s="16">
        <v>1984</v>
      </c>
      <c r="N1421" s="16">
        <v>1980</v>
      </c>
      <c r="O1421" s="16">
        <v>2008</v>
      </c>
      <c r="P1421" s="16">
        <v>1915</v>
      </c>
      <c r="Q1421" s="16">
        <v>1961</v>
      </c>
      <c r="R1421" s="16">
        <v>2056</v>
      </c>
      <c r="S1421" s="16">
        <v>2006</v>
      </c>
      <c r="T1421" s="16">
        <v>2135</v>
      </c>
      <c r="U1421" s="15">
        <v>2003.3</v>
      </c>
      <c r="V1421" t="s">
        <v>19</v>
      </c>
      <c r="W1421" t="s">
        <v>28</v>
      </c>
      <c r="X1421">
        <v>470</v>
      </c>
      <c r="Y1421" s="16">
        <f>VLOOKUP(Tabela1[[#This Row],[SKU]],SKU!A:D,4,0)</f>
        <v>2000</v>
      </c>
      <c r="Z1421" s="18">
        <f>IFERROR((Tabela1[[#This Row],[Média]]-Tabela1[[#This Row],[Meta]])/Tabela1[[#This Row],[Meta]],"")</f>
        <v>1.6499999999999772E-3</v>
      </c>
      <c r="AA1421" s="31">
        <f>Tabela1[[#This Row],[Média]]-Tabela1[[#This Row],[Meta]]</f>
        <v>3.2999999999999545</v>
      </c>
      <c r="AB1421" s="6" t="str">
        <f>VLOOKUP(Tabela1[[#This Row],[SKU]],SKU!A:B,2,0)</f>
        <v>COXA SBCX S/O FG 240-260g PB</v>
      </c>
      <c r="AC1421" s="6" t="str">
        <f>VLOOKUP(Tabela1[[#This Row],[SKU]],SKU!A:C,3,0)</f>
        <v>PERNA</v>
      </c>
    </row>
    <row r="1422" spans="1:29" x14ac:dyDescent="0.25">
      <c r="A1422" s="2">
        <f>INT(Tabela1[[#This Row],[Data e Hora2]])</f>
        <v>46301</v>
      </c>
      <c r="B1422" s="6" t="str">
        <f>UPPER(TEXT(Tabela1[[#This Row],[Data Corrigida]],"MMM"))</f>
        <v>OUT</v>
      </c>
      <c r="C1422" t="s">
        <v>3180</v>
      </c>
      <c r="D1422" s="2" t="s">
        <v>3181</v>
      </c>
      <c r="E1422" s="1" t="s">
        <v>3179</v>
      </c>
      <c r="F1422" t="s">
        <v>24</v>
      </c>
      <c r="G1422" s="2" t="s">
        <v>3123</v>
      </c>
      <c r="H1422" t="s">
        <v>142</v>
      </c>
      <c r="I1422" t="s">
        <v>462</v>
      </c>
      <c r="J1422" s="6">
        <v>42854</v>
      </c>
      <c r="K1422" s="16">
        <v>2151</v>
      </c>
      <c r="L1422" s="16">
        <v>2133</v>
      </c>
      <c r="M1422" s="16">
        <v>2145</v>
      </c>
      <c r="N1422" s="16">
        <v>1876</v>
      </c>
      <c r="O1422" s="16">
        <v>2078</v>
      </c>
      <c r="P1422" s="16">
        <v>1913</v>
      </c>
      <c r="Q1422" s="16">
        <v>2152</v>
      </c>
      <c r="R1422" s="16">
        <v>2156</v>
      </c>
      <c r="S1422" s="16">
        <v>2146</v>
      </c>
      <c r="T1422" s="16">
        <v>2151</v>
      </c>
      <c r="U1422" s="15">
        <v>2090.1</v>
      </c>
      <c r="V1422" t="s">
        <v>19</v>
      </c>
      <c r="W1422" t="s">
        <v>28</v>
      </c>
      <c r="X1422">
        <v>711</v>
      </c>
      <c r="Y1422" s="16">
        <f>VLOOKUP(Tabela1[[#This Row],[SKU]],SKU!A:D,4,0)</f>
        <v>2080</v>
      </c>
      <c r="Z1422" s="18">
        <f>IFERROR((Tabela1[[#This Row],[Média]]-Tabela1[[#This Row],[Meta]])/Tabela1[[#This Row],[Meta]],"")</f>
        <v>4.855769230769187E-3</v>
      </c>
      <c r="AA1422" s="31">
        <f>Tabela1[[#This Row],[Média]]-Tabela1[[#This Row],[Meta]]</f>
        <v>10.099999999999909</v>
      </c>
      <c r="AB1422" s="6" t="str">
        <f>VLOOKUP(Tabela1[[#This Row],[SKU]],SKU!A:B,2,0)</f>
        <v>COXA SBCX S/O FG 260-280g PB</v>
      </c>
      <c r="AC1422" s="6" t="str">
        <f>VLOOKUP(Tabela1[[#This Row],[SKU]],SKU!A:C,3,0)</f>
        <v>PERNA</v>
      </c>
    </row>
    <row r="1423" spans="1:29" x14ac:dyDescent="0.25">
      <c r="A1423" s="2">
        <f>INT(Tabela1[[#This Row],[Data e Hora2]])</f>
        <v>46301</v>
      </c>
      <c r="B1423" s="6" t="str">
        <f>UPPER(TEXT(Tabela1[[#This Row],[Data Corrigida]],"MMM"))</f>
        <v>OUT</v>
      </c>
      <c r="C1423" t="s">
        <v>3182</v>
      </c>
      <c r="D1423" s="2" t="s">
        <v>3183</v>
      </c>
      <c r="E1423" s="1" t="s">
        <v>3179</v>
      </c>
      <c r="F1423" t="s">
        <v>24</v>
      </c>
      <c r="G1423" s="2" t="s">
        <v>3123</v>
      </c>
      <c r="H1423" t="s">
        <v>142</v>
      </c>
      <c r="I1423" t="s">
        <v>462</v>
      </c>
      <c r="J1423" s="6">
        <v>54632</v>
      </c>
      <c r="K1423" s="16">
        <v>996</v>
      </c>
      <c r="L1423" s="16">
        <v>1017</v>
      </c>
      <c r="M1423" s="16">
        <v>998</v>
      </c>
      <c r="N1423" s="16">
        <v>1003</v>
      </c>
      <c r="O1423" s="16">
        <v>1005</v>
      </c>
      <c r="P1423" s="16">
        <v>1007</v>
      </c>
      <c r="Q1423" s="16">
        <v>996</v>
      </c>
      <c r="R1423" s="16">
        <v>1003</v>
      </c>
      <c r="S1423" s="16">
        <v>992</v>
      </c>
      <c r="T1423" s="16">
        <v>989</v>
      </c>
      <c r="U1423" s="15">
        <v>1000.6</v>
      </c>
      <c r="V1423" t="s">
        <v>19</v>
      </c>
      <c r="W1423" t="s">
        <v>28</v>
      </c>
      <c r="X1423">
        <v>950</v>
      </c>
      <c r="Y1423" s="16">
        <f>VLOOKUP(Tabela1[[#This Row],[SKU]],SKU!A:D,4,0)</f>
        <v>1000</v>
      </c>
      <c r="Z1423" s="18">
        <f>IFERROR((Tabela1[[#This Row],[Média]]-Tabela1[[#This Row],[Meta]])/Tabela1[[#This Row],[Meta]],"")</f>
        <v>6.0000000000002272E-4</v>
      </c>
      <c r="AA1423" s="31">
        <f>Tabela1[[#This Row],[Média]]-Tabela1[[#This Row],[Meta]]</f>
        <v>0.60000000000002274</v>
      </c>
      <c r="AB1423" s="6" t="str">
        <f>VLOOKUP(Tabela1[[#This Row],[SKU]],SKU!A:B,2,0)</f>
        <v>COXA SBCX S/O BDJ CG</v>
      </c>
      <c r="AC1423" s="6" t="str">
        <f>VLOOKUP(Tabela1[[#This Row],[SKU]],SKU!A:C,3,0)</f>
        <v>PERNA</v>
      </c>
    </row>
    <row r="1424" spans="1:29" x14ac:dyDescent="0.25">
      <c r="A1424" s="2">
        <f>INT(Tabela1[[#This Row],[Data e Hora2]])</f>
        <v>46300</v>
      </c>
      <c r="B1424" s="6" t="str">
        <f>UPPER(TEXT(Tabela1[[#This Row],[Data Corrigida]],"MMM"))</f>
        <v>OUT</v>
      </c>
      <c r="C1424" t="s">
        <v>3184</v>
      </c>
      <c r="D1424" s="2" t="s">
        <v>3185</v>
      </c>
      <c r="E1424" s="1" t="s">
        <v>3179</v>
      </c>
      <c r="F1424" t="s">
        <v>24</v>
      </c>
      <c r="G1424" s="2" t="s">
        <v>2889</v>
      </c>
      <c r="H1424" t="s">
        <v>142</v>
      </c>
      <c r="I1424" t="s">
        <v>462</v>
      </c>
      <c r="J1424" s="6">
        <v>54632</v>
      </c>
      <c r="K1424" s="16">
        <v>1002</v>
      </c>
      <c r="L1424" s="16">
        <v>990</v>
      </c>
      <c r="M1424" s="16">
        <v>995</v>
      </c>
      <c r="N1424" s="16">
        <v>1004</v>
      </c>
      <c r="O1424" s="16">
        <v>1008</v>
      </c>
      <c r="P1424" s="16">
        <v>992</v>
      </c>
      <c r="Q1424" s="16">
        <v>986</v>
      </c>
      <c r="R1424" s="16" t="s">
        <v>19</v>
      </c>
      <c r="S1424" s="16">
        <v>1000</v>
      </c>
      <c r="T1424" s="16">
        <v>997</v>
      </c>
      <c r="U1424" s="15">
        <v>997</v>
      </c>
      <c r="V1424" t="s">
        <v>19</v>
      </c>
      <c r="W1424" t="s">
        <v>28</v>
      </c>
      <c r="X1424">
        <v>85687</v>
      </c>
      <c r="Y1424" s="16">
        <f>VLOOKUP(Tabela1[[#This Row],[SKU]],SKU!A:D,4,0)</f>
        <v>1000</v>
      </c>
      <c r="Z1424" s="18">
        <f>IFERROR((Tabela1[[#This Row],[Média]]-Tabela1[[#This Row],[Meta]])/Tabela1[[#This Row],[Meta]],"")</f>
        <v>-3.0000000000000001E-3</v>
      </c>
      <c r="AA1424" s="31">
        <f>Tabela1[[#This Row],[Média]]-Tabela1[[#This Row],[Meta]]</f>
        <v>-3</v>
      </c>
      <c r="AB1424" s="6" t="str">
        <f>VLOOKUP(Tabela1[[#This Row],[SKU]],SKU!A:B,2,0)</f>
        <v>COXA SBCX S/O BDJ CG</v>
      </c>
      <c r="AC1424" s="6" t="str">
        <f>VLOOKUP(Tabela1[[#This Row],[SKU]],SKU!A:C,3,0)</f>
        <v>PERNA</v>
      </c>
    </row>
  </sheetData>
  <conditionalFormatting sqref="K2:T1424">
    <cfRule type="cellIs" dxfId="58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selection activeCell="A3" sqref="A3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>
        <v>15000</v>
      </c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2026-10-08T18:27:10Z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